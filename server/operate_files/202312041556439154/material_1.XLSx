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770" windowHeight="10065" activeTab="3"/>
  </bookViews>
  <sheets>
    <sheet name="高二年级期中成绩" sheetId="1" r:id="rId1"/>
    <sheet name="Sheet2" sheetId="2" r:id="rId2"/>
    <sheet name="筛选" sheetId="3" r:id="rId3"/>
    <sheet name="图表" sheetId="4" r:id="rId4"/>
  </sheets>
  <definedNames>
    <definedName name="_xlnm.Criteria" localSheetId="2">筛选!$A$1:$B$3</definedName>
    <definedName name="_xlnm.Extract" localSheetId="2">筛选!$A$6:$J$6</definedName>
  </definedNames>
  <calcPr calcId="144525"/>
</workbook>
</file>

<file path=xl/sharedStrings.xml><?xml version="1.0" encoding="utf-8"?>
<sst xmlns="http://schemas.openxmlformats.org/spreadsheetml/2006/main" count="210" uniqueCount="69">
  <si>
    <t>各专业学生成绩统计</t>
  </si>
  <si>
    <t>专业</t>
  </si>
  <si>
    <t>年级号</t>
  </si>
  <si>
    <t>学号</t>
  </si>
  <si>
    <t>语文</t>
  </si>
  <si>
    <t>数学</t>
  </si>
  <si>
    <t>英语</t>
  </si>
  <si>
    <t>专业成绩</t>
  </si>
  <si>
    <t>总分</t>
  </si>
  <si>
    <t>农业</t>
  </si>
  <si>
    <t>981021</t>
  </si>
  <si>
    <t>计算机</t>
  </si>
  <si>
    <t>982032</t>
  </si>
  <si>
    <t>化工</t>
  </si>
  <si>
    <t>983029</t>
  </si>
  <si>
    <t>财会</t>
  </si>
  <si>
    <t>985034</t>
  </si>
  <si>
    <t>981076</t>
  </si>
  <si>
    <t>984056</t>
  </si>
  <si>
    <t>983021</t>
  </si>
  <si>
    <t>982089</t>
  </si>
  <si>
    <t>982005</t>
  </si>
  <si>
    <t>983082</t>
  </si>
  <si>
    <t>981062</t>
  </si>
  <si>
    <t>985023</t>
  </si>
  <si>
    <t>984034</t>
  </si>
  <si>
    <t>981025</t>
  </si>
  <si>
    <t>983026</t>
  </si>
  <si>
    <t>984086</t>
  </si>
  <si>
    <t>985014</t>
  </si>
  <si>
    <t>983053</t>
  </si>
  <si>
    <t>984027</t>
  </si>
  <si>
    <t>983028</t>
  </si>
  <si>
    <r>
      <rPr>
        <sz val="12"/>
        <rFont val="宋体"/>
        <charset val="134"/>
      </rPr>
      <t>981027</t>
    </r>
  </si>
  <si>
    <r>
      <rPr>
        <sz val="12"/>
        <rFont val="宋体"/>
        <charset val="134"/>
      </rPr>
      <t>982022</t>
    </r>
  </si>
  <si>
    <t>982012</t>
  </si>
  <si>
    <t>982031</t>
  </si>
  <si>
    <t>985002</t>
  </si>
  <si>
    <t>等级</t>
  </si>
  <si>
    <t>排名</t>
  </si>
  <si>
    <t>021</t>
  </si>
  <si>
    <t>032</t>
  </si>
  <si>
    <t>029</t>
  </si>
  <si>
    <t>034</t>
  </si>
  <si>
    <t>076</t>
  </si>
  <si>
    <t>056</t>
  </si>
  <si>
    <t>089</t>
  </si>
  <si>
    <t>005</t>
  </si>
  <si>
    <t>082</t>
  </si>
  <si>
    <t>062</t>
  </si>
  <si>
    <t>023</t>
  </si>
  <si>
    <t>025</t>
  </si>
  <si>
    <t>026</t>
  </si>
  <si>
    <t>086</t>
  </si>
  <si>
    <t>014</t>
  </si>
  <si>
    <t>053</t>
  </si>
  <si>
    <t>027</t>
  </si>
  <si>
    <t>028</t>
  </si>
  <si>
    <t>981027</t>
  </si>
  <si>
    <t>982022</t>
  </si>
  <si>
    <t>022</t>
  </si>
  <si>
    <t>012</t>
  </si>
  <si>
    <t>031</t>
  </si>
  <si>
    <t>002</t>
  </si>
  <si>
    <t>&gt;=220</t>
  </si>
  <si>
    <t>&gt;=550</t>
  </si>
  <si>
    <t>优秀</t>
  </si>
  <si>
    <t>合格</t>
  </si>
  <si>
    <t>良好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</si>
</sst>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8"/>
      <name val="楷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0070C0"/>
      </left>
      <right style="double">
        <color rgb="FF7030A0"/>
      </right>
      <top style="thick">
        <color rgb="FF0070C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thick">
        <color rgb="FF0070C0"/>
      </top>
      <bottom style="double">
        <color rgb="FF7030A0"/>
      </bottom>
      <diagonal/>
    </border>
    <border>
      <left style="thick">
        <color rgb="FF0070C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ck">
        <color rgb="FF0070C0"/>
      </left>
      <right style="double">
        <color rgb="FF7030A0"/>
      </right>
      <top style="double">
        <color rgb="FF7030A0"/>
      </top>
      <bottom style="thick">
        <color rgb="FF0070C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thick">
        <color rgb="FF0070C0"/>
      </bottom>
      <diagonal/>
    </border>
    <border>
      <left style="double">
        <color rgb="FF7030A0"/>
      </left>
      <right style="thick">
        <color rgb="FF0070C0"/>
      </right>
      <top style="thick">
        <color rgb="FF0070C0"/>
      </top>
      <bottom style="double">
        <color rgb="FF7030A0"/>
      </bottom>
      <diagonal/>
    </border>
    <border>
      <left style="double">
        <color rgb="FF7030A0"/>
      </left>
      <right style="thick">
        <color rgb="FF0070C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thick">
        <color rgb="FF0070C0"/>
      </right>
      <top style="double">
        <color rgb="FF7030A0"/>
      </top>
      <bottom style="thick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Font="1" applyBorder="1"/>
    <xf numFmtId="0" fontId="0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0" xfId="0" applyFont="1"/>
    <xf numFmtId="0" fontId="1" fillId="0" borderId="1" xfId="0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0" borderId="7" xfId="0" applyFont="1" applyBorder="1" applyAlignment="1">
      <alignment horizontal="centerContinuous"/>
    </xf>
    <xf numFmtId="0" fontId="0" fillId="0" borderId="8" xfId="0" applyFont="1" applyBorder="1"/>
    <xf numFmtId="0" fontId="0" fillId="0" borderId="4" xfId="0" applyFont="1" applyBorder="1" quotePrefix="1"/>
    <xf numFmtId="0" fontId="0" fillId="0" borderId="6" xfId="0" applyFont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B050"/>
      </font>
    </dxf>
    <dxf>
      <font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部分学生语数英比较图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筛选!$D$6</c:f>
              <c:strCache>
                <c:ptCount val="1"/>
                <c:pt idx="0">
                  <c:v>语文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筛选!$C$7:$C$12</c:f>
              <c:strCache>
                <c:ptCount val="6"/>
                <c:pt idx="0">
                  <c:v>021</c:v>
                </c:pt>
                <c:pt idx="1">
                  <c:v>034</c:v>
                </c:pt>
                <c:pt idx="2">
                  <c:v>021</c:v>
                </c:pt>
                <c:pt idx="3">
                  <c:v>089</c:v>
                </c:pt>
                <c:pt idx="4">
                  <c:v>005</c:v>
                </c:pt>
                <c:pt idx="5">
                  <c:v>062</c:v>
                </c:pt>
              </c:strCache>
            </c:strRef>
          </c:cat>
          <c:val>
            <c:numRef>
              <c:f>筛选!$D$7:$D$12</c:f>
              <c:numCache>
                <c:formatCode>General</c:formatCode>
                <c:ptCount val="6"/>
                <c:pt idx="0">
                  <c:v>90</c:v>
                </c:pt>
                <c:pt idx="1">
                  <c:v>86</c:v>
                </c:pt>
                <c:pt idx="2">
                  <c:v>95</c:v>
                </c:pt>
                <c:pt idx="3">
                  <c:v>108</c:v>
                </c:pt>
                <c:pt idx="4">
                  <c:v>119</c:v>
                </c:pt>
                <c:pt idx="5">
                  <c:v>92</c:v>
                </c:pt>
              </c:numCache>
            </c:numRef>
          </c:val>
        </c:ser>
        <c:ser>
          <c:idx val="1"/>
          <c:order val="1"/>
          <c:tx>
            <c:strRef>
              <c:f>筛选!$E$6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筛选!$C$7:$C$12</c:f>
              <c:strCache>
                <c:ptCount val="6"/>
                <c:pt idx="0">
                  <c:v>021</c:v>
                </c:pt>
                <c:pt idx="1">
                  <c:v>034</c:v>
                </c:pt>
                <c:pt idx="2">
                  <c:v>021</c:v>
                </c:pt>
                <c:pt idx="3">
                  <c:v>089</c:v>
                </c:pt>
                <c:pt idx="4">
                  <c:v>005</c:v>
                </c:pt>
                <c:pt idx="5">
                  <c:v>062</c:v>
                </c:pt>
              </c:strCache>
            </c:strRef>
          </c:cat>
          <c:val>
            <c:numRef>
              <c:f>筛选!$E$7:$E$12</c:f>
              <c:numCache>
                <c:formatCode>General</c:formatCode>
                <c:ptCount val="6"/>
                <c:pt idx="0">
                  <c:v>128</c:v>
                </c:pt>
                <c:pt idx="1">
                  <c:v>95</c:v>
                </c:pt>
                <c:pt idx="2">
                  <c:v>118</c:v>
                </c:pt>
                <c:pt idx="3">
                  <c:v>125</c:v>
                </c:pt>
                <c:pt idx="4">
                  <c:v>111</c:v>
                </c:pt>
                <c:pt idx="5">
                  <c:v>85</c:v>
                </c:pt>
              </c:numCache>
            </c:numRef>
          </c:val>
        </c:ser>
        <c:ser>
          <c:idx val="2"/>
          <c:order val="2"/>
          <c:tx>
            <c:strRef>
              <c:f>筛选!$F$6</c:f>
              <c:strCache>
                <c:ptCount val="1"/>
                <c:pt idx="0">
                  <c:v>英语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筛选!$C$7:$C$12</c:f>
              <c:strCache>
                <c:ptCount val="6"/>
                <c:pt idx="0">
                  <c:v>021</c:v>
                </c:pt>
                <c:pt idx="1">
                  <c:v>034</c:v>
                </c:pt>
                <c:pt idx="2">
                  <c:v>021</c:v>
                </c:pt>
                <c:pt idx="3">
                  <c:v>089</c:v>
                </c:pt>
                <c:pt idx="4">
                  <c:v>005</c:v>
                </c:pt>
                <c:pt idx="5">
                  <c:v>062</c:v>
                </c:pt>
              </c:strCache>
            </c:strRef>
          </c:cat>
          <c:val>
            <c:numRef>
              <c:f>筛选!$F$7:$F$12</c:f>
              <c:numCache>
                <c:formatCode>General</c:formatCode>
                <c:ptCount val="6"/>
                <c:pt idx="0">
                  <c:v>85</c:v>
                </c:pt>
                <c:pt idx="1">
                  <c:v>50</c:v>
                </c:pt>
                <c:pt idx="2">
                  <c:v>68</c:v>
                </c:pt>
                <c:pt idx="3">
                  <c:v>89</c:v>
                </c:pt>
                <c:pt idx="4">
                  <c:v>68</c:v>
                </c:pt>
                <c:pt idx="5">
                  <c:v>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8082432"/>
        <c:axId val="78303616"/>
      </c:barChart>
      <c:catAx>
        <c:axId val="78082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03616"/>
        <c:crosses val="autoZero"/>
        <c:auto val="1"/>
        <c:lblAlgn val="ctr"/>
        <c:lblOffset val="100"/>
        <c:noMultiLvlLbl val="0"/>
      </c:catAx>
      <c:valAx>
        <c:axId val="7830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8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57150</xdr:colOff>
      <xdr:row>2</xdr:row>
      <xdr:rowOff>28575</xdr:rowOff>
    </xdr:from>
    <xdr:to>
      <xdr:col>10</xdr:col>
      <xdr:colOff>666750</xdr:colOff>
      <xdr:row>16</xdr:row>
      <xdr:rowOff>85725</xdr:rowOff>
    </xdr:to>
    <xdr:graphicFrame>
      <xdr:nvGraphicFramePr>
        <xdr:cNvPr id="2" name="图表 1"/>
        <xdr:cNvGraphicFramePr/>
      </xdr:nvGraphicFramePr>
      <xdr:xfrm>
        <a:off x="2800350" y="390525"/>
        <a:ext cx="4724400" cy="25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8"/>
  <sheetViews>
    <sheetView zoomScale="70" zoomScaleNormal="70" workbookViewId="0">
      <selection activeCell="Q33" sqref="Q33"/>
    </sheetView>
  </sheetViews>
  <sheetFormatPr defaultColWidth="9" defaultRowHeight="14.25"/>
  <cols>
    <col min="11" max="11" width="18.375" customWidth="1"/>
  </cols>
  <sheetData>
    <row r="1" ht="28" customHeight="1" spans="1:9">
      <c r="A1" s="12" t="s">
        <v>0</v>
      </c>
      <c r="B1" s="13"/>
      <c r="C1" s="13"/>
      <c r="D1" s="13"/>
      <c r="E1" s="13"/>
      <c r="F1" s="13"/>
      <c r="G1" s="13"/>
      <c r="H1" s="13"/>
      <c r="I1" s="18"/>
    </row>
    <row r="2" ht="15.75" spans="1:9">
      <c r="A2" s="14" t="s">
        <v>1</v>
      </c>
      <c r="B2" s="15" t="s">
        <v>2</v>
      </c>
      <c r="C2" s="1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15" t="s">
        <v>8</v>
      </c>
      <c r="I2" s="19"/>
    </row>
    <row r="3" ht="15.75" spans="1:9">
      <c r="A3" s="14" t="s">
        <v>9</v>
      </c>
      <c r="B3" s="4" t="s">
        <v>10</v>
      </c>
      <c r="C3" s="4" t="str">
        <f>TEXT(RIGHT(B3,3),"000")</f>
        <v>021</v>
      </c>
      <c r="D3" s="4">
        <v>90</v>
      </c>
      <c r="E3" s="4">
        <v>128</v>
      </c>
      <c r="F3" s="4">
        <v>85</v>
      </c>
      <c r="G3" s="4">
        <v>223</v>
      </c>
      <c r="H3" s="4">
        <f>SUM(D3:G3)</f>
        <v>526</v>
      </c>
      <c r="I3" s="9"/>
    </row>
    <row r="4" ht="15.75" spans="1:9">
      <c r="A4" s="3" t="s">
        <v>11</v>
      </c>
      <c r="B4" s="4" t="s">
        <v>12</v>
      </c>
      <c r="C4" s="4" t="str">
        <f t="shared" ref="C4:C27" si="0">TEXT(RIGHT(B4,3),"000")</f>
        <v>032</v>
      </c>
      <c r="D4" s="4">
        <v>95</v>
      </c>
      <c r="E4" s="4">
        <v>120</v>
      </c>
      <c r="F4" s="4">
        <v>75</v>
      </c>
      <c r="G4" s="4">
        <v>210</v>
      </c>
      <c r="H4" s="4">
        <f t="shared" ref="H4:H27" si="1">SUM(D4:G4)</f>
        <v>500</v>
      </c>
      <c r="I4" s="9"/>
    </row>
    <row r="5" ht="15.75" spans="1:9">
      <c r="A5" s="14" t="s">
        <v>13</v>
      </c>
      <c r="B5" s="20" t="s">
        <v>14</v>
      </c>
      <c r="C5" s="4" t="str">
        <f t="shared" si="0"/>
        <v>029</v>
      </c>
      <c r="D5" s="4">
        <v>83</v>
      </c>
      <c r="E5" s="4">
        <v>115</v>
      </c>
      <c r="F5" s="4">
        <v>86</v>
      </c>
      <c r="G5" s="4">
        <v>189</v>
      </c>
      <c r="H5" s="4">
        <f t="shared" si="1"/>
        <v>473</v>
      </c>
      <c r="I5" s="9"/>
    </row>
    <row r="6" ht="15.75" spans="1:9">
      <c r="A6" s="14" t="s">
        <v>15</v>
      </c>
      <c r="B6" s="4" t="s">
        <v>16</v>
      </c>
      <c r="C6" s="4" t="str">
        <f t="shared" si="0"/>
        <v>034</v>
      </c>
      <c r="D6" s="4">
        <v>86</v>
      </c>
      <c r="E6" s="4">
        <v>95</v>
      </c>
      <c r="F6" s="4">
        <v>50</v>
      </c>
      <c r="G6" s="4">
        <v>230</v>
      </c>
      <c r="H6" s="4">
        <f t="shared" si="1"/>
        <v>461</v>
      </c>
      <c r="I6" s="9"/>
    </row>
    <row r="7" ht="15.75" spans="1:9">
      <c r="A7" s="14" t="s">
        <v>9</v>
      </c>
      <c r="B7" s="4" t="s">
        <v>17</v>
      </c>
      <c r="C7" s="4" t="str">
        <f t="shared" si="0"/>
        <v>076</v>
      </c>
      <c r="D7" s="4">
        <v>88</v>
      </c>
      <c r="E7" s="4">
        <v>130</v>
      </c>
      <c r="F7" s="4">
        <v>85</v>
      </c>
      <c r="G7" s="4">
        <v>119</v>
      </c>
      <c r="H7" s="4">
        <f t="shared" si="1"/>
        <v>422</v>
      </c>
      <c r="I7" s="9"/>
    </row>
    <row r="8" ht="15.75" spans="1:9">
      <c r="A8" s="14" t="s">
        <v>11</v>
      </c>
      <c r="B8" s="4" t="s">
        <v>18</v>
      </c>
      <c r="C8" s="4" t="str">
        <f t="shared" si="0"/>
        <v>056</v>
      </c>
      <c r="D8" s="4">
        <v>90</v>
      </c>
      <c r="E8" s="4">
        <v>125</v>
      </c>
      <c r="F8" s="4">
        <v>65</v>
      </c>
      <c r="G8" s="4">
        <v>210</v>
      </c>
      <c r="H8" s="4">
        <f t="shared" si="1"/>
        <v>490</v>
      </c>
      <c r="I8" s="9"/>
    </row>
    <row r="9" ht="15.75" spans="1:9">
      <c r="A9" s="14" t="s">
        <v>13</v>
      </c>
      <c r="B9" s="4" t="s">
        <v>19</v>
      </c>
      <c r="C9" s="4" t="str">
        <f t="shared" si="0"/>
        <v>021</v>
      </c>
      <c r="D9" s="4">
        <v>95</v>
      </c>
      <c r="E9" s="4">
        <v>118</v>
      </c>
      <c r="F9" s="4">
        <v>68</v>
      </c>
      <c r="G9" s="4">
        <v>225</v>
      </c>
      <c r="H9" s="4">
        <f t="shared" si="1"/>
        <v>506</v>
      </c>
      <c r="I9" s="9"/>
    </row>
    <row r="10" ht="15.75" spans="1:9">
      <c r="A10" s="3" t="s">
        <v>11</v>
      </c>
      <c r="B10" s="4" t="s">
        <v>20</v>
      </c>
      <c r="C10" s="4" t="str">
        <f t="shared" si="0"/>
        <v>089</v>
      </c>
      <c r="D10" s="4">
        <v>108</v>
      </c>
      <c r="E10" s="4">
        <v>125</v>
      </c>
      <c r="F10" s="4">
        <v>89</v>
      </c>
      <c r="G10" s="4">
        <v>230</v>
      </c>
      <c r="H10" s="4">
        <f t="shared" si="1"/>
        <v>552</v>
      </c>
      <c r="I10" s="9"/>
    </row>
    <row r="11" ht="15.75" spans="1:9">
      <c r="A11" s="14" t="s">
        <v>9</v>
      </c>
      <c r="B11" s="4" t="s">
        <v>21</v>
      </c>
      <c r="C11" s="4" t="str">
        <f t="shared" si="0"/>
        <v>005</v>
      </c>
      <c r="D11" s="4">
        <v>119</v>
      </c>
      <c r="E11" s="4">
        <v>111</v>
      </c>
      <c r="F11" s="4">
        <v>68</v>
      </c>
      <c r="G11" s="4">
        <v>256</v>
      </c>
      <c r="H11" s="4">
        <f t="shared" si="1"/>
        <v>554</v>
      </c>
      <c r="I11" s="9"/>
    </row>
    <row r="12" ht="15.75" spans="1:9">
      <c r="A12" s="14" t="s">
        <v>13</v>
      </c>
      <c r="B12" s="4" t="s">
        <v>22</v>
      </c>
      <c r="C12" s="4" t="str">
        <f t="shared" si="0"/>
        <v>082</v>
      </c>
      <c r="D12" s="4">
        <v>91</v>
      </c>
      <c r="E12" s="4">
        <v>86</v>
      </c>
      <c r="F12" s="4">
        <v>65</v>
      </c>
      <c r="G12" s="4">
        <v>210</v>
      </c>
      <c r="H12" s="4">
        <f t="shared" si="1"/>
        <v>452</v>
      </c>
      <c r="I12" s="9"/>
    </row>
    <row r="13" ht="15.75" spans="1:9">
      <c r="A13" s="14" t="s">
        <v>9</v>
      </c>
      <c r="B13" s="4" t="s">
        <v>23</v>
      </c>
      <c r="C13" s="4" t="str">
        <f t="shared" si="0"/>
        <v>062</v>
      </c>
      <c r="D13" s="4">
        <v>92</v>
      </c>
      <c r="E13" s="4">
        <v>85</v>
      </c>
      <c r="F13" s="4">
        <v>68</v>
      </c>
      <c r="G13" s="4">
        <v>223</v>
      </c>
      <c r="H13" s="4">
        <f t="shared" si="1"/>
        <v>468</v>
      </c>
      <c r="I13" s="9"/>
    </row>
    <row r="14" ht="15.75" spans="1:9">
      <c r="A14" s="14" t="s">
        <v>15</v>
      </c>
      <c r="B14" s="20" t="s">
        <v>24</v>
      </c>
      <c r="C14" s="4" t="str">
        <f t="shared" si="0"/>
        <v>023</v>
      </c>
      <c r="D14" s="4">
        <v>86</v>
      </c>
      <c r="E14" s="4">
        <v>95</v>
      </c>
      <c r="F14" s="4">
        <v>87</v>
      </c>
      <c r="G14" s="4">
        <v>242</v>
      </c>
      <c r="H14" s="4">
        <f t="shared" si="1"/>
        <v>510</v>
      </c>
      <c r="I14" s="9"/>
    </row>
    <row r="15" ht="15.75" spans="1:9">
      <c r="A15" s="14" t="s">
        <v>11</v>
      </c>
      <c r="B15" s="4" t="s">
        <v>25</v>
      </c>
      <c r="C15" s="4" t="str">
        <f t="shared" si="0"/>
        <v>034</v>
      </c>
      <c r="D15" s="4">
        <v>69</v>
      </c>
      <c r="E15" s="4">
        <v>146</v>
      </c>
      <c r="F15" s="4">
        <v>54</v>
      </c>
      <c r="G15" s="4">
        <v>210</v>
      </c>
      <c r="H15" s="4">
        <f t="shared" si="1"/>
        <v>479</v>
      </c>
      <c r="I15" s="9"/>
    </row>
    <row r="16" ht="15.75" spans="1:9">
      <c r="A16" s="14" t="s">
        <v>9</v>
      </c>
      <c r="B16" s="4" t="s">
        <v>26</v>
      </c>
      <c r="C16" s="4" t="str">
        <f t="shared" si="0"/>
        <v>025</v>
      </c>
      <c r="D16" s="4">
        <v>79</v>
      </c>
      <c r="E16" s="4">
        <v>146</v>
      </c>
      <c r="F16" s="4">
        <v>66</v>
      </c>
      <c r="G16" s="4">
        <v>186</v>
      </c>
      <c r="H16" s="4">
        <f t="shared" si="1"/>
        <v>477</v>
      </c>
      <c r="I16" s="9"/>
    </row>
    <row r="17" ht="15.75" spans="1:9">
      <c r="A17" s="14" t="s">
        <v>13</v>
      </c>
      <c r="B17" s="4" t="s">
        <v>27</v>
      </c>
      <c r="C17" s="4" t="str">
        <f t="shared" si="0"/>
        <v>026</v>
      </c>
      <c r="D17" s="4">
        <v>88</v>
      </c>
      <c r="E17" s="4">
        <v>121</v>
      </c>
      <c r="F17" s="4">
        <v>68</v>
      </c>
      <c r="G17" s="4">
        <v>226</v>
      </c>
      <c r="H17" s="4">
        <f t="shared" si="1"/>
        <v>503</v>
      </c>
      <c r="I17" s="9"/>
    </row>
    <row r="18" ht="15.75" spans="1:9">
      <c r="A18" s="14" t="s">
        <v>11</v>
      </c>
      <c r="B18" s="4" t="s">
        <v>28</v>
      </c>
      <c r="C18" s="4" t="str">
        <f t="shared" si="0"/>
        <v>086</v>
      </c>
      <c r="D18" s="4">
        <v>56</v>
      </c>
      <c r="E18" s="4">
        <v>138</v>
      </c>
      <c r="F18" s="4">
        <v>76</v>
      </c>
      <c r="G18" s="4">
        <v>228</v>
      </c>
      <c r="H18" s="4">
        <f t="shared" si="1"/>
        <v>498</v>
      </c>
      <c r="I18" s="9"/>
    </row>
    <row r="19" ht="15.75" spans="1:9">
      <c r="A19" s="14" t="s">
        <v>15</v>
      </c>
      <c r="B19" s="4" t="s">
        <v>29</v>
      </c>
      <c r="C19" s="4" t="str">
        <f t="shared" si="0"/>
        <v>014</v>
      </c>
      <c r="D19" s="4">
        <v>93</v>
      </c>
      <c r="E19" s="4">
        <v>103</v>
      </c>
      <c r="F19" s="4">
        <v>85</v>
      </c>
      <c r="G19" s="4">
        <v>126</v>
      </c>
      <c r="H19" s="4">
        <f t="shared" si="1"/>
        <v>407</v>
      </c>
      <c r="I19" s="9"/>
    </row>
    <row r="20" ht="15.75" spans="1:9">
      <c r="A20" s="14" t="s">
        <v>13</v>
      </c>
      <c r="B20" s="4" t="s">
        <v>30</v>
      </c>
      <c r="C20" s="4" t="str">
        <f t="shared" si="0"/>
        <v>053</v>
      </c>
      <c r="D20" s="4">
        <v>107</v>
      </c>
      <c r="E20" s="4">
        <v>142</v>
      </c>
      <c r="F20" s="4">
        <v>75</v>
      </c>
      <c r="G20" s="4">
        <v>198</v>
      </c>
      <c r="H20" s="4">
        <f t="shared" si="1"/>
        <v>522</v>
      </c>
      <c r="I20" s="9"/>
    </row>
    <row r="21" ht="15.75" spans="1:9">
      <c r="A21" s="14" t="s">
        <v>11</v>
      </c>
      <c r="B21" s="4" t="s">
        <v>31</v>
      </c>
      <c r="C21" s="4" t="str">
        <f t="shared" si="0"/>
        <v>027</v>
      </c>
      <c r="D21" s="4">
        <v>99</v>
      </c>
      <c r="E21" s="4">
        <v>130</v>
      </c>
      <c r="F21" s="4">
        <v>89</v>
      </c>
      <c r="G21" s="4">
        <v>238</v>
      </c>
      <c r="H21" s="4">
        <f t="shared" si="1"/>
        <v>556</v>
      </c>
      <c r="I21" s="9"/>
    </row>
    <row r="22" ht="15.75" spans="1:9">
      <c r="A22" s="14" t="s">
        <v>9</v>
      </c>
      <c r="B22" s="20" t="s">
        <v>32</v>
      </c>
      <c r="C22" s="4" t="str">
        <f t="shared" si="0"/>
        <v>028</v>
      </c>
      <c r="D22" s="4">
        <v>96</v>
      </c>
      <c r="E22" s="4">
        <v>75</v>
      </c>
      <c r="F22" s="4">
        <v>58</v>
      </c>
      <c r="G22" s="4">
        <v>198</v>
      </c>
      <c r="H22" s="4">
        <f t="shared" si="1"/>
        <v>427</v>
      </c>
      <c r="I22" s="9"/>
    </row>
    <row r="23" ht="15.75" spans="1:9">
      <c r="A23" s="14" t="s">
        <v>13</v>
      </c>
      <c r="B23" s="20" t="s">
        <v>33</v>
      </c>
      <c r="C23" s="4" t="str">
        <f t="shared" si="0"/>
        <v>027</v>
      </c>
      <c r="D23" s="4">
        <v>89</v>
      </c>
      <c r="E23" s="4">
        <v>89</v>
      </c>
      <c r="F23" s="4">
        <v>89</v>
      </c>
      <c r="G23" s="4">
        <v>227</v>
      </c>
      <c r="H23" s="4">
        <f t="shared" si="1"/>
        <v>494</v>
      </c>
      <c r="I23" s="9"/>
    </row>
    <row r="24" ht="15.75" spans="1:9">
      <c r="A24" s="14" t="s">
        <v>11</v>
      </c>
      <c r="B24" s="20" t="s">
        <v>34</v>
      </c>
      <c r="C24" s="4" t="str">
        <f t="shared" si="0"/>
        <v>022</v>
      </c>
      <c r="D24" s="4">
        <v>99</v>
      </c>
      <c r="E24" s="4">
        <v>115</v>
      </c>
      <c r="F24" s="4">
        <v>87</v>
      </c>
      <c r="G24" s="4">
        <v>199</v>
      </c>
      <c r="H24" s="4">
        <f t="shared" si="1"/>
        <v>500</v>
      </c>
      <c r="I24" s="9"/>
    </row>
    <row r="25" ht="15.75" spans="1:9">
      <c r="A25" s="3" t="s">
        <v>11</v>
      </c>
      <c r="B25" s="20" t="s">
        <v>35</v>
      </c>
      <c r="C25" s="4" t="str">
        <f t="shared" si="0"/>
        <v>012</v>
      </c>
      <c r="D25" s="4">
        <v>102</v>
      </c>
      <c r="E25" s="4">
        <v>126</v>
      </c>
      <c r="F25" s="4">
        <v>65</v>
      </c>
      <c r="G25" s="4">
        <v>227</v>
      </c>
      <c r="H25" s="4">
        <f t="shared" si="1"/>
        <v>520</v>
      </c>
      <c r="I25" s="9"/>
    </row>
    <row r="26" ht="15.75" spans="1:9">
      <c r="A26" s="14" t="s">
        <v>13</v>
      </c>
      <c r="B26" s="20" t="s">
        <v>36</v>
      </c>
      <c r="C26" s="4" t="str">
        <f t="shared" si="0"/>
        <v>031</v>
      </c>
      <c r="D26" s="4">
        <v>112</v>
      </c>
      <c r="E26" s="4">
        <v>107</v>
      </c>
      <c r="F26" s="4">
        <v>52</v>
      </c>
      <c r="G26" s="4">
        <v>126</v>
      </c>
      <c r="H26" s="4">
        <f t="shared" si="1"/>
        <v>397</v>
      </c>
      <c r="I26" s="9"/>
    </row>
    <row r="27" ht="15.75" spans="1:9">
      <c r="A27" s="16" t="s">
        <v>9</v>
      </c>
      <c r="B27" s="21" t="s">
        <v>37</v>
      </c>
      <c r="C27" s="6" t="str">
        <f t="shared" si="0"/>
        <v>002</v>
      </c>
      <c r="D27" s="6">
        <v>115</v>
      </c>
      <c r="E27" s="6">
        <v>118</v>
      </c>
      <c r="F27" s="6">
        <v>66</v>
      </c>
      <c r="G27" s="6">
        <v>260</v>
      </c>
      <c r="H27" s="6">
        <f t="shared" si="1"/>
        <v>559</v>
      </c>
      <c r="I27" s="10"/>
    </row>
    <row r="28" ht="15"/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J27"/>
  <sheetViews>
    <sheetView zoomScale="70" zoomScaleNormal="70" workbookViewId="0">
      <selection activeCell="W38" sqref="W38"/>
    </sheetView>
  </sheetViews>
  <sheetFormatPr defaultColWidth="9" defaultRowHeight="14.25"/>
  <sheetData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11" t="s">
        <v>38</v>
      </c>
      <c r="J2" s="11" t="s">
        <v>39</v>
      </c>
    </row>
    <row r="3" spans="1:10">
      <c r="A3" t="s">
        <v>9</v>
      </c>
      <c r="B3" t="s">
        <v>10</v>
      </c>
      <c r="C3" t="s">
        <v>40</v>
      </c>
      <c r="D3">
        <v>90</v>
      </c>
      <c r="E3">
        <v>128</v>
      </c>
      <c r="F3">
        <v>85</v>
      </c>
      <c r="G3">
        <v>223</v>
      </c>
      <c r="H3">
        <v>526</v>
      </c>
      <c r="I3" t="str">
        <f>IF(H3&gt;=520,"优秀",IF(H3&gt;=490,"良好",IF(H3&gt;=450,"合格","不合格")))</f>
        <v>优秀</v>
      </c>
      <c r="J3">
        <f>RANK(H3,H$3:H$27)</f>
        <v>5</v>
      </c>
    </row>
    <row r="4" spans="1:10">
      <c r="A4" t="s">
        <v>11</v>
      </c>
      <c r="B4" t="s">
        <v>12</v>
      </c>
      <c r="C4" t="s">
        <v>41</v>
      </c>
      <c r="D4">
        <v>95</v>
      </c>
      <c r="E4">
        <v>120</v>
      </c>
      <c r="F4">
        <v>75</v>
      </c>
      <c r="G4">
        <v>210</v>
      </c>
      <c r="H4">
        <v>500</v>
      </c>
      <c r="I4" t="str">
        <f t="shared" ref="I4:I27" si="0">IF(H4&gt;=520,"优秀",IF(H4&gt;=490,"良好",IF(H4&gt;=450,"合格","不合格")))</f>
        <v>良好</v>
      </c>
      <c r="J4">
        <f t="shared" ref="J4:J27" si="1">RANK(H4,H$3:H$27)</f>
        <v>11</v>
      </c>
    </row>
    <row r="5" spans="1:10">
      <c r="A5" t="s">
        <v>13</v>
      </c>
      <c r="B5" t="s">
        <v>14</v>
      </c>
      <c r="C5" t="s">
        <v>42</v>
      </c>
      <c r="D5">
        <v>83</v>
      </c>
      <c r="E5">
        <v>115</v>
      </c>
      <c r="F5">
        <v>86</v>
      </c>
      <c r="G5">
        <v>189</v>
      </c>
      <c r="H5">
        <v>473</v>
      </c>
      <c r="I5" t="str">
        <f t="shared" si="0"/>
        <v>合格</v>
      </c>
      <c r="J5">
        <f t="shared" si="1"/>
        <v>18</v>
      </c>
    </row>
    <row r="6" spans="1:10">
      <c r="A6" t="s">
        <v>15</v>
      </c>
      <c r="B6" t="s">
        <v>16</v>
      </c>
      <c r="C6" t="s">
        <v>43</v>
      </c>
      <c r="D6">
        <v>86</v>
      </c>
      <c r="E6">
        <v>95</v>
      </c>
      <c r="F6">
        <v>50</v>
      </c>
      <c r="G6">
        <v>230</v>
      </c>
      <c r="H6">
        <v>461</v>
      </c>
      <c r="I6" t="str">
        <f t="shared" si="0"/>
        <v>合格</v>
      </c>
      <c r="J6">
        <f t="shared" si="1"/>
        <v>20</v>
      </c>
    </row>
    <row r="7" spans="1:10">
      <c r="A7" t="s">
        <v>9</v>
      </c>
      <c r="B7" t="s">
        <v>17</v>
      </c>
      <c r="C7" t="s">
        <v>44</v>
      </c>
      <c r="D7">
        <v>88</v>
      </c>
      <c r="E7">
        <v>130</v>
      </c>
      <c r="F7">
        <v>85</v>
      </c>
      <c r="G7">
        <v>119</v>
      </c>
      <c r="H7">
        <v>422</v>
      </c>
      <c r="I7" t="str">
        <f t="shared" si="0"/>
        <v>不合格</v>
      </c>
      <c r="J7">
        <f t="shared" si="1"/>
        <v>23</v>
      </c>
    </row>
    <row r="8" spans="1:10">
      <c r="A8" t="s">
        <v>11</v>
      </c>
      <c r="B8" t="s">
        <v>18</v>
      </c>
      <c r="C8" t="s">
        <v>45</v>
      </c>
      <c r="D8">
        <v>90</v>
      </c>
      <c r="E8">
        <v>125</v>
      </c>
      <c r="F8">
        <v>65</v>
      </c>
      <c r="G8">
        <v>210</v>
      </c>
      <c r="H8">
        <v>490</v>
      </c>
      <c r="I8" t="str">
        <f t="shared" si="0"/>
        <v>良好</v>
      </c>
      <c r="J8">
        <f t="shared" si="1"/>
        <v>15</v>
      </c>
    </row>
    <row r="9" spans="1:10">
      <c r="A9" t="s">
        <v>13</v>
      </c>
      <c r="B9" t="s">
        <v>19</v>
      </c>
      <c r="C9" t="s">
        <v>40</v>
      </c>
      <c r="D9">
        <v>95</v>
      </c>
      <c r="E9">
        <v>118</v>
      </c>
      <c r="F9">
        <v>68</v>
      </c>
      <c r="G9">
        <v>225</v>
      </c>
      <c r="H9">
        <v>506</v>
      </c>
      <c r="I9" t="str">
        <f t="shared" si="0"/>
        <v>良好</v>
      </c>
      <c r="J9">
        <f t="shared" si="1"/>
        <v>9</v>
      </c>
    </row>
    <row r="10" spans="1:10">
      <c r="A10" t="s">
        <v>11</v>
      </c>
      <c r="B10" t="s">
        <v>20</v>
      </c>
      <c r="C10" t="s">
        <v>46</v>
      </c>
      <c r="D10">
        <v>108</v>
      </c>
      <c r="E10">
        <v>125</v>
      </c>
      <c r="F10">
        <v>89</v>
      </c>
      <c r="G10">
        <v>230</v>
      </c>
      <c r="H10">
        <v>552</v>
      </c>
      <c r="I10" t="str">
        <f t="shared" si="0"/>
        <v>优秀</v>
      </c>
      <c r="J10">
        <f t="shared" si="1"/>
        <v>4</v>
      </c>
    </row>
    <row r="11" spans="1:10">
      <c r="A11" t="s">
        <v>9</v>
      </c>
      <c r="B11" t="s">
        <v>21</v>
      </c>
      <c r="C11" t="s">
        <v>47</v>
      </c>
      <c r="D11">
        <v>119</v>
      </c>
      <c r="E11">
        <v>111</v>
      </c>
      <c r="F11">
        <v>68</v>
      </c>
      <c r="G11">
        <v>256</v>
      </c>
      <c r="H11">
        <v>554</v>
      </c>
      <c r="I11" t="str">
        <f t="shared" si="0"/>
        <v>优秀</v>
      </c>
      <c r="J11">
        <f t="shared" si="1"/>
        <v>3</v>
      </c>
    </row>
    <row r="12" spans="1:10">
      <c r="A12" t="s">
        <v>13</v>
      </c>
      <c r="B12" t="s">
        <v>22</v>
      </c>
      <c r="C12" t="s">
        <v>48</v>
      </c>
      <c r="D12">
        <v>91</v>
      </c>
      <c r="E12">
        <v>86</v>
      </c>
      <c r="F12">
        <v>65</v>
      </c>
      <c r="G12">
        <v>210</v>
      </c>
      <c r="H12">
        <v>452</v>
      </c>
      <c r="I12" t="str">
        <f t="shared" si="0"/>
        <v>合格</v>
      </c>
      <c r="J12">
        <f t="shared" si="1"/>
        <v>21</v>
      </c>
    </row>
    <row r="13" spans="1:10">
      <c r="A13" t="s">
        <v>9</v>
      </c>
      <c r="B13" t="s">
        <v>23</v>
      </c>
      <c r="C13" t="s">
        <v>49</v>
      </c>
      <c r="D13">
        <v>92</v>
      </c>
      <c r="E13">
        <v>85</v>
      </c>
      <c r="F13">
        <v>68</v>
      </c>
      <c r="G13">
        <v>223</v>
      </c>
      <c r="H13">
        <v>468</v>
      </c>
      <c r="I13" t="str">
        <f t="shared" si="0"/>
        <v>合格</v>
      </c>
      <c r="J13">
        <f t="shared" si="1"/>
        <v>19</v>
      </c>
    </row>
    <row r="14" spans="1:10">
      <c r="A14" t="s">
        <v>15</v>
      </c>
      <c r="B14" t="s">
        <v>24</v>
      </c>
      <c r="C14" t="s">
        <v>50</v>
      </c>
      <c r="D14">
        <v>86</v>
      </c>
      <c r="E14">
        <v>95</v>
      </c>
      <c r="F14">
        <v>87</v>
      </c>
      <c r="G14">
        <v>242</v>
      </c>
      <c r="H14">
        <v>510</v>
      </c>
      <c r="I14" t="str">
        <f t="shared" si="0"/>
        <v>良好</v>
      </c>
      <c r="J14">
        <f t="shared" si="1"/>
        <v>8</v>
      </c>
    </row>
    <row r="15" spans="1:10">
      <c r="A15" t="s">
        <v>11</v>
      </c>
      <c r="B15" t="s">
        <v>25</v>
      </c>
      <c r="C15" t="s">
        <v>43</v>
      </c>
      <c r="D15">
        <v>69</v>
      </c>
      <c r="E15">
        <v>146</v>
      </c>
      <c r="F15">
        <v>54</v>
      </c>
      <c r="G15">
        <v>210</v>
      </c>
      <c r="H15">
        <v>479</v>
      </c>
      <c r="I15" t="str">
        <f t="shared" si="0"/>
        <v>合格</v>
      </c>
      <c r="J15">
        <f t="shared" si="1"/>
        <v>16</v>
      </c>
    </row>
    <row r="16" spans="1:10">
      <c r="A16" t="s">
        <v>9</v>
      </c>
      <c r="B16" t="s">
        <v>26</v>
      </c>
      <c r="C16" t="s">
        <v>51</v>
      </c>
      <c r="D16">
        <v>79</v>
      </c>
      <c r="E16">
        <v>146</v>
      </c>
      <c r="F16">
        <v>66</v>
      </c>
      <c r="G16">
        <v>186</v>
      </c>
      <c r="H16">
        <v>477</v>
      </c>
      <c r="I16" t="str">
        <f t="shared" si="0"/>
        <v>合格</v>
      </c>
      <c r="J16">
        <f t="shared" si="1"/>
        <v>17</v>
      </c>
    </row>
    <row r="17" spans="1:10">
      <c r="A17" t="s">
        <v>13</v>
      </c>
      <c r="B17" t="s">
        <v>27</v>
      </c>
      <c r="C17" t="s">
        <v>52</v>
      </c>
      <c r="D17">
        <v>88</v>
      </c>
      <c r="E17">
        <v>121</v>
      </c>
      <c r="F17">
        <v>68</v>
      </c>
      <c r="G17">
        <v>226</v>
      </c>
      <c r="H17">
        <v>503</v>
      </c>
      <c r="I17" t="str">
        <f t="shared" si="0"/>
        <v>良好</v>
      </c>
      <c r="J17">
        <f t="shared" si="1"/>
        <v>10</v>
      </c>
    </row>
    <row r="18" spans="1:10">
      <c r="A18" t="s">
        <v>11</v>
      </c>
      <c r="B18" t="s">
        <v>28</v>
      </c>
      <c r="C18" t="s">
        <v>53</v>
      </c>
      <c r="D18">
        <v>56</v>
      </c>
      <c r="E18">
        <v>138</v>
      </c>
      <c r="F18">
        <v>76</v>
      </c>
      <c r="G18">
        <v>228</v>
      </c>
      <c r="H18">
        <v>498</v>
      </c>
      <c r="I18" t="str">
        <f t="shared" si="0"/>
        <v>良好</v>
      </c>
      <c r="J18">
        <f t="shared" si="1"/>
        <v>13</v>
      </c>
    </row>
    <row r="19" spans="1:10">
      <c r="A19" t="s">
        <v>15</v>
      </c>
      <c r="B19" t="s">
        <v>29</v>
      </c>
      <c r="C19" t="s">
        <v>54</v>
      </c>
      <c r="D19">
        <v>93</v>
      </c>
      <c r="E19">
        <v>103</v>
      </c>
      <c r="F19">
        <v>85</v>
      </c>
      <c r="G19">
        <v>126</v>
      </c>
      <c r="H19">
        <v>407</v>
      </c>
      <c r="I19" t="str">
        <f t="shared" si="0"/>
        <v>不合格</v>
      </c>
      <c r="J19">
        <f t="shared" si="1"/>
        <v>24</v>
      </c>
    </row>
    <row r="20" spans="1:10">
      <c r="A20" t="s">
        <v>13</v>
      </c>
      <c r="B20" t="s">
        <v>30</v>
      </c>
      <c r="C20" t="s">
        <v>55</v>
      </c>
      <c r="D20">
        <v>107</v>
      </c>
      <c r="E20">
        <v>142</v>
      </c>
      <c r="F20">
        <v>75</v>
      </c>
      <c r="G20">
        <v>198</v>
      </c>
      <c r="H20">
        <v>522</v>
      </c>
      <c r="I20" t="str">
        <f t="shared" si="0"/>
        <v>优秀</v>
      </c>
      <c r="J20">
        <f t="shared" si="1"/>
        <v>6</v>
      </c>
    </row>
    <row r="21" spans="1:10">
      <c r="A21" t="s">
        <v>11</v>
      </c>
      <c r="B21" t="s">
        <v>31</v>
      </c>
      <c r="C21" t="s">
        <v>56</v>
      </c>
      <c r="D21">
        <v>99</v>
      </c>
      <c r="E21">
        <v>130</v>
      </c>
      <c r="F21">
        <v>89</v>
      </c>
      <c r="G21">
        <v>238</v>
      </c>
      <c r="H21">
        <v>556</v>
      </c>
      <c r="I21" t="str">
        <f t="shared" si="0"/>
        <v>优秀</v>
      </c>
      <c r="J21">
        <f t="shared" si="1"/>
        <v>2</v>
      </c>
    </row>
    <row r="22" spans="1:10">
      <c r="A22" t="s">
        <v>9</v>
      </c>
      <c r="B22" t="s">
        <v>32</v>
      </c>
      <c r="C22" t="s">
        <v>57</v>
      </c>
      <c r="D22">
        <v>96</v>
      </c>
      <c r="E22">
        <v>75</v>
      </c>
      <c r="F22">
        <v>58</v>
      </c>
      <c r="G22">
        <v>198</v>
      </c>
      <c r="H22">
        <v>427</v>
      </c>
      <c r="I22" t="str">
        <f t="shared" si="0"/>
        <v>不合格</v>
      </c>
      <c r="J22">
        <f t="shared" si="1"/>
        <v>22</v>
      </c>
    </row>
    <row r="23" spans="1:10">
      <c r="A23" t="s">
        <v>13</v>
      </c>
      <c r="B23" t="s">
        <v>58</v>
      </c>
      <c r="C23" t="s">
        <v>56</v>
      </c>
      <c r="D23">
        <v>89</v>
      </c>
      <c r="E23">
        <v>89</v>
      </c>
      <c r="F23">
        <v>89</v>
      </c>
      <c r="G23">
        <v>227</v>
      </c>
      <c r="H23">
        <v>494</v>
      </c>
      <c r="I23" t="str">
        <f t="shared" si="0"/>
        <v>良好</v>
      </c>
      <c r="J23">
        <f t="shared" si="1"/>
        <v>14</v>
      </c>
    </row>
    <row r="24" spans="1:10">
      <c r="A24" t="s">
        <v>11</v>
      </c>
      <c r="B24" t="s">
        <v>59</v>
      </c>
      <c r="C24" t="s">
        <v>60</v>
      </c>
      <c r="D24">
        <v>99</v>
      </c>
      <c r="E24">
        <v>115</v>
      </c>
      <c r="F24">
        <v>87</v>
      </c>
      <c r="G24">
        <v>199</v>
      </c>
      <c r="H24">
        <v>500</v>
      </c>
      <c r="I24" t="str">
        <f t="shared" si="0"/>
        <v>良好</v>
      </c>
      <c r="J24">
        <f t="shared" si="1"/>
        <v>11</v>
      </c>
    </row>
    <row r="25" spans="1:10">
      <c r="A25" t="s">
        <v>11</v>
      </c>
      <c r="B25" t="s">
        <v>35</v>
      </c>
      <c r="C25" t="s">
        <v>61</v>
      </c>
      <c r="D25">
        <v>102</v>
      </c>
      <c r="E25">
        <v>126</v>
      </c>
      <c r="F25">
        <v>65</v>
      </c>
      <c r="G25">
        <v>227</v>
      </c>
      <c r="H25">
        <v>520</v>
      </c>
      <c r="I25" t="str">
        <f t="shared" si="0"/>
        <v>优秀</v>
      </c>
      <c r="J25">
        <f t="shared" si="1"/>
        <v>7</v>
      </c>
    </row>
    <row r="26" spans="1:10">
      <c r="A26" t="s">
        <v>13</v>
      </c>
      <c r="B26" t="s">
        <v>36</v>
      </c>
      <c r="C26" t="s">
        <v>62</v>
      </c>
      <c r="D26">
        <v>112</v>
      </c>
      <c r="E26">
        <v>107</v>
      </c>
      <c r="F26">
        <v>52</v>
      </c>
      <c r="G26">
        <v>126</v>
      </c>
      <c r="H26">
        <v>397</v>
      </c>
      <c r="I26" t="str">
        <f t="shared" si="0"/>
        <v>不合格</v>
      </c>
      <c r="J26">
        <f t="shared" si="1"/>
        <v>25</v>
      </c>
    </row>
    <row r="27" spans="1:10">
      <c r="A27" t="s">
        <v>9</v>
      </c>
      <c r="B27" t="s">
        <v>37</v>
      </c>
      <c r="C27" t="s">
        <v>63</v>
      </c>
      <c r="D27">
        <v>115</v>
      </c>
      <c r="E27">
        <v>118</v>
      </c>
      <c r="F27">
        <v>66</v>
      </c>
      <c r="G27">
        <v>260</v>
      </c>
      <c r="H27">
        <v>559</v>
      </c>
      <c r="I27" t="str">
        <f t="shared" si="0"/>
        <v>优秀</v>
      </c>
      <c r="J27">
        <f t="shared" si="1"/>
        <v>1</v>
      </c>
    </row>
  </sheetData>
  <conditionalFormatting sqref="D3:E27">
    <cfRule type="cellIs" dxfId="0" priority="2" operator="greaterThan">
      <formula>110</formula>
    </cfRule>
    <cfRule type="cellIs" dxfId="1" priority="1" operator="between">
      <formula>60</formula>
      <formula>70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20"/>
  <sheetViews>
    <sheetView zoomScale="70" zoomScaleNormal="70" topLeftCell="A4" workbookViewId="0">
      <selection activeCell="X27" sqref="X27"/>
    </sheetView>
  </sheetViews>
  <sheetFormatPr defaultColWidth="9" defaultRowHeight="14.25"/>
  <sheetData>
    <row r="1" spans="1:2">
      <c r="A1" t="s">
        <v>7</v>
      </c>
      <c r="B1" t="s">
        <v>8</v>
      </c>
    </row>
    <row r="2" spans="1:1">
      <c r="A2" t="s">
        <v>64</v>
      </c>
    </row>
    <row r="3" spans="2:2">
      <c r="B3" t="s">
        <v>65</v>
      </c>
    </row>
    <row r="5" ht="15"/>
    <row r="6" ht="15.75" spans="1:10">
      <c r="A6" s="1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7" t="s">
        <v>38</v>
      </c>
      <c r="J6" s="8" t="s">
        <v>39</v>
      </c>
    </row>
    <row r="7" ht="15.75" spans="1:10">
      <c r="A7" s="3" t="s">
        <v>9</v>
      </c>
      <c r="B7" s="4" t="s">
        <v>10</v>
      </c>
      <c r="C7" s="4" t="s">
        <v>40</v>
      </c>
      <c r="D7" s="4">
        <v>90</v>
      </c>
      <c r="E7" s="4">
        <v>128</v>
      </c>
      <c r="F7" s="4">
        <v>85</v>
      </c>
      <c r="G7" s="4">
        <v>223</v>
      </c>
      <c r="H7" s="4">
        <v>526</v>
      </c>
      <c r="I7" s="4" t="s">
        <v>66</v>
      </c>
      <c r="J7" s="9">
        <v>5</v>
      </c>
    </row>
    <row r="8" ht="15.75" spans="1:10">
      <c r="A8" s="3" t="s">
        <v>15</v>
      </c>
      <c r="B8" s="4" t="s">
        <v>16</v>
      </c>
      <c r="C8" s="4" t="s">
        <v>43</v>
      </c>
      <c r="D8" s="4">
        <v>86</v>
      </c>
      <c r="E8" s="4">
        <v>95</v>
      </c>
      <c r="F8" s="4">
        <v>50</v>
      </c>
      <c r="G8" s="4">
        <v>230</v>
      </c>
      <c r="H8" s="4">
        <v>461</v>
      </c>
      <c r="I8" s="4" t="s">
        <v>67</v>
      </c>
      <c r="J8" s="9">
        <v>20</v>
      </c>
    </row>
    <row r="9" ht="15.75" spans="1:10">
      <c r="A9" s="3" t="s">
        <v>13</v>
      </c>
      <c r="B9" s="4" t="s">
        <v>19</v>
      </c>
      <c r="C9" s="4" t="s">
        <v>40</v>
      </c>
      <c r="D9" s="4">
        <v>95</v>
      </c>
      <c r="E9" s="4">
        <v>118</v>
      </c>
      <c r="F9" s="4">
        <v>68</v>
      </c>
      <c r="G9" s="4">
        <v>225</v>
      </c>
      <c r="H9" s="4">
        <v>506</v>
      </c>
      <c r="I9" s="4" t="s">
        <v>68</v>
      </c>
      <c r="J9" s="9">
        <v>9</v>
      </c>
    </row>
    <row r="10" ht="15.75" spans="1:10">
      <c r="A10" s="3" t="s">
        <v>11</v>
      </c>
      <c r="B10" s="4" t="s">
        <v>20</v>
      </c>
      <c r="C10" s="4" t="s">
        <v>46</v>
      </c>
      <c r="D10" s="4">
        <v>108</v>
      </c>
      <c r="E10" s="4">
        <v>125</v>
      </c>
      <c r="F10" s="4">
        <v>89</v>
      </c>
      <c r="G10" s="4">
        <v>230</v>
      </c>
      <c r="H10" s="4">
        <v>552</v>
      </c>
      <c r="I10" s="4" t="s">
        <v>66</v>
      </c>
      <c r="J10" s="9">
        <v>4</v>
      </c>
    </row>
    <row r="11" ht="15.75" spans="1:10">
      <c r="A11" s="3" t="s">
        <v>9</v>
      </c>
      <c r="B11" s="4" t="s">
        <v>21</v>
      </c>
      <c r="C11" s="4" t="s">
        <v>47</v>
      </c>
      <c r="D11" s="4">
        <v>119</v>
      </c>
      <c r="E11" s="4">
        <v>111</v>
      </c>
      <c r="F11" s="4">
        <v>68</v>
      </c>
      <c r="G11" s="4">
        <v>256</v>
      </c>
      <c r="H11" s="4">
        <v>554</v>
      </c>
      <c r="I11" s="4" t="s">
        <v>66</v>
      </c>
      <c r="J11" s="9">
        <v>3</v>
      </c>
    </row>
    <row r="12" ht="15.75" spans="1:10">
      <c r="A12" s="3" t="s">
        <v>9</v>
      </c>
      <c r="B12" s="4" t="s">
        <v>23</v>
      </c>
      <c r="C12" s="4" t="s">
        <v>49</v>
      </c>
      <c r="D12" s="4">
        <v>92</v>
      </c>
      <c r="E12" s="4">
        <v>85</v>
      </c>
      <c r="F12" s="4">
        <v>68</v>
      </c>
      <c r="G12" s="4">
        <v>223</v>
      </c>
      <c r="H12" s="4">
        <v>468</v>
      </c>
      <c r="I12" s="4" t="s">
        <v>67</v>
      </c>
      <c r="J12" s="9">
        <v>19</v>
      </c>
    </row>
    <row r="13" ht="15.75" spans="1:10">
      <c r="A13" s="3" t="s">
        <v>15</v>
      </c>
      <c r="B13" s="4" t="s">
        <v>24</v>
      </c>
      <c r="C13" s="4" t="s">
        <v>50</v>
      </c>
      <c r="D13" s="4">
        <v>86</v>
      </c>
      <c r="E13" s="4">
        <v>95</v>
      </c>
      <c r="F13" s="4">
        <v>87</v>
      </c>
      <c r="G13" s="4">
        <v>242</v>
      </c>
      <c r="H13" s="4">
        <v>510</v>
      </c>
      <c r="I13" s="4" t="s">
        <v>68</v>
      </c>
      <c r="J13" s="9">
        <v>8</v>
      </c>
    </row>
    <row r="14" ht="15.75" spans="1:10">
      <c r="A14" s="3" t="s">
        <v>13</v>
      </c>
      <c r="B14" s="4" t="s">
        <v>27</v>
      </c>
      <c r="C14" s="4" t="s">
        <v>52</v>
      </c>
      <c r="D14" s="4">
        <v>88</v>
      </c>
      <c r="E14" s="4">
        <v>121</v>
      </c>
      <c r="F14" s="4">
        <v>68</v>
      </c>
      <c r="G14" s="4">
        <v>226</v>
      </c>
      <c r="H14" s="4">
        <v>503</v>
      </c>
      <c r="I14" s="4" t="s">
        <v>68</v>
      </c>
      <c r="J14" s="9">
        <v>10</v>
      </c>
    </row>
    <row r="15" ht="15.75" spans="1:10">
      <c r="A15" s="3" t="s">
        <v>11</v>
      </c>
      <c r="B15" s="4" t="s">
        <v>28</v>
      </c>
      <c r="C15" s="4" t="s">
        <v>53</v>
      </c>
      <c r="D15" s="4">
        <v>56</v>
      </c>
      <c r="E15" s="4">
        <v>138</v>
      </c>
      <c r="F15" s="4">
        <v>76</v>
      </c>
      <c r="G15" s="4">
        <v>228</v>
      </c>
      <c r="H15" s="4">
        <v>498</v>
      </c>
      <c r="I15" s="4" t="s">
        <v>68</v>
      </c>
      <c r="J15" s="9">
        <v>13</v>
      </c>
    </row>
    <row r="16" ht="15.75" spans="1:10">
      <c r="A16" s="3" t="s">
        <v>11</v>
      </c>
      <c r="B16" s="4" t="s">
        <v>31</v>
      </c>
      <c r="C16" s="4" t="s">
        <v>56</v>
      </c>
      <c r="D16" s="4">
        <v>99</v>
      </c>
      <c r="E16" s="4">
        <v>130</v>
      </c>
      <c r="F16" s="4">
        <v>89</v>
      </c>
      <c r="G16" s="4">
        <v>238</v>
      </c>
      <c r="H16" s="4">
        <v>556</v>
      </c>
      <c r="I16" s="4" t="s">
        <v>66</v>
      </c>
      <c r="J16" s="9">
        <v>2</v>
      </c>
    </row>
    <row r="17" ht="15.75" spans="1:10">
      <c r="A17" s="3" t="s">
        <v>13</v>
      </c>
      <c r="B17" s="4" t="s">
        <v>58</v>
      </c>
      <c r="C17" s="4" t="s">
        <v>56</v>
      </c>
      <c r="D17" s="4">
        <v>89</v>
      </c>
      <c r="E17" s="4">
        <v>89</v>
      </c>
      <c r="F17" s="4">
        <v>89</v>
      </c>
      <c r="G17" s="4">
        <v>227</v>
      </c>
      <c r="H17" s="4">
        <v>494</v>
      </c>
      <c r="I17" s="4" t="s">
        <v>68</v>
      </c>
      <c r="J17" s="9">
        <v>14</v>
      </c>
    </row>
    <row r="18" ht="15.75" spans="1:10">
      <c r="A18" s="3" t="s">
        <v>11</v>
      </c>
      <c r="B18" s="4" t="s">
        <v>35</v>
      </c>
      <c r="C18" s="4" t="s">
        <v>61</v>
      </c>
      <c r="D18" s="4">
        <v>102</v>
      </c>
      <c r="E18" s="4">
        <v>126</v>
      </c>
      <c r="F18" s="4">
        <v>65</v>
      </c>
      <c r="G18" s="4">
        <v>227</v>
      </c>
      <c r="H18" s="4">
        <v>520</v>
      </c>
      <c r="I18" s="4" t="s">
        <v>66</v>
      </c>
      <c r="J18" s="9">
        <v>7</v>
      </c>
    </row>
    <row r="19" ht="15.75" spans="1:10">
      <c r="A19" s="5" t="s">
        <v>9</v>
      </c>
      <c r="B19" s="6" t="s">
        <v>37</v>
      </c>
      <c r="C19" s="6" t="s">
        <v>63</v>
      </c>
      <c r="D19" s="6">
        <v>115</v>
      </c>
      <c r="E19" s="6">
        <v>118</v>
      </c>
      <c r="F19" s="6">
        <v>66</v>
      </c>
      <c r="G19" s="6">
        <v>260</v>
      </c>
      <c r="H19" s="6">
        <v>559</v>
      </c>
      <c r="I19" s="6" t="s">
        <v>66</v>
      </c>
      <c r="J19" s="10">
        <v>1</v>
      </c>
    </row>
    <row r="20" ht="15"/>
  </sheetData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N12" sqref="N12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高二年级期中成绩</vt:lpstr>
      <vt:lpstr>Sheet2</vt:lpstr>
      <vt:lpstr>筛选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1996-12-17T01:32:00Z</dcterms:created>
  <dcterms:modified xsi:type="dcterms:W3CDTF">2023-12-02T01:29:00Z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CAB56A47C7144BBEB4D4221B24095B6E_12</vt:lpwstr>
  </property>
  <property fmtid="{D5CDD505-2E9C-101B-9397-08002B2CF9AE}" pid="3" name="KSOProductBuildVer">
    <vt:lpwstr>2052-12.1.0.15712</vt:lpwstr>
  </property>
</Properties>
</file>
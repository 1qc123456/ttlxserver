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员工工资统计表" sheetId="1" r:id="rId1"/>
    <sheet name="筛选" sheetId="2" r:id="rId2"/>
    <sheet name="分类汇总" sheetId="3" r:id="rId3"/>
    <sheet name="图表" sheetId="4" r:id="rId4"/>
  </sheets>
  <definedNames>
    <definedName name="_xlnm._FilterDatabase" localSheetId="1" hidden="1">筛选!$A$4:$L$16</definedName>
    <definedName name="_xlnm.Criteria" localSheetId="1">筛选!$A$1:$B$2</definedName>
  </definedNames>
  <calcPr calcId="144525"/>
</workbook>
</file>

<file path=xl/sharedStrings.xml><?xml version="1.0" encoding="utf-8"?>
<sst xmlns="http://schemas.openxmlformats.org/spreadsheetml/2006/main" count="189" uniqueCount="51">
  <si>
    <t>2021年员工工资统计表</t>
  </si>
  <si>
    <t>姓名</t>
  </si>
  <si>
    <t>编号</t>
  </si>
  <si>
    <t>性别</t>
  </si>
  <si>
    <t>部门</t>
  </si>
  <si>
    <t>职位</t>
  </si>
  <si>
    <t>基本工资</t>
  </si>
  <si>
    <t>职务补填</t>
  </si>
  <si>
    <t>生活补贴</t>
  </si>
  <si>
    <t>应发工资</t>
  </si>
  <si>
    <t>奖金</t>
  </si>
  <si>
    <t>实发工资</t>
  </si>
  <si>
    <t>备注</t>
  </si>
  <si>
    <t>顾云水</t>
  </si>
  <si>
    <t>C451</t>
  </si>
  <si>
    <t>财务</t>
  </si>
  <si>
    <t>尹瑾瑶</t>
  </si>
  <si>
    <t>J453</t>
  </si>
  <si>
    <t>技术</t>
  </si>
  <si>
    <t>曹雪芬</t>
  </si>
  <si>
    <t>K485</t>
  </si>
  <si>
    <t>客服</t>
  </si>
  <si>
    <t>宋文漪</t>
  </si>
  <si>
    <t>C453</t>
  </si>
  <si>
    <t>杜志文</t>
  </si>
  <si>
    <t>K482</t>
  </si>
  <si>
    <t>袁新立</t>
  </si>
  <si>
    <t>K486</t>
  </si>
  <si>
    <t>钟成业</t>
  </si>
  <si>
    <t>K484</t>
  </si>
  <si>
    <t>赵晓巧</t>
  </si>
  <si>
    <t>J457</t>
  </si>
  <si>
    <t>袁芮雅</t>
  </si>
  <si>
    <t>K496</t>
  </si>
  <si>
    <t>曾逸仙</t>
  </si>
  <si>
    <t>K488</t>
  </si>
  <si>
    <t>杨俊郎</t>
  </si>
  <si>
    <t>C459</t>
  </si>
  <si>
    <t>顾雨星</t>
  </si>
  <si>
    <t>&gt;=350</t>
  </si>
  <si>
    <t>女</t>
  </si>
  <si>
    <t>职员</t>
  </si>
  <si>
    <t>努力</t>
  </si>
  <si>
    <t>工程师</t>
  </si>
  <si>
    <t>优秀</t>
  </si>
  <si>
    <t>财务 汇总</t>
  </si>
  <si>
    <t>部门经理</t>
  </si>
  <si>
    <t>男</t>
  </si>
  <si>
    <t>技术 汇总</t>
  </si>
  <si>
    <t>客服 汇总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</si>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</sst>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楷体"/>
      <charset val="134"/>
    </font>
    <font>
      <sz val="14"/>
      <color theme="1"/>
      <name val="华文楷体"/>
      <charset val="134"/>
    </font>
    <font>
      <b/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ont>
        <name val="华文楷体"/>
        <scheme val="none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</dxfs>
  <tableStyles count="1" defaultTableStyle="TableStyleMedium2" defaultPivotStyle="PivotStyleMedium9">
    <tableStyle name="TableStylePreset1_Accent1" pivot="0" count="7" xr9:uid="{A98CE15B-0617-44FD-AA09-9F3C88052951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员工工资对比图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员工工资统计表!$I$2</c:f>
              <c:strCache>
                <c:ptCount val="1"/>
                <c:pt idx="0">
                  <c:v>应发工资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员工工资统计表!$A$3:$A$14</c:f>
              <c:strCache>
                <c:ptCount val="12"/>
                <c:pt idx="0">
                  <c:v>顾云水</c:v>
                </c:pt>
                <c:pt idx="1">
                  <c:v>尹瑾瑶</c:v>
                </c:pt>
                <c:pt idx="2">
                  <c:v>曹雪芬</c:v>
                </c:pt>
                <c:pt idx="3">
                  <c:v>宋文漪</c:v>
                </c:pt>
                <c:pt idx="4">
                  <c:v>杜志文</c:v>
                </c:pt>
                <c:pt idx="5">
                  <c:v>袁新立</c:v>
                </c:pt>
                <c:pt idx="6">
                  <c:v>钟成业</c:v>
                </c:pt>
                <c:pt idx="7">
                  <c:v>赵晓巧</c:v>
                </c:pt>
                <c:pt idx="8">
                  <c:v>袁芮雅</c:v>
                </c:pt>
                <c:pt idx="9">
                  <c:v>曾逸仙</c:v>
                </c:pt>
                <c:pt idx="10">
                  <c:v>杨俊郎</c:v>
                </c:pt>
                <c:pt idx="11">
                  <c:v>顾雨星</c:v>
                </c:pt>
              </c:strCache>
            </c:strRef>
          </c:cat>
          <c:val>
            <c:numRef>
              <c:f>员工工资统计表!$I$3:$I$14</c:f>
              <c:numCache>
                <c:formatCode>General</c:formatCode>
                <c:ptCount val="12"/>
                <c:pt idx="0">
                  <c:v>5700</c:v>
                </c:pt>
                <c:pt idx="1">
                  <c:v>5700</c:v>
                </c:pt>
                <c:pt idx="2">
                  <c:v>7200</c:v>
                </c:pt>
                <c:pt idx="3">
                  <c:v>7200</c:v>
                </c:pt>
                <c:pt idx="4">
                  <c:v>8700</c:v>
                </c:pt>
                <c:pt idx="5">
                  <c:v>5700</c:v>
                </c:pt>
                <c:pt idx="6">
                  <c:v>8700</c:v>
                </c:pt>
                <c:pt idx="7">
                  <c:v>8700</c:v>
                </c:pt>
                <c:pt idx="8">
                  <c:v>5700</c:v>
                </c:pt>
                <c:pt idx="9">
                  <c:v>5700</c:v>
                </c:pt>
                <c:pt idx="10">
                  <c:v>5700</c:v>
                </c:pt>
                <c:pt idx="11">
                  <c:v>7200</c:v>
                </c:pt>
              </c:numCache>
            </c:numRef>
          </c:val>
        </c:ser>
        <c:ser>
          <c:idx val="1"/>
          <c:order val="1"/>
          <c:tx>
            <c:strRef>
              <c:f>员工工资统计表!$K$2</c:f>
              <c:strCache>
                <c:ptCount val="1"/>
                <c:pt idx="0">
                  <c:v>实发工资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员工工资统计表!$A$3:$A$14</c:f>
              <c:strCache>
                <c:ptCount val="12"/>
                <c:pt idx="0">
                  <c:v>顾云水</c:v>
                </c:pt>
                <c:pt idx="1">
                  <c:v>尹瑾瑶</c:v>
                </c:pt>
                <c:pt idx="2">
                  <c:v>曹雪芬</c:v>
                </c:pt>
                <c:pt idx="3">
                  <c:v>宋文漪</c:v>
                </c:pt>
                <c:pt idx="4">
                  <c:v>杜志文</c:v>
                </c:pt>
                <c:pt idx="5">
                  <c:v>袁新立</c:v>
                </c:pt>
                <c:pt idx="6">
                  <c:v>钟成业</c:v>
                </c:pt>
                <c:pt idx="7">
                  <c:v>赵晓巧</c:v>
                </c:pt>
                <c:pt idx="8">
                  <c:v>袁芮雅</c:v>
                </c:pt>
                <c:pt idx="9">
                  <c:v>曾逸仙</c:v>
                </c:pt>
                <c:pt idx="10">
                  <c:v>杨俊郎</c:v>
                </c:pt>
                <c:pt idx="11">
                  <c:v>顾雨星</c:v>
                </c:pt>
              </c:strCache>
            </c:strRef>
          </c:cat>
          <c:val>
            <c:numRef>
              <c:f>员工工资统计表!$K$3:$K$14</c:f>
              <c:numCache>
                <c:formatCode>General</c:formatCode>
                <c:ptCount val="12"/>
                <c:pt idx="0">
                  <c:v>6054</c:v>
                </c:pt>
                <c:pt idx="1">
                  <c:v>6021</c:v>
                </c:pt>
                <c:pt idx="2">
                  <c:v>7453</c:v>
                </c:pt>
                <c:pt idx="3">
                  <c:v>7551</c:v>
                </c:pt>
                <c:pt idx="4">
                  <c:v>9052</c:v>
                </c:pt>
                <c:pt idx="5">
                  <c:v>6025</c:v>
                </c:pt>
                <c:pt idx="6">
                  <c:v>9125</c:v>
                </c:pt>
                <c:pt idx="7">
                  <c:v>9162</c:v>
                </c:pt>
                <c:pt idx="8">
                  <c:v>5969</c:v>
                </c:pt>
                <c:pt idx="9">
                  <c:v>6050</c:v>
                </c:pt>
                <c:pt idx="10">
                  <c:v>5951</c:v>
                </c:pt>
                <c:pt idx="11">
                  <c:v>7651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5140224"/>
        <c:axId val="235141760"/>
      </c:barChart>
      <c:catAx>
        <c:axId val="2351402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141760"/>
        <c:crosses val="autoZero"/>
        <c:auto val="1"/>
        <c:lblAlgn val="ctr"/>
        <c:lblOffset val="100"/>
        <c:noMultiLvlLbl val="0"/>
      </c:catAx>
      <c:valAx>
        <c:axId val="2351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1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>
      <xdr:nvGraphicFramePr>
        <xdr:cNvPr id="2" name="图表 1"/>
        <xdr:cNvGraphicFramePr/>
      </xdr:nvGraphicFramePr>
      <xdr:xfrm>
        <a:off x="3366770" y="2476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L14" totalsRowShown="0">
  <autoFilter ref="A2:L14"/>
  <tableColumns count="12">
    <tableColumn id="1" name="姓名" dataDxfId="0"/>
    <tableColumn id="2" name="编号" dataDxfId="1"/>
    <tableColumn id="3" name="性别" dataDxfId="2"/>
    <tableColumn id="4" name="部门" dataDxfId="3"/>
    <tableColumn id="5" name="职位" dataDxfId="4"/>
    <tableColumn id="6" name="基本工资" dataDxfId="5"/>
    <tableColumn id="7" name="职务补填" dataDxfId="6"/>
    <tableColumn id="8" name="生活补贴" dataDxfId="7"/>
    <tableColumn id="9" name="应发工资" dataDxfId="8"/>
    <tableColumn id="10" name="奖金" dataDxfId="9"/>
    <tableColumn id="11" name="实发工资" dataDxfId="10"/>
    <tableColumn id="12" name="备注" dataDxfId="11"/>
  </tableColumns>
  <tableStyleInfo name="TableStylePreset1_Accent1" showFirstColumn="0" showLastColumn="0" showRowStripes="1" showColumnStripes="0"/>
</table>
</file>

<file path=xl/tables/table2.xml><?xml version="1.0" encoding="utf-8"?>
<table xmlns="http://schemas.openxmlformats.org/spreadsheetml/2006/main" id="6" name="表1_7" displayName="表1_7" ref="A4:L16" totalsRowShown="0">
  <tableColumns count="12">
    <tableColumn id="1" name="姓名" dataDxfId="12"/>
    <tableColumn id="2" name="编号" dataDxfId="13"/>
    <tableColumn id="3" name="性别" dataDxfId="14"/>
    <tableColumn id="4" name="部门" dataDxfId="15"/>
    <tableColumn id="5" name="职位" dataDxfId="16"/>
    <tableColumn id="6" name="基本工资" dataDxfId="17"/>
    <tableColumn id="7" name="职务补填" dataDxfId="18"/>
    <tableColumn id="8" name="生活补贴" dataDxfId="19"/>
    <tableColumn id="9" name="应发工资" dataDxfId="20"/>
    <tableColumn id="10" name="奖金" dataDxfId="21"/>
    <tableColumn id="11" name="实发工资" dataDxfId="22"/>
    <tableColumn id="12" name="备注" dataDxfId="23"/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55" zoomScaleNormal="55" workbookViewId="0">
      <selection activeCell="K38" sqref="K38"/>
    </sheetView>
  </sheetViews>
  <sheetFormatPr defaultColWidth="9" defaultRowHeight="13.5"/>
  <cols>
    <col min="1" max="4" width="10.75" customWidth="1"/>
    <col min="5" max="5" width="11.375" customWidth="1"/>
    <col min="6" max="9" width="15.875" customWidth="1"/>
    <col min="10" max="10" width="10.75" customWidth="1"/>
    <col min="11" max="11" width="15.875" customWidth="1"/>
    <col min="12" max="12" width="10.75" customWidth="1"/>
  </cols>
  <sheetData>
    <row r="1" s="5" customFormat="1" ht="25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8.75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8.75" spans="1:12">
      <c r="A3" s="3" t="s">
        <v>13</v>
      </c>
      <c r="B3" s="3" t="s">
        <v>14</v>
      </c>
      <c r="C3" s="3" t="str">
        <f>IF(MOD(MID(B3,4,1)/2,1),"女","男")</f>
        <v>女</v>
      </c>
      <c r="D3" s="3" t="s">
        <v>15</v>
      </c>
      <c r="E3" s="3" t="str">
        <f>IF(F3=3200,"职员",IF(F3=4200,"工程师","部门经理"))</f>
        <v>职员</v>
      </c>
      <c r="F3" s="3">
        <v>3200</v>
      </c>
      <c r="G3" s="3">
        <f>IF(E3="职员",1000,IF(E3="工程师",1500,2000))</f>
        <v>1000</v>
      </c>
      <c r="H3" s="3">
        <v>1500</v>
      </c>
      <c r="I3" s="3">
        <f>SUM(F3:H3)</f>
        <v>5700</v>
      </c>
      <c r="J3" s="3">
        <v>354</v>
      </c>
      <c r="K3" s="3">
        <f>SUM(I3:J3)</f>
        <v>6054</v>
      </c>
      <c r="L3" s="3" t="str">
        <f>IF(J3&gt;=350,"优秀","努力")</f>
        <v>优秀</v>
      </c>
    </row>
    <row r="4" ht="18.75" spans="1:12">
      <c r="A4" s="3" t="s">
        <v>16</v>
      </c>
      <c r="B4" s="3" t="s">
        <v>17</v>
      </c>
      <c r="C4" s="3" t="str">
        <f t="shared" ref="C4:C14" si="0">IF(MOD(MID(B4,4,1)/2,1),"女","男")</f>
        <v>女</v>
      </c>
      <c r="D4" s="3" t="s">
        <v>18</v>
      </c>
      <c r="E4" s="3" t="str">
        <f t="shared" ref="E4:E14" si="1">IF(F4=3200,"职员",IF(F4=4200,"工程师","部门经理"))</f>
        <v>职员</v>
      </c>
      <c r="F4" s="3">
        <v>3200</v>
      </c>
      <c r="G4" s="3">
        <f t="shared" ref="G4:G14" si="2">IF(E4="职员",1000,IF(E4="工程师",1500,2000))</f>
        <v>1000</v>
      </c>
      <c r="H4" s="3">
        <v>1500</v>
      </c>
      <c r="I4" s="3">
        <f t="shared" ref="I4:I14" si="3">SUM(F4:H4)</f>
        <v>5700</v>
      </c>
      <c r="J4" s="3">
        <v>321</v>
      </c>
      <c r="K4" s="3">
        <f t="shared" ref="K4:K14" si="4">SUM(I4:J4)</f>
        <v>6021</v>
      </c>
      <c r="L4" s="3" t="str">
        <f t="shared" ref="L4:L14" si="5">IF(J4&gt;=350,"优秀","努力")</f>
        <v>努力</v>
      </c>
    </row>
    <row r="5" ht="18.75" spans="1:12">
      <c r="A5" s="3" t="s">
        <v>19</v>
      </c>
      <c r="B5" s="3" t="s">
        <v>20</v>
      </c>
      <c r="C5" s="3" t="str">
        <f t="shared" si="0"/>
        <v>女</v>
      </c>
      <c r="D5" s="3" t="s">
        <v>21</v>
      </c>
      <c r="E5" s="3" t="str">
        <f t="shared" si="1"/>
        <v>工程师</v>
      </c>
      <c r="F5" s="3">
        <v>4200</v>
      </c>
      <c r="G5" s="3">
        <f t="shared" si="2"/>
        <v>1500</v>
      </c>
      <c r="H5" s="3">
        <v>1500</v>
      </c>
      <c r="I5" s="3">
        <f t="shared" si="3"/>
        <v>7200</v>
      </c>
      <c r="J5" s="3">
        <v>253</v>
      </c>
      <c r="K5" s="3">
        <f t="shared" si="4"/>
        <v>7453</v>
      </c>
      <c r="L5" s="3" t="str">
        <f t="shared" si="5"/>
        <v>努力</v>
      </c>
    </row>
    <row r="6" ht="18.75" spans="1:12">
      <c r="A6" s="3" t="s">
        <v>22</v>
      </c>
      <c r="B6" s="3" t="s">
        <v>23</v>
      </c>
      <c r="C6" s="3" t="str">
        <f t="shared" si="0"/>
        <v>女</v>
      </c>
      <c r="D6" s="3" t="s">
        <v>15</v>
      </c>
      <c r="E6" s="3" t="str">
        <f t="shared" si="1"/>
        <v>工程师</v>
      </c>
      <c r="F6" s="3">
        <v>4200</v>
      </c>
      <c r="G6" s="3">
        <f t="shared" si="2"/>
        <v>1500</v>
      </c>
      <c r="H6" s="3">
        <v>1500</v>
      </c>
      <c r="I6" s="3">
        <f t="shared" si="3"/>
        <v>7200</v>
      </c>
      <c r="J6" s="3">
        <v>351</v>
      </c>
      <c r="K6" s="3">
        <f t="shared" si="4"/>
        <v>7551</v>
      </c>
      <c r="L6" s="3" t="str">
        <f t="shared" si="5"/>
        <v>优秀</v>
      </c>
    </row>
    <row r="7" ht="18.75" spans="1:12">
      <c r="A7" s="3" t="s">
        <v>24</v>
      </c>
      <c r="B7" s="3" t="s">
        <v>25</v>
      </c>
      <c r="C7" s="3" t="str">
        <f t="shared" si="0"/>
        <v>男</v>
      </c>
      <c r="D7" s="3" t="s">
        <v>18</v>
      </c>
      <c r="E7" s="3" t="str">
        <f t="shared" si="1"/>
        <v>部门经理</v>
      </c>
      <c r="F7" s="3">
        <v>5200</v>
      </c>
      <c r="G7" s="3">
        <f t="shared" si="2"/>
        <v>2000</v>
      </c>
      <c r="H7" s="3">
        <v>1500</v>
      </c>
      <c r="I7" s="3">
        <f t="shared" si="3"/>
        <v>8700</v>
      </c>
      <c r="J7" s="3">
        <v>352</v>
      </c>
      <c r="K7" s="3">
        <f t="shared" si="4"/>
        <v>9052</v>
      </c>
      <c r="L7" s="3" t="str">
        <f t="shared" si="5"/>
        <v>优秀</v>
      </c>
    </row>
    <row r="8" ht="18.75" spans="1:12">
      <c r="A8" s="3" t="s">
        <v>26</v>
      </c>
      <c r="B8" s="3" t="s">
        <v>27</v>
      </c>
      <c r="C8" s="3" t="str">
        <f t="shared" si="0"/>
        <v>男</v>
      </c>
      <c r="D8" s="3" t="s">
        <v>21</v>
      </c>
      <c r="E8" s="3" t="str">
        <f t="shared" si="1"/>
        <v>职员</v>
      </c>
      <c r="F8" s="3">
        <v>3200</v>
      </c>
      <c r="G8" s="3">
        <f t="shared" si="2"/>
        <v>1000</v>
      </c>
      <c r="H8" s="3">
        <v>1500</v>
      </c>
      <c r="I8" s="3">
        <f t="shared" si="3"/>
        <v>5700</v>
      </c>
      <c r="J8" s="3">
        <v>325</v>
      </c>
      <c r="K8" s="3">
        <f t="shared" si="4"/>
        <v>6025</v>
      </c>
      <c r="L8" s="3" t="str">
        <f t="shared" si="5"/>
        <v>努力</v>
      </c>
    </row>
    <row r="9" ht="18.75" spans="1:12">
      <c r="A9" s="3" t="s">
        <v>28</v>
      </c>
      <c r="B9" s="3" t="s">
        <v>29</v>
      </c>
      <c r="C9" s="3" t="str">
        <f t="shared" si="0"/>
        <v>男</v>
      </c>
      <c r="D9" s="3" t="s">
        <v>21</v>
      </c>
      <c r="E9" s="3" t="str">
        <f t="shared" si="1"/>
        <v>部门经理</v>
      </c>
      <c r="F9" s="3">
        <v>5200</v>
      </c>
      <c r="G9" s="3">
        <f t="shared" si="2"/>
        <v>2000</v>
      </c>
      <c r="H9" s="3">
        <v>1500</v>
      </c>
      <c r="I9" s="3">
        <f t="shared" si="3"/>
        <v>8700</v>
      </c>
      <c r="J9" s="3">
        <v>425</v>
      </c>
      <c r="K9" s="3">
        <f t="shared" si="4"/>
        <v>9125</v>
      </c>
      <c r="L9" s="3" t="str">
        <f t="shared" si="5"/>
        <v>优秀</v>
      </c>
    </row>
    <row r="10" ht="18.75" spans="1:12">
      <c r="A10" s="3" t="s">
        <v>30</v>
      </c>
      <c r="B10" s="3" t="s">
        <v>31</v>
      </c>
      <c r="C10" s="3" t="str">
        <f t="shared" si="0"/>
        <v>女</v>
      </c>
      <c r="D10" s="3" t="s">
        <v>18</v>
      </c>
      <c r="E10" s="3" t="str">
        <f t="shared" si="1"/>
        <v>部门经理</v>
      </c>
      <c r="F10" s="3">
        <v>5200</v>
      </c>
      <c r="G10" s="3">
        <f t="shared" si="2"/>
        <v>2000</v>
      </c>
      <c r="H10" s="3">
        <v>1500</v>
      </c>
      <c r="I10" s="3">
        <f t="shared" si="3"/>
        <v>8700</v>
      </c>
      <c r="J10" s="3">
        <v>462</v>
      </c>
      <c r="K10" s="3">
        <f t="shared" si="4"/>
        <v>9162</v>
      </c>
      <c r="L10" s="3" t="str">
        <f t="shared" si="5"/>
        <v>优秀</v>
      </c>
    </row>
    <row r="11" ht="18.75" spans="1:12">
      <c r="A11" s="3" t="s">
        <v>32</v>
      </c>
      <c r="B11" s="3" t="s">
        <v>33</v>
      </c>
      <c r="C11" s="3" t="str">
        <f t="shared" si="0"/>
        <v>男</v>
      </c>
      <c r="D11" s="3" t="s">
        <v>21</v>
      </c>
      <c r="E11" s="3" t="str">
        <f t="shared" si="1"/>
        <v>职员</v>
      </c>
      <c r="F11" s="3">
        <v>3200</v>
      </c>
      <c r="G11" s="3">
        <f t="shared" si="2"/>
        <v>1000</v>
      </c>
      <c r="H11" s="3">
        <v>1500</v>
      </c>
      <c r="I11" s="3">
        <f t="shared" si="3"/>
        <v>5700</v>
      </c>
      <c r="J11" s="3">
        <v>269</v>
      </c>
      <c r="K11" s="3">
        <f t="shared" si="4"/>
        <v>5969</v>
      </c>
      <c r="L11" s="3" t="str">
        <f t="shared" si="5"/>
        <v>努力</v>
      </c>
    </row>
    <row r="12" ht="18.75" spans="1:12">
      <c r="A12" s="3" t="s">
        <v>34</v>
      </c>
      <c r="B12" s="3" t="s">
        <v>35</v>
      </c>
      <c r="C12" s="3" t="str">
        <f t="shared" si="0"/>
        <v>男</v>
      </c>
      <c r="D12" s="3" t="s">
        <v>21</v>
      </c>
      <c r="E12" s="3" t="str">
        <f t="shared" si="1"/>
        <v>职员</v>
      </c>
      <c r="F12" s="3">
        <v>3200</v>
      </c>
      <c r="G12" s="3">
        <f t="shared" si="2"/>
        <v>1000</v>
      </c>
      <c r="H12" s="3">
        <v>1500</v>
      </c>
      <c r="I12" s="3">
        <f t="shared" si="3"/>
        <v>5700</v>
      </c>
      <c r="J12" s="3">
        <v>350</v>
      </c>
      <c r="K12" s="3">
        <f t="shared" si="4"/>
        <v>6050</v>
      </c>
      <c r="L12" s="3" t="str">
        <f t="shared" si="5"/>
        <v>优秀</v>
      </c>
    </row>
    <row r="13" ht="18.75" spans="1:12">
      <c r="A13" s="3" t="s">
        <v>36</v>
      </c>
      <c r="B13" s="3" t="s">
        <v>37</v>
      </c>
      <c r="C13" s="3" t="str">
        <f t="shared" si="0"/>
        <v>女</v>
      </c>
      <c r="D13" s="3" t="s">
        <v>15</v>
      </c>
      <c r="E13" s="3" t="str">
        <f t="shared" si="1"/>
        <v>职员</v>
      </c>
      <c r="F13" s="3">
        <v>3200</v>
      </c>
      <c r="G13" s="3">
        <f t="shared" si="2"/>
        <v>1000</v>
      </c>
      <c r="H13" s="3">
        <v>1500</v>
      </c>
      <c r="I13" s="3">
        <f t="shared" si="3"/>
        <v>5700</v>
      </c>
      <c r="J13" s="3">
        <v>251</v>
      </c>
      <c r="K13" s="3">
        <f t="shared" si="4"/>
        <v>5951</v>
      </c>
      <c r="L13" s="3" t="str">
        <f t="shared" si="5"/>
        <v>努力</v>
      </c>
    </row>
    <row r="14" ht="18.75" spans="1:12">
      <c r="A14" s="3" t="s">
        <v>38</v>
      </c>
      <c r="B14" s="3" t="s">
        <v>31</v>
      </c>
      <c r="C14" s="3" t="str">
        <f t="shared" si="0"/>
        <v>女</v>
      </c>
      <c r="D14" s="3" t="s">
        <v>18</v>
      </c>
      <c r="E14" s="3" t="str">
        <f t="shared" si="1"/>
        <v>工程师</v>
      </c>
      <c r="F14" s="3">
        <v>4200</v>
      </c>
      <c r="G14" s="3">
        <f t="shared" si="2"/>
        <v>1500</v>
      </c>
      <c r="H14" s="3">
        <v>1500</v>
      </c>
      <c r="I14" s="3">
        <f t="shared" si="3"/>
        <v>7200</v>
      </c>
      <c r="J14" s="3">
        <v>451</v>
      </c>
      <c r="K14" s="3">
        <f t="shared" si="4"/>
        <v>7651</v>
      </c>
      <c r="L14" s="3" t="str">
        <f t="shared" si="5"/>
        <v>优秀</v>
      </c>
    </row>
  </sheetData>
  <mergeCells count="1">
    <mergeCell ref="A1:L1"/>
  </mergeCells>
  <conditionalFormatting sqref="K3:K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{5b5f74f2-9b11-48c8-ae1d-6ad0c226af1c}</x14:id>
        </ext>
      </extLst>
    </cfRule>
  </conditionalFormatting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5f74f2-9b11-48c8-ae1d-6ad0c226af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K3:K14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6"/>
  <sheetViews>
    <sheetView zoomScale="85" zoomScaleNormal="85" workbookViewId="0">
      <selection activeCell="A4" sqref="A4:L16"/>
    </sheetView>
  </sheetViews>
  <sheetFormatPr defaultColWidth="9" defaultRowHeight="13.5"/>
  <cols>
    <col min="1" max="1" width="8.875" customWidth="1"/>
    <col min="2" max="2" width="6.875" customWidth="1"/>
    <col min="3" max="4" width="6.75" customWidth="1"/>
    <col min="5" max="5" width="11.375" customWidth="1"/>
    <col min="6" max="9" width="11.875" customWidth="1"/>
    <col min="10" max="10" width="6.75" customWidth="1"/>
    <col min="11" max="11" width="11.875" customWidth="1"/>
    <col min="12" max="12" width="6.75" customWidth="1"/>
  </cols>
  <sheetData>
    <row r="1" spans="1:2">
      <c r="A1" t="s">
        <v>10</v>
      </c>
      <c r="B1" t="s">
        <v>4</v>
      </c>
    </row>
    <row r="2" spans="1:2">
      <c r="A2" t="s">
        <v>39</v>
      </c>
      <c r="B2" t="s">
        <v>18</v>
      </c>
    </row>
    <row r="4" ht="18.75" spans="1:1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ht="18.75" hidden="1" spans="1:12">
      <c r="A5" s="4" t="s">
        <v>13</v>
      </c>
      <c r="B5" s="4" t="s">
        <v>14</v>
      </c>
      <c r="C5" s="4" t="str">
        <f>IF(MOD(MID(B5,4,1)/2,1),"女","男")</f>
        <v>女</v>
      </c>
      <c r="D5" s="4" t="s">
        <v>15</v>
      </c>
      <c r="E5" s="4" t="str">
        <f>IF(F5=3200,"职员",IF(F5=4200,"工程师","部门经理"))</f>
        <v>职员</v>
      </c>
      <c r="F5" s="4">
        <v>3200</v>
      </c>
      <c r="G5" s="4">
        <f>IF(E5="职员",1000,IF(E5="工程师",1500,2000))</f>
        <v>1000</v>
      </c>
      <c r="H5" s="4">
        <v>1500</v>
      </c>
      <c r="I5" s="4">
        <f>SUM(F5:H5)</f>
        <v>5700</v>
      </c>
      <c r="J5" s="4">
        <v>354</v>
      </c>
      <c r="K5" s="4">
        <f>SUM(I5:J5)</f>
        <v>6054</v>
      </c>
      <c r="L5" s="4" t="str">
        <f>IF(J5&gt;=350,"优秀","努力")</f>
        <v>优秀</v>
      </c>
    </row>
    <row r="6" ht="18.75" hidden="1" spans="1:12">
      <c r="A6" s="4" t="s">
        <v>16</v>
      </c>
      <c r="B6" s="4" t="s">
        <v>17</v>
      </c>
      <c r="C6" s="4" t="str">
        <f t="shared" ref="C6:C16" si="0">IF(MOD(MID(B6,4,1)/2,1),"女","男")</f>
        <v>女</v>
      </c>
      <c r="D6" s="4" t="s">
        <v>18</v>
      </c>
      <c r="E6" s="4" t="str">
        <f t="shared" ref="E6:E16" si="1">IF(F6=3200,"职员",IF(F6=4200,"工程师","部门经理"))</f>
        <v>职员</v>
      </c>
      <c r="F6" s="4">
        <v>3200</v>
      </c>
      <c r="G6" s="4">
        <f t="shared" ref="G6:G16" si="2">IF(E6="职员",1000,IF(E6="工程师",1500,2000))</f>
        <v>1000</v>
      </c>
      <c r="H6" s="4">
        <v>1500</v>
      </c>
      <c r="I6" s="4">
        <f t="shared" ref="I6:I16" si="3">SUM(F6:H6)</f>
        <v>5700</v>
      </c>
      <c r="J6" s="4">
        <v>321</v>
      </c>
      <c r="K6" s="4">
        <f t="shared" ref="K6:K16" si="4">SUM(I6:J6)</f>
        <v>6021</v>
      </c>
      <c r="L6" s="4" t="str">
        <f t="shared" ref="L6:L16" si="5">IF(J6&gt;=350,"优秀","努力")</f>
        <v>努力</v>
      </c>
    </row>
    <row r="7" ht="18.75" hidden="1" spans="1:12">
      <c r="A7" s="4" t="s">
        <v>19</v>
      </c>
      <c r="B7" s="4" t="s">
        <v>20</v>
      </c>
      <c r="C7" s="4" t="str">
        <f t="shared" si="0"/>
        <v>女</v>
      </c>
      <c r="D7" s="4" t="s">
        <v>21</v>
      </c>
      <c r="E7" s="4" t="str">
        <f t="shared" si="1"/>
        <v>工程师</v>
      </c>
      <c r="F7" s="4">
        <v>4200</v>
      </c>
      <c r="G7" s="4">
        <f t="shared" si="2"/>
        <v>1500</v>
      </c>
      <c r="H7" s="4">
        <v>1500</v>
      </c>
      <c r="I7" s="4">
        <f t="shared" si="3"/>
        <v>7200</v>
      </c>
      <c r="J7" s="4">
        <v>253</v>
      </c>
      <c r="K7" s="4">
        <f t="shared" si="4"/>
        <v>7453</v>
      </c>
      <c r="L7" s="4" t="str">
        <f t="shared" si="5"/>
        <v>努力</v>
      </c>
    </row>
    <row r="8" ht="18.75" hidden="1" spans="1:12">
      <c r="A8" s="4" t="s">
        <v>22</v>
      </c>
      <c r="B8" s="4" t="s">
        <v>23</v>
      </c>
      <c r="C8" s="4" t="str">
        <f t="shared" si="0"/>
        <v>女</v>
      </c>
      <c r="D8" s="4" t="s">
        <v>15</v>
      </c>
      <c r="E8" s="4" t="str">
        <f t="shared" si="1"/>
        <v>工程师</v>
      </c>
      <c r="F8" s="4">
        <v>4200</v>
      </c>
      <c r="G8" s="4">
        <f t="shared" si="2"/>
        <v>1500</v>
      </c>
      <c r="H8" s="4">
        <v>1500</v>
      </c>
      <c r="I8" s="4">
        <f t="shared" si="3"/>
        <v>7200</v>
      </c>
      <c r="J8" s="4">
        <v>351</v>
      </c>
      <c r="K8" s="4">
        <f t="shared" si="4"/>
        <v>7551</v>
      </c>
      <c r="L8" s="4" t="str">
        <f t="shared" si="5"/>
        <v>优秀</v>
      </c>
    </row>
    <row r="9" ht="18.75" spans="1:12">
      <c r="A9" s="3" t="s">
        <v>24</v>
      </c>
      <c r="B9" s="3" t="s">
        <v>25</v>
      </c>
      <c r="C9" s="3" t="str">
        <f t="shared" si="0"/>
        <v>男</v>
      </c>
      <c r="D9" s="3" t="s">
        <v>18</v>
      </c>
      <c r="E9" s="3" t="str">
        <f t="shared" si="1"/>
        <v>部门经理</v>
      </c>
      <c r="F9" s="3">
        <v>5200</v>
      </c>
      <c r="G9" s="3">
        <f t="shared" si="2"/>
        <v>2000</v>
      </c>
      <c r="H9" s="3">
        <v>1500</v>
      </c>
      <c r="I9" s="3">
        <f t="shared" si="3"/>
        <v>8700</v>
      </c>
      <c r="J9" s="3">
        <v>352</v>
      </c>
      <c r="K9" s="3">
        <f t="shared" si="4"/>
        <v>9052</v>
      </c>
      <c r="L9" s="3" t="str">
        <f t="shared" si="5"/>
        <v>优秀</v>
      </c>
    </row>
    <row r="10" ht="18.75" hidden="1" spans="1:12">
      <c r="A10" s="4" t="s">
        <v>26</v>
      </c>
      <c r="B10" s="4" t="s">
        <v>27</v>
      </c>
      <c r="C10" s="4" t="str">
        <f t="shared" si="0"/>
        <v>男</v>
      </c>
      <c r="D10" s="4" t="s">
        <v>21</v>
      </c>
      <c r="E10" s="4" t="str">
        <f t="shared" si="1"/>
        <v>职员</v>
      </c>
      <c r="F10" s="4">
        <v>3200</v>
      </c>
      <c r="G10" s="4">
        <f t="shared" si="2"/>
        <v>1000</v>
      </c>
      <c r="H10" s="4">
        <v>1500</v>
      </c>
      <c r="I10" s="4">
        <f t="shared" si="3"/>
        <v>5700</v>
      </c>
      <c r="J10" s="4">
        <v>325</v>
      </c>
      <c r="K10" s="4">
        <f t="shared" si="4"/>
        <v>6025</v>
      </c>
      <c r="L10" s="4" t="str">
        <f t="shared" si="5"/>
        <v>努力</v>
      </c>
    </row>
    <row r="11" ht="18.75" hidden="1" spans="1:12">
      <c r="A11" s="4" t="s">
        <v>28</v>
      </c>
      <c r="B11" s="4" t="s">
        <v>29</v>
      </c>
      <c r="C11" s="4" t="str">
        <f t="shared" si="0"/>
        <v>男</v>
      </c>
      <c r="D11" s="4" t="s">
        <v>21</v>
      </c>
      <c r="E11" s="4" t="str">
        <f t="shared" si="1"/>
        <v>部门经理</v>
      </c>
      <c r="F11" s="4">
        <v>5200</v>
      </c>
      <c r="G11" s="4">
        <f t="shared" si="2"/>
        <v>2000</v>
      </c>
      <c r="H11" s="4">
        <v>1500</v>
      </c>
      <c r="I11" s="4">
        <f t="shared" si="3"/>
        <v>8700</v>
      </c>
      <c r="J11" s="4">
        <v>425</v>
      </c>
      <c r="K11" s="4">
        <f t="shared" si="4"/>
        <v>9125</v>
      </c>
      <c r="L11" s="4" t="str">
        <f t="shared" si="5"/>
        <v>优秀</v>
      </c>
    </row>
    <row r="12" ht="18.75" spans="1:12">
      <c r="A12" s="3" t="s">
        <v>30</v>
      </c>
      <c r="B12" s="3" t="s">
        <v>31</v>
      </c>
      <c r="C12" s="3" t="str">
        <f t="shared" si="0"/>
        <v>女</v>
      </c>
      <c r="D12" s="3" t="s">
        <v>18</v>
      </c>
      <c r="E12" s="3" t="str">
        <f t="shared" si="1"/>
        <v>部门经理</v>
      </c>
      <c r="F12" s="3">
        <v>5200</v>
      </c>
      <c r="G12" s="3">
        <f t="shared" si="2"/>
        <v>2000</v>
      </c>
      <c r="H12" s="3">
        <v>1500</v>
      </c>
      <c r="I12" s="3">
        <f t="shared" si="3"/>
        <v>8700</v>
      </c>
      <c r="J12" s="3">
        <v>462</v>
      </c>
      <c r="K12" s="3">
        <f t="shared" si="4"/>
        <v>9162</v>
      </c>
      <c r="L12" s="3" t="str">
        <f t="shared" si="5"/>
        <v>优秀</v>
      </c>
    </row>
    <row r="13" ht="18.75" hidden="1" spans="1:12">
      <c r="A13" s="4" t="s">
        <v>32</v>
      </c>
      <c r="B13" s="4" t="s">
        <v>33</v>
      </c>
      <c r="C13" s="4" t="str">
        <f t="shared" si="0"/>
        <v>男</v>
      </c>
      <c r="D13" s="4" t="s">
        <v>21</v>
      </c>
      <c r="E13" s="4" t="str">
        <f t="shared" si="1"/>
        <v>职员</v>
      </c>
      <c r="F13" s="4">
        <v>3200</v>
      </c>
      <c r="G13" s="4">
        <f t="shared" si="2"/>
        <v>1000</v>
      </c>
      <c r="H13" s="4">
        <v>1500</v>
      </c>
      <c r="I13" s="4">
        <f t="shared" si="3"/>
        <v>5700</v>
      </c>
      <c r="J13" s="4">
        <v>269</v>
      </c>
      <c r="K13" s="4">
        <f t="shared" si="4"/>
        <v>5969</v>
      </c>
      <c r="L13" s="4" t="str">
        <f t="shared" si="5"/>
        <v>努力</v>
      </c>
    </row>
    <row r="14" ht="18.75" hidden="1" spans="1:12">
      <c r="A14" s="4" t="s">
        <v>34</v>
      </c>
      <c r="B14" s="4" t="s">
        <v>35</v>
      </c>
      <c r="C14" s="4" t="str">
        <f t="shared" si="0"/>
        <v>男</v>
      </c>
      <c r="D14" s="4" t="s">
        <v>21</v>
      </c>
      <c r="E14" s="4" t="str">
        <f t="shared" si="1"/>
        <v>职员</v>
      </c>
      <c r="F14" s="4">
        <v>3200</v>
      </c>
      <c r="G14" s="4">
        <f t="shared" si="2"/>
        <v>1000</v>
      </c>
      <c r="H14" s="4">
        <v>1500</v>
      </c>
      <c r="I14" s="4">
        <f t="shared" si="3"/>
        <v>5700</v>
      </c>
      <c r="J14" s="4">
        <v>350</v>
      </c>
      <c r="K14" s="4">
        <f t="shared" si="4"/>
        <v>6050</v>
      </c>
      <c r="L14" s="4" t="str">
        <f t="shared" si="5"/>
        <v>优秀</v>
      </c>
    </row>
    <row r="15" ht="18.75" hidden="1" spans="1:12">
      <c r="A15" s="4" t="s">
        <v>36</v>
      </c>
      <c r="B15" s="4" t="s">
        <v>37</v>
      </c>
      <c r="C15" s="4" t="str">
        <f t="shared" si="0"/>
        <v>女</v>
      </c>
      <c r="D15" s="4" t="s">
        <v>15</v>
      </c>
      <c r="E15" s="4" t="str">
        <f t="shared" si="1"/>
        <v>职员</v>
      </c>
      <c r="F15" s="4">
        <v>3200</v>
      </c>
      <c r="G15" s="4">
        <f t="shared" si="2"/>
        <v>1000</v>
      </c>
      <c r="H15" s="4">
        <v>1500</v>
      </c>
      <c r="I15" s="4">
        <f t="shared" si="3"/>
        <v>5700</v>
      </c>
      <c r="J15" s="4">
        <v>251</v>
      </c>
      <c r="K15" s="4">
        <f t="shared" si="4"/>
        <v>5951</v>
      </c>
      <c r="L15" s="4" t="str">
        <f t="shared" si="5"/>
        <v>努力</v>
      </c>
    </row>
    <row r="16" ht="18.75" spans="1:12">
      <c r="A16" s="3" t="s">
        <v>38</v>
      </c>
      <c r="B16" s="3" t="s">
        <v>31</v>
      </c>
      <c r="C16" s="3" t="str">
        <f t="shared" si="0"/>
        <v>女</v>
      </c>
      <c r="D16" s="3" t="s">
        <v>18</v>
      </c>
      <c r="E16" s="3" t="str">
        <f t="shared" si="1"/>
        <v>工程师</v>
      </c>
      <c r="F16" s="3">
        <v>4200</v>
      </c>
      <c r="G16" s="3">
        <f t="shared" si="2"/>
        <v>1500</v>
      </c>
      <c r="H16" s="3">
        <v>1500</v>
      </c>
      <c r="I16" s="3">
        <f t="shared" si="3"/>
        <v>7200</v>
      </c>
      <c r="J16" s="3">
        <v>451</v>
      </c>
      <c r="K16" s="3">
        <f t="shared" si="4"/>
        <v>7651</v>
      </c>
      <c r="L16" s="3" t="str">
        <f t="shared" si="5"/>
        <v>优秀</v>
      </c>
    </row>
  </sheetData>
  <conditionalFormatting sqref="K5:K1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{6a73bda8-8854-4cb4-8493-ccfa108924e3}</x14:id>
        </ext>
      </extLst>
    </cfRule>
  </conditionalFormatting>
  <conditionalFormatting sqref="K9:K1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{1db1a3d3-b8d1-475e-9bf9-f299fb7cc669}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73bda8-8854-4cb4-8493-ccfa108924e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K5:K16</xm:sqref>
        </x14:conditionalFormatting>
        <x14:conditionalFormatting xmlns:xm="http://schemas.microsoft.com/office/excel/2006/main">
          <x14:cfRule type="dataBar" id="{1db1a3d3-b8d1-475e-9bf9-f299fb7cc6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K9:K16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70" zoomScaleNormal="70" workbookViewId="0">
      <selection activeCell="H8" sqref="H8"/>
    </sheetView>
  </sheetViews>
  <sheetFormatPr defaultColWidth="9" defaultRowHeight="13.5"/>
  <cols>
    <col min="1" max="1" width="7.125" customWidth="1"/>
    <col min="2" max="2" width="5.5" customWidth="1"/>
    <col min="3" max="4" width="5.25" customWidth="1"/>
    <col min="10" max="10" width="5.25" customWidth="1"/>
    <col min="12" max="12" width="5.25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outlineLevel="2" spans="1:12">
      <c r="A2" s="1" t="s">
        <v>36</v>
      </c>
      <c r="B2" s="1" t="s">
        <v>37</v>
      </c>
      <c r="C2" s="1" t="s">
        <v>40</v>
      </c>
      <c r="D2" s="1" t="s">
        <v>15</v>
      </c>
      <c r="E2" s="1" t="s">
        <v>41</v>
      </c>
      <c r="F2" s="1">
        <v>3200</v>
      </c>
      <c r="G2" s="1">
        <v>1000</v>
      </c>
      <c r="H2" s="1">
        <v>1500</v>
      </c>
      <c r="I2" s="1">
        <v>5700</v>
      </c>
      <c r="J2" s="1">
        <v>251</v>
      </c>
      <c r="K2" s="1">
        <v>5951</v>
      </c>
      <c r="L2" s="1" t="s">
        <v>42</v>
      </c>
    </row>
    <row r="3" outlineLevel="2" spans="1:12">
      <c r="A3" s="1" t="s">
        <v>22</v>
      </c>
      <c r="B3" s="1" t="s">
        <v>23</v>
      </c>
      <c r="C3" s="1" t="s">
        <v>40</v>
      </c>
      <c r="D3" s="1" t="s">
        <v>15</v>
      </c>
      <c r="E3" s="1" t="s">
        <v>43</v>
      </c>
      <c r="F3" s="1">
        <v>4200</v>
      </c>
      <c r="G3" s="1">
        <v>1500</v>
      </c>
      <c r="H3" s="1">
        <v>1500</v>
      </c>
      <c r="I3" s="1">
        <v>7200</v>
      </c>
      <c r="J3" s="1">
        <v>351</v>
      </c>
      <c r="K3" s="1">
        <v>7551</v>
      </c>
      <c r="L3" s="1" t="s">
        <v>44</v>
      </c>
    </row>
    <row r="4" outlineLevel="2" spans="1:12">
      <c r="A4" s="1" t="s">
        <v>13</v>
      </c>
      <c r="B4" s="1" t="s">
        <v>14</v>
      </c>
      <c r="C4" s="1" t="s">
        <v>40</v>
      </c>
      <c r="D4" s="1" t="s">
        <v>15</v>
      </c>
      <c r="E4" s="1" t="s">
        <v>41</v>
      </c>
      <c r="F4" s="1">
        <v>3200</v>
      </c>
      <c r="G4" s="1">
        <v>1000</v>
      </c>
      <c r="H4" s="1">
        <v>1500</v>
      </c>
      <c r="I4" s="1">
        <v>5700</v>
      </c>
      <c r="J4" s="1">
        <v>354</v>
      </c>
      <c r="K4" s="1">
        <v>6054</v>
      </c>
      <c r="L4" s="1" t="s">
        <v>44</v>
      </c>
    </row>
    <row r="5" outlineLevel="1" spans="1:12">
      <c r="A5" s="1"/>
      <c r="B5" s="1"/>
      <c r="C5" s="1"/>
      <c r="D5" s="2" t="s">
        <v>45</v>
      </c>
      <c r="E5" s="1"/>
      <c r="F5" s="1"/>
      <c r="G5" s="1">
        <f>SUBTOTAL(9,G2:G4)</f>
        <v>3500</v>
      </c>
      <c r="H5" s="1"/>
      <c r="I5" s="1">
        <f>SUBTOTAL(9,I2:I4)</f>
        <v>18600</v>
      </c>
      <c r="J5" s="1"/>
      <c r="K5" s="1">
        <f>SUBTOTAL(9,K2:K4)</f>
        <v>19556</v>
      </c>
      <c r="L5" s="1">
        <f>SUBTOTAL(9,L2:L4)</f>
        <v>0</v>
      </c>
    </row>
    <row r="6" outlineLevel="2" spans="1:12">
      <c r="A6" s="1" t="s">
        <v>30</v>
      </c>
      <c r="B6" s="1" t="s">
        <v>31</v>
      </c>
      <c r="C6" s="1" t="s">
        <v>40</v>
      </c>
      <c r="D6" s="1" t="s">
        <v>18</v>
      </c>
      <c r="E6" s="1" t="s">
        <v>46</v>
      </c>
      <c r="F6" s="1">
        <v>5200</v>
      </c>
      <c r="G6" s="1">
        <v>2000</v>
      </c>
      <c r="H6" s="1">
        <v>1500</v>
      </c>
      <c r="I6" s="1">
        <v>8700</v>
      </c>
      <c r="J6" s="1">
        <v>462</v>
      </c>
      <c r="K6" s="1">
        <v>9162</v>
      </c>
      <c r="L6" s="1" t="s">
        <v>44</v>
      </c>
    </row>
    <row r="7" outlineLevel="2" spans="1:12">
      <c r="A7" s="1" t="s">
        <v>16</v>
      </c>
      <c r="B7" s="1" t="s">
        <v>17</v>
      </c>
      <c r="C7" s="1" t="s">
        <v>40</v>
      </c>
      <c r="D7" s="1" t="s">
        <v>18</v>
      </c>
      <c r="E7" s="1" t="s">
        <v>41</v>
      </c>
      <c r="F7" s="1">
        <v>3200</v>
      </c>
      <c r="G7" s="1">
        <v>1000</v>
      </c>
      <c r="H7" s="1">
        <v>1500</v>
      </c>
      <c r="I7" s="1">
        <v>5700</v>
      </c>
      <c r="J7" s="1">
        <v>321</v>
      </c>
      <c r="K7" s="1">
        <v>6021</v>
      </c>
      <c r="L7" s="1" t="s">
        <v>42</v>
      </c>
    </row>
    <row r="8" outlineLevel="2" spans="1:12">
      <c r="A8" s="1" t="s">
        <v>38</v>
      </c>
      <c r="B8" s="1" t="s">
        <v>31</v>
      </c>
      <c r="C8" s="1" t="s">
        <v>40</v>
      </c>
      <c r="D8" s="1" t="s">
        <v>18</v>
      </c>
      <c r="E8" s="1" t="s">
        <v>43</v>
      </c>
      <c r="F8" s="1">
        <v>4200</v>
      </c>
      <c r="G8" s="1">
        <v>1500</v>
      </c>
      <c r="H8" s="1">
        <v>1500</v>
      </c>
      <c r="I8" s="1">
        <v>7200</v>
      </c>
      <c r="J8" s="1">
        <v>451</v>
      </c>
      <c r="K8" s="1">
        <v>7651</v>
      </c>
      <c r="L8" s="1" t="s">
        <v>44</v>
      </c>
    </row>
    <row r="9" outlineLevel="2" spans="1:12">
      <c r="A9" s="1" t="s">
        <v>24</v>
      </c>
      <c r="B9" s="1" t="s">
        <v>25</v>
      </c>
      <c r="C9" s="1" t="s">
        <v>47</v>
      </c>
      <c r="D9" s="1" t="s">
        <v>18</v>
      </c>
      <c r="E9" s="1" t="s">
        <v>46</v>
      </c>
      <c r="F9" s="1">
        <v>5200</v>
      </c>
      <c r="G9" s="1">
        <v>2000</v>
      </c>
      <c r="H9" s="1">
        <v>1500</v>
      </c>
      <c r="I9" s="1">
        <v>8700</v>
      </c>
      <c r="J9" s="1">
        <v>352</v>
      </c>
      <c r="K9" s="1">
        <v>9052</v>
      </c>
      <c r="L9" s="1" t="s">
        <v>44</v>
      </c>
    </row>
    <row r="10" outlineLevel="1" spans="1:12">
      <c r="A10" s="1"/>
      <c r="B10" s="1"/>
      <c r="C10" s="1"/>
      <c r="D10" s="2" t="s">
        <v>48</v>
      </c>
      <c r="E10" s="1"/>
      <c r="F10" s="1"/>
      <c r="G10" s="1">
        <f>SUBTOTAL(9,G6:G9)</f>
        <v>6500</v>
      </c>
      <c r="H10" s="1"/>
      <c r="I10" s="1">
        <f>SUBTOTAL(9,I6:I9)</f>
        <v>30300</v>
      </c>
      <c r="J10" s="1"/>
      <c r="K10" s="1">
        <f>SUBTOTAL(9,K6:K9)</f>
        <v>31886</v>
      </c>
      <c r="L10" s="1">
        <f>SUBTOTAL(9,L6:L9)</f>
        <v>0</v>
      </c>
    </row>
    <row r="11" outlineLevel="2" spans="1:12">
      <c r="A11" s="1" t="s">
        <v>28</v>
      </c>
      <c r="B11" s="1" t="s">
        <v>29</v>
      </c>
      <c r="C11" s="1" t="s">
        <v>47</v>
      </c>
      <c r="D11" s="1" t="s">
        <v>21</v>
      </c>
      <c r="E11" s="1" t="s">
        <v>46</v>
      </c>
      <c r="F11" s="1">
        <v>5200</v>
      </c>
      <c r="G11" s="1">
        <v>2000</v>
      </c>
      <c r="H11" s="1">
        <v>1500</v>
      </c>
      <c r="I11" s="1">
        <v>8700</v>
      </c>
      <c r="J11" s="1">
        <v>425</v>
      </c>
      <c r="K11" s="1">
        <v>9125</v>
      </c>
      <c r="L11" s="1" t="s">
        <v>44</v>
      </c>
    </row>
    <row r="12" outlineLevel="2" spans="1:12">
      <c r="A12" s="1" t="s">
        <v>26</v>
      </c>
      <c r="B12" s="1" t="s">
        <v>27</v>
      </c>
      <c r="C12" s="1" t="s">
        <v>47</v>
      </c>
      <c r="D12" s="1" t="s">
        <v>21</v>
      </c>
      <c r="E12" s="1" t="s">
        <v>41</v>
      </c>
      <c r="F12" s="1">
        <v>3200</v>
      </c>
      <c r="G12" s="1">
        <v>1000</v>
      </c>
      <c r="H12" s="1">
        <v>1500</v>
      </c>
      <c r="I12" s="1">
        <v>5700</v>
      </c>
      <c r="J12" s="1">
        <v>325</v>
      </c>
      <c r="K12" s="1">
        <v>6025</v>
      </c>
      <c r="L12" s="1" t="s">
        <v>42</v>
      </c>
    </row>
    <row r="13" outlineLevel="2" spans="1:12">
      <c r="A13" s="1" t="s">
        <v>32</v>
      </c>
      <c r="B13" s="1" t="s">
        <v>33</v>
      </c>
      <c r="C13" s="1" t="s">
        <v>47</v>
      </c>
      <c r="D13" s="1" t="s">
        <v>21</v>
      </c>
      <c r="E13" s="1" t="s">
        <v>41</v>
      </c>
      <c r="F13" s="1">
        <v>3200</v>
      </c>
      <c r="G13" s="1">
        <v>1000</v>
      </c>
      <c r="H13" s="1">
        <v>1500</v>
      </c>
      <c r="I13" s="1">
        <v>5700</v>
      </c>
      <c r="J13" s="1">
        <v>269</v>
      </c>
      <c r="K13" s="1">
        <v>5969</v>
      </c>
      <c r="L13" s="1" t="s">
        <v>42</v>
      </c>
    </row>
    <row r="14" outlineLevel="2" spans="1:12">
      <c r="A14" s="1" t="s">
        <v>34</v>
      </c>
      <c r="B14" s="1" t="s">
        <v>35</v>
      </c>
      <c r="C14" s="1" t="s">
        <v>47</v>
      </c>
      <c r="D14" s="1" t="s">
        <v>21</v>
      </c>
      <c r="E14" s="1" t="s">
        <v>41</v>
      </c>
      <c r="F14" s="1">
        <v>3200</v>
      </c>
      <c r="G14" s="1">
        <v>1000</v>
      </c>
      <c r="H14" s="1">
        <v>1500</v>
      </c>
      <c r="I14" s="1">
        <v>5700</v>
      </c>
      <c r="J14" s="1">
        <v>350</v>
      </c>
      <c r="K14" s="1">
        <v>6050</v>
      </c>
      <c r="L14" s="1" t="s">
        <v>44</v>
      </c>
    </row>
    <row r="15" outlineLevel="2" spans="1:12">
      <c r="A15" s="1" t="s">
        <v>19</v>
      </c>
      <c r="B15" s="1" t="s">
        <v>20</v>
      </c>
      <c r="C15" s="1" t="s">
        <v>40</v>
      </c>
      <c r="D15" s="1" t="s">
        <v>21</v>
      </c>
      <c r="E15" s="1" t="s">
        <v>43</v>
      </c>
      <c r="F15" s="1">
        <v>4200</v>
      </c>
      <c r="G15" s="1">
        <v>1500</v>
      </c>
      <c r="H15" s="1">
        <v>1500</v>
      </c>
      <c r="I15" s="1">
        <v>7200</v>
      </c>
      <c r="J15" s="1">
        <v>253</v>
      </c>
      <c r="K15" s="1">
        <v>7453</v>
      </c>
      <c r="L15" s="1" t="s">
        <v>42</v>
      </c>
    </row>
    <row r="16" outlineLevel="1" spans="1:12">
      <c r="A16" s="1"/>
      <c r="B16" s="1"/>
      <c r="C16" s="1"/>
      <c r="D16" s="2" t="s">
        <v>49</v>
      </c>
      <c r="E16" s="1"/>
      <c r="F16" s="1"/>
      <c r="G16" s="1">
        <f>SUBTOTAL(9,G11:G15)</f>
        <v>6500</v>
      </c>
      <c r="H16" s="1"/>
      <c r="I16" s="1">
        <f>SUBTOTAL(9,I11:I15)</f>
        <v>33000</v>
      </c>
      <c r="J16" s="1"/>
      <c r="K16" s="1">
        <f>SUBTOTAL(9,K11:K15)</f>
        <v>34622</v>
      </c>
      <c r="L16" s="1">
        <f>SUBTOTAL(9,L11:L15)</f>
        <v>0</v>
      </c>
    </row>
    <row r="17" spans="1:12">
      <c r="A17" s="1"/>
      <c r="B17" s="1"/>
      <c r="C17" s="1"/>
      <c r="D17" s="2" t="s">
        <v>50</v>
      </c>
      <c r="E17" s="1"/>
      <c r="F17" s="1"/>
      <c r="G17" s="1">
        <f>SUBTOTAL(9,G2:G15)</f>
        <v>16500</v>
      </c>
      <c r="H17" s="1"/>
      <c r="I17" s="1">
        <f>SUBTOTAL(9,I2:I15)</f>
        <v>81900</v>
      </c>
      <c r="J17" s="1"/>
      <c r="K17" s="1">
        <f>SUBTOTAL(9,K2:K15)</f>
        <v>86064</v>
      </c>
      <c r="L17" s="1">
        <f>SUBTOTAL(9,L2:L15)</f>
        <v>0</v>
      </c>
    </row>
  </sheetData>
  <sortState ref="A2:L13">
    <sortCondition ref="D2:D13"/>
    <sortCondition ref="A2:A13" descending="1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T25" sqref="T25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员工工资统计表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2023-12-11T01:02:32Z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06795650530A4BBE8A98A83E5ACC44ED_12</vt:lpwstr>
  </property>
  <property fmtid="{D5CDD505-2E9C-101B-9397-08002B2CF9AE}" pid="3" name="KSOProductBuildVer">
    <vt:lpwstr>2052-12.1.0.15712</vt:lpwstr>
  </property>
</Properties>
</file>
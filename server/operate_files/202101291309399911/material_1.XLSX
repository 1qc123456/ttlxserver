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70" windowWidth="14715" windowHeight="8640"/>
  </bookViews>
  <sheets>
    <sheet name="中信证券" sheetId="1" r:id="rId1"/>
    <sheet name="数据统计" sheetId="4" r:id="rId2"/>
    <sheet name="华北制药" sheetId="2" r:id="rId3"/>
  </sheets>
  <calcPr calcId="144525"/>
</workbook>
</file>

<file path=xl/calcChain.xml><?xml version="1.0" encoding="utf-8"?>
<calcChain xmlns="http://schemas.openxmlformats.org/spreadsheetml/2006/main">
  <c r="G2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3" i="4"/>
  <c r="C23" i="4"/>
  <c r="D23" i="4"/>
  <c r="E23" i="4"/>
  <c r="B23" i="4"/>
</calcChain>
</file>

<file path=xl/sharedStrings.xml><?xml version="1.0" encoding="utf-8"?>
<sst xmlns="http://schemas.openxmlformats.org/spreadsheetml/2006/main" count="23" uniqueCount="11">
  <si>
    <t xml:space="preserve">      时间</t>
  </si>
  <si>
    <t xml:space="preserve">    开盘</t>
  </si>
  <si>
    <t xml:space="preserve">    最高</t>
  </si>
  <si>
    <t xml:space="preserve">    最低</t>
  </si>
  <si>
    <t xml:space="preserve">    收盘</t>
  </si>
  <si>
    <t xml:space="preserve">         成交量</t>
  </si>
  <si>
    <t>中信证券 (600030)</t>
    <phoneticPr fontId="1" type="noConversion"/>
  </si>
  <si>
    <t>华北制药 (600812)</t>
  </si>
  <si>
    <t>成交量</t>
    <phoneticPr fontId="1" type="noConversion"/>
  </si>
  <si>
    <t>平均值</t>
    <phoneticPr fontId="3" type="noConversion"/>
  </si>
  <si>
    <t>成交量趋势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</si>
</sst>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\$#,##0.0;\-\$#,##0.0"/>
  </numFmts>
  <fonts count="5" x14ac:knownFonts="1">
    <font>
      <sz val="12"/>
      <name val="宋体"/>
      <charset val="134"/>
    </font>
    <font>
      <sz val="9"/>
      <name val="宋体"/>
      <charset val="134"/>
    </font>
    <font>
      <sz val="18"/>
      <name val="黑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double">
        <color rgb="FFFF0000"/>
      </left>
      <right style="thin">
        <color rgb="FF00B050"/>
      </right>
      <top style="double">
        <color rgb="FFFF000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double">
        <color rgb="FFFF0000"/>
      </top>
      <bottom style="thin">
        <color rgb="FF00B050"/>
      </bottom>
      <diagonal/>
    </border>
    <border>
      <left style="thin">
        <color rgb="FF00B050"/>
      </left>
      <right style="double">
        <color rgb="FFFF0000"/>
      </right>
      <top style="double">
        <color rgb="FFFF0000"/>
      </top>
      <bottom style="thin">
        <color rgb="FF00B050"/>
      </bottom>
      <diagonal/>
    </border>
    <border>
      <left style="double">
        <color rgb="FFFF000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double">
        <color rgb="FFFF0000"/>
      </right>
      <top style="thin">
        <color rgb="FF00B050"/>
      </top>
      <bottom style="thin">
        <color rgb="FF00B050"/>
      </bottom>
      <diagonal/>
    </border>
    <border>
      <left style="double">
        <color rgb="FFFF0000"/>
      </left>
      <right style="thin">
        <color rgb="FF00B050"/>
      </right>
      <top style="thin">
        <color rgb="FF00B050"/>
      </top>
      <bottom style="double">
        <color rgb="FFFF000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double">
        <color rgb="FFFF0000"/>
      </bottom>
      <diagonal/>
    </border>
    <border>
      <left style="thin">
        <color rgb="FF00B050"/>
      </left>
      <right style="double">
        <color rgb="FFFF0000"/>
      </right>
      <top style="thin">
        <color rgb="FF00B050"/>
      </top>
      <bottom style="double">
        <color rgb="FFFF0000"/>
      </bottom>
      <diagonal/>
    </border>
    <border>
      <left style="thin">
        <color rgb="FF00B050"/>
      </left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14" fontId="0" fillId="0" borderId="7" xfId="0" applyNumberForma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4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10" xfId="0" applyFont="1" applyFill="1" applyBorder="1">
      <alignment vertical="center"/>
    </xf>
    <xf numFmtId="0" fontId="0" fillId="0" borderId="0" xfId="0" applyNumberFormat="1">
      <alignment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sqref="A1:F1"/>
    </sheetView>
  </sheetViews>
  <sheetFormatPr defaultRowHeight="14.25" x14ac:dyDescent="0.15"/>
  <cols>
    <col min="1" max="1" width="15.625" customWidth="1"/>
    <col min="2" max="5" width="9.5" bestFit="1" customWidth="1"/>
    <col min="6" max="6" width="17.25" bestFit="1" customWidth="1"/>
  </cols>
  <sheetData>
    <row r="1" spans="1:6" ht="24.95" customHeight="1" x14ac:dyDescent="0.15">
      <c r="A1" s="15" t="s">
        <v>6</v>
      </c>
      <c r="B1" s="15"/>
      <c r="C1" s="15"/>
      <c r="D1" s="15"/>
      <c r="E1" s="15"/>
      <c r="F1" s="15"/>
    </row>
    <row r="2" spans="1:6" ht="20.100000000000001" customHeight="1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20.100000000000001" customHeight="1" x14ac:dyDescent="0.15">
      <c r="A3" s="1">
        <v>40506</v>
      </c>
      <c r="B3">
        <v>12.51</v>
      </c>
      <c r="C3">
        <v>13.29</v>
      </c>
      <c r="D3">
        <v>12.51</v>
      </c>
      <c r="E3">
        <v>13.25</v>
      </c>
      <c r="F3">
        <v>170280126</v>
      </c>
    </row>
    <row r="4" spans="1:6" ht="20.100000000000001" customHeight="1" x14ac:dyDescent="0.15">
      <c r="A4" s="1">
        <v>40507</v>
      </c>
      <c r="B4">
        <v>13.25</v>
      </c>
      <c r="C4">
        <v>13.54</v>
      </c>
      <c r="D4">
        <v>12.95</v>
      </c>
      <c r="E4">
        <v>13.4</v>
      </c>
      <c r="F4">
        <v>153544440</v>
      </c>
    </row>
    <row r="5" spans="1:6" ht="20.100000000000001" customHeight="1" x14ac:dyDescent="0.15">
      <c r="A5" s="1">
        <v>40508</v>
      </c>
      <c r="B5">
        <v>13.3</v>
      </c>
      <c r="C5">
        <v>13.6</v>
      </c>
      <c r="D5">
        <v>13.11</v>
      </c>
      <c r="E5">
        <v>13.36</v>
      </c>
      <c r="F5">
        <v>126624825</v>
      </c>
    </row>
    <row r="6" spans="1:6" ht="20.100000000000001" customHeight="1" x14ac:dyDescent="0.15">
      <c r="A6" s="1">
        <v>40511</v>
      </c>
      <c r="B6">
        <v>13.25</v>
      </c>
      <c r="C6">
        <v>13.34</v>
      </c>
      <c r="D6">
        <v>13.11</v>
      </c>
      <c r="E6">
        <v>13.18</v>
      </c>
      <c r="F6">
        <v>83091540</v>
      </c>
    </row>
    <row r="7" spans="1:6" ht="20.100000000000001" customHeight="1" x14ac:dyDescent="0.15">
      <c r="A7" s="1">
        <v>40512</v>
      </c>
      <c r="B7">
        <v>13.19</v>
      </c>
      <c r="C7">
        <v>13.29</v>
      </c>
      <c r="D7">
        <v>12.5</v>
      </c>
      <c r="E7">
        <v>12.82</v>
      </c>
      <c r="F7">
        <v>117570761</v>
      </c>
    </row>
    <row r="8" spans="1:6" ht="20.100000000000001" customHeight="1" x14ac:dyDescent="0.15">
      <c r="A8" s="1">
        <v>40513</v>
      </c>
      <c r="B8">
        <v>12.83</v>
      </c>
      <c r="C8">
        <v>13.04</v>
      </c>
      <c r="D8">
        <v>12.72</v>
      </c>
      <c r="E8">
        <v>12.85</v>
      </c>
      <c r="F8">
        <v>50824582</v>
      </c>
    </row>
    <row r="9" spans="1:6" ht="20.100000000000001" customHeight="1" x14ac:dyDescent="0.15">
      <c r="A9" s="1">
        <v>40514</v>
      </c>
      <c r="B9">
        <v>13.2</v>
      </c>
      <c r="C9">
        <v>13.36</v>
      </c>
      <c r="D9">
        <v>13.11</v>
      </c>
      <c r="E9">
        <v>13.15</v>
      </c>
      <c r="F9">
        <v>104330606</v>
      </c>
    </row>
    <row r="10" spans="1:6" ht="20.100000000000001" customHeight="1" x14ac:dyDescent="0.15">
      <c r="A10" s="1">
        <v>40515</v>
      </c>
      <c r="B10">
        <v>13.07</v>
      </c>
      <c r="C10">
        <v>13.26</v>
      </c>
      <c r="D10">
        <v>13.04</v>
      </c>
      <c r="E10">
        <v>13.16</v>
      </c>
      <c r="F10">
        <v>55922198</v>
      </c>
    </row>
    <row r="11" spans="1:6" ht="20.100000000000001" customHeight="1" x14ac:dyDescent="0.15">
      <c r="A11" s="1">
        <v>40518</v>
      </c>
      <c r="B11">
        <v>13.21</v>
      </c>
      <c r="C11">
        <v>13.83</v>
      </c>
      <c r="D11">
        <v>13.08</v>
      </c>
      <c r="E11">
        <v>13.74</v>
      </c>
      <c r="F11">
        <v>157785822</v>
      </c>
    </row>
    <row r="12" spans="1:6" ht="20.100000000000001" customHeight="1" x14ac:dyDescent="0.15">
      <c r="A12" s="1">
        <v>40519</v>
      </c>
      <c r="B12">
        <v>13.6</v>
      </c>
      <c r="C12">
        <v>13.84</v>
      </c>
      <c r="D12">
        <v>13.3</v>
      </c>
      <c r="E12">
        <v>13.7</v>
      </c>
      <c r="F12">
        <v>137454045</v>
      </c>
    </row>
    <row r="13" spans="1:6" ht="20.100000000000001" customHeight="1" x14ac:dyDescent="0.15">
      <c r="A13" s="1">
        <v>40520</v>
      </c>
      <c r="B13">
        <v>13.68</v>
      </c>
      <c r="C13">
        <v>13.7</v>
      </c>
      <c r="D13">
        <v>13.2</v>
      </c>
      <c r="E13">
        <v>13.22</v>
      </c>
      <c r="F13">
        <v>112703031</v>
      </c>
    </row>
    <row r="14" spans="1:6" ht="20.100000000000001" customHeight="1" x14ac:dyDescent="0.15">
      <c r="A14" s="1">
        <v>40521</v>
      </c>
      <c r="B14">
        <v>13.12</v>
      </c>
      <c r="C14">
        <v>13.3</v>
      </c>
      <c r="D14">
        <v>12.9</v>
      </c>
      <c r="E14">
        <v>12.93</v>
      </c>
      <c r="F14">
        <v>78257462</v>
      </c>
    </row>
    <row r="15" spans="1:6" ht="20.100000000000001" customHeight="1" x14ac:dyDescent="0.15">
      <c r="A15" s="1">
        <v>40522</v>
      </c>
      <c r="B15">
        <v>12.78</v>
      </c>
      <c r="C15">
        <v>13.25</v>
      </c>
      <c r="D15">
        <v>12.72</v>
      </c>
      <c r="E15">
        <v>13.12</v>
      </c>
      <c r="F15">
        <v>62083734</v>
      </c>
    </row>
    <row r="16" spans="1:6" ht="20.100000000000001" customHeight="1" x14ac:dyDescent="0.15">
      <c r="A16" s="1">
        <v>40525</v>
      </c>
      <c r="B16">
        <v>13.21</v>
      </c>
      <c r="C16">
        <v>13.69</v>
      </c>
      <c r="D16">
        <v>13.09</v>
      </c>
      <c r="E16">
        <v>13.65</v>
      </c>
      <c r="F16">
        <v>136280959</v>
      </c>
    </row>
    <row r="17" spans="1:6" ht="20.100000000000001" customHeight="1" x14ac:dyDescent="0.15">
      <c r="A17" s="1">
        <v>40526</v>
      </c>
      <c r="B17">
        <v>13.67</v>
      </c>
      <c r="C17">
        <v>13.73</v>
      </c>
      <c r="D17">
        <v>13.47</v>
      </c>
      <c r="E17">
        <v>13.52</v>
      </c>
      <c r="F17">
        <v>72596218</v>
      </c>
    </row>
    <row r="18" spans="1:6" ht="20.100000000000001" customHeight="1" x14ac:dyDescent="0.15">
      <c r="A18" s="1">
        <v>40527</v>
      </c>
      <c r="B18">
        <v>13.52</v>
      </c>
      <c r="C18">
        <v>13.8</v>
      </c>
      <c r="D18">
        <v>13.35</v>
      </c>
      <c r="E18">
        <v>13.5</v>
      </c>
      <c r="F18">
        <v>98532172</v>
      </c>
    </row>
    <row r="19" spans="1:6" ht="20.100000000000001" customHeight="1" x14ac:dyDescent="0.15">
      <c r="A19" s="1">
        <v>40528</v>
      </c>
      <c r="B19">
        <v>13.52</v>
      </c>
      <c r="C19">
        <v>13.52</v>
      </c>
      <c r="D19">
        <v>13.18</v>
      </c>
      <c r="E19">
        <v>13.23</v>
      </c>
      <c r="F19">
        <v>65018118</v>
      </c>
    </row>
    <row r="20" spans="1:6" ht="20.100000000000001" customHeight="1" x14ac:dyDescent="0.15">
      <c r="A20" s="1">
        <v>40529</v>
      </c>
      <c r="B20">
        <v>13.2</v>
      </c>
      <c r="C20">
        <v>13.29</v>
      </c>
      <c r="D20">
        <v>13.01</v>
      </c>
      <c r="E20">
        <v>13.16</v>
      </c>
      <c r="F20">
        <v>64556703</v>
      </c>
    </row>
    <row r="21" spans="1:6" ht="20.100000000000001" customHeight="1" x14ac:dyDescent="0.15">
      <c r="A21" s="1">
        <v>40532</v>
      </c>
      <c r="B21">
        <v>13.2</v>
      </c>
      <c r="C21">
        <v>13.26</v>
      </c>
      <c r="D21">
        <v>12.58</v>
      </c>
      <c r="E21">
        <v>12.8</v>
      </c>
      <c r="F21">
        <v>95242614</v>
      </c>
    </row>
    <row r="22" spans="1:6" ht="20.100000000000001" customHeight="1" x14ac:dyDescent="0.15">
      <c r="A22" s="1">
        <v>40533</v>
      </c>
      <c r="B22">
        <v>12.86</v>
      </c>
      <c r="C22">
        <v>13.5</v>
      </c>
      <c r="D22">
        <v>12.79</v>
      </c>
      <c r="E22">
        <v>13.39</v>
      </c>
      <c r="F22">
        <v>124256570</v>
      </c>
    </row>
  </sheetData>
  <mergeCells count="1">
    <mergeCell ref="A1:F1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opLeftCell="A22" workbookViewId="0">
      <selection activeCell="G23" sqref="G23"/>
    </sheetView>
  </sheetViews>
  <sheetFormatPr defaultRowHeight="14.25" x14ac:dyDescent="0.15"/>
  <cols>
    <col min="1" max="1" width="15.625" customWidth="1"/>
    <col min="7" max="7" width="10.625" customWidth="1"/>
  </cols>
  <sheetData>
    <row r="1" spans="1:7" ht="24.95" customHeight="1" thickBot="1" x14ac:dyDescent="0.2">
      <c r="A1" s="16" t="s">
        <v>7</v>
      </c>
      <c r="B1" s="16"/>
      <c r="C1" s="16"/>
      <c r="D1" s="16"/>
      <c r="E1" s="16"/>
      <c r="F1" s="16"/>
    </row>
    <row r="2" spans="1:7" ht="20.100000000000001" customHeight="1" thickTop="1" x14ac:dyDescent="0.1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8</v>
      </c>
      <c r="G2" s="13" t="s">
        <v>10</v>
      </c>
    </row>
    <row r="3" spans="1:7" ht="20.100000000000001" customHeight="1" x14ac:dyDescent="0.15">
      <c r="A3" s="5">
        <v>40506</v>
      </c>
      <c r="B3" s="6">
        <v>14.92</v>
      </c>
      <c r="C3" s="6">
        <v>16.37</v>
      </c>
      <c r="D3" s="6">
        <v>14.92</v>
      </c>
      <c r="E3" s="6">
        <v>16.25</v>
      </c>
      <c r="F3" s="7">
        <v>26201118</v>
      </c>
      <c r="G3" t="str">
        <f>IF(F3&gt;AVERAGE($F$3:$F$22),"成交量放大","成交量减少")</f>
        <v>成交量放大</v>
      </c>
    </row>
    <row r="4" spans="1:7" ht="20.100000000000001" customHeight="1" x14ac:dyDescent="0.15">
      <c r="A4" s="5">
        <v>40507</v>
      </c>
      <c r="B4" s="6">
        <v>16.079999999999998</v>
      </c>
      <c r="C4" s="6">
        <v>16.899999999999999</v>
      </c>
      <c r="D4" s="6">
        <v>15.97</v>
      </c>
      <c r="E4" s="6">
        <v>16.29</v>
      </c>
      <c r="F4" s="7">
        <v>30161606</v>
      </c>
      <c r="G4" t="str">
        <f t="shared" ref="G4:G22" si="0">IF(F4&gt;AVERAGE($F$3:$F$22),"成交量放大","成交量减少")</f>
        <v>成交量放大</v>
      </c>
    </row>
    <row r="5" spans="1:7" ht="20.100000000000001" customHeight="1" x14ac:dyDescent="0.15">
      <c r="A5" s="5">
        <v>40508</v>
      </c>
      <c r="B5" s="6">
        <v>16.28</v>
      </c>
      <c r="C5" s="6">
        <v>16.84</v>
      </c>
      <c r="D5" s="6">
        <v>16.100000000000001</v>
      </c>
      <c r="E5" s="6">
        <v>16.78</v>
      </c>
      <c r="F5" s="7">
        <v>20994649</v>
      </c>
      <c r="G5" t="str">
        <f t="shared" si="0"/>
        <v>成交量放大</v>
      </c>
    </row>
    <row r="6" spans="1:7" ht="20.100000000000001" customHeight="1" x14ac:dyDescent="0.15">
      <c r="A6" s="5">
        <v>40511</v>
      </c>
      <c r="B6" s="6">
        <v>16.8</v>
      </c>
      <c r="C6" s="6">
        <v>17.03</v>
      </c>
      <c r="D6" s="6">
        <v>16.37</v>
      </c>
      <c r="E6" s="6">
        <v>16.68</v>
      </c>
      <c r="F6" s="7">
        <v>19428792</v>
      </c>
      <c r="G6" t="str">
        <f t="shared" si="0"/>
        <v>成交量放大</v>
      </c>
    </row>
    <row r="7" spans="1:7" ht="20.100000000000001" customHeight="1" x14ac:dyDescent="0.15">
      <c r="A7" s="5">
        <v>40512</v>
      </c>
      <c r="B7" s="6">
        <v>16.7</v>
      </c>
      <c r="C7" s="6">
        <v>16.8</v>
      </c>
      <c r="D7" s="6">
        <v>15.35</v>
      </c>
      <c r="E7" s="6">
        <v>15.88</v>
      </c>
      <c r="F7" s="7">
        <v>25357956</v>
      </c>
      <c r="G7" t="str">
        <f t="shared" si="0"/>
        <v>成交量放大</v>
      </c>
    </row>
    <row r="8" spans="1:7" ht="20.100000000000001" customHeight="1" x14ac:dyDescent="0.15">
      <c r="A8" s="5">
        <v>40513</v>
      </c>
      <c r="B8" s="6">
        <v>15.8</v>
      </c>
      <c r="C8" s="6">
        <v>16.22</v>
      </c>
      <c r="D8" s="6">
        <v>15.58</v>
      </c>
      <c r="E8" s="6">
        <v>15.9</v>
      </c>
      <c r="F8" s="7">
        <v>10866860</v>
      </c>
      <c r="G8" t="str">
        <f t="shared" si="0"/>
        <v>成交量减少</v>
      </c>
    </row>
    <row r="9" spans="1:7" ht="20.100000000000001" customHeight="1" x14ac:dyDescent="0.15">
      <c r="A9" s="5">
        <v>40514</v>
      </c>
      <c r="B9" s="6">
        <v>16.03</v>
      </c>
      <c r="C9" s="6">
        <v>16.489999999999998</v>
      </c>
      <c r="D9" s="6">
        <v>15.95</v>
      </c>
      <c r="E9" s="6">
        <v>15.96</v>
      </c>
      <c r="F9" s="7">
        <v>12780772</v>
      </c>
      <c r="G9" t="str">
        <f t="shared" si="0"/>
        <v>成交量减少</v>
      </c>
    </row>
    <row r="10" spans="1:7" ht="20.100000000000001" customHeight="1" x14ac:dyDescent="0.15">
      <c r="A10" s="5">
        <v>40515</v>
      </c>
      <c r="B10" s="6">
        <v>16</v>
      </c>
      <c r="C10" s="6">
        <v>16.27</v>
      </c>
      <c r="D10" s="6">
        <v>15.51</v>
      </c>
      <c r="E10" s="6">
        <v>15.88</v>
      </c>
      <c r="F10" s="7">
        <v>10907941</v>
      </c>
      <c r="G10" t="str">
        <f t="shared" si="0"/>
        <v>成交量减少</v>
      </c>
    </row>
    <row r="11" spans="1:7" ht="20.100000000000001" customHeight="1" x14ac:dyDescent="0.15">
      <c r="A11" s="5">
        <v>40518</v>
      </c>
      <c r="B11" s="6">
        <v>15.9</v>
      </c>
      <c r="C11" s="6">
        <v>16</v>
      </c>
      <c r="D11" s="6">
        <v>15.15</v>
      </c>
      <c r="E11" s="6">
        <v>15.25</v>
      </c>
      <c r="F11" s="7">
        <v>15462756</v>
      </c>
      <c r="G11" t="str">
        <f t="shared" si="0"/>
        <v>成交量放大</v>
      </c>
    </row>
    <row r="12" spans="1:7" ht="20.100000000000001" customHeight="1" x14ac:dyDescent="0.15">
      <c r="A12" s="5">
        <v>40519</v>
      </c>
      <c r="B12" s="6">
        <v>15.2</v>
      </c>
      <c r="C12" s="6">
        <v>15.79</v>
      </c>
      <c r="D12" s="6">
        <v>14.81</v>
      </c>
      <c r="E12" s="6">
        <v>15.7</v>
      </c>
      <c r="F12" s="7">
        <v>10300380</v>
      </c>
      <c r="G12" t="str">
        <f t="shared" si="0"/>
        <v>成交量减少</v>
      </c>
    </row>
    <row r="13" spans="1:7" ht="20.100000000000001" customHeight="1" x14ac:dyDescent="0.15">
      <c r="A13" s="5">
        <v>40520</v>
      </c>
      <c r="B13" s="6">
        <v>15.6</v>
      </c>
      <c r="C13" s="6">
        <v>15.86</v>
      </c>
      <c r="D13" s="6">
        <v>15.45</v>
      </c>
      <c r="E13" s="6">
        <v>15.57</v>
      </c>
      <c r="F13" s="7">
        <v>6602016</v>
      </c>
      <c r="G13" t="str">
        <f t="shared" si="0"/>
        <v>成交量减少</v>
      </c>
    </row>
    <row r="14" spans="1:7" ht="20.100000000000001" customHeight="1" x14ac:dyDescent="0.15">
      <c r="A14" s="5">
        <v>40521</v>
      </c>
      <c r="B14" s="6">
        <v>15.42</v>
      </c>
      <c r="C14" s="6">
        <v>15.73</v>
      </c>
      <c r="D14" s="6">
        <v>15.16</v>
      </c>
      <c r="E14" s="6">
        <v>15.26</v>
      </c>
      <c r="F14" s="7">
        <v>6666985</v>
      </c>
      <c r="G14" t="str">
        <f t="shared" si="0"/>
        <v>成交量减少</v>
      </c>
    </row>
    <row r="15" spans="1:7" ht="20.100000000000001" customHeight="1" x14ac:dyDescent="0.15">
      <c r="A15" s="5">
        <v>40522</v>
      </c>
      <c r="B15" s="6">
        <v>15.27</v>
      </c>
      <c r="C15" s="6">
        <v>16.12</v>
      </c>
      <c r="D15" s="6">
        <v>15.2</v>
      </c>
      <c r="E15" s="6">
        <v>16.09</v>
      </c>
      <c r="F15" s="7">
        <v>13733690</v>
      </c>
      <c r="G15" t="str">
        <f t="shared" si="0"/>
        <v>成交量减少</v>
      </c>
    </row>
    <row r="16" spans="1:7" ht="20.100000000000001" customHeight="1" x14ac:dyDescent="0.15">
      <c r="A16" s="5">
        <v>40525</v>
      </c>
      <c r="B16" s="6">
        <v>16.11</v>
      </c>
      <c r="C16" s="6">
        <v>16.829999999999998</v>
      </c>
      <c r="D16" s="6">
        <v>16.11</v>
      </c>
      <c r="E16" s="6">
        <v>16.7</v>
      </c>
      <c r="F16" s="7">
        <v>17288407</v>
      </c>
      <c r="G16" t="str">
        <f t="shared" si="0"/>
        <v>成交量放大</v>
      </c>
    </row>
    <row r="17" spans="1:7" ht="20.100000000000001" customHeight="1" x14ac:dyDescent="0.15">
      <c r="A17" s="5">
        <v>40526</v>
      </c>
      <c r="B17" s="6">
        <v>16.79</v>
      </c>
      <c r="C17" s="6">
        <v>16.8</v>
      </c>
      <c r="D17" s="6">
        <v>16.45</v>
      </c>
      <c r="E17" s="6">
        <v>16.59</v>
      </c>
      <c r="F17" s="7">
        <v>8761890</v>
      </c>
      <c r="G17" t="str">
        <f t="shared" si="0"/>
        <v>成交量减少</v>
      </c>
    </row>
    <row r="18" spans="1:7" ht="20.100000000000001" customHeight="1" x14ac:dyDescent="0.15">
      <c r="A18" s="5">
        <v>40527</v>
      </c>
      <c r="B18" s="6">
        <v>16.59</v>
      </c>
      <c r="C18" s="6">
        <v>16.920000000000002</v>
      </c>
      <c r="D18" s="6">
        <v>16.399999999999999</v>
      </c>
      <c r="E18" s="6">
        <v>16.77</v>
      </c>
      <c r="F18" s="7">
        <v>12760389</v>
      </c>
      <c r="G18" t="str">
        <f t="shared" si="0"/>
        <v>成交量减少</v>
      </c>
    </row>
    <row r="19" spans="1:7" ht="20.100000000000001" customHeight="1" x14ac:dyDescent="0.15">
      <c r="A19" s="5">
        <v>40528</v>
      </c>
      <c r="B19" s="6">
        <v>16.8</v>
      </c>
      <c r="C19" s="6">
        <v>17.399999999999999</v>
      </c>
      <c r="D19" s="6">
        <v>16.61</v>
      </c>
      <c r="E19" s="6">
        <v>17.14</v>
      </c>
      <c r="F19" s="7">
        <v>16845024</v>
      </c>
      <c r="G19" t="str">
        <f t="shared" si="0"/>
        <v>成交量放大</v>
      </c>
    </row>
    <row r="20" spans="1:7" ht="20.100000000000001" customHeight="1" x14ac:dyDescent="0.15">
      <c r="A20" s="5">
        <v>40529</v>
      </c>
      <c r="B20" s="6">
        <v>17.190000000000001</v>
      </c>
      <c r="C20" s="6">
        <v>17.27</v>
      </c>
      <c r="D20" s="6">
        <v>16.7</v>
      </c>
      <c r="E20" s="6">
        <v>16.899999999999999</v>
      </c>
      <c r="F20" s="7">
        <v>11100594</v>
      </c>
      <c r="G20" t="str">
        <f t="shared" si="0"/>
        <v>成交量减少</v>
      </c>
    </row>
    <row r="21" spans="1:7" ht="20.100000000000001" customHeight="1" x14ac:dyDescent="0.15">
      <c r="A21" s="5">
        <v>40532</v>
      </c>
      <c r="B21" s="6">
        <v>16.78</v>
      </c>
      <c r="C21" s="6">
        <v>16.989999999999998</v>
      </c>
      <c r="D21" s="6">
        <v>15.9</v>
      </c>
      <c r="E21" s="6">
        <v>16.46</v>
      </c>
      <c r="F21" s="7">
        <v>12585494</v>
      </c>
      <c r="G21" t="str">
        <f t="shared" si="0"/>
        <v>成交量减少</v>
      </c>
    </row>
    <row r="22" spans="1:7" ht="20.100000000000001" customHeight="1" thickBot="1" x14ac:dyDescent="0.2">
      <c r="A22" s="8">
        <v>40533</v>
      </c>
      <c r="B22" s="9">
        <v>16.5</v>
      </c>
      <c r="C22" s="9">
        <v>16.920000000000002</v>
      </c>
      <c r="D22" s="9">
        <v>16.27</v>
      </c>
      <c r="E22" s="9">
        <v>16.71</v>
      </c>
      <c r="F22" s="10">
        <v>8307855</v>
      </c>
      <c r="G22" t="str">
        <f t="shared" si="0"/>
        <v>成交量减少</v>
      </c>
    </row>
    <row r="23" spans="1:7" ht="15" thickTop="1" x14ac:dyDescent="0.15">
      <c r="A23" s="11" t="s">
        <v>9</v>
      </c>
      <c r="B23" s="12">
        <f>AVERAGE(B3:B22)</f>
        <v>16.137999999999998</v>
      </c>
      <c r="C23" s="12">
        <f t="shared" ref="C23:E23" si="1">AVERAGE(C3:C22)</f>
        <v>16.577500000000001</v>
      </c>
      <c r="D23" s="12">
        <f t="shared" si="1"/>
        <v>15.797999999999996</v>
      </c>
      <c r="E23" s="12">
        <f t="shared" si="1"/>
        <v>16.237999999999992</v>
      </c>
      <c r="G23" s="14">
        <f>COUNTIF(G3:G22,G3)</f>
        <v>8</v>
      </c>
    </row>
  </sheetData>
  <mergeCells count="1">
    <mergeCell ref="A1:F1"/>
  </mergeCells>
  <phoneticPr fontId="3" type="noConversion"/>
  <pageMargins left="0.75" right="0.75" top="1" bottom="1" header="0.5" footer="0.5"/>
  <pageSetup paperSize="9" orientation="portrait" horizontalDpi="96" verticalDpi="96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opLeftCell="A13" workbookViewId="0">
      <selection activeCell="H6" sqref="H6"/>
    </sheetView>
  </sheetViews>
  <sheetFormatPr defaultRowHeight="14.25" x14ac:dyDescent="0.15"/>
  <cols>
    <col min="1" max="1" width="15.625" customWidth="1"/>
  </cols>
  <sheetData>
    <row r="1" spans="1:6" ht="24.95" customHeight="1" thickBot="1" x14ac:dyDescent="0.2">
      <c r="A1" s="16" t="s">
        <v>7</v>
      </c>
      <c r="B1" s="16"/>
      <c r="C1" s="16"/>
      <c r="D1" s="16"/>
      <c r="E1" s="16"/>
      <c r="F1" s="16"/>
    </row>
    <row r="2" spans="1:6" ht="20.100000000000001" customHeight="1" thickTop="1" x14ac:dyDescent="0.1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8</v>
      </c>
    </row>
    <row r="3" spans="1:6" ht="20.100000000000001" customHeight="1" x14ac:dyDescent="0.15">
      <c r="A3" s="5">
        <v>40506</v>
      </c>
      <c r="B3" s="6">
        <v>14.92</v>
      </c>
      <c r="C3" s="6">
        <v>16.37</v>
      </c>
      <c r="D3" s="6">
        <v>14.92</v>
      </c>
      <c r="E3" s="6">
        <v>16.25</v>
      </c>
      <c r="F3" s="7">
        <v>26201118</v>
      </c>
    </row>
    <row r="4" spans="1:6" ht="20.100000000000001" customHeight="1" x14ac:dyDescent="0.15">
      <c r="A4" s="5">
        <v>40507</v>
      </c>
      <c r="B4" s="6">
        <v>16.079999999999998</v>
      </c>
      <c r="C4" s="6">
        <v>16.899999999999999</v>
      </c>
      <c r="D4" s="6">
        <v>15.97</v>
      </c>
      <c r="E4" s="6">
        <v>16.29</v>
      </c>
      <c r="F4" s="7">
        <v>30161606</v>
      </c>
    </row>
    <row r="5" spans="1:6" ht="20.100000000000001" customHeight="1" x14ac:dyDescent="0.15">
      <c r="A5" s="5">
        <v>40508</v>
      </c>
      <c r="B5" s="6">
        <v>16.28</v>
      </c>
      <c r="C5" s="6">
        <v>16.84</v>
      </c>
      <c r="D5" s="6">
        <v>16.100000000000001</v>
      </c>
      <c r="E5" s="6">
        <v>16.78</v>
      </c>
      <c r="F5" s="7">
        <v>20994649</v>
      </c>
    </row>
    <row r="6" spans="1:6" ht="20.100000000000001" customHeight="1" x14ac:dyDescent="0.15">
      <c r="A6" s="5">
        <v>40511</v>
      </c>
      <c r="B6" s="6">
        <v>16.8</v>
      </c>
      <c r="C6" s="6">
        <v>17.03</v>
      </c>
      <c r="D6" s="6">
        <v>16.37</v>
      </c>
      <c r="E6" s="6">
        <v>16.68</v>
      </c>
      <c r="F6" s="7">
        <v>19428792</v>
      </c>
    </row>
    <row r="7" spans="1:6" ht="20.100000000000001" customHeight="1" x14ac:dyDescent="0.15">
      <c r="A7" s="5">
        <v>40512</v>
      </c>
      <c r="B7" s="6">
        <v>16.7</v>
      </c>
      <c r="C7" s="6">
        <v>16.8</v>
      </c>
      <c r="D7" s="6">
        <v>15.35</v>
      </c>
      <c r="E7" s="6">
        <v>15.88</v>
      </c>
      <c r="F7" s="7">
        <v>25357956</v>
      </c>
    </row>
    <row r="8" spans="1:6" ht="20.100000000000001" customHeight="1" x14ac:dyDescent="0.15">
      <c r="A8" s="5">
        <v>40513</v>
      </c>
      <c r="B8" s="6">
        <v>15.8</v>
      </c>
      <c r="C8" s="6">
        <v>16.22</v>
      </c>
      <c r="D8" s="6">
        <v>15.58</v>
      </c>
      <c r="E8" s="6">
        <v>15.9</v>
      </c>
      <c r="F8" s="7">
        <v>10866860</v>
      </c>
    </row>
    <row r="9" spans="1:6" ht="20.100000000000001" customHeight="1" x14ac:dyDescent="0.15">
      <c r="A9" s="5">
        <v>40514</v>
      </c>
      <c r="B9" s="6">
        <v>16.03</v>
      </c>
      <c r="C9" s="6">
        <v>16.489999999999998</v>
      </c>
      <c r="D9" s="6">
        <v>15.95</v>
      </c>
      <c r="E9" s="6">
        <v>15.96</v>
      </c>
      <c r="F9" s="7">
        <v>12780772</v>
      </c>
    </row>
    <row r="10" spans="1:6" ht="20.100000000000001" customHeight="1" x14ac:dyDescent="0.15">
      <c r="A10" s="5">
        <v>40515</v>
      </c>
      <c r="B10" s="6">
        <v>16</v>
      </c>
      <c r="C10" s="6">
        <v>16.27</v>
      </c>
      <c r="D10" s="6">
        <v>15.51</v>
      </c>
      <c r="E10" s="6">
        <v>15.88</v>
      </c>
      <c r="F10" s="7">
        <v>10907941</v>
      </c>
    </row>
    <row r="11" spans="1:6" ht="20.100000000000001" customHeight="1" x14ac:dyDescent="0.15">
      <c r="A11" s="5">
        <v>40518</v>
      </c>
      <c r="B11" s="6">
        <v>15.9</v>
      </c>
      <c r="C11" s="6">
        <v>16</v>
      </c>
      <c r="D11" s="6">
        <v>15.15</v>
      </c>
      <c r="E11" s="6">
        <v>15.25</v>
      </c>
      <c r="F11" s="7">
        <v>15462756</v>
      </c>
    </row>
    <row r="12" spans="1:6" ht="20.100000000000001" customHeight="1" x14ac:dyDescent="0.15">
      <c r="A12" s="5">
        <v>40519</v>
      </c>
      <c r="B12" s="6">
        <v>15.2</v>
      </c>
      <c r="C12" s="6">
        <v>15.79</v>
      </c>
      <c r="D12" s="6">
        <v>14.81</v>
      </c>
      <c r="E12" s="6">
        <v>15.7</v>
      </c>
      <c r="F12" s="7">
        <v>10300380</v>
      </c>
    </row>
    <row r="13" spans="1:6" ht="20.100000000000001" customHeight="1" x14ac:dyDescent="0.15">
      <c r="A13" s="5">
        <v>40520</v>
      </c>
      <c r="B13" s="6">
        <v>15.6</v>
      </c>
      <c r="C13" s="6">
        <v>15.86</v>
      </c>
      <c r="D13" s="6">
        <v>15.45</v>
      </c>
      <c r="E13" s="6">
        <v>15.57</v>
      </c>
      <c r="F13" s="7">
        <v>6602016</v>
      </c>
    </row>
    <row r="14" spans="1:6" ht="20.100000000000001" customHeight="1" x14ac:dyDescent="0.15">
      <c r="A14" s="5">
        <v>40521</v>
      </c>
      <c r="B14" s="6">
        <v>15.42</v>
      </c>
      <c r="C14" s="6">
        <v>15.73</v>
      </c>
      <c r="D14" s="6">
        <v>15.16</v>
      </c>
      <c r="E14" s="6">
        <v>15.26</v>
      </c>
      <c r="F14" s="7">
        <v>6666985</v>
      </c>
    </row>
    <row r="15" spans="1:6" ht="20.100000000000001" customHeight="1" x14ac:dyDescent="0.15">
      <c r="A15" s="5">
        <v>40522</v>
      </c>
      <c r="B15" s="6">
        <v>15.27</v>
      </c>
      <c r="C15" s="6">
        <v>16.12</v>
      </c>
      <c r="D15" s="6">
        <v>15.2</v>
      </c>
      <c r="E15" s="6">
        <v>16.09</v>
      </c>
      <c r="F15" s="7">
        <v>13733690</v>
      </c>
    </row>
    <row r="16" spans="1:6" ht="20.100000000000001" customHeight="1" x14ac:dyDescent="0.15">
      <c r="A16" s="5">
        <v>40525</v>
      </c>
      <c r="B16" s="6">
        <v>16.11</v>
      </c>
      <c r="C16" s="6">
        <v>16.829999999999998</v>
      </c>
      <c r="D16" s="6">
        <v>16.11</v>
      </c>
      <c r="E16" s="6">
        <v>16.7</v>
      </c>
      <c r="F16" s="7">
        <v>17288407</v>
      </c>
    </row>
    <row r="17" spans="1:6" ht="20.100000000000001" customHeight="1" x14ac:dyDescent="0.15">
      <c r="A17" s="5">
        <v>40526</v>
      </c>
      <c r="B17" s="6">
        <v>16.79</v>
      </c>
      <c r="C17" s="6">
        <v>16.8</v>
      </c>
      <c r="D17" s="6">
        <v>16.45</v>
      </c>
      <c r="E17" s="6">
        <v>16.59</v>
      </c>
      <c r="F17" s="7">
        <v>8761890</v>
      </c>
    </row>
    <row r="18" spans="1:6" ht="20.100000000000001" customHeight="1" x14ac:dyDescent="0.15">
      <c r="A18" s="5">
        <v>40527</v>
      </c>
      <c r="B18" s="6">
        <v>16.59</v>
      </c>
      <c r="C18" s="6">
        <v>16.920000000000002</v>
      </c>
      <c r="D18" s="6">
        <v>16.399999999999999</v>
      </c>
      <c r="E18" s="6">
        <v>16.77</v>
      </c>
      <c r="F18" s="7">
        <v>12760389</v>
      </c>
    </row>
    <row r="19" spans="1:6" ht="20.100000000000001" customHeight="1" x14ac:dyDescent="0.15">
      <c r="A19" s="5">
        <v>40528</v>
      </c>
      <c r="B19" s="6">
        <v>16.8</v>
      </c>
      <c r="C19" s="6">
        <v>17.399999999999999</v>
      </c>
      <c r="D19" s="6">
        <v>16.61</v>
      </c>
      <c r="E19" s="6">
        <v>17.14</v>
      </c>
      <c r="F19" s="7">
        <v>16845024</v>
      </c>
    </row>
    <row r="20" spans="1:6" ht="20.100000000000001" customHeight="1" x14ac:dyDescent="0.15">
      <c r="A20" s="5">
        <v>40529</v>
      </c>
      <c r="B20" s="6">
        <v>17.190000000000001</v>
      </c>
      <c r="C20" s="6">
        <v>17.27</v>
      </c>
      <c r="D20" s="6">
        <v>16.7</v>
      </c>
      <c r="E20" s="6">
        <v>16.899999999999999</v>
      </c>
      <c r="F20" s="7">
        <v>11100594</v>
      </c>
    </row>
    <row r="21" spans="1:6" ht="20.100000000000001" customHeight="1" x14ac:dyDescent="0.15">
      <c r="A21" s="5">
        <v>40532</v>
      </c>
      <c r="B21" s="6">
        <v>16.78</v>
      </c>
      <c r="C21" s="6">
        <v>16.989999999999998</v>
      </c>
      <c r="D21" s="6">
        <v>15.9</v>
      </c>
      <c r="E21" s="6">
        <v>16.46</v>
      </c>
      <c r="F21" s="7">
        <v>12585494</v>
      </c>
    </row>
    <row r="22" spans="1:6" ht="20.100000000000001" customHeight="1" thickBot="1" x14ac:dyDescent="0.2">
      <c r="A22" s="8">
        <v>40533</v>
      </c>
      <c r="B22" s="9">
        <v>16.5</v>
      </c>
      <c r="C22" s="9">
        <v>16.920000000000002</v>
      </c>
      <c r="D22" s="9">
        <v>16.27</v>
      </c>
      <c r="E22" s="9">
        <v>16.71</v>
      </c>
      <c r="F22" s="10">
        <v>8307855</v>
      </c>
    </row>
    <row r="23" spans="1:6" ht="15" thickTop="1" x14ac:dyDescent="0.15"/>
  </sheetData>
  <mergeCells count="1">
    <mergeCell ref="A1:F1"/>
  </mergeCells>
  <phoneticPr fontId="1" type="noConversion"/>
  <pageMargins left="0.75" right="0.75" top="1" bottom="1" header="0.5" footer="0.5"/>
  <pageSetup paperSize="9" orientation="portrait" horizontalDpi="96" verticalDpi="96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中信证券</vt:lpstr>
      <vt:lpstr>数据统计</vt:lpstr>
      <vt:lpstr>华北制药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</dc:creator>
  <cp:lastModifiedBy>tt</cp:lastModifiedBy>
  <dcterms:created xsi:type="dcterms:W3CDTF">2011-11-02T02:24:42Z</dcterms:created>
  <dcterms:modified xsi:type="dcterms:W3CDTF">2012-10-15T01:55:30Z</dcterms:modified>
</cp:coreProperties>
</file>
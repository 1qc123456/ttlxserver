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70" windowWidth="14700" windowHeight="7680"/>
  </bookViews>
  <sheets>
    <sheet name="Sheet1" sheetId="1" r:id="rId1"/>
  </sheets>
  <calcPr calcId="145621"/>
  <pivotCaches>
    <pivotCache cacheId="1" r:id="rId2"/>
  </pivotCaches>
</workbook>
</file>

<file path=xl/calcChain.xml><?xml version="1.0" encoding="utf-8"?>
<calcChain xmlns="http://schemas.openxmlformats.org/spreadsheetml/2006/main">
  <c r="D20" i="1" l="1"/>
</calcChain>
</file>

<file path=xl/sharedStrings.xml><?xml version="1.0" encoding="utf-8"?>
<sst xmlns="http://schemas.openxmlformats.org/spreadsheetml/2006/main" count="70" uniqueCount="35">
  <si>
    <t>姓名</t>
  </si>
  <si>
    <t>编制</t>
  </si>
  <si>
    <t>职称</t>
  </si>
  <si>
    <t xml:space="preserve"> 工资 </t>
  </si>
  <si>
    <t>李志刚</t>
  </si>
  <si>
    <t>干部</t>
  </si>
  <si>
    <t>助工</t>
  </si>
  <si>
    <t>张林淹</t>
  </si>
  <si>
    <t>临时工</t>
  </si>
  <si>
    <t>工人</t>
  </si>
  <si>
    <t>毛小峰</t>
  </si>
  <si>
    <t>合同工</t>
  </si>
  <si>
    <t>钱大成</t>
  </si>
  <si>
    <t>工程师</t>
  </si>
  <si>
    <t>郭小峰</t>
  </si>
  <si>
    <t>何进</t>
  </si>
  <si>
    <t>正式工</t>
  </si>
  <si>
    <t>陈云竹</t>
  </si>
  <si>
    <t>金亦坚</t>
  </si>
  <si>
    <t>高工</t>
  </si>
  <si>
    <t>张小云</t>
  </si>
  <si>
    <t>沈云秀</t>
  </si>
  <si>
    <t>陈良</t>
  </si>
  <si>
    <t>朱宇强</t>
  </si>
  <si>
    <t>陈大来</t>
  </si>
  <si>
    <t>刀立霞</t>
  </si>
  <si>
    <t>陈水君</t>
  </si>
  <si>
    <t>段志强</t>
  </si>
  <si>
    <t>张雷</t>
  </si>
  <si>
    <t>合计</t>
    <phoneticPr fontId="1" type="noConversion"/>
  </si>
  <si>
    <t>行标签</t>
  </si>
  <si>
    <t>总计</t>
  </si>
  <si>
    <t>列标签</t>
  </si>
  <si>
    <t>计数项:编制</t>
  </si>
  <si>
    <t>工资情况表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</si>
</sst>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7" formatCode="&quot;¥&quot;#,##0.00;&quot;¥&quot;\-#,##0.00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i/>
      <sz val="2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>
      <alignment vertical="center"/>
    </xf>
    <xf numFmtId="0" fontId="2" fillId="2" borderId="1" applyNumberFormat="0" applyAlignment="0" applyProtection="0">
      <alignment vertical="center"/>
    </xf>
  </cellStyleXfs>
  <cellXfs count="7">
    <xf numFmtId="0" fontId="0" fillId="0" borderId="0" xfId="0">
      <alignment vertical="center"/>
    </xf>
    <xf numFmtId="7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2" fillId="2" borderId="1" xfId="1">
      <alignment vertical="center"/>
    </xf>
    <xf numFmtId="0" fontId="3" fillId="0" borderId="0" xfId="0" applyFont="1" applyAlignment="1">
      <alignment horizontal="center" vertical="center"/>
    </xf>
  </cellXfs>
  <cellStyles count="2">
    <cellStyle name="常规" xfId="0" builtinId="0"/>
    <cellStyle name="计算" xfId="1" builtinId="22"/>
  </cellStyles>
  <dxfs count="1">
    <dxf>
      <numFmt numFmtId="11" formatCode="&quot;¥&quot;#,##0.00;&quot;¥&quot;\-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微软雅黑" panose="020B0503020204020204" pitchFamily="34" charset="-122"/>
                <a:ea typeface="微软雅黑" panose="020B0503020204020204" pitchFamily="34" charset="-122"/>
              </a:defRPr>
            </a:pPr>
            <a:r>
              <a:rPr lang="zh-CN" altLang="en-US">
                <a:latin typeface="微软雅黑" panose="020B0503020204020204" pitchFamily="34" charset="-122"/>
                <a:ea typeface="微软雅黑" panose="020B0503020204020204" pitchFamily="34" charset="-122"/>
              </a:rPr>
              <a:t> </a:t>
            </a:r>
            <a:r>
              <a:rPr lang="zh-CN" altLang="zh-CN" sz="1800" b="1" i="0" u="none" strike="noStrike" baseline="0">
                <a:effectLst/>
                <a:latin typeface="微软雅黑" panose="020B0503020204020204" pitchFamily="34" charset="-122"/>
                <a:ea typeface="微软雅黑" panose="020B0503020204020204" pitchFamily="34" charset="-122"/>
              </a:rPr>
              <a:t>工资情况统计图</a:t>
            </a:r>
            <a:r>
              <a:rPr lang="zh-CN" altLang="en-US">
                <a:latin typeface="微软雅黑" panose="020B0503020204020204" pitchFamily="34" charset="-122"/>
                <a:ea typeface="微软雅黑" panose="020B0503020204020204" pitchFamily="34" charset="-122"/>
              </a:rPr>
              <a:t> 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 工资 </c:v>
                </c:pt>
              </c:strCache>
            </c:strRef>
          </c:tx>
          <c:invertIfNegative val="0"/>
          <c:cat>
            <c:strRef>
              <c:f>Sheet1!$A$3:$A$19</c:f>
              <c:strCache>
                <c:ptCount val="17"/>
                <c:pt idx="0">
                  <c:v>李志刚</c:v>
                </c:pt>
                <c:pt idx="1">
                  <c:v>张林淹</c:v>
                </c:pt>
                <c:pt idx="2">
                  <c:v>毛小峰</c:v>
                </c:pt>
                <c:pt idx="3">
                  <c:v>钱大成</c:v>
                </c:pt>
                <c:pt idx="4">
                  <c:v>郭小峰</c:v>
                </c:pt>
                <c:pt idx="5">
                  <c:v>何进</c:v>
                </c:pt>
                <c:pt idx="6">
                  <c:v>陈云竹</c:v>
                </c:pt>
                <c:pt idx="7">
                  <c:v>金亦坚</c:v>
                </c:pt>
                <c:pt idx="8">
                  <c:v>张小云</c:v>
                </c:pt>
                <c:pt idx="9">
                  <c:v>沈云秀</c:v>
                </c:pt>
                <c:pt idx="10">
                  <c:v>陈良</c:v>
                </c:pt>
                <c:pt idx="11">
                  <c:v>朱宇强</c:v>
                </c:pt>
                <c:pt idx="12">
                  <c:v>陈大来</c:v>
                </c:pt>
                <c:pt idx="13">
                  <c:v>刀立霞</c:v>
                </c:pt>
                <c:pt idx="14">
                  <c:v>陈水君</c:v>
                </c:pt>
                <c:pt idx="15">
                  <c:v>段志强</c:v>
                </c:pt>
                <c:pt idx="16">
                  <c:v>张雷</c:v>
                </c:pt>
              </c:strCache>
            </c:strRef>
          </c:cat>
          <c:val>
            <c:numRef>
              <c:f>Sheet1!$D$3:$D$19</c:f>
              <c:numCache>
                <c:formatCode>"¥"#,##0.00_);\("¥"#,##0.00\)</c:formatCode>
                <c:ptCount val="17"/>
                <c:pt idx="0">
                  <c:v>249.19</c:v>
                </c:pt>
                <c:pt idx="1">
                  <c:v>200.72</c:v>
                </c:pt>
                <c:pt idx="2">
                  <c:v>608.88</c:v>
                </c:pt>
                <c:pt idx="3">
                  <c:v>395.65</c:v>
                </c:pt>
                <c:pt idx="4">
                  <c:v>207.5</c:v>
                </c:pt>
                <c:pt idx="5">
                  <c:v>435.66</c:v>
                </c:pt>
                <c:pt idx="6">
                  <c:v>234.55</c:v>
                </c:pt>
                <c:pt idx="7">
                  <c:v>565.75</c:v>
                </c:pt>
                <c:pt idx="8">
                  <c:v>300.95</c:v>
                </c:pt>
                <c:pt idx="9">
                  <c:v>401.88</c:v>
                </c:pt>
                <c:pt idx="10">
                  <c:v>395.97</c:v>
                </c:pt>
                <c:pt idx="11">
                  <c:v>657.54</c:v>
                </c:pt>
                <c:pt idx="12">
                  <c:v>300.12</c:v>
                </c:pt>
                <c:pt idx="13">
                  <c:v>299.88</c:v>
                </c:pt>
                <c:pt idx="14">
                  <c:v>345.65</c:v>
                </c:pt>
                <c:pt idx="15">
                  <c:v>300.5</c:v>
                </c:pt>
                <c:pt idx="16">
                  <c:v>312.51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693440"/>
        <c:axId val="206954496"/>
      </c:barChart>
      <c:catAx>
        <c:axId val="201693440"/>
        <c:scaling>
          <c:orientation val="minMax"/>
        </c:scaling>
        <c:delete val="0"/>
        <c:axPos val="b"/>
        <c:majorTickMark val="out"/>
        <c:minorTickMark val="none"/>
        <c:tickLblPos val="nextTo"/>
        <c:crossAx val="206954496"/>
        <c:crosses val="autoZero"/>
        <c:auto val="1"/>
        <c:lblAlgn val="ctr"/>
        <c:lblOffset val="100"/>
        <c:noMultiLvlLbl val="0"/>
      </c:catAx>
      <c:valAx>
        <c:axId val="206954496"/>
        <c:scaling>
          <c:orientation val="minMax"/>
        </c:scaling>
        <c:delete val="0"/>
        <c:axPos val="l"/>
        <c:majorGridlines/>
        <c:numFmt formatCode="&quot;¥&quot;#,##0.00_);\(&quot;¥&quot;#,##0.00\)" sourceLinked="1"/>
        <c:majorTickMark val="out"/>
        <c:minorTickMark val="none"/>
        <c:tickLblPos val="nextTo"/>
        <c:crossAx val="20169344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633412</xdr:colOff>
      <xdr:row>21</xdr:row>
      <xdr:rowOff>133350</xdr:rowOff>
    </xdr:from>
    <xdr:to>
      <xdr:col>7</xdr:col>
      <xdr:colOff>290512</xdr:colOff>
      <xdr:row>37</xdr:row>
      <xdr:rowOff>133350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tlx" refreshedDate="44274.560337152776" createdVersion="4" refreshedVersion="4" minRefreshableVersion="3" recordCount="17">
  <cacheSource type="worksheet">
    <worksheetSource ref="A2:D19" sheet="Sheet1"/>
  </cacheSource>
  <cacheFields count="4">
    <cacheField name="姓名" numFmtId="0">
      <sharedItems count="17">
        <s v="李志刚"/>
        <s v="张林淹"/>
        <s v="毛小峰"/>
        <s v="钱大成"/>
        <s v="郭小峰"/>
        <s v="何进"/>
        <s v="陈云竹"/>
        <s v="金亦坚"/>
        <s v="张小云"/>
        <s v="沈云秀"/>
        <s v="陈良"/>
        <s v="朱宇强"/>
        <s v="陈大来"/>
        <s v="刀立霞"/>
        <s v="陈水君"/>
        <s v="段志强"/>
        <s v="张雷"/>
      </sharedItems>
    </cacheField>
    <cacheField name="编制" numFmtId="0">
      <sharedItems count="4">
        <s v="干部"/>
        <s v="临时工"/>
        <s v="合同工"/>
        <s v="正式工"/>
      </sharedItems>
    </cacheField>
    <cacheField name="职称" numFmtId="0">
      <sharedItems count="4">
        <s v="助工"/>
        <s v="工人"/>
        <s v="工程师"/>
        <s v="高工"/>
      </sharedItems>
    </cacheField>
    <cacheField name=" 工资 " numFmtId="7">
      <sharedItems containsSemiMixedTypes="0" containsString="0" containsNumber="1" minValue="200.72" maxValue="657.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">
  <r>
    <x v="0"/>
    <x v="0"/>
    <x v="0"/>
    <n v="249.19"/>
  </r>
  <r>
    <x v="1"/>
    <x v="1"/>
    <x v="1"/>
    <n v="200.72"/>
  </r>
  <r>
    <x v="2"/>
    <x v="2"/>
    <x v="1"/>
    <n v="608.88"/>
  </r>
  <r>
    <x v="3"/>
    <x v="0"/>
    <x v="2"/>
    <n v="395.65"/>
  </r>
  <r>
    <x v="4"/>
    <x v="1"/>
    <x v="1"/>
    <n v="207.5"/>
  </r>
  <r>
    <x v="5"/>
    <x v="3"/>
    <x v="0"/>
    <n v="435.66"/>
  </r>
  <r>
    <x v="6"/>
    <x v="2"/>
    <x v="1"/>
    <n v="234.55"/>
  </r>
  <r>
    <x v="7"/>
    <x v="0"/>
    <x v="3"/>
    <n v="565.75"/>
  </r>
  <r>
    <x v="8"/>
    <x v="3"/>
    <x v="1"/>
    <n v="300.95"/>
  </r>
  <r>
    <x v="9"/>
    <x v="0"/>
    <x v="2"/>
    <n v="401.88"/>
  </r>
  <r>
    <x v="10"/>
    <x v="1"/>
    <x v="2"/>
    <n v="395.97"/>
  </r>
  <r>
    <x v="11"/>
    <x v="2"/>
    <x v="0"/>
    <n v="657.54"/>
  </r>
  <r>
    <x v="12"/>
    <x v="0"/>
    <x v="2"/>
    <n v="300.12"/>
  </r>
  <r>
    <x v="13"/>
    <x v="3"/>
    <x v="2"/>
    <n v="299.88"/>
  </r>
  <r>
    <x v="14"/>
    <x v="1"/>
    <x v="1"/>
    <n v="345.65"/>
  </r>
  <r>
    <x v="15"/>
    <x v="2"/>
    <x v="0"/>
    <n v="300.5"/>
  </r>
  <r>
    <x v="16"/>
    <x v="1"/>
    <x v="1"/>
    <n v="312.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1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F2:K8" firstHeaderRow="1" firstDataRow="2" firstDataCol="1"/>
  <pivotFields count="4">
    <pivotField showAll="0">
      <items count="18">
        <item x="12"/>
        <item x="10"/>
        <item x="14"/>
        <item x="6"/>
        <item x="13"/>
        <item x="15"/>
        <item x="4"/>
        <item x="5"/>
        <item x="7"/>
        <item x="0"/>
        <item x="2"/>
        <item x="3"/>
        <item x="9"/>
        <item x="16"/>
        <item x="1"/>
        <item x="8"/>
        <item x="11"/>
        <item t="default"/>
      </items>
    </pivotField>
    <pivotField axis="axisCol" dataField="1" showAll="0">
      <items count="5">
        <item x="0"/>
        <item x="2"/>
        <item x="1"/>
        <item x="3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numFmtId="7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计数项:编制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2:D20" totalsRowShown="0">
  <autoFilter ref="A2:D20"/>
  <tableColumns count="4">
    <tableColumn id="1" name="姓名"/>
    <tableColumn id="2" name="编制"/>
    <tableColumn id="3" name="职称"/>
    <tableColumn id="4" name=" 工资 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topLeftCell="A7" workbookViewId="0">
      <selection activeCell="G16" sqref="G16"/>
    </sheetView>
  </sheetViews>
  <sheetFormatPr defaultRowHeight="13.5" x14ac:dyDescent="0.15"/>
  <cols>
    <col min="4" max="4" width="10.5" bestFit="1" customWidth="1"/>
    <col min="6" max="6" width="13.125" customWidth="1"/>
    <col min="7" max="7" width="9.75" customWidth="1"/>
    <col min="8" max="10" width="7.75" customWidth="1"/>
    <col min="11" max="11" width="5.75" customWidth="1"/>
    <col min="12" max="13" width="7.75" customWidth="1"/>
    <col min="14" max="14" width="5.75" customWidth="1"/>
    <col min="15" max="19" width="7.75" customWidth="1"/>
    <col min="20" max="20" width="5.75" customWidth="1"/>
    <col min="21" max="23" width="7.75" customWidth="1"/>
    <col min="24" max="25" width="5.75" customWidth="1"/>
    <col min="26" max="26" width="7.75" customWidth="1"/>
    <col min="27" max="27" width="13.125" bestFit="1" customWidth="1"/>
    <col min="28" max="28" width="5.75" customWidth="1"/>
  </cols>
  <sheetData>
    <row r="1" spans="1:11" ht="29.25" x14ac:dyDescent="0.15">
      <c r="A1" s="6" t="s">
        <v>34</v>
      </c>
      <c r="B1" s="6"/>
      <c r="C1" s="6"/>
      <c r="D1" s="6"/>
    </row>
    <row r="2" spans="1:11" x14ac:dyDescent="0.15">
      <c r="A2" t="s">
        <v>0</v>
      </c>
      <c r="B2" t="s">
        <v>1</v>
      </c>
      <c r="C2" t="s">
        <v>2</v>
      </c>
      <c r="D2" t="s">
        <v>3</v>
      </c>
      <c r="F2" s="2" t="s">
        <v>33</v>
      </c>
      <c r="G2" s="2" t="s">
        <v>32</v>
      </c>
    </row>
    <row r="3" spans="1:11" x14ac:dyDescent="0.15">
      <c r="A3" t="s">
        <v>4</v>
      </c>
      <c r="B3" t="s">
        <v>5</v>
      </c>
      <c r="C3" t="s">
        <v>6</v>
      </c>
      <c r="D3" s="1">
        <v>249.19</v>
      </c>
      <c r="F3" s="2" t="s">
        <v>30</v>
      </c>
      <c r="G3" t="s">
        <v>5</v>
      </c>
      <c r="H3" t="s">
        <v>11</v>
      </c>
      <c r="I3" t="s">
        <v>8</v>
      </c>
      <c r="J3" t="s">
        <v>16</v>
      </c>
      <c r="K3" t="s">
        <v>31</v>
      </c>
    </row>
    <row r="4" spans="1:11" x14ac:dyDescent="0.15">
      <c r="A4" t="s">
        <v>7</v>
      </c>
      <c r="B4" t="s">
        <v>8</v>
      </c>
      <c r="C4" t="s">
        <v>9</v>
      </c>
      <c r="D4" s="1">
        <v>200.72</v>
      </c>
      <c r="F4" s="3" t="s">
        <v>19</v>
      </c>
      <c r="G4" s="4">
        <v>1</v>
      </c>
      <c r="H4" s="4"/>
      <c r="I4" s="4"/>
      <c r="J4" s="4"/>
      <c r="K4" s="4">
        <v>1</v>
      </c>
    </row>
    <row r="5" spans="1:11" x14ac:dyDescent="0.15">
      <c r="A5" t="s">
        <v>10</v>
      </c>
      <c r="B5" t="s">
        <v>11</v>
      </c>
      <c r="C5" t="s">
        <v>9</v>
      </c>
      <c r="D5" s="1">
        <v>608.88</v>
      </c>
      <c r="F5" s="3" t="s">
        <v>13</v>
      </c>
      <c r="G5" s="4">
        <v>3</v>
      </c>
      <c r="H5" s="4"/>
      <c r="I5" s="4">
        <v>1</v>
      </c>
      <c r="J5" s="4">
        <v>1</v>
      </c>
      <c r="K5" s="4">
        <v>5</v>
      </c>
    </row>
    <row r="6" spans="1:11" x14ac:dyDescent="0.15">
      <c r="A6" t="s">
        <v>12</v>
      </c>
      <c r="B6" t="s">
        <v>5</v>
      </c>
      <c r="C6" t="s">
        <v>13</v>
      </c>
      <c r="D6" s="1">
        <v>395.65</v>
      </c>
      <c r="F6" s="3" t="s">
        <v>9</v>
      </c>
      <c r="G6" s="4"/>
      <c r="H6" s="4">
        <v>2</v>
      </c>
      <c r="I6" s="4">
        <v>4</v>
      </c>
      <c r="J6" s="4">
        <v>1</v>
      </c>
      <c r="K6" s="4">
        <v>7</v>
      </c>
    </row>
    <row r="7" spans="1:11" x14ac:dyDescent="0.15">
      <c r="A7" t="s">
        <v>14</v>
      </c>
      <c r="B7" t="s">
        <v>8</v>
      </c>
      <c r="C7" t="s">
        <v>9</v>
      </c>
      <c r="D7" s="1">
        <v>207.5</v>
      </c>
      <c r="F7" s="3" t="s">
        <v>6</v>
      </c>
      <c r="G7" s="4">
        <v>1</v>
      </c>
      <c r="H7" s="4">
        <v>2</v>
      </c>
      <c r="I7" s="4"/>
      <c r="J7" s="4">
        <v>1</v>
      </c>
      <c r="K7" s="4">
        <v>4</v>
      </c>
    </row>
    <row r="8" spans="1:11" x14ac:dyDescent="0.15">
      <c r="A8" t="s">
        <v>15</v>
      </c>
      <c r="B8" t="s">
        <v>16</v>
      </c>
      <c r="C8" t="s">
        <v>6</v>
      </c>
      <c r="D8" s="1">
        <v>435.66</v>
      </c>
      <c r="F8" s="3" t="s">
        <v>31</v>
      </c>
      <c r="G8" s="4">
        <v>5</v>
      </c>
      <c r="H8" s="4">
        <v>4</v>
      </c>
      <c r="I8" s="4">
        <v>5</v>
      </c>
      <c r="J8" s="4">
        <v>3</v>
      </c>
      <c r="K8" s="4">
        <v>17</v>
      </c>
    </row>
    <row r="9" spans="1:11" x14ac:dyDescent="0.15">
      <c r="A9" t="s">
        <v>17</v>
      </c>
      <c r="B9" t="s">
        <v>11</v>
      </c>
      <c r="C9" t="s">
        <v>9</v>
      </c>
      <c r="D9" s="1">
        <v>234.55</v>
      </c>
    </row>
    <row r="10" spans="1:11" x14ac:dyDescent="0.15">
      <c r="A10" t="s">
        <v>18</v>
      </c>
      <c r="B10" t="s">
        <v>5</v>
      </c>
      <c r="C10" t="s">
        <v>19</v>
      </c>
      <c r="D10" s="1">
        <v>565.75</v>
      </c>
    </row>
    <row r="11" spans="1:11" x14ac:dyDescent="0.15">
      <c r="A11" t="s">
        <v>20</v>
      </c>
      <c r="B11" t="s">
        <v>16</v>
      </c>
      <c r="C11" t="s">
        <v>9</v>
      </c>
      <c r="D11" s="1">
        <v>300.95</v>
      </c>
    </row>
    <row r="12" spans="1:11" x14ac:dyDescent="0.15">
      <c r="A12" t="s">
        <v>21</v>
      </c>
      <c r="B12" t="s">
        <v>5</v>
      </c>
      <c r="C12" t="s">
        <v>13</v>
      </c>
      <c r="D12" s="1">
        <v>401.88</v>
      </c>
    </row>
    <row r="13" spans="1:11" x14ac:dyDescent="0.15">
      <c r="A13" t="s">
        <v>22</v>
      </c>
      <c r="B13" t="s">
        <v>8</v>
      </c>
      <c r="C13" t="s">
        <v>13</v>
      </c>
      <c r="D13" s="1">
        <v>395.97</v>
      </c>
    </row>
    <row r="14" spans="1:11" x14ac:dyDescent="0.15">
      <c r="A14" t="s">
        <v>23</v>
      </c>
      <c r="B14" t="s">
        <v>11</v>
      </c>
      <c r="C14" t="s">
        <v>6</v>
      </c>
      <c r="D14" s="1">
        <v>657.54</v>
      </c>
    </row>
    <row r="15" spans="1:11" x14ac:dyDescent="0.15">
      <c r="A15" t="s">
        <v>24</v>
      </c>
      <c r="B15" t="s">
        <v>5</v>
      </c>
      <c r="C15" t="s">
        <v>13</v>
      </c>
      <c r="D15" s="1">
        <v>300.12</v>
      </c>
    </row>
    <row r="16" spans="1:11" x14ac:dyDescent="0.15">
      <c r="A16" t="s">
        <v>25</v>
      </c>
      <c r="B16" t="s">
        <v>16</v>
      </c>
      <c r="C16" t="s">
        <v>13</v>
      </c>
      <c r="D16" s="1">
        <v>299.88</v>
      </c>
    </row>
    <row r="17" spans="1:4" x14ac:dyDescent="0.15">
      <c r="A17" t="s">
        <v>26</v>
      </c>
      <c r="B17" t="s">
        <v>8</v>
      </c>
      <c r="C17" t="s">
        <v>9</v>
      </c>
      <c r="D17" s="1">
        <v>345.65</v>
      </c>
    </row>
    <row r="18" spans="1:4" x14ac:dyDescent="0.15">
      <c r="A18" t="s">
        <v>27</v>
      </c>
      <c r="B18" t="s">
        <v>11</v>
      </c>
      <c r="C18" t="s">
        <v>6</v>
      </c>
      <c r="D18" s="1">
        <v>300.5</v>
      </c>
    </row>
    <row r="19" spans="1:4" x14ac:dyDescent="0.15">
      <c r="A19" t="s">
        <v>28</v>
      </c>
      <c r="B19" t="s">
        <v>8</v>
      </c>
      <c r="C19" t="s">
        <v>9</v>
      </c>
      <c r="D19" s="1">
        <v>312.51</v>
      </c>
    </row>
    <row r="20" spans="1:4" x14ac:dyDescent="0.15">
      <c r="A20" s="5" t="s">
        <v>29</v>
      </c>
      <c r="B20" s="5"/>
      <c r="C20" s="5"/>
      <c r="D20" s="5">
        <f>SUM(D3:D19)</f>
        <v>6212.9</v>
      </c>
    </row>
  </sheetData>
  <mergeCells count="1">
    <mergeCell ref="A1:D1"/>
  </mergeCells>
  <phoneticPr fontId="1" type="noConversion"/>
  <pageMargins left="0.7" right="0.7" top="0.75" bottom="0.75" header="0.3" footer="0.3"/>
  <pageSetup paperSize="256" orientation="portrait" horizontalDpi="203" verticalDpi="203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WwW.YlmF.CoM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Windows 用户</cp:lastModifiedBy>
  <dcterms:created xsi:type="dcterms:W3CDTF">2011-11-04T01:54:18Z</dcterms:created>
  <dcterms:modified xsi:type="dcterms:W3CDTF">2021-03-19T06:50:18Z</dcterms:modified>
</cp:coreProperties>
</file>
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学生成绩统计表" sheetId="1" r:id="rId1"/>
  </sheets>
  <calcPr calcId="144525"/>
  <pivotCaches>
    <pivotCache cacheId="0" r:id="rId2"/>
  </pivotCaches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  <c r="F4" i="1" l="1"/>
  <c r="F5" i="1"/>
  <c r="F6" i="1"/>
  <c r="F7" i="1"/>
  <c r="F8" i="1"/>
  <c r="F9" i="1"/>
  <c r="F10" i="1"/>
  <c r="F11" i="1"/>
  <c r="F12" i="1"/>
  <c r="F3" i="1"/>
  <c r="N37" i="1" l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<sst xmlns="http://schemas.openxmlformats.org/spreadsheetml/2006/main" count="152" uniqueCount="46">
  <si>
    <t>学生成绩统计表</t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</si>
  <si>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</si>
  <si>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</si>
  <si>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</si>
  <si>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</si>
  <si>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</si>
  <si>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</si>
  <si>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</si>
  <si>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学号</t>
  </si>
  <si>
    <t>笔试成绩（占40%）</t>
  </si>
  <si>
    <t>面试成绩（占20%）</t>
  </si>
  <si>
    <t>实验成绩（占40%）</t>
  </si>
  <si>
    <t>总成绩</t>
  </si>
  <si>
    <t>成绩排名</t>
  </si>
  <si>
    <t>西部2</t>
  </si>
  <si>
    <t>K-1</t>
  </si>
  <si>
    <t>空调</t>
  </si>
  <si>
    <t>S01</t>
  </si>
  <si>
    <t>南部3</t>
  </si>
  <si>
    <t>D-2</t>
  </si>
  <si>
    <t>电冰箱</t>
  </si>
  <si>
    <t>S02</t>
  </si>
  <si>
    <t>北部2</t>
  </si>
  <si>
    <t>S03</t>
  </si>
  <si>
    <t>东部3</t>
  </si>
  <si>
    <t>S04</t>
  </si>
  <si>
    <t>北部1</t>
  </si>
  <si>
    <t>D-1</t>
  </si>
  <si>
    <t>电视</t>
  </si>
  <si>
    <t>S05</t>
  </si>
  <si>
    <t>南部2</t>
  </si>
  <si>
    <t>S06</t>
  </si>
  <si>
    <t>S07</t>
  </si>
  <si>
    <t>东部2</t>
  </si>
  <si>
    <t>S08</t>
  </si>
  <si>
    <t>西部1</t>
  </si>
  <si>
    <t>S09</t>
  </si>
  <si>
    <t>S10</t>
  </si>
  <si>
    <t>西部3</t>
  </si>
  <si>
    <t>东部1</t>
  </si>
  <si>
    <t>南部1</t>
  </si>
  <si>
    <t>北部3</t>
  </si>
  <si>
    <t>行标签</t>
  </si>
  <si>
    <t>总计</t>
  </si>
  <si>
    <t>列标签</t>
  </si>
  <si>
    <t>求和项:销售额（万元）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</si>
</sst>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_ "/>
  </numFmts>
  <fonts count="3" x14ac:knownFonts="1"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0" borderId="0" xfId="0" applyNumberFormat="1"/>
    <xf numFmtId="177" fontId="0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学生成绩统计图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学生成绩统计表!$F$2</c:f>
              <c:strCache>
                <c:ptCount val="1"/>
                <c:pt idx="0">
                  <c:v>成绩排名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学生成绩统计表!$A$3:$A$12</c:f>
              <c:strCache>
                <c:ptCount val="10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</c:strCache>
            </c:strRef>
          </c:cat>
          <c:val>
            <c:numRef>
              <c:f>学生成绩统计表!$F$3:$F$12</c:f>
              <c:numCache>
                <c:formatCode>General</c:formatCode>
                <c:ptCount val="10"/>
                <c:pt idx="0">
                  <c:v>3</c:v>
                </c:pt>
                <c:pt idx="1">
                  <c:v>9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05122176"/>
        <c:axId val="219087232"/>
        <c:axId val="0"/>
      </c:bar3DChart>
      <c:catAx>
        <c:axId val="205122176"/>
        <c:scaling>
          <c:orientation val="minMax"/>
        </c:scaling>
        <c:delete val="0"/>
        <c:axPos val="b"/>
        <c:majorTickMark val="none"/>
        <c:minorTickMark val="none"/>
        <c:tickLblPos val="nextTo"/>
        <c:crossAx val="219087232"/>
        <c:crosses val="autoZero"/>
        <c:auto val="1"/>
        <c:lblAlgn val="ctr"/>
        <c:lblOffset val="100"/>
        <c:noMultiLvlLbl val="0"/>
      </c:catAx>
      <c:valAx>
        <c:axId val="219087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51221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15</xdr:row>
      <xdr:rowOff>102870</xdr:rowOff>
    </xdr:from>
    <xdr:to>
      <xdr:col>5</xdr:col>
      <xdr:colOff>746760</xdr:colOff>
      <xdr:row>29</xdr:row>
      <xdr:rowOff>72390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333.551953703703" createdVersion="4" refreshedVersion="4" minRefreshableVersion="3" recordCount="36">
  <cacheSource type="worksheet">
    <worksheetSource ref="H1:N37" sheet="学生成绩统计表"/>
  </cacheSource>
  <cacheFields count="7">
    <cacheField name="季度" numFmtId="0">
      <sharedItems containsSemiMixedTypes="0" containsString="0" containsNumber="1" containsInteger="1" minValue="1" maxValue="3"/>
    </cacheField>
    <cacheField name="分公司" numFmtId="0">
      <sharedItems count="12">
        <s v="西部2"/>
        <s v="南部3"/>
        <s v="北部2"/>
        <s v="东部3"/>
        <s v="北部1"/>
        <s v="南部2"/>
        <s v="东部2"/>
        <s v="西部1"/>
        <s v="西部3"/>
        <s v="东部1"/>
        <s v="南部1"/>
        <s v="北部3"/>
      </sharedItems>
    </cacheField>
    <cacheField name="产品类别" numFmtId="0">
      <sharedItems/>
    </cacheField>
    <cacheField name="产品名称" numFmtId="0">
      <sharedItems count="3">
        <s v="空调"/>
        <s v="电冰箱"/>
        <s v="电视"/>
      </sharedItems>
    </cacheField>
    <cacheField name="销售数量" numFmtId="0">
      <sharedItems containsSemiMixedTypes="0" containsString="0" containsNumber="1" containsInteger="1" minValue="21" maxValue="89"/>
    </cacheField>
    <cacheField name="销售额（万元）" numFmtId="176">
      <sharedItems containsSemiMixedTypes="0" containsString="0" containsNumber="1" minValue="5.1059999999999999" maxValue="38.356000000000002"/>
    </cacheField>
    <cacheField name="销售额排名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n v="1"/>
    <x v="0"/>
    <s v="K-1"/>
    <x v="0"/>
    <n v="89"/>
    <n v="12.282"/>
    <n v="26"/>
  </r>
  <r>
    <n v="1"/>
    <x v="1"/>
    <s v="D-2"/>
    <x v="1"/>
    <n v="89"/>
    <n v="20.826000000000001"/>
    <n v="9"/>
  </r>
  <r>
    <n v="1"/>
    <x v="2"/>
    <s v="K-1"/>
    <x v="0"/>
    <n v="89"/>
    <n v="12.282"/>
    <n v="26"/>
  </r>
  <r>
    <n v="1"/>
    <x v="3"/>
    <s v="D-2"/>
    <x v="1"/>
    <n v="86"/>
    <n v="20.123999999999999"/>
    <n v="10"/>
  </r>
  <r>
    <n v="1"/>
    <x v="4"/>
    <s v="D-1"/>
    <x v="2"/>
    <n v="86"/>
    <n v="38.356000000000002"/>
    <n v="1"/>
  </r>
  <r>
    <n v="3"/>
    <x v="5"/>
    <s v="K-1"/>
    <x v="0"/>
    <n v="86"/>
    <n v="30.443999999999999"/>
    <n v="4"/>
  </r>
  <r>
    <n v="3"/>
    <x v="0"/>
    <s v="K-1"/>
    <x v="0"/>
    <n v="84"/>
    <n v="11.592000000000001"/>
    <n v="28"/>
  </r>
  <r>
    <n v="2"/>
    <x v="6"/>
    <s v="K-1"/>
    <x v="0"/>
    <n v="79"/>
    <n v="27.966000000000001"/>
    <n v="6"/>
  </r>
  <r>
    <n v="3"/>
    <x v="7"/>
    <s v="D-1"/>
    <x v="2"/>
    <n v="78"/>
    <n v="34.787999999999997"/>
    <n v="2"/>
  </r>
  <r>
    <n v="3"/>
    <x v="1"/>
    <s v="D-2"/>
    <x v="1"/>
    <n v="75"/>
    <n v="17.55"/>
    <n v="18"/>
  </r>
  <r>
    <n v="2"/>
    <x v="4"/>
    <s v="D-1"/>
    <x v="2"/>
    <n v="73"/>
    <n v="32.558"/>
    <n v="3"/>
  </r>
  <r>
    <n v="2"/>
    <x v="8"/>
    <s v="D-2"/>
    <x v="1"/>
    <n v="69"/>
    <n v="22.149000000000001"/>
    <n v="8"/>
  </r>
  <r>
    <n v="1"/>
    <x v="9"/>
    <s v="D-1"/>
    <x v="2"/>
    <n v="67"/>
    <n v="18.425000000000001"/>
    <n v="14"/>
  </r>
  <r>
    <n v="3"/>
    <x v="9"/>
    <s v="D-1"/>
    <x v="2"/>
    <n v="66"/>
    <n v="18.149999999999999"/>
    <n v="16"/>
  </r>
  <r>
    <n v="2"/>
    <x v="3"/>
    <s v="D-2"/>
    <x v="1"/>
    <n v="65"/>
    <n v="15.21"/>
    <n v="23"/>
  </r>
  <r>
    <n v="1"/>
    <x v="10"/>
    <s v="D-1"/>
    <x v="2"/>
    <n v="64"/>
    <n v="17.600000000000001"/>
    <n v="17"/>
  </r>
  <r>
    <n v="3"/>
    <x v="4"/>
    <s v="D-1"/>
    <x v="2"/>
    <n v="64"/>
    <n v="28.544"/>
    <n v="5"/>
  </r>
  <r>
    <n v="2"/>
    <x v="5"/>
    <s v="K-1"/>
    <x v="0"/>
    <n v="63"/>
    <n v="22.302"/>
    <n v="7"/>
  </r>
  <r>
    <n v="1"/>
    <x v="8"/>
    <s v="D-2"/>
    <x v="1"/>
    <n v="58"/>
    <n v="18.617999999999999"/>
    <n v="13"/>
  </r>
  <r>
    <n v="3"/>
    <x v="8"/>
    <s v="D-2"/>
    <x v="1"/>
    <n v="57"/>
    <n v="18.297000000000001"/>
    <n v="15"/>
  </r>
  <r>
    <n v="2"/>
    <x v="9"/>
    <s v="D-1"/>
    <x v="2"/>
    <n v="56"/>
    <n v="15.4"/>
    <n v="22"/>
  </r>
  <r>
    <n v="2"/>
    <x v="0"/>
    <s v="K-1"/>
    <x v="0"/>
    <n v="56"/>
    <n v="7.7279999999999998"/>
    <n v="33"/>
  </r>
  <r>
    <n v="1"/>
    <x v="5"/>
    <s v="K-1"/>
    <x v="0"/>
    <n v="54"/>
    <n v="19.116"/>
    <n v="11"/>
  </r>
  <r>
    <n v="3"/>
    <x v="11"/>
    <s v="D-2"/>
    <x v="1"/>
    <n v="54"/>
    <n v="17.334"/>
    <n v="19"/>
  </r>
  <r>
    <n v="3"/>
    <x v="2"/>
    <s v="K-1"/>
    <x v="0"/>
    <n v="53"/>
    <n v="7.3140000000000001"/>
    <n v="35"/>
  </r>
  <r>
    <n v="2"/>
    <x v="11"/>
    <s v="D-2"/>
    <x v="1"/>
    <n v="48"/>
    <n v="15.407999999999999"/>
    <n v="21"/>
  </r>
  <r>
    <n v="3"/>
    <x v="10"/>
    <s v="D-1"/>
    <x v="2"/>
    <n v="46"/>
    <n v="12.65"/>
    <n v="25"/>
  </r>
  <r>
    <n v="2"/>
    <x v="1"/>
    <s v="D-2"/>
    <x v="1"/>
    <n v="45"/>
    <n v="10.53"/>
    <n v="29"/>
  </r>
  <r>
    <n v="3"/>
    <x v="6"/>
    <s v="K-1"/>
    <x v="0"/>
    <n v="45"/>
    <n v="15.93"/>
    <n v="20"/>
  </r>
  <r>
    <n v="1"/>
    <x v="11"/>
    <s v="D-2"/>
    <x v="1"/>
    <n v="43"/>
    <n v="13.803000000000001"/>
    <n v="24"/>
  </r>
  <r>
    <n v="2"/>
    <x v="7"/>
    <s v="D-1"/>
    <x v="2"/>
    <n v="42"/>
    <n v="18.731999999999999"/>
    <n v="12"/>
  </r>
  <r>
    <n v="3"/>
    <x v="3"/>
    <s v="D-2"/>
    <x v="1"/>
    <n v="39"/>
    <n v="9.1259999999999994"/>
    <n v="31"/>
  </r>
  <r>
    <n v="2"/>
    <x v="2"/>
    <s v="K-1"/>
    <x v="0"/>
    <n v="37"/>
    <n v="5.1059999999999999"/>
    <n v="36"/>
  </r>
  <r>
    <n v="2"/>
    <x v="10"/>
    <s v="D-1"/>
    <x v="2"/>
    <n v="27"/>
    <n v="7.4249999999999998"/>
    <n v="34"/>
  </r>
  <r>
    <n v="1"/>
    <x v="6"/>
    <s v="K-1"/>
    <x v="0"/>
    <n v="24"/>
    <n v="8.4960000000000004"/>
    <n v="32"/>
  </r>
  <r>
    <n v="1"/>
    <x v="7"/>
    <s v="D-1"/>
    <x v="2"/>
    <n v="21"/>
    <n v="9.3659999999999997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P6:T20" firstHeaderRow="1" firstDataRow="2" firstDataCol="1"/>
  <pivotFields count="7">
    <pivotField showAll="0"/>
    <pivotField axis="axisRow" showAll="0">
      <items count="13">
        <item x="4"/>
        <item x="2"/>
        <item x="11"/>
        <item x="9"/>
        <item x="6"/>
        <item x="3"/>
        <item x="10"/>
        <item x="5"/>
        <item x="1"/>
        <item x="7"/>
        <item x="0"/>
        <item x="8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dataField="1" numFmtId="176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求和项:销售额（万元）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abSelected="1" topLeftCell="B1" workbookViewId="0">
      <selection activeCell="F9" sqref="F9"/>
    </sheetView>
  </sheetViews>
  <sheetFormatPr defaultColWidth="9" defaultRowHeight="15.6" x14ac:dyDescent="0.25"/>
  <cols>
    <col min="2" max="2" width="16.69921875" customWidth="1"/>
    <col min="3" max="3" width="17.19921875" customWidth="1"/>
    <col min="4" max="4" width="16.8984375" customWidth="1"/>
    <col min="5" max="5" width="8.09765625" customWidth="1"/>
    <col min="6" max="6" width="10.19921875" customWidth="1"/>
    <col min="8" max="8" width="5.19921875" style="1" customWidth="1"/>
    <col min="9" max="9" width="10.3984375" style="1" customWidth="1"/>
    <col min="10" max="11" width="9" style="1"/>
    <col min="12" max="12" width="8.8984375" style="1" customWidth="1"/>
    <col min="13" max="13" width="14.8984375" style="1" customWidth="1"/>
    <col min="14" max="14" width="11.5" style="1" customWidth="1"/>
    <col min="16" max="16" width="15.296875" customWidth="1"/>
    <col min="17" max="17" width="7.69921875" customWidth="1"/>
    <col min="20" max="20" width="12.19921875" customWidth="1"/>
  </cols>
  <sheetData>
    <row r="1" spans="1:20" x14ac:dyDescent="0.25">
      <c r="A1" s="10" t="s">
        <v>0</v>
      </c>
      <c r="B1" s="10"/>
      <c r="C1" s="10"/>
      <c r="D1" s="10"/>
      <c r="E1" s="10"/>
      <c r="F1" s="10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2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/>
      <c r="H2" s="1">
        <v>1</v>
      </c>
      <c r="I2" s="1" t="s">
        <v>14</v>
      </c>
      <c r="J2" s="1" t="s">
        <v>15</v>
      </c>
      <c r="K2" s="1" t="s">
        <v>16</v>
      </c>
      <c r="L2" s="1">
        <v>89</v>
      </c>
      <c r="M2" s="2">
        <v>12.282</v>
      </c>
      <c r="N2" s="1">
        <f>RANK(M2,$M$2:$M$37)</f>
        <v>26</v>
      </c>
    </row>
    <row r="3" spans="1:20" x14ac:dyDescent="0.25">
      <c r="A3" s="3" t="s">
        <v>17</v>
      </c>
      <c r="B3" s="5">
        <v>88</v>
      </c>
      <c r="C3" s="5">
        <v>85</v>
      </c>
      <c r="D3" s="5">
        <v>80</v>
      </c>
      <c r="E3" s="7">
        <f>B3*40%+C3*20%+D3*40%</f>
        <v>84.2</v>
      </c>
      <c r="F3" s="5">
        <f>_xlfn.RANK.EQ(E3,$E$3:$E$12,0)</f>
        <v>3</v>
      </c>
      <c r="G3" s="6"/>
      <c r="H3" s="1">
        <v>1</v>
      </c>
      <c r="I3" s="1" t="s">
        <v>18</v>
      </c>
      <c r="J3" s="1" t="s">
        <v>19</v>
      </c>
      <c r="K3" s="1" t="s">
        <v>20</v>
      </c>
      <c r="L3" s="1">
        <v>89</v>
      </c>
      <c r="M3" s="2">
        <v>20.826000000000001</v>
      </c>
      <c r="N3" s="1">
        <f t="shared" ref="N3:N37" si="0">RANK(M3,$M$2:$M$37)</f>
        <v>9</v>
      </c>
    </row>
    <row r="4" spans="1:20" x14ac:dyDescent="0.25">
      <c r="A4" s="3" t="s">
        <v>21</v>
      </c>
      <c r="B4" s="5">
        <v>77</v>
      </c>
      <c r="C4" s="5">
        <v>90</v>
      </c>
      <c r="D4" s="5">
        <v>64</v>
      </c>
      <c r="E4" s="7">
        <f t="shared" ref="E4:E12" si="1">B4*40%+C4*20%+D4*40%</f>
        <v>74.400000000000006</v>
      </c>
      <c r="F4" s="5">
        <f t="shared" ref="F4:F12" si="2">_xlfn.RANK.EQ(E4,$E$3:$E$12,0)</f>
        <v>9</v>
      </c>
      <c r="G4" s="6"/>
      <c r="H4" s="1">
        <v>1</v>
      </c>
      <c r="I4" s="1" t="s">
        <v>22</v>
      </c>
      <c r="J4" s="1" t="s">
        <v>15</v>
      </c>
      <c r="K4" s="1" t="s">
        <v>16</v>
      </c>
      <c r="L4" s="1">
        <v>89</v>
      </c>
      <c r="M4" s="2">
        <v>12.282</v>
      </c>
      <c r="N4" s="1">
        <f t="shared" si="0"/>
        <v>26</v>
      </c>
    </row>
    <row r="5" spans="1:20" x14ac:dyDescent="0.25">
      <c r="A5" s="3" t="s">
        <v>23</v>
      </c>
      <c r="B5" s="5">
        <v>95</v>
      </c>
      <c r="C5" s="5">
        <v>80</v>
      </c>
      <c r="D5" s="5">
        <v>82</v>
      </c>
      <c r="E5" s="7">
        <f t="shared" si="1"/>
        <v>86.800000000000011</v>
      </c>
      <c r="F5" s="5">
        <f t="shared" si="2"/>
        <v>2</v>
      </c>
      <c r="G5" s="6"/>
      <c r="H5" s="1">
        <v>1</v>
      </c>
      <c r="I5" s="1" t="s">
        <v>24</v>
      </c>
      <c r="J5" s="1" t="s">
        <v>19</v>
      </c>
      <c r="K5" s="1" t="s">
        <v>20</v>
      </c>
      <c r="L5" s="1">
        <v>86</v>
      </c>
      <c r="M5" s="2">
        <v>20.123999999999999</v>
      </c>
      <c r="N5" s="1">
        <f t="shared" si="0"/>
        <v>10</v>
      </c>
    </row>
    <row r="6" spans="1:20" x14ac:dyDescent="0.25">
      <c r="A6" s="3" t="s">
        <v>25</v>
      </c>
      <c r="B6" s="5">
        <v>68</v>
      </c>
      <c r="C6" s="5">
        <v>85</v>
      </c>
      <c r="D6" s="5">
        <v>72</v>
      </c>
      <c r="E6" s="7">
        <f t="shared" si="1"/>
        <v>73</v>
      </c>
      <c r="F6" s="5">
        <f t="shared" si="2"/>
        <v>10</v>
      </c>
      <c r="G6" s="6"/>
      <c r="H6" s="1">
        <v>1</v>
      </c>
      <c r="I6" s="1" t="s">
        <v>26</v>
      </c>
      <c r="J6" s="1" t="s">
        <v>27</v>
      </c>
      <c r="K6" s="1" t="s">
        <v>28</v>
      </c>
      <c r="L6" s="1">
        <v>86</v>
      </c>
      <c r="M6" s="2">
        <v>38.356000000000002</v>
      </c>
      <c r="N6" s="1">
        <f t="shared" si="0"/>
        <v>1</v>
      </c>
      <c r="P6" s="8" t="s">
        <v>45</v>
      </c>
      <c r="Q6" s="8" t="s">
        <v>44</v>
      </c>
    </row>
    <row r="7" spans="1:20" x14ac:dyDescent="0.25">
      <c r="A7" s="3" t="s">
        <v>29</v>
      </c>
      <c r="B7" s="5">
        <v>86</v>
      </c>
      <c r="C7" s="5">
        <v>75</v>
      </c>
      <c r="D7" s="5">
        <v>78</v>
      </c>
      <c r="E7" s="7">
        <f t="shared" si="1"/>
        <v>80.599999999999994</v>
      </c>
      <c r="F7" s="5">
        <f t="shared" si="2"/>
        <v>7</v>
      </c>
      <c r="G7" s="6"/>
      <c r="H7" s="1">
        <v>3</v>
      </c>
      <c r="I7" s="1" t="s">
        <v>30</v>
      </c>
      <c r="J7" s="1" t="s">
        <v>15</v>
      </c>
      <c r="K7" s="1" t="s">
        <v>16</v>
      </c>
      <c r="L7" s="1">
        <v>86</v>
      </c>
      <c r="M7" s="2">
        <v>30.443999999999999</v>
      </c>
      <c r="N7" s="1">
        <f t="shared" si="0"/>
        <v>4</v>
      </c>
      <c r="P7" s="8" t="s">
        <v>42</v>
      </c>
      <c r="Q7" t="s">
        <v>20</v>
      </c>
      <c r="R7" t="s">
        <v>28</v>
      </c>
      <c r="S7" t="s">
        <v>16</v>
      </c>
      <c r="T7" t="s">
        <v>43</v>
      </c>
    </row>
    <row r="8" spans="1:20" x14ac:dyDescent="0.25">
      <c r="A8" s="3" t="s">
        <v>31</v>
      </c>
      <c r="B8" s="5">
        <v>77</v>
      </c>
      <c r="C8" s="5">
        <v>85</v>
      </c>
      <c r="D8" s="5">
        <v>85</v>
      </c>
      <c r="E8" s="7">
        <f t="shared" si="1"/>
        <v>81.8</v>
      </c>
      <c r="F8" s="5">
        <f t="shared" si="2"/>
        <v>6</v>
      </c>
      <c r="G8" s="6"/>
      <c r="H8" s="1">
        <v>3</v>
      </c>
      <c r="I8" s="1" t="s">
        <v>14</v>
      </c>
      <c r="J8" s="1" t="s">
        <v>15</v>
      </c>
      <c r="K8" s="1" t="s">
        <v>16</v>
      </c>
      <c r="L8" s="1">
        <v>84</v>
      </c>
      <c r="M8" s="2">
        <v>11.592000000000001</v>
      </c>
      <c r="N8" s="1">
        <f t="shared" si="0"/>
        <v>28</v>
      </c>
      <c r="P8" s="9" t="s">
        <v>26</v>
      </c>
      <c r="Q8" s="6"/>
      <c r="R8" s="6">
        <v>99.457999999999998</v>
      </c>
      <c r="S8" s="6"/>
      <c r="T8" s="6">
        <v>99.457999999999998</v>
      </c>
    </row>
    <row r="9" spans="1:20" x14ac:dyDescent="0.25">
      <c r="A9" s="3" t="s">
        <v>32</v>
      </c>
      <c r="B9" s="5">
        <v>93</v>
      </c>
      <c r="C9" s="5">
        <v>80</v>
      </c>
      <c r="D9" s="5">
        <v>75</v>
      </c>
      <c r="E9" s="7">
        <f t="shared" si="1"/>
        <v>83.2</v>
      </c>
      <c r="F9" s="5">
        <f t="shared" si="2"/>
        <v>4</v>
      </c>
      <c r="G9" s="6"/>
      <c r="H9" s="1">
        <v>2</v>
      </c>
      <c r="I9" s="1" t="s">
        <v>33</v>
      </c>
      <c r="J9" s="1" t="s">
        <v>15</v>
      </c>
      <c r="K9" s="1" t="s">
        <v>16</v>
      </c>
      <c r="L9" s="1">
        <v>79</v>
      </c>
      <c r="M9" s="2">
        <v>27.966000000000001</v>
      </c>
      <c r="N9" s="1">
        <f t="shared" si="0"/>
        <v>6</v>
      </c>
      <c r="P9" s="9" t="s">
        <v>22</v>
      </c>
      <c r="Q9" s="6"/>
      <c r="R9" s="6"/>
      <c r="S9" s="6">
        <v>24.701999999999998</v>
      </c>
      <c r="T9" s="6">
        <v>24.701999999999998</v>
      </c>
    </row>
    <row r="10" spans="1:20" x14ac:dyDescent="0.25">
      <c r="A10" s="3" t="s">
        <v>34</v>
      </c>
      <c r="B10" s="5">
        <v>84</v>
      </c>
      <c r="C10" s="5">
        <v>85</v>
      </c>
      <c r="D10" s="5">
        <v>94</v>
      </c>
      <c r="E10" s="7">
        <f t="shared" si="1"/>
        <v>88.2</v>
      </c>
      <c r="F10" s="5">
        <f t="shared" si="2"/>
        <v>1</v>
      </c>
      <c r="G10" s="6"/>
      <c r="H10" s="1">
        <v>3</v>
      </c>
      <c r="I10" s="1" t="s">
        <v>35</v>
      </c>
      <c r="J10" s="1" t="s">
        <v>27</v>
      </c>
      <c r="K10" s="1" t="s">
        <v>28</v>
      </c>
      <c r="L10" s="1">
        <v>78</v>
      </c>
      <c r="M10" s="2">
        <v>34.787999999999997</v>
      </c>
      <c r="N10" s="1">
        <f t="shared" si="0"/>
        <v>2</v>
      </c>
      <c r="P10" s="9" t="s">
        <v>41</v>
      </c>
      <c r="Q10" s="6">
        <v>46.545000000000002</v>
      </c>
      <c r="R10" s="6"/>
      <c r="S10" s="6"/>
      <c r="T10" s="6">
        <v>46.545000000000002</v>
      </c>
    </row>
    <row r="11" spans="1:20" x14ac:dyDescent="0.25">
      <c r="A11" s="3" t="s">
        <v>36</v>
      </c>
      <c r="B11" s="5">
        <v>81</v>
      </c>
      <c r="C11" s="5">
        <v>80</v>
      </c>
      <c r="D11" s="5">
        <v>86</v>
      </c>
      <c r="E11" s="7">
        <f t="shared" si="1"/>
        <v>82.8</v>
      </c>
      <c r="F11" s="5">
        <f t="shared" si="2"/>
        <v>5</v>
      </c>
      <c r="G11" s="6"/>
      <c r="H11" s="1">
        <v>3</v>
      </c>
      <c r="I11" s="1" t="s">
        <v>18</v>
      </c>
      <c r="J11" s="1" t="s">
        <v>19</v>
      </c>
      <c r="K11" s="1" t="s">
        <v>20</v>
      </c>
      <c r="L11" s="1">
        <v>75</v>
      </c>
      <c r="M11" s="2">
        <v>17.55</v>
      </c>
      <c r="N11" s="1">
        <f t="shared" si="0"/>
        <v>18</v>
      </c>
      <c r="P11" s="9" t="s">
        <v>39</v>
      </c>
      <c r="Q11" s="6"/>
      <c r="R11" s="6">
        <v>51.975000000000001</v>
      </c>
      <c r="S11" s="6"/>
      <c r="T11" s="6">
        <v>51.975000000000001</v>
      </c>
    </row>
    <row r="12" spans="1:20" x14ac:dyDescent="0.25">
      <c r="A12" s="3" t="s">
        <v>37</v>
      </c>
      <c r="B12" s="5">
        <v>76</v>
      </c>
      <c r="C12" s="5">
        <v>85</v>
      </c>
      <c r="D12" s="5">
        <v>76</v>
      </c>
      <c r="E12" s="7">
        <f t="shared" si="1"/>
        <v>77.800000000000011</v>
      </c>
      <c r="F12" s="5">
        <f t="shared" si="2"/>
        <v>8</v>
      </c>
      <c r="H12" s="1">
        <v>2</v>
      </c>
      <c r="I12" s="1" t="s">
        <v>26</v>
      </c>
      <c r="J12" s="1" t="s">
        <v>27</v>
      </c>
      <c r="K12" s="1" t="s">
        <v>28</v>
      </c>
      <c r="L12" s="1">
        <v>73</v>
      </c>
      <c r="M12" s="2">
        <v>32.558</v>
      </c>
      <c r="N12" s="1">
        <f t="shared" si="0"/>
        <v>3</v>
      </c>
      <c r="P12" s="9" t="s">
        <v>33</v>
      </c>
      <c r="Q12" s="6"/>
      <c r="R12" s="6"/>
      <c r="S12" s="6">
        <v>52.392000000000003</v>
      </c>
      <c r="T12" s="6">
        <v>52.392000000000003</v>
      </c>
    </row>
    <row r="13" spans="1:20" x14ac:dyDescent="0.25">
      <c r="H13" s="1">
        <v>2</v>
      </c>
      <c r="I13" s="1" t="s">
        <v>38</v>
      </c>
      <c r="J13" s="1" t="s">
        <v>19</v>
      </c>
      <c r="K13" s="1" t="s">
        <v>20</v>
      </c>
      <c r="L13" s="1">
        <v>69</v>
      </c>
      <c r="M13" s="2">
        <v>22.149000000000001</v>
      </c>
      <c r="N13" s="1">
        <f t="shared" si="0"/>
        <v>8</v>
      </c>
      <c r="P13" s="9" t="s">
        <v>24</v>
      </c>
      <c r="Q13" s="6">
        <v>44.46</v>
      </c>
      <c r="R13" s="6"/>
      <c r="S13" s="6"/>
      <c r="T13" s="6">
        <v>44.46</v>
      </c>
    </row>
    <row r="14" spans="1:20" x14ac:dyDescent="0.25">
      <c r="H14" s="1">
        <v>1</v>
      </c>
      <c r="I14" s="1" t="s">
        <v>39</v>
      </c>
      <c r="J14" s="1" t="s">
        <v>27</v>
      </c>
      <c r="K14" s="1" t="s">
        <v>28</v>
      </c>
      <c r="L14" s="1">
        <v>67</v>
      </c>
      <c r="M14" s="2">
        <v>18.425000000000001</v>
      </c>
      <c r="N14" s="1">
        <f t="shared" si="0"/>
        <v>14</v>
      </c>
      <c r="P14" s="9" t="s">
        <v>40</v>
      </c>
      <c r="Q14" s="6"/>
      <c r="R14" s="6">
        <v>37.674999999999997</v>
      </c>
      <c r="S14" s="6"/>
      <c r="T14" s="6">
        <v>37.674999999999997</v>
      </c>
    </row>
    <row r="15" spans="1:20" x14ac:dyDescent="0.25">
      <c r="H15" s="1">
        <v>3</v>
      </c>
      <c r="I15" s="1" t="s">
        <v>39</v>
      </c>
      <c r="J15" s="1" t="s">
        <v>27</v>
      </c>
      <c r="K15" s="1" t="s">
        <v>28</v>
      </c>
      <c r="L15" s="1">
        <v>66</v>
      </c>
      <c r="M15" s="2">
        <v>18.149999999999999</v>
      </c>
      <c r="N15" s="1">
        <f t="shared" si="0"/>
        <v>16</v>
      </c>
      <c r="P15" s="9" t="s">
        <v>30</v>
      </c>
      <c r="Q15" s="6"/>
      <c r="R15" s="6"/>
      <c r="S15" s="6">
        <v>71.861999999999995</v>
      </c>
      <c r="T15" s="6">
        <v>71.861999999999995</v>
      </c>
    </row>
    <row r="16" spans="1:20" x14ac:dyDescent="0.25">
      <c r="H16" s="1">
        <v>2</v>
      </c>
      <c r="I16" s="1" t="s">
        <v>24</v>
      </c>
      <c r="J16" s="1" t="s">
        <v>19</v>
      </c>
      <c r="K16" s="1" t="s">
        <v>20</v>
      </c>
      <c r="L16" s="1">
        <v>65</v>
      </c>
      <c r="M16" s="2">
        <v>15.21</v>
      </c>
      <c r="N16" s="1">
        <f t="shared" si="0"/>
        <v>23</v>
      </c>
      <c r="P16" s="9" t="s">
        <v>18</v>
      </c>
      <c r="Q16" s="6">
        <v>48.906000000000006</v>
      </c>
      <c r="R16" s="6"/>
      <c r="S16" s="6"/>
      <c r="T16" s="6">
        <v>48.906000000000006</v>
      </c>
    </row>
    <row r="17" spans="8:20" x14ac:dyDescent="0.25">
      <c r="H17" s="1">
        <v>1</v>
      </c>
      <c r="I17" s="1" t="s">
        <v>40</v>
      </c>
      <c r="J17" s="1" t="s">
        <v>27</v>
      </c>
      <c r="K17" s="1" t="s">
        <v>28</v>
      </c>
      <c r="L17" s="1">
        <v>64</v>
      </c>
      <c r="M17" s="2">
        <v>17.600000000000001</v>
      </c>
      <c r="N17" s="1">
        <f t="shared" si="0"/>
        <v>17</v>
      </c>
      <c r="P17" s="9" t="s">
        <v>35</v>
      </c>
      <c r="Q17" s="6"/>
      <c r="R17" s="6">
        <v>62.885999999999996</v>
      </c>
      <c r="S17" s="6"/>
      <c r="T17" s="6">
        <v>62.885999999999996</v>
      </c>
    </row>
    <row r="18" spans="8:20" x14ac:dyDescent="0.25">
      <c r="H18" s="1">
        <v>3</v>
      </c>
      <c r="I18" s="1" t="s">
        <v>26</v>
      </c>
      <c r="J18" s="1" t="s">
        <v>27</v>
      </c>
      <c r="K18" s="1" t="s">
        <v>28</v>
      </c>
      <c r="L18" s="1">
        <v>64</v>
      </c>
      <c r="M18" s="2">
        <v>28.544</v>
      </c>
      <c r="N18" s="1">
        <f t="shared" si="0"/>
        <v>5</v>
      </c>
      <c r="P18" s="9" t="s">
        <v>14</v>
      </c>
      <c r="Q18" s="6"/>
      <c r="R18" s="6"/>
      <c r="S18" s="6">
        <v>31.602000000000004</v>
      </c>
      <c r="T18" s="6">
        <v>31.602000000000004</v>
      </c>
    </row>
    <row r="19" spans="8:20" x14ac:dyDescent="0.25">
      <c r="H19" s="1">
        <v>2</v>
      </c>
      <c r="I19" s="1" t="s">
        <v>30</v>
      </c>
      <c r="J19" s="1" t="s">
        <v>15</v>
      </c>
      <c r="K19" s="1" t="s">
        <v>16</v>
      </c>
      <c r="L19" s="1">
        <v>63</v>
      </c>
      <c r="M19" s="2">
        <v>22.302</v>
      </c>
      <c r="N19" s="1">
        <f t="shared" si="0"/>
        <v>7</v>
      </c>
      <c r="P19" s="9" t="s">
        <v>38</v>
      </c>
      <c r="Q19" s="6">
        <v>59.063999999999993</v>
      </c>
      <c r="R19" s="6"/>
      <c r="S19" s="6"/>
      <c r="T19" s="6">
        <v>59.063999999999993</v>
      </c>
    </row>
    <row r="20" spans="8:20" x14ac:dyDescent="0.25">
      <c r="H20" s="1">
        <v>1</v>
      </c>
      <c r="I20" s="1" t="s">
        <v>38</v>
      </c>
      <c r="J20" s="1" t="s">
        <v>19</v>
      </c>
      <c r="K20" s="1" t="s">
        <v>20</v>
      </c>
      <c r="L20" s="1">
        <v>58</v>
      </c>
      <c r="M20" s="2">
        <v>18.617999999999999</v>
      </c>
      <c r="N20" s="1">
        <f t="shared" si="0"/>
        <v>13</v>
      </c>
      <c r="P20" s="9" t="s">
        <v>43</v>
      </c>
      <c r="Q20" s="6">
        <v>198.97499999999999</v>
      </c>
      <c r="R20" s="6">
        <v>251.994</v>
      </c>
      <c r="S20" s="6">
        <v>180.55799999999999</v>
      </c>
      <c r="T20" s="6">
        <v>631.52699999999993</v>
      </c>
    </row>
    <row r="21" spans="8:20" x14ac:dyDescent="0.25">
      <c r="H21" s="1">
        <v>3</v>
      </c>
      <c r="I21" s="1" t="s">
        <v>38</v>
      </c>
      <c r="J21" s="1" t="s">
        <v>19</v>
      </c>
      <c r="K21" s="1" t="s">
        <v>20</v>
      </c>
      <c r="L21" s="1">
        <v>57</v>
      </c>
      <c r="M21" s="2">
        <v>18.297000000000001</v>
      </c>
      <c r="N21" s="1">
        <f t="shared" si="0"/>
        <v>15</v>
      </c>
    </row>
    <row r="22" spans="8:20" x14ac:dyDescent="0.25">
      <c r="H22" s="1">
        <v>2</v>
      </c>
      <c r="I22" s="1" t="s">
        <v>39</v>
      </c>
      <c r="J22" s="1" t="s">
        <v>27</v>
      </c>
      <c r="K22" s="1" t="s">
        <v>28</v>
      </c>
      <c r="L22" s="1">
        <v>56</v>
      </c>
      <c r="M22" s="2">
        <v>15.4</v>
      </c>
      <c r="N22" s="1">
        <f t="shared" si="0"/>
        <v>22</v>
      </c>
    </row>
    <row r="23" spans="8:20" x14ac:dyDescent="0.25">
      <c r="H23" s="1">
        <v>2</v>
      </c>
      <c r="I23" s="1" t="s">
        <v>14</v>
      </c>
      <c r="J23" s="1" t="s">
        <v>15</v>
      </c>
      <c r="K23" s="1" t="s">
        <v>16</v>
      </c>
      <c r="L23" s="1">
        <v>56</v>
      </c>
      <c r="M23" s="2">
        <v>7.7279999999999998</v>
      </c>
      <c r="N23" s="1">
        <f t="shared" si="0"/>
        <v>33</v>
      </c>
    </row>
    <row r="24" spans="8:20" x14ac:dyDescent="0.25">
      <c r="H24" s="1">
        <v>1</v>
      </c>
      <c r="I24" s="1" t="s">
        <v>30</v>
      </c>
      <c r="J24" s="1" t="s">
        <v>15</v>
      </c>
      <c r="K24" s="1" t="s">
        <v>16</v>
      </c>
      <c r="L24" s="1">
        <v>54</v>
      </c>
      <c r="M24" s="2">
        <v>19.116</v>
      </c>
      <c r="N24" s="1">
        <f t="shared" si="0"/>
        <v>11</v>
      </c>
    </row>
    <row r="25" spans="8:20" x14ac:dyDescent="0.25">
      <c r="H25" s="1">
        <v>3</v>
      </c>
      <c r="I25" s="1" t="s">
        <v>41</v>
      </c>
      <c r="J25" s="1" t="s">
        <v>19</v>
      </c>
      <c r="K25" s="1" t="s">
        <v>20</v>
      </c>
      <c r="L25" s="1">
        <v>54</v>
      </c>
      <c r="M25" s="2">
        <v>17.334</v>
      </c>
      <c r="N25" s="1">
        <f t="shared" si="0"/>
        <v>19</v>
      </c>
    </row>
    <row r="26" spans="8:20" x14ac:dyDescent="0.25">
      <c r="H26" s="1">
        <v>3</v>
      </c>
      <c r="I26" s="1" t="s">
        <v>22</v>
      </c>
      <c r="J26" s="1" t="s">
        <v>15</v>
      </c>
      <c r="K26" s="1" t="s">
        <v>16</v>
      </c>
      <c r="L26" s="1">
        <v>53</v>
      </c>
      <c r="M26" s="2">
        <v>7.3140000000000001</v>
      </c>
      <c r="N26" s="1">
        <f t="shared" si="0"/>
        <v>35</v>
      </c>
    </row>
    <row r="27" spans="8:20" x14ac:dyDescent="0.25">
      <c r="H27" s="1">
        <v>2</v>
      </c>
      <c r="I27" s="1" t="s">
        <v>41</v>
      </c>
      <c r="J27" s="1" t="s">
        <v>19</v>
      </c>
      <c r="K27" s="1" t="s">
        <v>20</v>
      </c>
      <c r="L27" s="1">
        <v>48</v>
      </c>
      <c r="M27" s="2">
        <v>15.407999999999999</v>
      </c>
      <c r="N27" s="1">
        <f t="shared" si="0"/>
        <v>21</v>
      </c>
    </row>
    <row r="28" spans="8:20" x14ac:dyDescent="0.25">
      <c r="H28" s="1">
        <v>3</v>
      </c>
      <c r="I28" s="1" t="s">
        <v>40</v>
      </c>
      <c r="J28" s="1" t="s">
        <v>27</v>
      </c>
      <c r="K28" s="1" t="s">
        <v>28</v>
      </c>
      <c r="L28" s="1">
        <v>46</v>
      </c>
      <c r="M28" s="2">
        <v>12.65</v>
      </c>
      <c r="N28" s="1">
        <f t="shared" si="0"/>
        <v>25</v>
      </c>
    </row>
    <row r="29" spans="8:20" x14ac:dyDescent="0.25">
      <c r="H29" s="1">
        <v>2</v>
      </c>
      <c r="I29" s="1" t="s">
        <v>18</v>
      </c>
      <c r="J29" s="1" t="s">
        <v>19</v>
      </c>
      <c r="K29" s="1" t="s">
        <v>20</v>
      </c>
      <c r="L29" s="1">
        <v>45</v>
      </c>
      <c r="M29" s="2">
        <v>10.53</v>
      </c>
      <c r="N29" s="1">
        <f t="shared" si="0"/>
        <v>29</v>
      </c>
    </row>
    <row r="30" spans="8:20" x14ac:dyDescent="0.25">
      <c r="H30" s="1">
        <v>3</v>
      </c>
      <c r="I30" s="1" t="s">
        <v>33</v>
      </c>
      <c r="J30" s="1" t="s">
        <v>15</v>
      </c>
      <c r="K30" s="1" t="s">
        <v>16</v>
      </c>
      <c r="L30" s="1">
        <v>45</v>
      </c>
      <c r="M30" s="2">
        <v>15.93</v>
      </c>
      <c r="N30" s="1">
        <f t="shared" si="0"/>
        <v>20</v>
      </c>
    </row>
    <row r="31" spans="8:20" x14ac:dyDescent="0.25">
      <c r="H31" s="1">
        <v>1</v>
      </c>
      <c r="I31" s="1" t="s">
        <v>41</v>
      </c>
      <c r="J31" s="1" t="s">
        <v>19</v>
      </c>
      <c r="K31" s="1" t="s">
        <v>20</v>
      </c>
      <c r="L31" s="1">
        <v>43</v>
      </c>
      <c r="M31" s="2">
        <v>13.803000000000001</v>
      </c>
      <c r="N31" s="1">
        <f t="shared" si="0"/>
        <v>24</v>
      </c>
    </row>
    <row r="32" spans="8:20" x14ac:dyDescent="0.25">
      <c r="H32" s="1">
        <v>2</v>
      </c>
      <c r="I32" s="1" t="s">
        <v>35</v>
      </c>
      <c r="J32" s="1" t="s">
        <v>27</v>
      </c>
      <c r="K32" s="1" t="s">
        <v>28</v>
      </c>
      <c r="L32" s="1">
        <v>42</v>
      </c>
      <c r="M32" s="2">
        <v>18.731999999999999</v>
      </c>
      <c r="N32" s="1">
        <f t="shared" si="0"/>
        <v>12</v>
      </c>
    </row>
    <row r="33" spans="8:14" x14ac:dyDescent="0.25">
      <c r="H33" s="1">
        <v>3</v>
      </c>
      <c r="I33" s="1" t="s">
        <v>24</v>
      </c>
      <c r="J33" s="1" t="s">
        <v>19</v>
      </c>
      <c r="K33" s="1" t="s">
        <v>20</v>
      </c>
      <c r="L33" s="1">
        <v>39</v>
      </c>
      <c r="M33" s="2">
        <v>9.1259999999999994</v>
      </c>
      <c r="N33" s="1">
        <f t="shared" si="0"/>
        <v>31</v>
      </c>
    </row>
    <row r="34" spans="8:14" x14ac:dyDescent="0.25">
      <c r="H34" s="1">
        <v>2</v>
      </c>
      <c r="I34" s="1" t="s">
        <v>22</v>
      </c>
      <c r="J34" s="1" t="s">
        <v>15</v>
      </c>
      <c r="K34" s="1" t="s">
        <v>16</v>
      </c>
      <c r="L34" s="1">
        <v>37</v>
      </c>
      <c r="M34" s="2">
        <v>5.1059999999999999</v>
      </c>
      <c r="N34" s="1">
        <f t="shared" si="0"/>
        <v>36</v>
      </c>
    </row>
    <row r="35" spans="8:14" x14ac:dyDescent="0.25">
      <c r="H35" s="1">
        <v>2</v>
      </c>
      <c r="I35" s="1" t="s">
        <v>40</v>
      </c>
      <c r="J35" s="1" t="s">
        <v>27</v>
      </c>
      <c r="K35" s="1" t="s">
        <v>28</v>
      </c>
      <c r="L35" s="1">
        <v>27</v>
      </c>
      <c r="M35" s="2">
        <v>7.4249999999999998</v>
      </c>
      <c r="N35" s="1">
        <f t="shared" si="0"/>
        <v>34</v>
      </c>
    </row>
    <row r="36" spans="8:14" x14ac:dyDescent="0.25">
      <c r="H36" s="1">
        <v>1</v>
      </c>
      <c r="I36" s="1" t="s">
        <v>33</v>
      </c>
      <c r="J36" s="1" t="s">
        <v>15</v>
      </c>
      <c r="K36" s="1" t="s">
        <v>16</v>
      </c>
      <c r="L36" s="1">
        <v>24</v>
      </c>
      <c r="M36" s="2">
        <v>8.4960000000000004</v>
      </c>
      <c r="N36" s="1">
        <f t="shared" si="0"/>
        <v>32</v>
      </c>
    </row>
    <row r="37" spans="8:14" x14ac:dyDescent="0.25">
      <c r="H37" s="1">
        <v>1</v>
      </c>
      <c r="I37" s="1" t="s">
        <v>35</v>
      </c>
      <c r="J37" s="1" t="s">
        <v>27</v>
      </c>
      <c r="K37" s="1" t="s">
        <v>28</v>
      </c>
      <c r="L37" s="1">
        <v>21</v>
      </c>
      <c r="M37" s="2">
        <v>9.3659999999999997</v>
      </c>
      <c r="N37" s="1">
        <f t="shared" si="0"/>
        <v>30</v>
      </c>
    </row>
  </sheetData>
  <mergeCells count="1">
    <mergeCell ref="A1:F1"/>
  </mergeCells>
  <phoneticPr fontId="2" type="noConversion"/>
  <pageMargins left="0.75" right="0.75" top="1" bottom="1" header="0.5" footer="0.5"/>
  <pageSetup paperSize="9" orientation="portrait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学生成绩统计表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Admin</cp:lastModifiedBy>
  <dcterms:created xsi:type="dcterms:W3CDTF">2005-08-24T23:59:00Z</dcterms:created>
  <dcterms:modified xsi:type="dcterms:W3CDTF">2021-05-17T05:36:50Z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
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732" yWindow="888" windowWidth="17280" windowHeight="8964"/>
  </bookViews>
  <sheets>
    <sheet name="学生成绩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1" l="1"/>
  <c r="D20" i="1" l="1"/>
  <c r="E20" i="1"/>
  <c r="F20" i="1"/>
  <c r="D21" i="1"/>
  <c r="E21" i="1"/>
  <c r="F21" i="1"/>
  <c r="G21" i="1"/>
  <c r="C21" i="1"/>
  <c r="C20" i="1"/>
  <c r="D19" i="1"/>
  <c r="E19" i="1"/>
  <c r="F19" i="1"/>
  <c r="G19" i="1"/>
  <c r="G20" i="1" s="1"/>
  <c r="C1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</calcChain>
</file>

<file path=xl/sharedStrings.xml><?xml version="1.0" encoding="utf-8"?>
<sst xmlns="http://schemas.openxmlformats.org/spreadsheetml/2006/main" count="27" uniqueCount="27">
  <si>
    <t>学号</t>
  </si>
  <si>
    <t>姓名</t>
  </si>
  <si>
    <t>政治</t>
  </si>
  <si>
    <t>语文</t>
  </si>
  <si>
    <t>数学</t>
  </si>
  <si>
    <t>外语</t>
  </si>
  <si>
    <t>周远银</t>
  </si>
  <si>
    <t>王春梅</t>
  </si>
  <si>
    <t>杨西平</t>
  </si>
  <si>
    <t>丁秀梅</t>
  </si>
  <si>
    <t>赵倩</t>
  </si>
  <si>
    <t>刘亚兰</t>
  </si>
  <si>
    <t>马英</t>
  </si>
  <si>
    <t>周小玲</t>
  </si>
  <si>
    <t>向亚琼</t>
  </si>
  <si>
    <t>李铃丽</t>
  </si>
  <si>
    <t>金志淡</t>
  </si>
  <si>
    <t>高产望</t>
  </si>
  <si>
    <t>林少</t>
  </si>
  <si>
    <t>郑一顺</t>
  </si>
  <si>
    <t>王国华</t>
  </si>
  <si>
    <t>郝了</t>
  </si>
  <si>
    <t>总分</t>
    <phoneticPr fontId="1" type="noConversion"/>
  </si>
  <si>
    <t>学生成绩表</t>
    <phoneticPr fontId="1" type="noConversion"/>
  </si>
  <si>
    <t>平均分</t>
    <phoneticPr fontId="1" type="noConversion"/>
  </si>
  <si>
    <t>最高分</t>
    <phoneticPr fontId="1" type="noConversion"/>
  </si>
  <si>
    <t>最低分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</si>
</sst>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仿宋"/>
      <family val="3"/>
      <charset val="134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vertical="center"/>
    </xf>
    <xf numFmtId="1" fontId="2" fillId="0" borderId="0" xfId="0" applyNumberFormat="1" applyFont="1" applyAlignment="1">
      <alignment vertical="center"/>
    </xf>
    <xf numFmtId="1" fontId="0" fillId="0" borderId="0" xfId="0" applyNumberFormat="1"/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学生成绩表!$G$2</c:f>
              <c:strCache>
                <c:ptCount val="1"/>
                <c:pt idx="0">
                  <c:v>总分</c:v>
                </c:pt>
              </c:strCache>
            </c:strRef>
          </c:tx>
          <c:invertIfNegative val="0"/>
          <c:cat>
            <c:strRef>
              <c:f>学生成绩表!$B$3:$B$18</c:f>
              <c:strCache>
                <c:ptCount val="16"/>
                <c:pt idx="0">
                  <c:v>周远银</c:v>
                </c:pt>
                <c:pt idx="1">
                  <c:v>王春梅</c:v>
                </c:pt>
                <c:pt idx="2">
                  <c:v>杨西平</c:v>
                </c:pt>
                <c:pt idx="3">
                  <c:v>丁秀梅</c:v>
                </c:pt>
                <c:pt idx="4">
                  <c:v>赵倩</c:v>
                </c:pt>
                <c:pt idx="5">
                  <c:v>刘亚兰</c:v>
                </c:pt>
                <c:pt idx="6">
                  <c:v>马英</c:v>
                </c:pt>
                <c:pt idx="7">
                  <c:v>周小玲</c:v>
                </c:pt>
                <c:pt idx="8">
                  <c:v>向亚琼</c:v>
                </c:pt>
                <c:pt idx="9">
                  <c:v>李铃丽</c:v>
                </c:pt>
                <c:pt idx="10">
                  <c:v>金志淡</c:v>
                </c:pt>
                <c:pt idx="11">
                  <c:v>高产望</c:v>
                </c:pt>
                <c:pt idx="12">
                  <c:v>林少</c:v>
                </c:pt>
                <c:pt idx="13">
                  <c:v>郑一顺</c:v>
                </c:pt>
                <c:pt idx="14">
                  <c:v>王国华</c:v>
                </c:pt>
                <c:pt idx="15">
                  <c:v>郝了</c:v>
                </c:pt>
              </c:strCache>
            </c:strRef>
          </c:cat>
          <c:val>
            <c:numRef>
              <c:f>学生成绩表!$G$3:$G$18</c:f>
              <c:numCache>
                <c:formatCode>0</c:formatCode>
                <c:ptCount val="16"/>
                <c:pt idx="0">
                  <c:v>321</c:v>
                </c:pt>
                <c:pt idx="1">
                  <c:v>353</c:v>
                </c:pt>
                <c:pt idx="2">
                  <c:v>259</c:v>
                </c:pt>
                <c:pt idx="3">
                  <c:v>312</c:v>
                </c:pt>
                <c:pt idx="4">
                  <c:v>375</c:v>
                </c:pt>
                <c:pt idx="5">
                  <c:v>352</c:v>
                </c:pt>
                <c:pt idx="6">
                  <c:v>317</c:v>
                </c:pt>
                <c:pt idx="7">
                  <c:v>273</c:v>
                </c:pt>
                <c:pt idx="8">
                  <c:v>338</c:v>
                </c:pt>
                <c:pt idx="9">
                  <c:v>348</c:v>
                </c:pt>
                <c:pt idx="10">
                  <c:v>274</c:v>
                </c:pt>
                <c:pt idx="11">
                  <c:v>314</c:v>
                </c:pt>
                <c:pt idx="12">
                  <c:v>252</c:v>
                </c:pt>
                <c:pt idx="13">
                  <c:v>255</c:v>
                </c:pt>
                <c:pt idx="14">
                  <c:v>307</c:v>
                </c:pt>
                <c:pt idx="15">
                  <c:v>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0720128"/>
        <c:axId val="233357696"/>
        <c:axId val="0"/>
      </c:bar3DChart>
      <c:catAx>
        <c:axId val="220720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33357696"/>
        <c:crosses val="autoZero"/>
        <c:auto val="1"/>
        <c:lblAlgn val="ctr"/>
        <c:lblOffset val="100"/>
        <c:noMultiLvlLbl val="0"/>
      </c:catAx>
      <c:valAx>
        <c:axId val="2333576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2207201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129540</xdr:colOff>
      <xdr:row>7</xdr:row>
      <xdr:rowOff>49530</xdr:rowOff>
    </xdr:from>
    <xdr:to>
      <xdr:col>16</xdr:col>
      <xdr:colOff>434340</xdr:colOff>
      <xdr:row>22</xdr:row>
      <xdr:rowOff>49530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G4" sqref="G3:G4"/>
    </sheetView>
  </sheetViews>
  <sheetFormatPr defaultRowHeight="14.4" x14ac:dyDescent="0.25"/>
  <sheetData>
    <row r="1" spans="1:8" ht="20.399999999999999" x14ac:dyDescent="0.25">
      <c r="A1" s="4" t="s">
        <v>23</v>
      </c>
      <c r="B1" s="4"/>
      <c r="C1" s="4"/>
      <c r="D1" s="4"/>
      <c r="E1" s="4"/>
      <c r="F1" s="4"/>
      <c r="G1" s="4"/>
      <c r="H1" s="4"/>
    </row>
    <row r="2" spans="1:8" ht="13.2" customHeight="1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22</v>
      </c>
    </row>
    <row r="3" spans="1:8" x14ac:dyDescent="0.25">
      <c r="A3" s="1">
        <v>9801</v>
      </c>
      <c r="B3" s="1" t="s">
        <v>6</v>
      </c>
      <c r="C3" s="1">
        <v>55</v>
      </c>
      <c r="D3" s="1">
        <v>87</v>
      </c>
      <c r="E3" s="1">
        <v>99</v>
      </c>
      <c r="F3" s="1">
        <v>80</v>
      </c>
      <c r="G3" s="3">
        <f t="shared" ref="G3:G18" si="0">SUM(C3:F3)</f>
        <v>321</v>
      </c>
    </row>
    <row r="4" spans="1:8" x14ac:dyDescent="0.25">
      <c r="A4" s="1">
        <v>9802</v>
      </c>
      <c r="B4" s="1" t="s">
        <v>7</v>
      </c>
      <c r="C4" s="1">
        <v>76</v>
      </c>
      <c r="D4" s="1">
        <v>91</v>
      </c>
      <c r="E4" s="1">
        <v>89</v>
      </c>
      <c r="F4" s="1">
        <v>97</v>
      </c>
      <c r="G4" s="3">
        <f t="shared" si="0"/>
        <v>353</v>
      </c>
    </row>
    <row r="5" spans="1:8" x14ac:dyDescent="0.25">
      <c r="A5" s="1">
        <v>9803</v>
      </c>
      <c r="B5" s="1" t="s">
        <v>8</v>
      </c>
      <c r="C5" s="1">
        <v>87</v>
      </c>
      <c r="D5" s="1">
        <v>7</v>
      </c>
      <c r="E5" s="1">
        <v>79</v>
      </c>
      <c r="F5" s="1">
        <v>86</v>
      </c>
      <c r="G5" s="3">
        <f t="shared" si="0"/>
        <v>259</v>
      </c>
    </row>
    <row r="6" spans="1:8" x14ac:dyDescent="0.25">
      <c r="A6" s="1">
        <v>9804</v>
      </c>
      <c r="B6" s="1" t="s">
        <v>9</v>
      </c>
      <c r="C6" s="1">
        <v>69</v>
      </c>
      <c r="D6" s="1">
        <v>96</v>
      </c>
      <c r="E6" s="1">
        <v>68</v>
      </c>
      <c r="F6" s="1">
        <v>79</v>
      </c>
      <c r="G6" s="3">
        <f t="shared" si="0"/>
        <v>312</v>
      </c>
    </row>
    <row r="7" spans="1:8" x14ac:dyDescent="0.25">
      <c r="A7" s="1">
        <v>9805</v>
      </c>
      <c r="B7" s="1" t="s">
        <v>10</v>
      </c>
      <c r="C7" s="1">
        <v>90</v>
      </c>
      <c r="D7" s="1">
        <v>99</v>
      </c>
      <c r="E7" s="1">
        <v>98</v>
      </c>
      <c r="F7" s="1">
        <v>88</v>
      </c>
      <c r="G7" s="3">
        <f t="shared" si="0"/>
        <v>375</v>
      </c>
    </row>
    <row r="8" spans="1:8" x14ac:dyDescent="0.25">
      <c r="A8" s="1">
        <v>9806</v>
      </c>
      <c r="B8" s="1" t="s">
        <v>11</v>
      </c>
      <c r="C8" s="1">
        <v>89</v>
      </c>
      <c r="D8" s="1">
        <v>79</v>
      </c>
      <c r="E8" s="1">
        <v>85</v>
      </c>
      <c r="F8" s="1">
        <v>99</v>
      </c>
      <c r="G8" s="3">
        <f t="shared" si="0"/>
        <v>352</v>
      </c>
    </row>
    <row r="9" spans="1:8" x14ac:dyDescent="0.25">
      <c r="A9" s="1">
        <v>9807</v>
      </c>
      <c r="B9" s="1" t="s">
        <v>12</v>
      </c>
      <c r="C9" s="1">
        <v>76</v>
      </c>
      <c r="D9" s="1">
        <v>80</v>
      </c>
      <c r="E9" s="1">
        <v>92</v>
      </c>
      <c r="F9" s="1">
        <v>69</v>
      </c>
      <c r="G9" s="3">
        <f t="shared" si="0"/>
        <v>317</v>
      </c>
    </row>
    <row r="10" spans="1:8" x14ac:dyDescent="0.25">
      <c r="A10" s="1">
        <v>9808</v>
      </c>
      <c r="B10" s="1" t="s">
        <v>13</v>
      </c>
      <c r="C10" s="1">
        <v>58</v>
      </c>
      <c r="D10" s="1">
        <v>69</v>
      </c>
      <c r="E10" s="1">
        <v>68</v>
      </c>
      <c r="F10" s="1">
        <v>78</v>
      </c>
      <c r="G10" s="3">
        <f t="shared" si="0"/>
        <v>273</v>
      </c>
    </row>
    <row r="11" spans="1:8" x14ac:dyDescent="0.25">
      <c r="A11" s="1">
        <v>9809</v>
      </c>
      <c r="B11" s="1" t="s">
        <v>14</v>
      </c>
      <c r="C11" s="1">
        <v>90</v>
      </c>
      <c r="D11" s="1">
        <v>79</v>
      </c>
      <c r="E11" s="1">
        <v>79</v>
      </c>
      <c r="F11" s="1">
        <v>90</v>
      </c>
      <c r="G11" s="3">
        <f t="shared" si="0"/>
        <v>338</v>
      </c>
    </row>
    <row r="12" spans="1:8" x14ac:dyDescent="0.25">
      <c r="A12" s="1">
        <v>9810</v>
      </c>
      <c r="B12" s="1" t="s">
        <v>15</v>
      </c>
      <c r="C12" s="1">
        <v>77</v>
      </c>
      <c r="D12" s="1">
        <v>89</v>
      </c>
      <c r="E12" s="1">
        <v>88</v>
      </c>
      <c r="F12" s="1">
        <v>94</v>
      </c>
      <c r="G12" s="3">
        <f t="shared" si="0"/>
        <v>348</v>
      </c>
    </row>
    <row r="13" spans="1:8" x14ac:dyDescent="0.25">
      <c r="A13" s="1">
        <v>9811</v>
      </c>
      <c r="B13" s="1" t="s">
        <v>16</v>
      </c>
      <c r="C13" s="1">
        <v>76</v>
      </c>
      <c r="D13" s="1">
        <v>58</v>
      </c>
      <c r="E13" s="1">
        <v>76</v>
      </c>
      <c r="F13" s="1">
        <v>64</v>
      </c>
      <c r="G13" s="3">
        <f t="shared" si="0"/>
        <v>274</v>
      </c>
    </row>
    <row r="14" spans="1:8" x14ac:dyDescent="0.25">
      <c r="A14" s="1">
        <v>9812</v>
      </c>
      <c r="B14" s="1" t="s">
        <v>17</v>
      </c>
      <c r="C14" s="1">
        <v>85</v>
      </c>
      <c r="D14" s="1">
        <v>54</v>
      </c>
      <c r="E14" s="1">
        <v>92</v>
      </c>
      <c r="F14" s="1">
        <v>83</v>
      </c>
      <c r="G14" s="3">
        <f t="shared" si="0"/>
        <v>314</v>
      </c>
    </row>
    <row r="15" spans="1:8" x14ac:dyDescent="0.25">
      <c r="A15" s="1">
        <v>9813</v>
      </c>
      <c r="B15" s="1" t="s">
        <v>18</v>
      </c>
      <c r="C15" s="1">
        <v>49</v>
      </c>
      <c r="D15" s="1">
        <v>64</v>
      </c>
      <c r="E15" s="1">
        <v>55</v>
      </c>
      <c r="F15" s="1">
        <v>84</v>
      </c>
      <c r="G15" s="3">
        <f t="shared" si="0"/>
        <v>252</v>
      </c>
    </row>
    <row r="16" spans="1:8" x14ac:dyDescent="0.25">
      <c r="A16" s="1">
        <v>9814</v>
      </c>
      <c r="B16" s="1" t="s">
        <v>19</v>
      </c>
      <c r="C16" s="1">
        <v>48</v>
      </c>
      <c r="D16" s="1">
        <v>73</v>
      </c>
      <c r="E16" s="1">
        <v>64</v>
      </c>
      <c r="F16" s="1">
        <v>70</v>
      </c>
      <c r="G16" s="3">
        <f t="shared" si="0"/>
        <v>255</v>
      </c>
    </row>
    <row r="17" spans="1:7" x14ac:dyDescent="0.25">
      <c r="A17" s="1">
        <v>9815</v>
      </c>
      <c r="B17" s="1" t="s">
        <v>20</v>
      </c>
      <c r="C17" s="1">
        <v>63</v>
      </c>
      <c r="D17" s="1">
        <v>74</v>
      </c>
      <c r="E17" s="1">
        <v>78</v>
      </c>
      <c r="F17" s="1">
        <v>92</v>
      </c>
      <c r="G17" s="3">
        <f t="shared" si="0"/>
        <v>307</v>
      </c>
    </row>
    <row r="18" spans="1:7" x14ac:dyDescent="0.25">
      <c r="A18" s="1">
        <v>9816</v>
      </c>
      <c r="B18" s="1" t="s">
        <v>21</v>
      </c>
      <c r="C18" s="1">
        <v>99</v>
      </c>
      <c r="D18" s="1">
        <v>69</v>
      </c>
      <c r="E18" s="1">
        <v>83</v>
      </c>
      <c r="F18" s="1">
        <v>72</v>
      </c>
      <c r="G18" s="3">
        <f t="shared" si="0"/>
        <v>323</v>
      </c>
    </row>
    <row r="19" spans="1:7" x14ac:dyDescent="0.25">
      <c r="A19" t="s">
        <v>24</v>
      </c>
      <c r="C19" s="3">
        <f>AVERAGE(C3:C18)</f>
        <v>74.1875</v>
      </c>
      <c r="D19" s="3">
        <f t="shared" ref="D19:G19" si="1">AVERAGE(D3:D18)</f>
        <v>73</v>
      </c>
      <c r="E19" s="3">
        <f t="shared" si="1"/>
        <v>80.8125</v>
      </c>
      <c r="F19" s="3">
        <f t="shared" si="1"/>
        <v>82.8125</v>
      </c>
      <c r="G19" s="3">
        <f t="shared" si="1"/>
        <v>310.8125</v>
      </c>
    </row>
    <row r="20" spans="1:7" x14ac:dyDescent="0.25">
      <c r="A20" t="s">
        <v>25</v>
      </c>
      <c r="C20" s="3">
        <f>MAX(C3:C19)</f>
        <v>99</v>
      </c>
      <c r="D20" s="3">
        <f t="shared" ref="D20:G20" si="2">MAX(D3:D19)</f>
        <v>99</v>
      </c>
      <c r="E20" s="3">
        <f t="shared" si="2"/>
        <v>99</v>
      </c>
      <c r="F20" s="3">
        <f t="shared" si="2"/>
        <v>99</v>
      </c>
      <c r="G20" s="3">
        <f t="shared" si="2"/>
        <v>375</v>
      </c>
    </row>
    <row r="21" spans="1:7" x14ac:dyDescent="0.25">
      <c r="A21" t="s">
        <v>26</v>
      </c>
      <c r="C21" s="3">
        <f>MIN(C3:C18)</f>
        <v>48</v>
      </c>
      <c r="D21" s="3">
        <f t="shared" ref="D21:G21" si="3">MIN(D3:D18)</f>
        <v>7</v>
      </c>
      <c r="E21" s="3">
        <f t="shared" si="3"/>
        <v>55</v>
      </c>
      <c r="F21" s="3">
        <f t="shared" si="3"/>
        <v>64</v>
      </c>
      <c r="G21" s="3">
        <f t="shared" si="3"/>
        <v>252</v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学生成绩表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2021-04-20T07:10:35Z</dcterms:modified>
</cp:coreProperties>
</file>
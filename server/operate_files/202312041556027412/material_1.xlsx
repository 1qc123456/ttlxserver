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0065"/>
  </bookViews>
  <sheets>
    <sheet name="期末成绩表" sheetId="3" r:id="rId1"/>
    <sheet name="学生信息表" sheetId="2" r:id="rId2"/>
    <sheet name="筛选" sheetId="4" r:id="rId3"/>
  </sheets>
  <definedNames>
    <definedName name="_xlnm._FilterDatabase" localSheetId="2" hidden="1">筛选!$A$3:$I$48</definedName>
    <definedName name="_xlnm.Criteria" localSheetId="2">筛选!$A$1:$A$2</definedName>
  </definedNames>
  <calcPr calcId="144525"/>
</workbook>
</file>

<file path=xl/sharedStrings.xml><?xml version="1.0" encoding="utf-8"?>
<sst xmlns="http://schemas.openxmlformats.org/spreadsheetml/2006/main" count="338" uniqueCount="196">
  <si>
    <t>初三（5）班第一学期期末成绩表</t>
  </si>
  <si>
    <t>学号</t>
  </si>
  <si>
    <t>姓名</t>
  </si>
  <si>
    <t>语文</t>
  </si>
  <si>
    <t>数学</t>
  </si>
  <si>
    <t>英语</t>
  </si>
  <si>
    <t>物理</t>
  </si>
  <si>
    <t>化学</t>
  </si>
  <si>
    <t>品德</t>
  </si>
  <si>
    <t>历史</t>
  </si>
  <si>
    <t>总分</t>
  </si>
  <si>
    <t>总分排名</t>
  </si>
  <si>
    <t>C121401</t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</si>
  <si>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</si>
  <si>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</si>
  <si>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</si>
  <si>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</si>
  <si>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</si>
  <si>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</si>
  <si>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</si>
  <si>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</si>
  <si>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</si>
  <si>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</si>
  <si>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</si>
  <si>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</si>
  <si>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</si>
  <si>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</si>
  <si>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</si>
  <si>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</si>
  <si>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</si>
  <si>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</si>
  <si>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</si>
  <si>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</si>
  <si>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</si>
  <si>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</si>
  <si>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</si>
  <si>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</si>
  <si>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</si>
  <si>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</si>
  <si>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</si>
  <si>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</si>
  <si>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</si>
  <si>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</si>
  <si>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</si>
  <si>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</si>
  <si>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</si>
  <si>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</si>
  <si>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</si>
  <si>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</si>
  <si>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</si>
  <si>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</si>
  <si>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</si>
  <si>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</si>
  <si>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</si>
  <si>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</si>
  <si>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</si>
  <si>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平均分</t>
  </si>
  <si>
    <t>身份证号码</t>
  </si>
  <si>
    <t>性别</t>
  </si>
  <si>
    <t>籍贯</t>
  </si>
  <si>
    <t>周肇霖</t>
  </si>
  <si>
    <t>420101200401051055</t>
  </si>
  <si>
    <t>湖北</t>
  </si>
  <si>
    <t>C121301</t>
  </si>
  <si>
    <t>姜秀芬</t>
  </si>
  <si>
    <t>110102200512191513</t>
  </si>
  <si>
    <t>北京</t>
  </si>
  <si>
    <t>C121201</t>
  </si>
  <si>
    <t>王初瑄</t>
  </si>
  <si>
    <t>110102200503292713</t>
  </si>
  <si>
    <t>李咏妤</t>
  </si>
  <si>
    <t>110102200404271532</t>
  </si>
  <si>
    <t>李政彬</t>
  </si>
  <si>
    <t>140302200505240451</t>
  </si>
  <si>
    <t>山西</t>
  </si>
  <si>
    <t>C121001</t>
  </si>
  <si>
    <t>高名民</t>
  </si>
  <si>
    <t>110102200405281913</t>
  </si>
  <si>
    <t>吴美州</t>
  </si>
  <si>
    <t>110103200503040920</t>
  </si>
  <si>
    <t>张兆洋</t>
  </si>
  <si>
    <t>110103200503270623</t>
  </si>
  <si>
    <t>陈金志</t>
  </si>
  <si>
    <t>110103200504290936</t>
  </si>
  <si>
    <t>李依勇</t>
  </si>
  <si>
    <t>430103200508171548</t>
  </si>
  <si>
    <t>湖南</t>
  </si>
  <si>
    <t>C120802</t>
  </si>
  <si>
    <t>黄绿泰</t>
  </si>
  <si>
    <t>140104200510261737</t>
  </si>
  <si>
    <t>杜思颖</t>
  </si>
  <si>
    <t>110104200403051216</t>
  </si>
  <si>
    <t>C120901</t>
  </si>
  <si>
    <t>杨心玲</t>
  </si>
  <si>
    <t>110105200407142140</t>
  </si>
  <si>
    <t>杨丹菱</t>
  </si>
  <si>
    <t>130105200510054517</t>
  </si>
  <si>
    <t>河北</t>
  </si>
  <si>
    <t>江天勋</t>
  </si>
  <si>
    <t>110105200410212519</t>
  </si>
  <si>
    <t>陈佩芬</t>
  </si>
  <si>
    <t>110105200511111135</t>
  </si>
  <si>
    <t>蔡志瑞</t>
  </si>
  <si>
    <t>370105200406036123</t>
  </si>
  <si>
    <t>山东</t>
  </si>
  <si>
    <t>C121101</t>
  </si>
  <si>
    <t>谈舒涵</t>
  </si>
  <si>
    <t>610106200503293913</t>
  </si>
  <si>
    <t>陕西</t>
  </si>
  <si>
    <t>吴佳宏</t>
  </si>
  <si>
    <t>110106200405133052</t>
  </si>
  <si>
    <t>周禹诚</t>
  </si>
  <si>
    <t>130106200505174819</t>
  </si>
  <si>
    <t>李嘉勇</t>
  </si>
  <si>
    <t>220106200407250970</t>
  </si>
  <si>
    <t>吉林</t>
  </si>
  <si>
    <t>C121003</t>
  </si>
  <si>
    <t>余家玮</t>
  </si>
  <si>
    <t>410107200504230930</t>
  </si>
  <si>
    <t>河南</t>
  </si>
  <si>
    <t>史姿蓉</t>
  </si>
  <si>
    <t>130108200411063791</t>
  </si>
  <si>
    <t>黄美善</t>
  </si>
  <si>
    <t>370108200512284251</t>
  </si>
  <si>
    <t>陈俊嘉</t>
  </si>
  <si>
    <t>410108200408013724</t>
  </si>
  <si>
    <t>邓嘉玲</t>
  </si>
  <si>
    <t>140108200501295479</t>
  </si>
  <si>
    <t>C120801</t>
  </si>
  <si>
    <t>林琬苹</t>
  </si>
  <si>
    <t>510109200510240031</t>
  </si>
  <si>
    <t>四川</t>
  </si>
  <si>
    <t>C121002</t>
  </si>
  <si>
    <t>林于岑</t>
  </si>
  <si>
    <t>340109200608070328</t>
  </si>
  <si>
    <t>安徽</t>
  </si>
  <si>
    <t>曹淑媛</t>
  </si>
  <si>
    <t>530111200410014018</t>
  </si>
  <si>
    <t>云南</t>
  </si>
  <si>
    <t>C121302</t>
  </si>
  <si>
    <t>林信宏</t>
  </si>
  <si>
    <t>520111200610042027</t>
  </si>
  <si>
    <t>贵州</t>
  </si>
  <si>
    <t>黄惠茹</t>
  </si>
  <si>
    <t>110111200606163022</t>
  </si>
  <si>
    <t>颜怡璇</t>
  </si>
  <si>
    <t>110221200509293625</t>
  </si>
  <si>
    <t>章庭尹</t>
  </si>
  <si>
    <t>110221200602048335</t>
  </si>
  <si>
    <t>黄启善</t>
  </si>
  <si>
    <t>140223200505060558</t>
  </si>
  <si>
    <t>蔡君宏</t>
  </si>
  <si>
    <t>110223200406235661</t>
  </si>
  <si>
    <t>林宏麟</t>
  </si>
  <si>
    <t>110223200510136635</t>
  </si>
  <si>
    <t>林慧韦</t>
  </si>
  <si>
    <t>110223200501116380</t>
  </si>
  <si>
    <t>洪子翔</t>
  </si>
  <si>
    <t>110224200510234821</t>
  </si>
  <si>
    <t>许育萱</t>
  </si>
  <si>
    <t>110224200607042031</t>
  </si>
  <si>
    <t>陈彦亨</t>
  </si>
  <si>
    <t>120224200501280026</t>
  </si>
  <si>
    <t>天津</t>
  </si>
  <si>
    <t>林丽芬</t>
  </si>
  <si>
    <t>110226200504111420</t>
  </si>
  <si>
    <t>陈法璇</t>
  </si>
  <si>
    <t>110226200508090053</t>
  </si>
  <si>
    <t>C121303</t>
  </si>
  <si>
    <t>杨世昌</t>
  </si>
  <si>
    <t>530226200510021915</t>
  </si>
  <si>
    <t>倪郁英</t>
  </si>
  <si>
    <t>110226200412221659</t>
  </si>
  <si>
    <t>陈育彦</t>
  </si>
  <si>
    <t>110226200512240017</t>
  </si>
  <si>
    <t>林敏茂</t>
  </si>
  <si>
    <t>110227200612061545</t>
  </si>
  <si>
    <t>刘佳齐</t>
  </si>
  <si>
    <t>430227200509040059</t>
  </si>
  <si>
    <t>王美柏</t>
  </si>
  <si>
    <t>110229200511140023</t>
  </si>
  <si>
    <t>李美紫</t>
  </si>
  <si>
    <t>110229200509011331</t>
  </si>
  <si>
    <t>龚佩玲</t>
  </si>
  <si>
    <t>420229200509060831</t>
  </si>
  <si>
    <t>陈玟湖</t>
  </si>
  <si>
    <t>110112200511263741</t>
  </si>
  <si>
    <t>林雅婷</t>
  </si>
  <si>
    <t>110630200505210048</t>
  </si>
  <si>
    <t>徐燕启</t>
  </si>
  <si>
    <t>121182200409163825</t>
  </si>
  <si>
    <t>林海萱</t>
  </si>
  <si>
    <t>110404200509074122</t>
  </si>
  <si>
    <t>廖皇荣</t>
  </si>
  <si>
    <t>11040520040531542X</t>
  </si>
  <si>
    <t>&gt;=100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</si>
</sst>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2"/>
      <color theme="1"/>
      <name val="华文楷体"/>
      <charset val="134"/>
    </font>
    <font>
      <b/>
      <sz val="15"/>
      <color theme="3"/>
      <name val="宋体"/>
      <charset val="134"/>
      <scheme val="minor"/>
    </font>
    <font>
      <b/>
      <sz val="16"/>
      <color rgb="FFFF0000"/>
      <name val="微软雅黑"/>
      <charset val="134"/>
    </font>
    <font>
      <sz val="12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FF0000"/>
      </left>
      <right style="double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FF0000"/>
      </left>
      <right style="double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double">
        <color rgb="FFFF0000"/>
      </right>
      <top style="medium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medium">
        <color rgb="FFFF0000"/>
      </top>
      <bottom style="double">
        <color rgb="FFFF0000"/>
      </bottom>
      <diagonal/>
    </border>
    <border>
      <left style="medium">
        <color rgb="FFFF0000"/>
      </left>
      <right style="double">
        <color rgb="FFFF0000"/>
      </right>
      <top style="double">
        <color rgb="FFFF0000"/>
      </top>
      <bottom style="medium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medium">
        <color rgb="FFFF0000"/>
      </bottom>
      <diagonal/>
    </border>
    <border>
      <left style="double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FF0000"/>
      </left>
      <right style="medium">
        <color rgb="FFFF0000"/>
      </right>
      <top style="medium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FF0000"/>
      </right>
      <top style="double">
        <color rgb="FFFF0000"/>
      </top>
      <bottom style="medium">
        <color rgb="FFFF0000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0" fillId="0" borderId="0" xfId="0" applyNumberFormat="1"/>
    <xf numFmtId="0" fontId="2" fillId="0" borderId="10" xfId="12" applyAlignment="1"/>
    <xf numFmtId="49" fontId="2" fillId="0" borderId="10" xfId="12" applyNumberFormat="1" applyAlignment="1"/>
    <xf numFmtId="0" fontId="0" fillId="2" borderId="0" xfId="27" applyAlignment="1"/>
    <xf numFmtId="49" fontId="0" fillId="2" borderId="0" xfId="27" applyNumberFormat="1" applyAlignment="1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C00000"/>
      </font>
      <fill>
        <patternFill patternType="solid">
          <bgColor rgb="FF00B0F0"/>
        </patternFill>
      </fill>
    </dxf>
    <dxf>
      <font>
        <color rgb="FF7030A0"/>
      </font>
      <fill>
        <patternFill patternType="solid"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期末成绩表!$B$3</c:f>
              <c:strCache>
                <c:ptCount val="1"/>
                <c:pt idx="0">
                  <c:v>陈金志</c:v>
                </c:pt>
              </c:strCache>
            </c:strRef>
          </c:tx>
          <c:spPr>
            <a:solidFill>
              <a:schemeClr val="accent1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期末成绩表!$J$3</c:f>
              <c:numCache>
                <c:formatCode>General</c:formatCode>
                <c:ptCount val="1"/>
                <c:pt idx="0">
                  <c:v>602</c:v>
                </c:pt>
              </c:numCache>
            </c:numRef>
          </c:val>
        </c:ser>
        <c:ser>
          <c:idx val="1"/>
          <c:order val="1"/>
          <c:tx>
            <c:strRef>
              <c:f>期末成绩表!$B$4</c:f>
              <c:strCache>
                <c:ptCount val="1"/>
                <c:pt idx="0">
                  <c:v>蔡君宏</c:v>
                </c:pt>
              </c:strCache>
            </c:strRef>
          </c:tx>
          <c:spPr>
            <a:solidFill>
              <a:schemeClr val="accent2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期末成绩表!$J$4</c:f>
              <c:numCache>
                <c:formatCode>General</c:formatCode>
                <c:ptCount val="1"/>
                <c:pt idx="0">
                  <c:v>682</c:v>
                </c:pt>
              </c:numCache>
            </c:numRef>
          </c:val>
        </c:ser>
        <c:ser>
          <c:idx val="2"/>
          <c:order val="2"/>
          <c:tx>
            <c:strRef>
              <c:f>期末成绩表!$B$5</c:f>
              <c:strCache>
                <c:ptCount val="1"/>
                <c:pt idx="0">
                  <c:v>吴佳宏</c:v>
                </c:pt>
              </c:strCache>
            </c:strRef>
          </c:tx>
          <c:spPr>
            <a:solidFill>
              <a:schemeClr val="accent3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期末成绩表!$J$5</c:f>
              <c:numCache>
                <c:formatCode>General</c:formatCode>
                <c:ptCount val="1"/>
                <c:pt idx="0">
                  <c:v>646</c:v>
                </c:pt>
              </c:numCache>
            </c:numRef>
          </c:val>
        </c:ser>
        <c:ser>
          <c:idx val="3"/>
          <c:order val="3"/>
          <c:tx>
            <c:strRef>
              <c:f>期末成绩表!$B$6</c:f>
              <c:strCache>
                <c:ptCount val="1"/>
                <c:pt idx="0">
                  <c:v>李政彬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期末成绩表!$J$6</c:f>
              <c:numCache>
                <c:formatCode>General</c:formatCode>
                <c:ptCount val="1"/>
                <c:pt idx="0">
                  <c:v>605</c:v>
                </c:pt>
              </c:numCache>
            </c:numRef>
          </c:val>
        </c:ser>
        <c:ser>
          <c:idx val="4"/>
          <c:order val="4"/>
          <c:tx>
            <c:strRef>
              <c:f>期末成绩表!$B$7</c:f>
              <c:strCache>
                <c:ptCount val="1"/>
                <c:pt idx="0">
                  <c:v>黄惠茹</c:v>
                </c:pt>
              </c:strCache>
            </c:strRef>
          </c:tx>
          <c:spPr>
            <a:solidFill>
              <a:schemeClr val="accent5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期末成绩表!$J$7</c:f>
              <c:numCache>
                <c:formatCode>General</c:formatCode>
                <c:ptCount val="1"/>
                <c:pt idx="0">
                  <c:v>634</c:v>
                </c:pt>
              </c:numCache>
            </c:numRef>
          </c:val>
        </c:ser>
        <c:ser>
          <c:idx val="5"/>
          <c:order val="5"/>
          <c:tx>
            <c:strRef>
              <c:f>期末成绩表!$B$8</c:f>
              <c:strCache>
                <c:ptCount val="1"/>
                <c:pt idx="0">
                  <c:v>林雅婷</c:v>
                </c:pt>
              </c:strCache>
            </c:strRef>
          </c:tx>
          <c:spPr>
            <a:solidFill>
              <a:schemeClr val="accent6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期末成绩表!$J$8</c:f>
              <c:numCache>
                <c:formatCode>General</c:formatCode>
                <c:ptCount val="1"/>
                <c:pt idx="0">
                  <c:v>662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53604480"/>
        <c:axId val="153606016"/>
      </c:barChart>
      <c:catAx>
        <c:axId val="1536044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06016"/>
        <c:crosses val="autoZero"/>
        <c:auto val="1"/>
        <c:lblAlgn val="ctr"/>
        <c:lblOffset val="100"/>
        <c:noMultiLvlLbl val="0"/>
      </c:catAx>
      <c:valAx>
        <c:axId val="1536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0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95250</xdr:colOff>
      <xdr:row>1</xdr:row>
      <xdr:rowOff>73958</xdr:rowOff>
    </xdr:from>
    <xdr:to>
      <xdr:col>16</xdr:col>
      <xdr:colOff>302559</xdr:colOff>
      <xdr:row>15</xdr:row>
      <xdr:rowOff>134471</xdr:rowOff>
    </xdr:to>
    <xdr:graphicFrame>
      <xdr:nvGraphicFramePr>
        <xdr:cNvPr id="2" name="图表 1"/>
        <xdr:cNvGraphicFramePr/>
      </xdr:nvGraphicFramePr>
      <xdr:xfrm>
        <a:off x="8515350" y="454660"/>
        <a:ext cx="2950210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zoomScale="85" zoomScaleNormal="85" workbookViewId="0">
      <selection activeCell="S27" sqref="S27"/>
    </sheetView>
  </sheetViews>
  <sheetFormatPr defaultColWidth="9" defaultRowHeight="13.5"/>
  <cols>
    <col min="10" max="11" width="10.25" customWidth="1"/>
  </cols>
  <sheetData>
    <row r="1" s="17" customFormat="1" ht="30" customHeight="1" spans="1:1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14.25" spans="1:11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</row>
    <row r="3" ht="14.25" spans="1:11">
      <c r="A3" s="19" t="s">
        <v>12</v>
      </c>
      <c r="B3" s="19" t="str">
        <f>VLOOKUP(A3,学生信息表!$A$1:$B$56,2,FALSE)</f>
        <v>陈金志</v>
      </c>
      <c r="C3" s="19">
        <v>97</v>
      </c>
      <c r="D3" s="19">
        <v>85</v>
      </c>
      <c r="E3" s="19">
        <v>82</v>
      </c>
      <c r="F3" s="19">
        <v>89</v>
      </c>
      <c r="G3" s="19">
        <v>69</v>
      </c>
      <c r="H3" s="19">
        <v>97</v>
      </c>
      <c r="I3" s="19">
        <v>83</v>
      </c>
      <c r="J3" s="19">
        <f>SUM(C3:I3)</f>
        <v>602</v>
      </c>
      <c r="K3" s="19" t="str">
        <f>"第"&amp;RANK(J3,J3:J46)&amp;"名"</f>
        <v>第30名</v>
      </c>
    </row>
    <row r="4" ht="14.25" spans="1:11">
      <c r="A4" s="19" t="s">
        <v>13</v>
      </c>
      <c r="B4" s="19" t="str">
        <f>VLOOKUP(A4,学生信息表!$A$1:$B$56,2,FALSE)</f>
        <v>蔡君宏</v>
      </c>
      <c r="C4" s="19">
        <v>99</v>
      </c>
      <c r="D4" s="19">
        <v>116</v>
      </c>
      <c r="E4" s="19">
        <v>89</v>
      </c>
      <c r="F4" s="19">
        <v>100</v>
      </c>
      <c r="G4" s="19">
        <v>83</v>
      </c>
      <c r="H4" s="19">
        <v>95</v>
      </c>
      <c r="I4" s="19">
        <v>100</v>
      </c>
      <c r="J4" s="19">
        <f t="shared" ref="J4:J47" si="0">SUM(C4:I4)</f>
        <v>682</v>
      </c>
      <c r="K4" s="19" t="str">
        <f>"第"&amp;RANK(J4,J3:J46)&amp;"名"</f>
        <v>第1名</v>
      </c>
    </row>
    <row r="5" ht="14.25" spans="1:11">
      <c r="A5" s="19" t="s">
        <v>14</v>
      </c>
      <c r="B5" s="19" t="str">
        <f>VLOOKUP(A5,学生信息表!$A$1:$B$56,2,FALSE)</f>
        <v>吴佳宏</v>
      </c>
      <c r="C5" s="19">
        <v>98</v>
      </c>
      <c r="D5" s="19">
        <v>113</v>
      </c>
      <c r="E5" s="19">
        <v>92</v>
      </c>
      <c r="F5" s="19">
        <v>98</v>
      </c>
      <c r="G5" s="19">
        <v>69</v>
      </c>
      <c r="H5" s="19">
        <v>92</v>
      </c>
      <c r="I5" s="19">
        <v>84</v>
      </c>
      <c r="J5" s="19">
        <f t="shared" si="0"/>
        <v>646</v>
      </c>
      <c r="K5" s="19" t="str">
        <f>"第"&amp;RANK(J5,J3:J46)&amp;"名"</f>
        <v>第8名</v>
      </c>
    </row>
    <row r="6" ht="14.25" spans="1:11">
      <c r="A6" s="19" t="s">
        <v>15</v>
      </c>
      <c r="B6" s="19" t="str">
        <f>VLOOKUP(A6,学生信息表!$A$1:$B$56,2,FALSE)</f>
        <v>李政彬</v>
      </c>
      <c r="C6" s="19">
        <v>87</v>
      </c>
      <c r="D6" s="19">
        <v>99</v>
      </c>
      <c r="E6" s="19">
        <v>97</v>
      </c>
      <c r="F6" s="19">
        <v>93</v>
      </c>
      <c r="G6" s="19">
        <v>68</v>
      </c>
      <c r="H6" s="19">
        <v>87</v>
      </c>
      <c r="I6" s="19">
        <v>74</v>
      </c>
      <c r="J6" s="19">
        <f t="shared" si="0"/>
        <v>605</v>
      </c>
      <c r="K6" s="19" t="str">
        <f>"第"&amp;RANK(J6,J3:J46)&amp;"名"</f>
        <v>第29名</v>
      </c>
    </row>
    <row r="7" ht="14.25" spans="1:11">
      <c r="A7" s="19" t="s">
        <v>16</v>
      </c>
      <c r="B7" s="19" t="str">
        <f>VLOOKUP(A7,学生信息表!$A$1:$B$56,2,FALSE)</f>
        <v>黄惠茹</v>
      </c>
      <c r="C7" s="19">
        <v>103</v>
      </c>
      <c r="D7" s="19">
        <v>100</v>
      </c>
      <c r="E7" s="19">
        <v>85</v>
      </c>
      <c r="F7" s="19">
        <v>95</v>
      </c>
      <c r="G7" s="19">
        <v>82</v>
      </c>
      <c r="H7" s="19">
        <v>77</v>
      </c>
      <c r="I7" s="19">
        <v>92</v>
      </c>
      <c r="J7" s="19">
        <f t="shared" si="0"/>
        <v>634</v>
      </c>
      <c r="K7" s="19" t="str">
        <f>"第"&amp;RANK(J7,J3:J46)&amp;"名"</f>
        <v>第15名</v>
      </c>
    </row>
    <row r="8" ht="14.25" spans="1:11">
      <c r="A8" s="19" t="s">
        <v>17</v>
      </c>
      <c r="B8" s="19" t="str">
        <f>VLOOKUP(A8,学生信息表!$A$1:$B$56,2,FALSE)</f>
        <v>林雅婷</v>
      </c>
      <c r="C8" s="19">
        <v>96</v>
      </c>
      <c r="D8" s="19">
        <v>113</v>
      </c>
      <c r="E8" s="19">
        <v>96</v>
      </c>
      <c r="F8" s="19">
        <v>80</v>
      </c>
      <c r="G8" s="19">
        <v>91</v>
      </c>
      <c r="H8" s="19">
        <v>91</v>
      </c>
      <c r="I8" s="19">
        <v>95</v>
      </c>
      <c r="J8" s="19">
        <f t="shared" si="0"/>
        <v>662</v>
      </c>
      <c r="K8" s="19" t="str">
        <f>"第"&amp;RANK(J8,J3:J46)&amp;"名"</f>
        <v>第3名</v>
      </c>
    </row>
    <row r="9" ht="14.25" spans="1:11">
      <c r="A9" s="19" t="s">
        <v>18</v>
      </c>
      <c r="B9" s="19" t="str">
        <f>VLOOKUP(A9,学生信息表!$A$1:$B$56,2,FALSE)</f>
        <v>邓嘉玲</v>
      </c>
      <c r="C9" s="19">
        <v>109</v>
      </c>
      <c r="D9" s="19">
        <v>79</v>
      </c>
      <c r="E9" s="19">
        <v>93</v>
      </c>
      <c r="F9" s="19">
        <v>97</v>
      </c>
      <c r="G9" s="19">
        <v>97</v>
      </c>
      <c r="H9" s="19">
        <v>88</v>
      </c>
      <c r="I9" s="19">
        <v>89</v>
      </c>
      <c r="J9" s="19">
        <f t="shared" si="0"/>
        <v>652</v>
      </c>
      <c r="K9" s="19" t="str">
        <f>"第"&amp;RANK(J9,J3:J46)&amp;"名"</f>
        <v>第5名</v>
      </c>
    </row>
    <row r="10" ht="14.25" spans="1:11">
      <c r="A10" s="19" t="s">
        <v>19</v>
      </c>
      <c r="B10" s="19" t="str">
        <f>VLOOKUP(A10,学生信息表!$A$1:$B$56,2,FALSE)</f>
        <v>林丽芬</v>
      </c>
      <c r="C10" s="19">
        <v>81</v>
      </c>
      <c r="D10" s="19">
        <v>96</v>
      </c>
      <c r="E10" s="19">
        <v>96</v>
      </c>
      <c r="F10" s="19">
        <v>74</v>
      </c>
      <c r="G10" s="19">
        <v>80</v>
      </c>
      <c r="H10" s="19">
        <v>75</v>
      </c>
      <c r="I10" s="19">
        <v>94</v>
      </c>
      <c r="J10" s="19">
        <f t="shared" si="0"/>
        <v>596</v>
      </c>
      <c r="K10" s="19" t="str">
        <f>"第"&amp;RANK(J10,J3:J46)&amp;"名"</f>
        <v>第32名</v>
      </c>
    </row>
    <row r="11" ht="14.25" spans="1:11">
      <c r="A11" s="19" t="s">
        <v>20</v>
      </c>
      <c r="B11" s="19" t="str">
        <f>VLOOKUP(A11,学生信息表!$A$1:$B$56,2,FALSE)</f>
        <v>林敏茂</v>
      </c>
      <c r="C11" s="19">
        <v>103</v>
      </c>
      <c r="D11" s="19">
        <v>75</v>
      </c>
      <c r="E11" s="19">
        <v>92</v>
      </c>
      <c r="F11" s="19">
        <v>92</v>
      </c>
      <c r="G11" s="19">
        <v>74</v>
      </c>
      <c r="H11" s="19">
        <v>80</v>
      </c>
      <c r="I11" s="19">
        <v>67</v>
      </c>
      <c r="J11" s="19">
        <f t="shared" si="0"/>
        <v>583</v>
      </c>
      <c r="K11" s="19" t="str">
        <f>"第"&amp;RANK(J11,J3:J46)&amp;"名"</f>
        <v>第38名</v>
      </c>
    </row>
    <row r="12" ht="14.25" spans="1:11">
      <c r="A12" s="19" t="s">
        <v>21</v>
      </c>
      <c r="B12" s="19" t="str">
        <f>VLOOKUP(A12,学生信息表!$A$1:$B$56,2,FALSE)</f>
        <v>黄美善</v>
      </c>
      <c r="C12" s="19">
        <v>95</v>
      </c>
      <c r="D12" s="19">
        <v>83</v>
      </c>
      <c r="E12" s="19">
        <v>78</v>
      </c>
      <c r="F12" s="19">
        <v>80</v>
      </c>
      <c r="G12" s="19">
        <v>73</v>
      </c>
      <c r="H12" s="19">
        <v>71</v>
      </c>
      <c r="I12" s="19">
        <v>64</v>
      </c>
      <c r="J12" s="19">
        <f t="shared" si="0"/>
        <v>544</v>
      </c>
      <c r="K12" s="19" t="str">
        <f>"第"&amp;RANK(J12,J3:J46)&amp;"名"</f>
        <v>第44名</v>
      </c>
    </row>
    <row r="13" ht="14.25" spans="1:11">
      <c r="A13" s="19" t="s">
        <v>22</v>
      </c>
      <c r="B13" s="19" t="str">
        <f>VLOOKUP(A13,学生信息表!$A$1:$B$56,2,FALSE)</f>
        <v>杜思颖</v>
      </c>
      <c r="C13" s="19">
        <v>90</v>
      </c>
      <c r="D13" s="19">
        <v>107</v>
      </c>
      <c r="E13" s="19">
        <v>91</v>
      </c>
      <c r="F13" s="19">
        <v>90</v>
      </c>
      <c r="G13" s="19">
        <v>72</v>
      </c>
      <c r="H13" s="19">
        <v>88</v>
      </c>
      <c r="I13" s="19">
        <v>96</v>
      </c>
      <c r="J13" s="19">
        <f t="shared" si="0"/>
        <v>634</v>
      </c>
      <c r="K13" s="19" t="str">
        <f>"第"&amp;RANK(J13,J3:J46)&amp;"名"</f>
        <v>第15名</v>
      </c>
    </row>
    <row r="14" ht="14.25" spans="1:11">
      <c r="A14" s="19" t="s">
        <v>23</v>
      </c>
      <c r="B14" s="19" t="str">
        <f>VLOOKUP(A14,学生信息表!$A$1:$B$56,2,FALSE)</f>
        <v>陈俊嘉</v>
      </c>
      <c r="C14" s="19">
        <v>83</v>
      </c>
      <c r="D14" s="19">
        <v>74</v>
      </c>
      <c r="E14" s="19">
        <v>96</v>
      </c>
      <c r="F14" s="19">
        <v>74</v>
      </c>
      <c r="G14" s="19">
        <v>68</v>
      </c>
      <c r="H14" s="19">
        <v>77</v>
      </c>
      <c r="I14" s="19">
        <v>77</v>
      </c>
      <c r="J14" s="19">
        <f t="shared" si="0"/>
        <v>549</v>
      </c>
      <c r="K14" s="19" t="str">
        <f>"第"&amp;RANK(J14,J3:J46)&amp;"名"</f>
        <v>第42名</v>
      </c>
    </row>
    <row r="15" ht="14.25" spans="1:11">
      <c r="A15" s="19" t="s">
        <v>24</v>
      </c>
      <c r="B15" s="19" t="str">
        <f>VLOOKUP(A15,学生信息表!$A$1:$B$56,2,FALSE)</f>
        <v>江天勋</v>
      </c>
      <c r="C15" s="19">
        <v>100</v>
      </c>
      <c r="D15" s="19">
        <v>90</v>
      </c>
      <c r="E15" s="19">
        <v>88</v>
      </c>
      <c r="F15" s="19">
        <v>71</v>
      </c>
      <c r="G15" s="19">
        <v>81</v>
      </c>
      <c r="H15" s="19">
        <v>98</v>
      </c>
      <c r="I15" s="19">
        <v>87</v>
      </c>
      <c r="J15" s="19">
        <f t="shared" si="0"/>
        <v>615</v>
      </c>
      <c r="K15" s="19" t="str">
        <f>"第"&amp;RANK(J15,J3:J46)&amp;"名"</f>
        <v>第25名</v>
      </c>
    </row>
    <row r="16" ht="14.25" spans="1:11">
      <c r="A16" s="19" t="s">
        <v>25</v>
      </c>
      <c r="B16" s="19" t="str">
        <f>VLOOKUP(A16,学生信息表!$A$1:$B$56,2,FALSE)</f>
        <v>颜怡璇</v>
      </c>
      <c r="C16" s="19">
        <v>87</v>
      </c>
      <c r="D16" s="19">
        <v>112</v>
      </c>
      <c r="E16" s="19">
        <v>92</v>
      </c>
      <c r="F16" s="19">
        <v>87</v>
      </c>
      <c r="G16" s="19">
        <v>68</v>
      </c>
      <c r="H16" s="19">
        <v>88</v>
      </c>
      <c r="I16" s="19">
        <v>85</v>
      </c>
      <c r="J16" s="19">
        <f t="shared" si="0"/>
        <v>619</v>
      </c>
      <c r="K16" s="19" t="str">
        <f>"第"&amp;RANK(J16,J3:J46)&amp;"名"</f>
        <v>第23名</v>
      </c>
    </row>
    <row r="17" ht="14.25" spans="1:11">
      <c r="A17" s="19" t="s">
        <v>26</v>
      </c>
      <c r="B17" s="19" t="str">
        <f>VLOOKUP(A17,学生信息表!$A$1:$B$56,2,FALSE)</f>
        <v>章庭尹</v>
      </c>
      <c r="C17" s="19">
        <v>88</v>
      </c>
      <c r="D17" s="19">
        <v>94</v>
      </c>
      <c r="E17" s="19">
        <v>100</v>
      </c>
      <c r="F17" s="19">
        <v>81</v>
      </c>
      <c r="G17" s="19">
        <v>73</v>
      </c>
      <c r="H17" s="19">
        <v>76</v>
      </c>
      <c r="I17" s="19">
        <v>72</v>
      </c>
      <c r="J17" s="19">
        <f t="shared" si="0"/>
        <v>584</v>
      </c>
      <c r="K17" s="19" t="str">
        <f>"第"&amp;RANK(J17,J3:J46)&amp;"名"</f>
        <v>第37名</v>
      </c>
    </row>
    <row r="18" ht="14.25" spans="1:11">
      <c r="A18" s="19" t="s">
        <v>27</v>
      </c>
      <c r="B18" s="19" t="str">
        <f>VLOOKUP(A18,学生信息表!$A$1:$B$56,2,FALSE)</f>
        <v>陈育彦</v>
      </c>
      <c r="C18" s="19">
        <v>118</v>
      </c>
      <c r="D18" s="19">
        <v>90</v>
      </c>
      <c r="E18" s="19">
        <v>92</v>
      </c>
      <c r="F18" s="19">
        <v>83</v>
      </c>
      <c r="G18" s="19">
        <v>51</v>
      </c>
      <c r="H18" s="19">
        <v>98</v>
      </c>
      <c r="I18" s="19">
        <v>87</v>
      </c>
      <c r="J18" s="19">
        <f t="shared" si="0"/>
        <v>619</v>
      </c>
      <c r="K18" s="19" t="str">
        <f>"第"&amp;RANK(J18,J3:J46)&amp;"名"</f>
        <v>第23名</v>
      </c>
    </row>
    <row r="19" ht="14.25" spans="1:11">
      <c r="A19" s="19" t="s">
        <v>28</v>
      </c>
      <c r="B19" s="19" t="str">
        <f>VLOOKUP(A19,学生信息表!$A$1:$B$56,2,FALSE)</f>
        <v>周肇霖</v>
      </c>
      <c r="C19" s="19">
        <v>81</v>
      </c>
      <c r="D19" s="19">
        <v>82</v>
      </c>
      <c r="E19" s="19">
        <v>78</v>
      </c>
      <c r="F19" s="19">
        <v>71</v>
      </c>
      <c r="G19" s="19">
        <v>64</v>
      </c>
      <c r="H19" s="19">
        <v>95</v>
      </c>
      <c r="I19" s="19">
        <v>78</v>
      </c>
      <c r="J19" s="19">
        <f t="shared" si="0"/>
        <v>549</v>
      </c>
      <c r="K19" s="19" t="str">
        <f>"第"&amp;RANK(J19,J3:J46)&amp;"名"</f>
        <v>第42名</v>
      </c>
    </row>
    <row r="20" ht="14.25" spans="1:11">
      <c r="A20" s="19" t="s">
        <v>29</v>
      </c>
      <c r="B20" s="19" t="str">
        <f>VLOOKUP(A20,学生信息表!$A$1:$B$56,2,FALSE)</f>
        <v>陈玟湖</v>
      </c>
      <c r="C20" s="19">
        <v>90</v>
      </c>
      <c r="D20" s="19">
        <v>90</v>
      </c>
      <c r="E20" s="19">
        <v>88</v>
      </c>
      <c r="F20" s="19">
        <v>86</v>
      </c>
      <c r="G20" s="19">
        <v>59</v>
      </c>
      <c r="H20" s="19">
        <v>99</v>
      </c>
      <c r="I20" s="19">
        <v>66</v>
      </c>
      <c r="J20" s="19">
        <f t="shared" si="0"/>
        <v>578</v>
      </c>
      <c r="K20" s="19" t="str">
        <f>"第"&amp;RANK(J20,J3:J46)&amp;"名"</f>
        <v>第41名</v>
      </c>
    </row>
    <row r="21" ht="14.25" spans="1:11">
      <c r="A21" s="19" t="s">
        <v>30</v>
      </c>
      <c r="B21" s="19" t="str">
        <f>VLOOKUP(A21,学生信息表!$A$1:$B$56,2,FALSE)</f>
        <v>林海萱</v>
      </c>
      <c r="C21" s="19">
        <v>101</v>
      </c>
      <c r="D21" s="19">
        <v>104</v>
      </c>
      <c r="E21" s="19">
        <v>92</v>
      </c>
      <c r="F21" s="19">
        <v>93</v>
      </c>
      <c r="G21" s="19">
        <v>70</v>
      </c>
      <c r="H21" s="19">
        <v>88</v>
      </c>
      <c r="I21" s="19">
        <v>90</v>
      </c>
      <c r="J21" s="19">
        <f t="shared" si="0"/>
        <v>638</v>
      </c>
      <c r="K21" s="19" t="str">
        <f>"第"&amp;RANK(J21,J3:J46)&amp;"名"</f>
        <v>第12名</v>
      </c>
    </row>
    <row r="22" ht="14.25" spans="1:11">
      <c r="A22" s="19" t="s">
        <v>31</v>
      </c>
      <c r="B22" s="19" t="str">
        <f>VLOOKUP(A22,学生信息表!$A$1:$B$56,2,FALSE)</f>
        <v>李嘉勇</v>
      </c>
      <c r="C22" s="19">
        <v>86</v>
      </c>
      <c r="D22" s="19">
        <v>75</v>
      </c>
      <c r="E22" s="19">
        <v>95</v>
      </c>
      <c r="F22" s="19">
        <v>94</v>
      </c>
      <c r="G22" s="19">
        <v>56</v>
      </c>
      <c r="H22" s="19">
        <v>96</v>
      </c>
      <c r="I22" s="19">
        <v>81</v>
      </c>
      <c r="J22" s="19">
        <f t="shared" si="0"/>
        <v>583</v>
      </c>
      <c r="K22" s="19" t="str">
        <f>"第"&amp;RANK(J22,J3:J46)&amp;"名"</f>
        <v>第38名</v>
      </c>
    </row>
    <row r="23" ht="14.25" spans="1:11">
      <c r="A23" s="19" t="s">
        <v>32</v>
      </c>
      <c r="B23" s="19" t="str">
        <f>VLOOKUP(A23,学生信息表!$A$1:$B$56,2,FALSE)</f>
        <v>龚佩玲</v>
      </c>
      <c r="C23" s="19">
        <v>79</v>
      </c>
      <c r="D23" s="19">
        <v>106</v>
      </c>
      <c r="E23" s="19">
        <v>100</v>
      </c>
      <c r="F23" s="19">
        <v>78</v>
      </c>
      <c r="G23" s="19">
        <v>91</v>
      </c>
      <c r="H23" s="19">
        <v>87</v>
      </c>
      <c r="I23" s="19">
        <v>66</v>
      </c>
      <c r="J23" s="19">
        <f t="shared" si="0"/>
        <v>607</v>
      </c>
      <c r="K23" s="19" t="str">
        <f>"第"&amp;RANK(J23,J3:J46)&amp;"名"</f>
        <v>第26名</v>
      </c>
    </row>
    <row r="24" ht="14.25" spans="1:11">
      <c r="A24" s="19" t="s">
        <v>33</v>
      </c>
      <c r="B24" s="19" t="str">
        <f>VLOOKUP(A24,学生信息表!$A$1:$B$56,2,FALSE)</f>
        <v>吴美州</v>
      </c>
      <c r="C24" s="19">
        <v>101</v>
      </c>
      <c r="D24" s="19">
        <v>92</v>
      </c>
      <c r="E24" s="19">
        <v>82</v>
      </c>
      <c r="F24" s="19">
        <v>95</v>
      </c>
      <c r="G24" s="19">
        <v>81</v>
      </c>
      <c r="H24" s="19">
        <v>99</v>
      </c>
      <c r="I24" s="19">
        <v>92</v>
      </c>
      <c r="J24" s="19">
        <f t="shared" si="0"/>
        <v>642</v>
      </c>
      <c r="K24" s="19" t="str">
        <f>"第"&amp;RANK(J24,J3:J46)&amp;"名"</f>
        <v>第9名</v>
      </c>
    </row>
    <row r="25" ht="14.25" spans="1:11">
      <c r="A25" s="19" t="s">
        <v>34</v>
      </c>
      <c r="B25" s="19" t="str">
        <f>VLOOKUP(A25,学生信息表!$A$1:$B$56,2,FALSE)</f>
        <v>陈佩芬</v>
      </c>
      <c r="C25" s="19">
        <v>91</v>
      </c>
      <c r="D25" s="19">
        <v>89</v>
      </c>
      <c r="E25" s="19">
        <v>91</v>
      </c>
      <c r="F25" s="19">
        <v>88</v>
      </c>
      <c r="G25" s="19">
        <v>94</v>
      </c>
      <c r="H25" s="19">
        <v>82</v>
      </c>
      <c r="I25" s="19">
        <v>54</v>
      </c>
      <c r="J25" s="19">
        <f t="shared" si="0"/>
        <v>589</v>
      </c>
      <c r="K25" s="19" t="str">
        <f>"第"&amp;RANK(J25,J3:J46)&amp;"名"</f>
        <v>第34名</v>
      </c>
    </row>
    <row r="26" ht="14.25" spans="1:11">
      <c r="A26" s="19" t="s">
        <v>35</v>
      </c>
      <c r="B26" s="19" t="str">
        <f>VLOOKUP(A26,学生信息表!$A$1:$B$56,2,FALSE)</f>
        <v>李咏妤</v>
      </c>
      <c r="C26" s="19">
        <v>95</v>
      </c>
      <c r="D26" s="19">
        <v>105</v>
      </c>
      <c r="E26" s="19">
        <v>94</v>
      </c>
      <c r="F26" s="19">
        <v>82</v>
      </c>
      <c r="G26" s="19">
        <v>85</v>
      </c>
      <c r="H26" s="19">
        <v>81</v>
      </c>
      <c r="I26" s="19">
        <v>87</v>
      </c>
      <c r="J26" s="19">
        <f t="shared" si="0"/>
        <v>629</v>
      </c>
      <c r="K26" s="19" t="str">
        <f>"第"&amp;RANK(J26,J3:J46)&amp;"名"</f>
        <v>第21名</v>
      </c>
    </row>
    <row r="27" ht="14.25" spans="1:11">
      <c r="A27" s="19" t="s">
        <v>36</v>
      </c>
      <c r="B27" s="19" t="str">
        <f>VLOOKUP(A27,学生信息表!$A$1:$B$56,2,FALSE)</f>
        <v>张兆洋</v>
      </c>
      <c r="C27" s="19">
        <v>80</v>
      </c>
      <c r="D27" s="19">
        <v>95</v>
      </c>
      <c r="E27" s="19">
        <v>83</v>
      </c>
      <c r="F27" s="19">
        <v>91</v>
      </c>
      <c r="G27" s="19">
        <v>98</v>
      </c>
      <c r="H27" s="19">
        <v>78</v>
      </c>
      <c r="I27" s="19">
        <v>64</v>
      </c>
      <c r="J27" s="19">
        <f t="shared" si="0"/>
        <v>589</v>
      </c>
      <c r="K27" s="19" t="str">
        <f>"第"&amp;RANK(J27,J3:J46)&amp;"名"</f>
        <v>第34名</v>
      </c>
    </row>
    <row r="28" ht="14.25" spans="1:11">
      <c r="A28" s="19" t="s">
        <v>37</v>
      </c>
      <c r="B28" s="19" t="str">
        <f>VLOOKUP(A28,学生信息表!$A$1:$B$56,2,FALSE)</f>
        <v>陈彦亨</v>
      </c>
      <c r="C28" s="19">
        <v>102</v>
      </c>
      <c r="D28" s="19">
        <v>112</v>
      </c>
      <c r="E28" s="19">
        <v>87</v>
      </c>
      <c r="F28" s="19">
        <v>91</v>
      </c>
      <c r="G28" s="19">
        <v>90</v>
      </c>
      <c r="H28" s="19">
        <v>91</v>
      </c>
      <c r="I28" s="19">
        <v>95</v>
      </c>
      <c r="J28" s="19">
        <f t="shared" si="0"/>
        <v>668</v>
      </c>
      <c r="K28" s="19" t="str">
        <f>"第"&amp;RANK(J28,J3:J46)&amp;"名"</f>
        <v>第2名</v>
      </c>
    </row>
    <row r="29" ht="14.25" spans="1:11">
      <c r="A29" s="19" t="s">
        <v>38</v>
      </c>
      <c r="B29" s="19" t="str">
        <f>VLOOKUP(A29,学生信息表!$A$1:$B$56,2,FALSE)</f>
        <v>王美柏</v>
      </c>
      <c r="C29" s="19">
        <v>96</v>
      </c>
      <c r="D29" s="19">
        <v>96</v>
      </c>
      <c r="E29" s="19">
        <v>83</v>
      </c>
      <c r="F29" s="19">
        <v>98</v>
      </c>
      <c r="G29" s="19">
        <v>82</v>
      </c>
      <c r="H29" s="19">
        <v>88</v>
      </c>
      <c r="I29" s="19">
        <v>88</v>
      </c>
      <c r="J29" s="19">
        <f t="shared" si="0"/>
        <v>631</v>
      </c>
      <c r="K29" s="19" t="str">
        <f>"第"&amp;RANK(J29,J3:J46)&amp;"名"</f>
        <v>第18名</v>
      </c>
    </row>
    <row r="30" ht="14.25" spans="1:11">
      <c r="A30" s="19" t="s">
        <v>39</v>
      </c>
      <c r="B30" s="19" t="str">
        <f>VLOOKUP(A30,学生信息表!$A$1:$B$56,2,FALSE)</f>
        <v>史姿蓉</v>
      </c>
      <c r="C30" s="19">
        <v>100</v>
      </c>
      <c r="D30" s="19">
        <v>118</v>
      </c>
      <c r="E30" s="19">
        <v>95</v>
      </c>
      <c r="F30" s="19">
        <v>90</v>
      </c>
      <c r="G30" s="19">
        <v>54</v>
      </c>
      <c r="H30" s="19">
        <v>96</v>
      </c>
      <c r="I30" s="19">
        <v>88</v>
      </c>
      <c r="J30" s="19">
        <f t="shared" si="0"/>
        <v>641</v>
      </c>
      <c r="K30" s="19" t="str">
        <f>"第"&amp;RANK(J30,J3:J46)&amp;"名"</f>
        <v>第10名</v>
      </c>
    </row>
    <row r="31" ht="14.25" spans="1:11">
      <c r="A31" s="19" t="s">
        <v>40</v>
      </c>
      <c r="B31" s="19" t="str">
        <f>VLOOKUP(A31,学生信息表!$A$1:$B$56,2,FALSE)</f>
        <v>倪郁英</v>
      </c>
      <c r="C31" s="19">
        <v>96</v>
      </c>
      <c r="D31" s="19">
        <v>91</v>
      </c>
      <c r="E31" s="19">
        <v>94</v>
      </c>
      <c r="F31" s="19">
        <v>86</v>
      </c>
      <c r="G31" s="19">
        <v>67</v>
      </c>
      <c r="H31" s="19">
        <v>89</v>
      </c>
      <c r="I31" s="19">
        <v>78</v>
      </c>
      <c r="J31" s="19">
        <f t="shared" si="0"/>
        <v>601</v>
      </c>
      <c r="K31" s="19" t="str">
        <f>"第"&amp;RANK(J31,J3:J46)&amp;"名"</f>
        <v>第31名</v>
      </c>
    </row>
    <row r="32" ht="14.25" spans="1:11">
      <c r="A32" s="19" t="s">
        <v>41</v>
      </c>
      <c r="B32" s="19" t="str">
        <f>VLOOKUP(A32,学生信息表!$A$1:$B$56,2,FALSE)</f>
        <v>黄启善</v>
      </c>
      <c r="C32" s="19">
        <v>89</v>
      </c>
      <c r="D32" s="19">
        <v>118</v>
      </c>
      <c r="E32" s="19">
        <v>95</v>
      </c>
      <c r="F32" s="19">
        <v>91</v>
      </c>
      <c r="G32" s="19">
        <v>99</v>
      </c>
      <c r="H32" s="19">
        <v>91</v>
      </c>
      <c r="I32" s="19">
        <v>65</v>
      </c>
      <c r="J32" s="19">
        <f t="shared" si="0"/>
        <v>648</v>
      </c>
      <c r="K32" s="19" t="str">
        <f>"第"&amp;RANK(J32,J3:J46)&amp;"名"</f>
        <v>第7名</v>
      </c>
    </row>
    <row r="33" ht="14.25" spans="1:11">
      <c r="A33" s="19" t="s">
        <v>42</v>
      </c>
      <c r="B33" s="19" t="str">
        <f>VLOOKUP(A33,学生信息表!$A$1:$B$56,2,FALSE)</f>
        <v>李美紫</v>
      </c>
      <c r="C33" s="19">
        <v>102</v>
      </c>
      <c r="D33" s="19">
        <v>92</v>
      </c>
      <c r="E33" s="19">
        <v>93</v>
      </c>
      <c r="F33" s="19">
        <v>78</v>
      </c>
      <c r="G33" s="19">
        <v>54</v>
      </c>
      <c r="H33" s="19">
        <v>75</v>
      </c>
      <c r="I33" s="19">
        <v>88</v>
      </c>
      <c r="J33" s="19">
        <f t="shared" si="0"/>
        <v>582</v>
      </c>
      <c r="K33" s="19" t="str">
        <f>"第"&amp;RANK(J33,J3:J46)&amp;"名"</f>
        <v>第40名</v>
      </c>
    </row>
    <row r="34" ht="14.25" spans="1:11">
      <c r="A34" s="19" t="s">
        <v>43</v>
      </c>
      <c r="B34" s="19" t="str">
        <f>VLOOKUP(A34,学生信息表!$A$1:$B$56,2,FALSE)</f>
        <v>蔡志瑞</v>
      </c>
      <c r="C34" s="19">
        <v>83</v>
      </c>
      <c r="D34" s="19">
        <v>97</v>
      </c>
      <c r="E34" s="19">
        <v>92</v>
      </c>
      <c r="F34" s="19">
        <v>87</v>
      </c>
      <c r="G34" s="19">
        <v>92</v>
      </c>
      <c r="H34" s="19">
        <v>95</v>
      </c>
      <c r="I34" s="19">
        <v>84</v>
      </c>
      <c r="J34" s="19">
        <f t="shared" si="0"/>
        <v>630</v>
      </c>
      <c r="K34" s="19" t="str">
        <f>"第"&amp;RANK(J34,J3:J46)&amp;"名"</f>
        <v>第19名</v>
      </c>
    </row>
    <row r="35" ht="14.25" spans="1:11">
      <c r="A35" s="19" t="s">
        <v>44</v>
      </c>
      <c r="B35" s="19" t="str">
        <f>VLOOKUP(A35,学生信息表!$A$1:$B$56,2,FALSE)</f>
        <v>曹淑媛</v>
      </c>
      <c r="C35" s="19">
        <v>79</v>
      </c>
      <c r="D35" s="19">
        <v>104</v>
      </c>
      <c r="E35" s="19">
        <v>81</v>
      </c>
      <c r="F35" s="19">
        <v>97</v>
      </c>
      <c r="G35" s="19">
        <v>56</v>
      </c>
      <c r="H35" s="19">
        <v>91</v>
      </c>
      <c r="I35" s="19">
        <v>81</v>
      </c>
      <c r="J35" s="19">
        <f t="shared" si="0"/>
        <v>589</v>
      </c>
      <c r="K35" s="19" t="str">
        <f>"第"&amp;RANK(J35,J3:J46)&amp;"名"</f>
        <v>第34名</v>
      </c>
    </row>
    <row r="36" ht="14.25" spans="1:11">
      <c r="A36" s="19" t="s">
        <v>45</v>
      </c>
      <c r="B36" s="19" t="str">
        <f>VLOOKUP(A36,学生信息表!$A$1:$B$56,2,FALSE)</f>
        <v>林慧韦</v>
      </c>
      <c r="C36" s="19">
        <v>95</v>
      </c>
      <c r="D36" s="19">
        <v>99</v>
      </c>
      <c r="E36" s="19">
        <v>99</v>
      </c>
      <c r="F36" s="19">
        <v>79</v>
      </c>
      <c r="G36" s="19">
        <v>92</v>
      </c>
      <c r="H36" s="19">
        <v>77</v>
      </c>
      <c r="I36" s="19">
        <v>93</v>
      </c>
      <c r="J36" s="19">
        <f t="shared" si="0"/>
        <v>634</v>
      </c>
      <c r="K36" s="19" t="str">
        <f>"第"&amp;RANK(J36,J3:J46)&amp;"名"</f>
        <v>第15名</v>
      </c>
    </row>
    <row r="37" ht="14.25" spans="1:11">
      <c r="A37" s="19" t="s">
        <v>46</v>
      </c>
      <c r="B37" s="19" t="str">
        <f>VLOOKUP(A37,学生信息表!$A$1:$B$56,2,FALSE)</f>
        <v>许育萱</v>
      </c>
      <c r="C37" s="19">
        <v>99</v>
      </c>
      <c r="D37" s="19">
        <v>98</v>
      </c>
      <c r="E37" s="19">
        <v>90</v>
      </c>
      <c r="F37" s="19">
        <v>86</v>
      </c>
      <c r="G37" s="19">
        <v>65</v>
      </c>
      <c r="H37" s="19">
        <v>92</v>
      </c>
      <c r="I37" s="19">
        <v>96</v>
      </c>
      <c r="J37" s="19">
        <f t="shared" si="0"/>
        <v>626</v>
      </c>
      <c r="K37" s="19" t="str">
        <f>"第"&amp;RANK(J37,J3:J46)&amp;"名"</f>
        <v>第22名</v>
      </c>
    </row>
    <row r="38" ht="14.25" spans="1:11">
      <c r="A38" s="19" t="s">
        <v>47</v>
      </c>
      <c r="B38" s="19" t="str">
        <f>VLOOKUP(A38,学生信息表!$A$1:$B$56,2,FALSE)</f>
        <v>廖皇荣</v>
      </c>
      <c r="C38" s="19">
        <v>101</v>
      </c>
      <c r="D38" s="19">
        <v>71</v>
      </c>
      <c r="E38" s="19">
        <v>96</v>
      </c>
      <c r="F38" s="19">
        <v>93</v>
      </c>
      <c r="G38" s="19">
        <v>52</v>
      </c>
      <c r="H38" s="19">
        <v>97</v>
      </c>
      <c r="I38" s="19">
        <v>86</v>
      </c>
      <c r="J38" s="19">
        <f t="shared" si="0"/>
        <v>596</v>
      </c>
      <c r="K38" s="19" t="str">
        <f>"第"&amp;RANK(J38,J3:J46)&amp;"名"</f>
        <v>第32名</v>
      </c>
    </row>
    <row r="39" ht="14.25" spans="1:11">
      <c r="A39" s="19" t="s">
        <v>48</v>
      </c>
      <c r="B39" s="19" t="str">
        <f>VLOOKUP(A39,学生信息表!$A$1:$B$56,2,FALSE)</f>
        <v>周禹诚</v>
      </c>
      <c r="C39" s="19">
        <v>86</v>
      </c>
      <c r="D39" s="19">
        <v>107</v>
      </c>
      <c r="E39" s="19">
        <v>86</v>
      </c>
      <c r="F39" s="19">
        <v>97</v>
      </c>
      <c r="G39" s="19">
        <v>90</v>
      </c>
      <c r="H39" s="19">
        <v>92</v>
      </c>
      <c r="I39" s="19">
        <v>98</v>
      </c>
      <c r="J39" s="19">
        <f t="shared" si="0"/>
        <v>656</v>
      </c>
      <c r="K39" s="19" t="str">
        <f>"第"&amp;RANK(J39,J3:J46)&amp;"名"</f>
        <v>第4名</v>
      </c>
    </row>
    <row r="40" ht="14.25" spans="1:11">
      <c r="A40" s="19" t="s">
        <v>49</v>
      </c>
      <c r="B40" s="19" t="str">
        <f>VLOOKUP(A40,学生信息表!$A$1:$B$56,2,FALSE)</f>
        <v>陈法璇</v>
      </c>
      <c r="C40" s="19">
        <v>90</v>
      </c>
      <c r="D40" s="19">
        <v>94</v>
      </c>
      <c r="E40" s="19">
        <v>80</v>
      </c>
      <c r="F40" s="19">
        <v>100</v>
      </c>
      <c r="G40" s="19">
        <v>58</v>
      </c>
      <c r="H40" s="19">
        <v>89</v>
      </c>
      <c r="I40" s="19">
        <v>96</v>
      </c>
      <c r="J40" s="19">
        <f t="shared" si="0"/>
        <v>607</v>
      </c>
      <c r="K40" s="19" t="str">
        <f>"第"&amp;RANK(J40,J3:J46)&amp;"名"</f>
        <v>第26名</v>
      </c>
    </row>
    <row r="41" ht="14.25" spans="1:11">
      <c r="A41" s="19" t="s">
        <v>50</v>
      </c>
      <c r="B41" s="19" t="str">
        <f>VLOOKUP(A41,学生信息表!$A$1:$B$56,2,FALSE)</f>
        <v>李依勇</v>
      </c>
      <c r="C41" s="19">
        <v>91</v>
      </c>
      <c r="D41" s="19">
        <v>109</v>
      </c>
      <c r="E41" s="19">
        <v>96</v>
      </c>
      <c r="F41" s="19">
        <v>88</v>
      </c>
      <c r="G41" s="19">
        <v>75</v>
      </c>
      <c r="H41" s="19">
        <v>86</v>
      </c>
      <c r="I41" s="19">
        <v>94</v>
      </c>
      <c r="J41" s="19">
        <f t="shared" si="0"/>
        <v>639</v>
      </c>
      <c r="K41" s="19" t="str">
        <f>"第"&amp;RANK(J41,J3:J46)&amp;"名"</f>
        <v>第11名</v>
      </c>
    </row>
    <row r="42" ht="14.25" spans="1:11">
      <c r="A42" s="19" t="s">
        <v>51</v>
      </c>
      <c r="B42" s="19" t="str">
        <f>VLOOKUP(A42,学生信息表!$A$1:$B$56,2,FALSE)</f>
        <v>杨丹菱</v>
      </c>
      <c r="C42" s="19">
        <v>89</v>
      </c>
      <c r="D42" s="19">
        <v>106</v>
      </c>
      <c r="E42" s="19">
        <v>93</v>
      </c>
      <c r="F42" s="19">
        <v>82</v>
      </c>
      <c r="G42" s="19">
        <v>98</v>
      </c>
      <c r="H42" s="19">
        <v>82</v>
      </c>
      <c r="I42" s="19">
        <v>88</v>
      </c>
      <c r="J42" s="19">
        <f t="shared" si="0"/>
        <v>638</v>
      </c>
      <c r="K42" s="19" t="str">
        <f>"第"&amp;RANK(J42,J3:J46)&amp;"名"</f>
        <v>第12名</v>
      </c>
    </row>
    <row r="43" ht="14.25" spans="1:11">
      <c r="A43" s="19" t="s">
        <v>52</v>
      </c>
      <c r="B43" s="19" t="str">
        <f>VLOOKUP(A43,学生信息表!$A$1:$B$56,2,FALSE)</f>
        <v>洪子翔</v>
      </c>
      <c r="C43" s="19">
        <v>105</v>
      </c>
      <c r="D43" s="19">
        <v>89</v>
      </c>
      <c r="E43" s="19">
        <v>90</v>
      </c>
      <c r="F43" s="19">
        <v>97</v>
      </c>
      <c r="G43" s="19">
        <v>59</v>
      </c>
      <c r="H43" s="19">
        <v>79</v>
      </c>
      <c r="I43" s="19">
        <v>88</v>
      </c>
      <c r="J43" s="19">
        <f t="shared" si="0"/>
        <v>607</v>
      </c>
      <c r="K43" s="19" t="str">
        <f>"第"&amp;RANK(J43,J3:J46)&amp;"名"</f>
        <v>第26名</v>
      </c>
    </row>
    <row r="44" ht="14.25" spans="1:11">
      <c r="A44" s="19" t="s">
        <v>53</v>
      </c>
      <c r="B44" s="19" t="str">
        <f>VLOOKUP(A44,学生信息表!$A$1:$B$56,2,FALSE)</f>
        <v>林宏麟</v>
      </c>
      <c r="C44" s="19">
        <v>98</v>
      </c>
      <c r="D44" s="19">
        <v>88</v>
      </c>
      <c r="E44" s="19">
        <v>100</v>
      </c>
      <c r="F44" s="19">
        <v>92</v>
      </c>
      <c r="G44" s="19">
        <v>80</v>
      </c>
      <c r="H44" s="19">
        <v>96</v>
      </c>
      <c r="I44" s="19">
        <v>97</v>
      </c>
      <c r="J44" s="19">
        <f t="shared" si="0"/>
        <v>651</v>
      </c>
      <c r="K44" s="19" t="str">
        <f>"第"&amp;RANK(J44,J3:J46)&amp;"名"</f>
        <v>第6名</v>
      </c>
    </row>
    <row r="45" ht="14.25" spans="1:11">
      <c r="A45" s="19" t="s">
        <v>54</v>
      </c>
      <c r="B45" s="19" t="str">
        <f>VLOOKUP(A45,学生信息表!$A$1:$B$56,2,FALSE)</f>
        <v>徐燕启</v>
      </c>
      <c r="C45" s="19">
        <v>98</v>
      </c>
      <c r="D45" s="19">
        <v>98</v>
      </c>
      <c r="E45" s="19">
        <v>95</v>
      </c>
      <c r="F45" s="19">
        <v>97</v>
      </c>
      <c r="G45" s="19">
        <v>62</v>
      </c>
      <c r="H45" s="19">
        <v>95</v>
      </c>
      <c r="I45" s="19">
        <v>91</v>
      </c>
      <c r="J45" s="19">
        <f t="shared" si="0"/>
        <v>636</v>
      </c>
      <c r="K45" s="19" t="str">
        <f>"第"&amp;RANK(J45,J3:J46)&amp;"名"</f>
        <v>第14名</v>
      </c>
    </row>
    <row r="46" ht="14.25" spans="1:11">
      <c r="A46" s="19" t="s">
        <v>55</v>
      </c>
      <c r="B46" s="19" t="str">
        <f>VLOOKUP(A46,学生信息表!$A$1:$B$56,2,FALSE)</f>
        <v>刘佳齐</v>
      </c>
      <c r="C46" s="19">
        <v>80</v>
      </c>
      <c r="D46" s="19">
        <v>118</v>
      </c>
      <c r="E46" s="19">
        <v>96</v>
      </c>
      <c r="F46" s="19">
        <v>84</v>
      </c>
      <c r="G46" s="19">
        <v>99</v>
      </c>
      <c r="H46" s="19">
        <v>93</v>
      </c>
      <c r="I46" s="19">
        <v>60</v>
      </c>
      <c r="J46" s="19">
        <f t="shared" si="0"/>
        <v>630</v>
      </c>
      <c r="K46" s="19" t="str">
        <f>"第"&amp;RANK(J46,J3:J46)&amp;"名"</f>
        <v>第19名</v>
      </c>
    </row>
    <row r="47" ht="14.25" spans="1:11">
      <c r="A47" s="19" t="s">
        <v>56</v>
      </c>
      <c r="B47" s="19"/>
      <c r="C47" s="20">
        <f>AVERAGE(C3:C46)</f>
        <v>93.5681818181818</v>
      </c>
      <c r="D47" s="20">
        <f t="shared" ref="D47:I47" si="1">AVERAGE(D3:D46)</f>
        <v>97.0227272727273</v>
      </c>
      <c r="E47" s="20">
        <f t="shared" si="1"/>
        <v>90.9772727272727</v>
      </c>
      <c r="F47" s="20">
        <f t="shared" si="1"/>
        <v>88.0681818181818</v>
      </c>
      <c r="G47" s="20">
        <f t="shared" si="1"/>
        <v>75.4772727272727</v>
      </c>
      <c r="H47" s="20">
        <f t="shared" si="1"/>
        <v>88.1136363636364</v>
      </c>
      <c r="I47" s="20">
        <f t="shared" si="1"/>
        <v>83.5909090909091</v>
      </c>
      <c r="J47" s="19"/>
      <c r="K47" s="19"/>
    </row>
  </sheetData>
  <mergeCells count="1">
    <mergeCell ref="A1:K1"/>
  </mergeCells>
  <conditionalFormatting sqref="C3:C46">
    <cfRule type="top10" dxfId="0" priority="8" rank="1"/>
  </conditionalFormatting>
  <conditionalFormatting sqref="D3:D46">
    <cfRule type="top10" dxfId="0" priority="7" rank="1"/>
  </conditionalFormatting>
  <conditionalFormatting sqref="E3:E46">
    <cfRule type="top10" dxfId="0" priority="6" rank="1"/>
  </conditionalFormatting>
  <conditionalFormatting sqref="F3:F46">
    <cfRule type="top10" dxfId="0" priority="5" rank="1"/>
  </conditionalFormatting>
  <conditionalFormatting sqref="G3:G46">
    <cfRule type="top10" dxfId="0" priority="4" rank="1"/>
  </conditionalFormatting>
  <conditionalFormatting sqref="H3:H46">
    <cfRule type="top10" dxfId="0" priority="3" rank="1"/>
  </conditionalFormatting>
  <conditionalFormatting sqref="I3:I46">
    <cfRule type="top10" dxfId="0" priority="2" rank="1"/>
  </conditionalFormatting>
  <conditionalFormatting sqref="J3:J46">
    <cfRule type="top10" dxfId="1" priority="1" rank="15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view="pageLayout" zoomScaleNormal="100" workbookViewId="0">
      <selection activeCell="D14" sqref="D14"/>
    </sheetView>
  </sheetViews>
  <sheetFormatPr defaultColWidth="9" defaultRowHeight="13.5" outlineLevelCol="4"/>
  <cols>
    <col min="1" max="1" width="8.5" customWidth="1"/>
    <col min="2" max="2" width="7.375" customWidth="1"/>
    <col min="3" max="3" width="20.5" style="12" customWidth="1"/>
    <col min="4" max="5" width="7.375" customWidth="1"/>
  </cols>
  <sheetData>
    <row r="1" ht="20.25" spans="1:5">
      <c r="A1" s="13" t="s">
        <v>1</v>
      </c>
      <c r="B1" s="13" t="s">
        <v>2</v>
      </c>
      <c r="C1" s="14" t="s">
        <v>57</v>
      </c>
      <c r="D1" s="13" t="s">
        <v>58</v>
      </c>
      <c r="E1" s="13" t="s">
        <v>59</v>
      </c>
    </row>
    <row r="2" ht="14.25" spans="1:5">
      <c r="A2" s="15" t="s">
        <v>28</v>
      </c>
      <c r="B2" s="15" t="s">
        <v>60</v>
      </c>
      <c r="C2" s="16" t="s">
        <v>61</v>
      </c>
      <c r="D2" s="15" t="str">
        <f>IF(MOD(MID(C2,17,1)/2,1),"男","女")</f>
        <v>男</v>
      </c>
      <c r="E2" s="15" t="s">
        <v>62</v>
      </c>
    </row>
    <row r="3" spans="1:5">
      <c r="A3" s="15" t="s">
        <v>63</v>
      </c>
      <c r="B3" s="15" t="s">
        <v>64</v>
      </c>
      <c r="C3" s="16" t="s">
        <v>65</v>
      </c>
      <c r="D3" s="15" t="str">
        <f t="shared" ref="D3:D56" si="0">IF(MOD(MID(C3,17,1)/2,1),"男","女")</f>
        <v>男</v>
      </c>
      <c r="E3" s="15" t="s">
        <v>66</v>
      </c>
    </row>
    <row r="4" spans="1:5">
      <c r="A4" s="15" t="s">
        <v>67</v>
      </c>
      <c r="B4" s="15" t="s">
        <v>68</v>
      </c>
      <c r="C4" s="16" t="s">
        <v>69</v>
      </c>
      <c r="D4" s="15" t="str">
        <f t="shared" si="0"/>
        <v>男</v>
      </c>
      <c r="E4" s="15" t="s">
        <v>66</v>
      </c>
    </row>
    <row r="5" spans="1:5">
      <c r="A5" s="15" t="s">
        <v>35</v>
      </c>
      <c r="B5" s="15" t="s">
        <v>70</v>
      </c>
      <c r="C5" s="16" t="s">
        <v>71</v>
      </c>
      <c r="D5" s="15" t="str">
        <f t="shared" si="0"/>
        <v>男</v>
      </c>
      <c r="E5" s="15" t="s">
        <v>66</v>
      </c>
    </row>
    <row r="6" spans="1:5">
      <c r="A6" s="15" t="s">
        <v>15</v>
      </c>
      <c r="B6" s="15" t="s">
        <v>72</v>
      </c>
      <c r="C6" s="16" t="s">
        <v>73</v>
      </c>
      <c r="D6" s="15" t="str">
        <f t="shared" si="0"/>
        <v>男</v>
      </c>
      <c r="E6" s="15" t="s">
        <v>74</v>
      </c>
    </row>
    <row r="7" spans="1:5">
      <c r="A7" s="15" t="s">
        <v>75</v>
      </c>
      <c r="B7" s="15" t="s">
        <v>76</v>
      </c>
      <c r="C7" s="16" t="s">
        <v>77</v>
      </c>
      <c r="D7" s="15" t="str">
        <f t="shared" si="0"/>
        <v>男</v>
      </c>
      <c r="E7" s="15" t="s">
        <v>66</v>
      </c>
    </row>
    <row r="8" spans="1:5">
      <c r="A8" s="15" t="s">
        <v>33</v>
      </c>
      <c r="B8" s="15" t="s">
        <v>78</v>
      </c>
      <c r="C8" s="16" t="s">
        <v>79</v>
      </c>
      <c r="D8" s="15" t="str">
        <f t="shared" si="0"/>
        <v>女</v>
      </c>
      <c r="E8" s="15" t="s">
        <v>66</v>
      </c>
    </row>
    <row r="9" spans="1:5">
      <c r="A9" s="15" t="s">
        <v>36</v>
      </c>
      <c r="B9" s="15" t="s">
        <v>80</v>
      </c>
      <c r="C9" s="16" t="s">
        <v>81</v>
      </c>
      <c r="D9" s="15" t="str">
        <f t="shared" si="0"/>
        <v>女</v>
      </c>
      <c r="E9" s="15" t="s">
        <v>66</v>
      </c>
    </row>
    <row r="10" spans="1:5">
      <c r="A10" s="15" t="s">
        <v>12</v>
      </c>
      <c r="B10" s="15" t="s">
        <v>82</v>
      </c>
      <c r="C10" s="16" t="s">
        <v>83</v>
      </c>
      <c r="D10" s="15" t="str">
        <f t="shared" si="0"/>
        <v>男</v>
      </c>
      <c r="E10" s="15" t="s">
        <v>66</v>
      </c>
    </row>
    <row r="11" spans="1:5">
      <c r="A11" s="15" t="s">
        <v>50</v>
      </c>
      <c r="B11" s="15" t="s">
        <v>84</v>
      </c>
      <c r="C11" s="16" t="s">
        <v>85</v>
      </c>
      <c r="D11" s="15" t="str">
        <f t="shared" si="0"/>
        <v>女</v>
      </c>
      <c r="E11" s="15" t="s">
        <v>86</v>
      </c>
    </row>
    <row r="12" spans="1:5">
      <c r="A12" s="15" t="s">
        <v>87</v>
      </c>
      <c r="B12" s="15" t="s">
        <v>88</v>
      </c>
      <c r="C12" s="16" t="s">
        <v>89</v>
      </c>
      <c r="D12" s="15" t="str">
        <f t="shared" si="0"/>
        <v>男</v>
      </c>
      <c r="E12" s="15" t="s">
        <v>74</v>
      </c>
    </row>
    <row r="13" spans="1:5">
      <c r="A13" s="15" t="s">
        <v>22</v>
      </c>
      <c r="B13" s="15" t="s">
        <v>90</v>
      </c>
      <c r="C13" s="16" t="s">
        <v>91</v>
      </c>
      <c r="D13" s="15" t="str">
        <f t="shared" si="0"/>
        <v>男</v>
      </c>
      <c r="E13" s="15" t="s">
        <v>66</v>
      </c>
    </row>
    <row r="14" spans="1:5">
      <c r="A14" s="15" t="s">
        <v>92</v>
      </c>
      <c r="B14" s="15" t="s">
        <v>93</v>
      </c>
      <c r="C14" s="16" t="s">
        <v>94</v>
      </c>
      <c r="D14" s="15" t="str">
        <f t="shared" si="0"/>
        <v>女</v>
      </c>
      <c r="E14" s="15" t="s">
        <v>66</v>
      </c>
    </row>
    <row r="15" spans="1:5">
      <c r="A15" s="15" t="s">
        <v>51</v>
      </c>
      <c r="B15" s="15" t="s">
        <v>95</v>
      </c>
      <c r="C15" s="16" t="s">
        <v>96</v>
      </c>
      <c r="D15" s="15" t="str">
        <f t="shared" si="0"/>
        <v>男</v>
      </c>
      <c r="E15" s="15" t="s">
        <v>97</v>
      </c>
    </row>
    <row r="16" spans="1:5">
      <c r="A16" s="15" t="s">
        <v>24</v>
      </c>
      <c r="B16" s="15" t="s">
        <v>98</v>
      </c>
      <c r="C16" s="16" t="s">
        <v>99</v>
      </c>
      <c r="D16" s="15" t="str">
        <f t="shared" si="0"/>
        <v>男</v>
      </c>
      <c r="E16" s="15" t="s">
        <v>66</v>
      </c>
    </row>
    <row r="17" spans="1:5">
      <c r="A17" s="15" t="s">
        <v>34</v>
      </c>
      <c r="B17" s="15" t="s">
        <v>100</v>
      </c>
      <c r="C17" s="16" t="s">
        <v>101</v>
      </c>
      <c r="D17" s="15" t="str">
        <f t="shared" si="0"/>
        <v>男</v>
      </c>
      <c r="E17" s="15" t="s">
        <v>66</v>
      </c>
    </row>
    <row r="18" spans="1:5">
      <c r="A18" s="15" t="s">
        <v>43</v>
      </c>
      <c r="B18" s="15" t="s">
        <v>102</v>
      </c>
      <c r="C18" s="16" t="s">
        <v>103</v>
      </c>
      <c r="D18" s="15" t="str">
        <f t="shared" si="0"/>
        <v>女</v>
      </c>
      <c r="E18" s="15" t="s">
        <v>104</v>
      </c>
    </row>
    <row r="19" spans="1:5">
      <c r="A19" s="15" t="s">
        <v>105</v>
      </c>
      <c r="B19" s="15" t="s">
        <v>106</v>
      </c>
      <c r="C19" s="16" t="s">
        <v>107</v>
      </c>
      <c r="D19" s="15" t="str">
        <f t="shared" si="0"/>
        <v>男</v>
      </c>
      <c r="E19" s="15" t="s">
        <v>108</v>
      </c>
    </row>
    <row r="20" spans="1:5">
      <c r="A20" s="15" t="s">
        <v>14</v>
      </c>
      <c r="B20" s="15" t="s">
        <v>109</v>
      </c>
      <c r="C20" s="16" t="s">
        <v>110</v>
      </c>
      <c r="D20" s="15" t="str">
        <f t="shared" si="0"/>
        <v>男</v>
      </c>
      <c r="E20" s="15" t="s">
        <v>66</v>
      </c>
    </row>
    <row r="21" spans="1:5">
      <c r="A21" s="15" t="s">
        <v>48</v>
      </c>
      <c r="B21" s="15" t="s">
        <v>111</v>
      </c>
      <c r="C21" s="16" t="s">
        <v>112</v>
      </c>
      <c r="D21" s="15" t="str">
        <f t="shared" si="0"/>
        <v>男</v>
      </c>
      <c r="E21" s="15" t="s">
        <v>97</v>
      </c>
    </row>
    <row r="22" spans="1:5">
      <c r="A22" s="15" t="s">
        <v>31</v>
      </c>
      <c r="B22" s="15" t="s">
        <v>113</v>
      </c>
      <c r="C22" s="16" t="s">
        <v>114</v>
      </c>
      <c r="D22" s="15" t="str">
        <f t="shared" si="0"/>
        <v>男</v>
      </c>
      <c r="E22" s="15" t="s">
        <v>115</v>
      </c>
    </row>
    <row r="23" spans="1:5">
      <c r="A23" s="15" t="s">
        <v>116</v>
      </c>
      <c r="B23" s="15" t="s">
        <v>117</v>
      </c>
      <c r="C23" s="16" t="s">
        <v>118</v>
      </c>
      <c r="D23" s="15" t="str">
        <f t="shared" si="0"/>
        <v>男</v>
      </c>
      <c r="E23" s="15" t="s">
        <v>119</v>
      </c>
    </row>
    <row r="24" spans="1:5">
      <c r="A24" s="15" t="s">
        <v>39</v>
      </c>
      <c r="B24" s="15" t="s">
        <v>120</v>
      </c>
      <c r="C24" s="16" t="s">
        <v>121</v>
      </c>
      <c r="D24" s="15" t="str">
        <f t="shared" si="0"/>
        <v>男</v>
      </c>
      <c r="E24" s="15" t="s">
        <v>97</v>
      </c>
    </row>
    <row r="25" spans="1:5">
      <c r="A25" s="15" t="s">
        <v>21</v>
      </c>
      <c r="B25" s="15" t="s">
        <v>122</v>
      </c>
      <c r="C25" s="16" t="s">
        <v>123</v>
      </c>
      <c r="D25" s="15" t="str">
        <f t="shared" si="0"/>
        <v>男</v>
      </c>
      <c r="E25" s="15" t="s">
        <v>104</v>
      </c>
    </row>
    <row r="26" spans="1:5">
      <c r="A26" s="15" t="s">
        <v>23</v>
      </c>
      <c r="B26" s="15" t="s">
        <v>124</v>
      </c>
      <c r="C26" s="16" t="s">
        <v>125</v>
      </c>
      <c r="D26" s="15" t="str">
        <f t="shared" si="0"/>
        <v>女</v>
      </c>
      <c r="E26" s="15" t="s">
        <v>119</v>
      </c>
    </row>
    <row r="27" spans="1:5">
      <c r="A27" s="15" t="s">
        <v>18</v>
      </c>
      <c r="B27" s="15" t="s">
        <v>126</v>
      </c>
      <c r="C27" s="16" t="s">
        <v>127</v>
      </c>
      <c r="D27" s="15" t="str">
        <f t="shared" si="0"/>
        <v>男</v>
      </c>
      <c r="E27" s="15" t="s">
        <v>74</v>
      </c>
    </row>
    <row r="28" spans="1:5">
      <c r="A28" s="15" t="s">
        <v>128</v>
      </c>
      <c r="B28" s="15" t="s">
        <v>129</v>
      </c>
      <c r="C28" s="16" t="s">
        <v>130</v>
      </c>
      <c r="D28" s="15" t="str">
        <f t="shared" si="0"/>
        <v>男</v>
      </c>
      <c r="E28" s="15" t="s">
        <v>131</v>
      </c>
    </row>
    <row r="29" spans="1:5">
      <c r="A29" s="15" t="s">
        <v>132</v>
      </c>
      <c r="B29" s="15" t="s">
        <v>133</v>
      </c>
      <c r="C29" s="16" t="s">
        <v>134</v>
      </c>
      <c r="D29" s="15" t="str">
        <f t="shared" si="0"/>
        <v>女</v>
      </c>
      <c r="E29" s="15" t="s">
        <v>135</v>
      </c>
    </row>
    <row r="30" spans="1:5">
      <c r="A30" s="15" t="s">
        <v>44</v>
      </c>
      <c r="B30" s="15" t="s">
        <v>136</v>
      </c>
      <c r="C30" s="16" t="s">
        <v>137</v>
      </c>
      <c r="D30" s="15" t="str">
        <f t="shared" si="0"/>
        <v>男</v>
      </c>
      <c r="E30" s="15" t="s">
        <v>138</v>
      </c>
    </row>
    <row r="31" spans="1:5">
      <c r="A31" s="15" t="s">
        <v>139</v>
      </c>
      <c r="B31" s="15" t="s">
        <v>140</v>
      </c>
      <c r="C31" s="16" t="s">
        <v>141</v>
      </c>
      <c r="D31" s="15" t="str">
        <f t="shared" si="0"/>
        <v>女</v>
      </c>
      <c r="E31" s="15" t="s">
        <v>142</v>
      </c>
    </row>
    <row r="32" spans="1:5">
      <c r="A32" s="15" t="s">
        <v>16</v>
      </c>
      <c r="B32" s="15" t="s">
        <v>143</v>
      </c>
      <c r="C32" s="16" t="s">
        <v>144</v>
      </c>
      <c r="D32" s="15" t="str">
        <f t="shared" si="0"/>
        <v>女</v>
      </c>
      <c r="E32" s="15" t="s">
        <v>66</v>
      </c>
    </row>
    <row r="33" spans="1:5">
      <c r="A33" s="15" t="s">
        <v>25</v>
      </c>
      <c r="B33" s="15" t="s">
        <v>145</v>
      </c>
      <c r="C33" s="16" t="s">
        <v>146</v>
      </c>
      <c r="D33" s="15" t="str">
        <f t="shared" si="0"/>
        <v>女</v>
      </c>
      <c r="E33" s="15" t="s">
        <v>66</v>
      </c>
    </row>
    <row r="34" spans="1:5">
      <c r="A34" s="15" t="s">
        <v>26</v>
      </c>
      <c r="B34" s="15" t="s">
        <v>147</v>
      </c>
      <c r="C34" s="16" t="s">
        <v>148</v>
      </c>
      <c r="D34" s="15" t="str">
        <f t="shared" si="0"/>
        <v>男</v>
      </c>
      <c r="E34" s="15" t="s">
        <v>66</v>
      </c>
    </row>
    <row r="35" spans="1:5">
      <c r="A35" s="15" t="s">
        <v>41</v>
      </c>
      <c r="B35" s="15" t="s">
        <v>149</v>
      </c>
      <c r="C35" s="16" t="s">
        <v>150</v>
      </c>
      <c r="D35" s="15" t="str">
        <f t="shared" si="0"/>
        <v>男</v>
      </c>
      <c r="E35" s="15" t="s">
        <v>74</v>
      </c>
    </row>
    <row r="36" spans="1:5">
      <c r="A36" s="15" t="s">
        <v>13</v>
      </c>
      <c r="B36" s="15" t="s">
        <v>151</v>
      </c>
      <c r="C36" s="16" t="s">
        <v>152</v>
      </c>
      <c r="D36" s="15" t="str">
        <f t="shared" si="0"/>
        <v>女</v>
      </c>
      <c r="E36" s="15" t="s">
        <v>66</v>
      </c>
    </row>
    <row r="37" spans="1:5">
      <c r="A37" s="15" t="s">
        <v>53</v>
      </c>
      <c r="B37" s="15" t="s">
        <v>153</v>
      </c>
      <c r="C37" s="16" t="s">
        <v>154</v>
      </c>
      <c r="D37" s="15" t="str">
        <f t="shared" si="0"/>
        <v>男</v>
      </c>
      <c r="E37" s="15" t="s">
        <v>66</v>
      </c>
    </row>
    <row r="38" spans="1:5">
      <c r="A38" s="15" t="s">
        <v>45</v>
      </c>
      <c r="B38" s="15" t="s">
        <v>155</v>
      </c>
      <c r="C38" s="16" t="s">
        <v>156</v>
      </c>
      <c r="D38" s="15" t="str">
        <f t="shared" si="0"/>
        <v>女</v>
      </c>
      <c r="E38" s="15" t="s">
        <v>66</v>
      </c>
    </row>
    <row r="39" spans="1:5">
      <c r="A39" s="15" t="s">
        <v>52</v>
      </c>
      <c r="B39" s="15" t="s">
        <v>157</v>
      </c>
      <c r="C39" s="16" t="s">
        <v>158</v>
      </c>
      <c r="D39" s="15" t="str">
        <f t="shared" si="0"/>
        <v>女</v>
      </c>
      <c r="E39" s="15" t="s">
        <v>66</v>
      </c>
    </row>
    <row r="40" spans="1:5">
      <c r="A40" s="15" t="s">
        <v>46</v>
      </c>
      <c r="B40" s="15" t="s">
        <v>159</v>
      </c>
      <c r="C40" s="16" t="s">
        <v>160</v>
      </c>
      <c r="D40" s="15" t="str">
        <f t="shared" si="0"/>
        <v>男</v>
      </c>
      <c r="E40" s="15" t="s">
        <v>66</v>
      </c>
    </row>
    <row r="41" spans="1:5">
      <c r="A41" s="15" t="s">
        <v>37</v>
      </c>
      <c r="B41" s="15" t="s">
        <v>161</v>
      </c>
      <c r="C41" s="16" t="s">
        <v>162</v>
      </c>
      <c r="D41" s="15" t="str">
        <f t="shared" si="0"/>
        <v>女</v>
      </c>
      <c r="E41" s="15" t="s">
        <v>163</v>
      </c>
    </row>
    <row r="42" spans="1:5">
      <c r="A42" s="15" t="s">
        <v>19</v>
      </c>
      <c r="B42" s="15" t="s">
        <v>164</v>
      </c>
      <c r="C42" s="16" t="s">
        <v>165</v>
      </c>
      <c r="D42" s="15" t="str">
        <f t="shared" si="0"/>
        <v>女</v>
      </c>
      <c r="E42" s="15" t="s">
        <v>66</v>
      </c>
    </row>
    <row r="43" spans="1:5">
      <c r="A43" s="15" t="s">
        <v>49</v>
      </c>
      <c r="B43" s="15" t="s">
        <v>166</v>
      </c>
      <c r="C43" s="16" t="s">
        <v>167</v>
      </c>
      <c r="D43" s="15" t="str">
        <f t="shared" si="0"/>
        <v>男</v>
      </c>
      <c r="E43" s="15" t="s">
        <v>66</v>
      </c>
    </row>
    <row r="44" spans="1:5">
      <c r="A44" s="15" t="s">
        <v>168</v>
      </c>
      <c r="B44" s="15" t="s">
        <v>169</v>
      </c>
      <c r="C44" s="16" t="s">
        <v>170</v>
      </c>
      <c r="D44" s="15" t="str">
        <f t="shared" si="0"/>
        <v>男</v>
      </c>
      <c r="E44" s="15" t="s">
        <v>138</v>
      </c>
    </row>
    <row r="45" spans="1:5">
      <c r="A45" s="15" t="s">
        <v>40</v>
      </c>
      <c r="B45" s="15" t="s">
        <v>171</v>
      </c>
      <c r="C45" s="16" t="s">
        <v>172</v>
      </c>
      <c r="D45" s="15" t="str">
        <f t="shared" si="0"/>
        <v>男</v>
      </c>
      <c r="E45" s="15" t="s">
        <v>66</v>
      </c>
    </row>
    <row r="46" spans="1:5">
      <c r="A46" s="15" t="s">
        <v>27</v>
      </c>
      <c r="B46" s="15" t="s">
        <v>173</v>
      </c>
      <c r="C46" s="16" t="s">
        <v>174</v>
      </c>
      <c r="D46" s="15" t="str">
        <f t="shared" si="0"/>
        <v>男</v>
      </c>
      <c r="E46" s="15" t="s">
        <v>66</v>
      </c>
    </row>
    <row r="47" spans="1:5">
      <c r="A47" s="15" t="s">
        <v>20</v>
      </c>
      <c r="B47" s="15" t="s">
        <v>175</v>
      </c>
      <c r="C47" s="16" t="s">
        <v>176</v>
      </c>
      <c r="D47" s="15" t="str">
        <f t="shared" si="0"/>
        <v>女</v>
      </c>
      <c r="E47" s="15" t="s">
        <v>66</v>
      </c>
    </row>
    <row r="48" spans="1:5">
      <c r="A48" s="15" t="s">
        <v>55</v>
      </c>
      <c r="B48" s="15" t="s">
        <v>177</v>
      </c>
      <c r="C48" s="16" t="s">
        <v>178</v>
      </c>
      <c r="D48" s="15" t="str">
        <f t="shared" si="0"/>
        <v>男</v>
      </c>
      <c r="E48" s="15" t="s">
        <v>86</v>
      </c>
    </row>
    <row r="49" spans="1:5">
      <c r="A49" s="15" t="s">
        <v>38</v>
      </c>
      <c r="B49" s="15" t="s">
        <v>179</v>
      </c>
      <c r="C49" s="16" t="s">
        <v>180</v>
      </c>
      <c r="D49" s="15" t="str">
        <f t="shared" si="0"/>
        <v>女</v>
      </c>
      <c r="E49" s="15" t="s">
        <v>66</v>
      </c>
    </row>
    <row r="50" spans="1:5">
      <c r="A50" s="15" t="s">
        <v>42</v>
      </c>
      <c r="B50" s="15" t="s">
        <v>181</v>
      </c>
      <c r="C50" s="16" t="s">
        <v>182</v>
      </c>
      <c r="D50" s="15" t="str">
        <f t="shared" si="0"/>
        <v>男</v>
      </c>
      <c r="E50" s="15" t="s">
        <v>66</v>
      </c>
    </row>
    <row r="51" spans="1:5">
      <c r="A51" s="15" t="s">
        <v>32</v>
      </c>
      <c r="B51" s="15" t="s">
        <v>183</v>
      </c>
      <c r="C51" s="16" t="s">
        <v>184</v>
      </c>
      <c r="D51" s="15" t="str">
        <f t="shared" si="0"/>
        <v>男</v>
      </c>
      <c r="E51" s="15" t="s">
        <v>62</v>
      </c>
    </row>
    <row r="52" spans="1:5">
      <c r="A52" s="15" t="s">
        <v>29</v>
      </c>
      <c r="B52" s="15" t="s">
        <v>185</v>
      </c>
      <c r="C52" s="16" t="s">
        <v>186</v>
      </c>
      <c r="D52" s="15" t="str">
        <f t="shared" si="0"/>
        <v>女</v>
      </c>
      <c r="E52" s="15" t="s">
        <v>66</v>
      </c>
    </row>
    <row r="53" spans="1:5">
      <c r="A53" s="15" t="s">
        <v>17</v>
      </c>
      <c r="B53" s="15" t="s">
        <v>187</v>
      </c>
      <c r="C53" s="16" t="s">
        <v>188</v>
      </c>
      <c r="D53" s="15" t="str">
        <f t="shared" si="0"/>
        <v>女</v>
      </c>
      <c r="E53" s="15" t="s">
        <v>66</v>
      </c>
    </row>
    <row r="54" spans="1:5">
      <c r="A54" s="15" t="s">
        <v>54</v>
      </c>
      <c r="B54" s="15" t="s">
        <v>189</v>
      </c>
      <c r="C54" s="16" t="s">
        <v>190</v>
      </c>
      <c r="D54" s="15" t="str">
        <f t="shared" si="0"/>
        <v>女</v>
      </c>
      <c r="E54" s="15" t="s">
        <v>163</v>
      </c>
    </row>
    <row r="55" spans="1:5">
      <c r="A55" s="15" t="s">
        <v>30</v>
      </c>
      <c r="B55" s="15" t="s">
        <v>191</v>
      </c>
      <c r="C55" s="16" t="s">
        <v>192</v>
      </c>
      <c r="D55" s="15" t="str">
        <f t="shared" si="0"/>
        <v>女</v>
      </c>
      <c r="E55" s="15" t="s">
        <v>66</v>
      </c>
    </row>
    <row r="56" spans="1:5">
      <c r="A56" s="15" t="s">
        <v>47</v>
      </c>
      <c r="B56" s="15" t="s">
        <v>193</v>
      </c>
      <c r="C56" s="16" t="s">
        <v>194</v>
      </c>
      <c r="D56" s="15" t="str">
        <f t="shared" si="0"/>
        <v>女</v>
      </c>
      <c r="E56" s="15" t="s">
        <v>66</v>
      </c>
    </row>
  </sheetData>
  <pageMargins left="0.7" right="0.7" top="0.75" bottom="0.75" header="0.3" footer="0.3"/>
  <pageSetup paperSize="9" orientation="portrait"/>
  <headerFooter>
    <oddHeader>&amp;C学生信息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8"/>
  <sheetViews>
    <sheetView workbookViewId="0">
      <selection activeCell="A3" sqref="A3:I47"/>
    </sheetView>
  </sheetViews>
  <sheetFormatPr defaultColWidth="9" defaultRowHeight="13.5"/>
  <sheetData>
    <row r="1" spans="1:1">
      <c r="A1" t="s">
        <v>4</v>
      </c>
    </row>
    <row r="2" ht="14.25" spans="1:1">
      <c r="A2" t="s">
        <v>195</v>
      </c>
    </row>
    <row r="3" ht="15" spans="1:9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9" t="s">
        <v>9</v>
      </c>
    </row>
    <row r="4" ht="15" hidden="1" spans="1:9">
      <c r="A4" s="3" t="s">
        <v>12</v>
      </c>
      <c r="B4" s="3" t="str">
        <f>VLOOKUP(A4,学生信息表!$A$1:$B$56,2,FALSE)</f>
        <v>陈金志</v>
      </c>
      <c r="C4" s="3">
        <v>97</v>
      </c>
      <c r="D4" s="3">
        <v>85</v>
      </c>
      <c r="E4" s="3">
        <v>82</v>
      </c>
      <c r="F4" s="3">
        <v>89</v>
      </c>
      <c r="G4" s="3">
        <v>69</v>
      </c>
      <c r="H4" s="3">
        <v>97</v>
      </c>
      <c r="I4" s="3">
        <v>83</v>
      </c>
    </row>
    <row r="5" ht="15" spans="1:9">
      <c r="A5" s="4" t="s">
        <v>13</v>
      </c>
      <c r="B5" s="5" t="str">
        <f>VLOOKUP(A5,学生信息表!$A$1:$B$56,2,FALSE)</f>
        <v>蔡君宏</v>
      </c>
      <c r="C5" s="5">
        <v>99</v>
      </c>
      <c r="D5" s="5">
        <v>116</v>
      </c>
      <c r="E5" s="5">
        <v>89</v>
      </c>
      <c r="F5" s="5">
        <v>100</v>
      </c>
      <c r="G5" s="5">
        <v>83</v>
      </c>
      <c r="H5" s="5">
        <v>95</v>
      </c>
      <c r="I5" s="10">
        <v>100</v>
      </c>
    </row>
    <row r="6" ht="15.75" spans="1:9">
      <c r="A6" s="6" t="s">
        <v>14</v>
      </c>
      <c r="B6" s="7" t="str">
        <f>VLOOKUP(A6,学生信息表!$A$1:$B$56,2,FALSE)</f>
        <v>吴佳宏</v>
      </c>
      <c r="C6" s="7">
        <v>98</v>
      </c>
      <c r="D6" s="7">
        <v>113</v>
      </c>
      <c r="E6" s="7">
        <v>92</v>
      </c>
      <c r="F6" s="7">
        <v>98</v>
      </c>
      <c r="G6" s="7">
        <v>69</v>
      </c>
      <c r="H6" s="7">
        <v>92</v>
      </c>
      <c r="I6" s="11">
        <v>84</v>
      </c>
    </row>
    <row r="7" ht="15" hidden="1" spans="1:9">
      <c r="A7" s="3" t="s">
        <v>15</v>
      </c>
      <c r="B7" s="3" t="str">
        <f>VLOOKUP(A7,学生信息表!$A$1:$B$56,2,FALSE)</f>
        <v>李政彬</v>
      </c>
      <c r="C7" s="3">
        <v>87</v>
      </c>
      <c r="D7" s="3">
        <v>99</v>
      </c>
      <c r="E7" s="3">
        <v>97</v>
      </c>
      <c r="F7" s="3">
        <v>93</v>
      </c>
      <c r="G7" s="3">
        <v>68</v>
      </c>
      <c r="H7" s="3">
        <v>87</v>
      </c>
      <c r="I7" s="3">
        <v>74</v>
      </c>
    </row>
    <row r="8" ht="15" spans="1:9">
      <c r="A8" s="4" t="s">
        <v>16</v>
      </c>
      <c r="B8" s="5" t="str">
        <f>VLOOKUP(A8,学生信息表!$A$1:$B$56,2,FALSE)</f>
        <v>黄惠茹</v>
      </c>
      <c r="C8" s="5">
        <v>103</v>
      </c>
      <c r="D8" s="5">
        <v>100</v>
      </c>
      <c r="E8" s="5">
        <v>85</v>
      </c>
      <c r="F8" s="5">
        <v>95</v>
      </c>
      <c r="G8" s="5">
        <v>82</v>
      </c>
      <c r="H8" s="5">
        <v>77</v>
      </c>
      <c r="I8" s="10">
        <v>92</v>
      </c>
    </row>
    <row r="9" ht="15.75" spans="1:9">
      <c r="A9" s="6" t="s">
        <v>17</v>
      </c>
      <c r="B9" s="7" t="str">
        <f>VLOOKUP(A9,学生信息表!$A$1:$B$56,2,FALSE)</f>
        <v>林雅婷</v>
      </c>
      <c r="C9" s="7">
        <v>96</v>
      </c>
      <c r="D9" s="7">
        <v>113</v>
      </c>
      <c r="E9" s="7">
        <v>96</v>
      </c>
      <c r="F9" s="7">
        <v>80</v>
      </c>
      <c r="G9" s="7">
        <v>91</v>
      </c>
      <c r="H9" s="7">
        <v>91</v>
      </c>
      <c r="I9" s="11">
        <v>95</v>
      </c>
    </row>
    <row r="10" ht="14.25" hidden="1" spans="1:9">
      <c r="A10" s="3" t="s">
        <v>18</v>
      </c>
      <c r="B10" s="3" t="str">
        <f>VLOOKUP(A10,学生信息表!$A$1:$B$56,2,FALSE)</f>
        <v>邓嘉玲</v>
      </c>
      <c r="C10" s="3">
        <v>109</v>
      </c>
      <c r="D10" s="3">
        <v>79</v>
      </c>
      <c r="E10" s="3">
        <v>93</v>
      </c>
      <c r="F10" s="3">
        <v>97</v>
      </c>
      <c r="G10" s="3">
        <v>97</v>
      </c>
      <c r="H10" s="3">
        <v>88</v>
      </c>
      <c r="I10" s="3">
        <v>89</v>
      </c>
    </row>
    <row r="11" ht="14.25" hidden="1" spans="1:9">
      <c r="A11" s="3" t="s">
        <v>19</v>
      </c>
      <c r="B11" s="3" t="str">
        <f>VLOOKUP(A11,学生信息表!$A$1:$B$56,2,FALSE)</f>
        <v>林丽芬</v>
      </c>
      <c r="C11" s="3">
        <v>81</v>
      </c>
      <c r="D11" s="3">
        <v>96</v>
      </c>
      <c r="E11" s="3">
        <v>96</v>
      </c>
      <c r="F11" s="3">
        <v>74</v>
      </c>
      <c r="G11" s="3">
        <v>80</v>
      </c>
      <c r="H11" s="3">
        <v>75</v>
      </c>
      <c r="I11" s="3">
        <v>94</v>
      </c>
    </row>
    <row r="12" ht="14.25" hidden="1" spans="1:9">
      <c r="A12" s="3" t="s">
        <v>20</v>
      </c>
      <c r="B12" s="3" t="str">
        <f>VLOOKUP(A12,学生信息表!$A$1:$B$56,2,FALSE)</f>
        <v>林敏茂</v>
      </c>
      <c r="C12" s="3">
        <v>103</v>
      </c>
      <c r="D12" s="3">
        <v>75</v>
      </c>
      <c r="E12" s="3">
        <v>92</v>
      </c>
      <c r="F12" s="3">
        <v>92</v>
      </c>
      <c r="G12" s="3">
        <v>74</v>
      </c>
      <c r="H12" s="3">
        <v>80</v>
      </c>
      <c r="I12" s="3">
        <v>67</v>
      </c>
    </row>
    <row r="13" ht="15" hidden="1" spans="1:9">
      <c r="A13" s="3" t="s">
        <v>21</v>
      </c>
      <c r="B13" s="3" t="str">
        <f>VLOOKUP(A13,学生信息表!$A$1:$B$56,2,FALSE)</f>
        <v>黄美善</v>
      </c>
      <c r="C13" s="3">
        <v>95</v>
      </c>
      <c r="D13" s="3">
        <v>83</v>
      </c>
      <c r="E13" s="3">
        <v>78</v>
      </c>
      <c r="F13" s="3">
        <v>80</v>
      </c>
      <c r="G13" s="3">
        <v>73</v>
      </c>
      <c r="H13" s="3">
        <v>71</v>
      </c>
      <c r="I13" s="3">
        <v>64</v>
      </c>
    </row>
    <row r="14" ht="15" spans="1:9">
      <c r="A14" s="1" t="s">
        <v>22</v>
      </c>
      <c r="B14" s="2" t="str">
        <f>VLOOKUP(A14,学生信息表!$A$1:$B$56,2,FALSE)</f>
        <v>杜思颖</v>
      </c>
      <c r="C14" s="2">
        <v>90</v>
      </c>
      <c r="D14" s="2">
        <v>107</v>
      </c>
      <c r="E14" s="2">
        <v>91</v>
      </c>
      <c r="F14" s="2">
        <v>90</v>
      </c>
      <c r="G14" s="2">
        <v>72</v>
      </c>
      <c r="H14" s="2">
        <v>88</v>
      </c>
      <c r="I14" s="9">
        <v>96</v>
      </c>
    </row>
    <row r="15" ht="14.25" hidden="1" spans="1:9">
      <c r="A15" s="3" t="s">
        <v>23</v>
      </c>
      <c r="B15" s="3" t="str">
        <f>VLOOKUP(A15,学生信息表!$A$1:$B$56,2,FALSE)</f>
        <v>陈俊嘉</v>
      </c>
      <c r="C15" s="3">
        <v>83</v>
      </c>
      <c r="D15" s="3">
        <v>74</v>
      </c>
      <c r="E15" s="3">
        <v>96</v>
      </c>
      <c r="F15" s="3">
        <v>74</v>
      </c>
      <c r="G15" s="3">
        <v>68</v>
      </c>
      <c r="H15" s="3">
        <v>77</v>
      </c>
      <c r="I15" s="3">
        <v>77</v>
      </c>
    </row>
    <row r="16" ht="15" hidden="1" spans="1:9">
      <c r="A16" s="3" t="s">
        <v>24</v>
      </c>
      <c r="B16" s="3" t="str">
        <f>VLOOKUP(A16,学生信息表!$A$1:$B$56,2,FALSE)</f>
        <v>江天勋</v>
      </c>
      <c r="C16" s="3">
        <v>100</v>
      </c>
      <c r="D16" s="3">
        <v>90</v>
      </c>
      <c r="E16" s="3">
        <v>88</v>
      </c>
      <c r="F16" s="3">
        <v>71</v>
      </c>
      <c r="G16" s="3">
        <v>81</v>
      </c>
      <c r="H16" s="3">
        <v>98</v>
      </c>
      <c r="I16" s="3">
        <v>87</v>
      </c>
    </row>
    <row r="17" ht="15" spans="1:9">
      <c r="A17" s="1" t="s">
        <v>25</v>
      </c>
      <c r="B17" s="2" t="str">
        <f>VLOOKUP(A17,学生信息表!$A$1:$B$56,2,FALSE)</f>
        <v>颜怡璇</v>
      </c>
      <c r="C17" s="2">
        <v>87</v>
      </c>
      <c r="D17" s="2">
        <v>112</v>
      </c>
      <c r="E17" s="2">
        <v>92</v>
      </c>
      <c r="F17" s="2">
        <v>87</v>
      </c>
      <c r="G17" s="2">
        <v>68</v>
      </c>
      <c r="H17" s="2">
        <v>88</v>
      </c>
      <c r="I17" s="9">
        <v>85</v>
      </c>
    </row>
    <row r="18" ht="14.25" hidden="1" spans="1:9">
      <c r="A18" s="3" t="s">
        <v>26</v>
      </c>
      <c r="B18" s="3" t="str">
        <f>VLOOKUP(A18,学生信息表!$A$1:$B$56,2,FALSE)</f>
        <v>章庭尹</v>
      </c>
      <c r="C18" s="3">
        <v>88</v>
      </c>
      <c r="D18" s="3">
        <v>94</v>
      </c>
      <c r="E18" s="3">
        <v>100</v>
      </c>
      <c r="F18" s="3">
        <v>81</v>
      </c>
      <c r="G18" s="3">
        <v>73</v>
      </c>
      <c r="H18" s="3">
        <v>76</v>
      </c>
      <c r="I18" s="3">
        <v>72</v>
      </c>
    </row>
    <row r="19" ht="14.25" hidden="1" spans="1:9">
      <c r="A19" s="3" t="s">
        <v>27</v>
      </c>
      <c r="B19" s="3" t="str">
        <f>VLOOKUP(A19,学生信息表!$A$1:$B$56,2,FALSE)</f>
        <v>陈育彦</v>
      </c>
      <c r="C19" s="3">
        <v>118</v>
      </c>
      <c r="D19" s="3">
        <v>90</v>
      </c>
      <c r="E19" s="3">
        <v>92</v>
      </c>
      <c r="F19" s="3">
        <v>83</v>
      </c>
      <c r="G19" s="3">
        <v>51</v>
      </c>
      <c r="H19" s="3">
        <v>98</v>
      </c>
      <c r="I19" s="3">
        <v>87</v>
      </c>
    </row>
    <row r="20" ht="14.25" hidden="1" spans="1:9">
      <c r="A20" s="3" t="s">
        <v>28</v>
      </c>
      <c r="B20" s="3" t="str">
        <f>VLOOKUP(A20,学生信息表!$A$1:$B$56,2,FALSE)</f>
        <v>周肇霖</v>
      </c>
      <c r="C20" s="3">
        <v>81</v>
      </c>
      <c r="D20" s="3">
        <v>82</v>
      </c>
      <c r="E20" s="3">
        <v>78</v>
      </c>
      <c r="F20" s="3">
        <v>71</v>
      </c>
      <c r="G20" s="3">
        <v>64</v>
      </c>
      <c r="H20" s="3">
        <v>95</v>
      </c>
      <c r="I20" s="3">
        <v>78</v>
      </c>
    </row>
    <row r="21" ht="15" hidden="1" spans="1:9">
      <c r="A21" s="3" t="s">
        <v>29</v>
      </c>
      <c r="B21" s="3" t="str">
        <f>VLOOKUP(A21,学生信息表!$A$1:$B$56,2,FALSE)</f>
        <v>陈玟湖</v>
      </c>
      <c r="C21" s="3">
        <v>90</v>
      </c>
      <c r="D21" s="3">
        <v>90</v>
      </c>
      <c r="E21" s="3">
        <v>88</v>
      </c>
      <c r="F21" s="3">
        <v>86</v>
      </c>
      <c r="G21" s="3">
        <v>59</v>
      </c>
      <c r="H21" s="3">
        <v>99</v>
      </c>
      <c r="I21" s="3">
        <v>66</v>
      </c>
    </row>
    <row r="22" ht="15" spans="1:9">
      <c r="A22" s="1" t="s">
        <v>30</v>
      </c>
      <c r="B22" s="2" t="str">
        <f>VLOOKUP(A22,学生信息表!$A$1:$B$56,2,FALSE)</f>
        <v>林海萱</v>
      </c>
      <c r="C22" s="2">
        <v>101</v>
      </c>
      <c r="D22" s="2">
        <v>104</v>
      </c>
      <c r="E22" s="2">
        <v>92</v>
      </c>
      <c r="F22" s="2">
        <v>93</v>
      </c>
      <c r="G22" s="2">
        <v>70</v>
      </c>
      <c r="H22" s="2">
        <v>88</v>
      </c>
      <c r="I22" s="9">
        <v>90</v>
      </c>
    </row>
    <row r="23" ht="15" hidden="1" spans="1:9">
      <c r="A23" s="3" t="s">
        <v>31</v>
      </c>
      <c r="B23" s="3" t="str">
        <f>VLOOKUP(A23,学生信息表!$A$1:$B$56,2,FALSE)</f>
        <v>李嘉勇</v>
      </c>
      <c r="C23" s="3">
        <v>86</v>
      </c>
      <c r="D23" s="3">
        <v>75</v>
      </c>
      <c r="E23" s="3">
        <v>95</v>
      </c>
      <c r="F23" s="3">
        <v>94</v>
      </c>
      <c r="G23" s="3">
        <v>56</v>
      </c>
      <c r="H23" s="3">
        <v>96</v>
      </c>
      <c r="I23" s="3">
        <v>81</v>
      </c>
    </row>
    <row r="24" ht="15" spans="1:9">
      <c r="A24" s="1" t="s">
        <v>32</v>
      </c>
      <c r="B24" s="2" t="str">
        <f>VLOOKUP(A24,学生信息表!$A$1:$B$56,2,FALSE)</f>
        <v>龚佩玲</v>
      </c>
      <c r="C24" s="2">
        <v>79</v>
      </c>
      <c r="D24" s="2">
        <v>106</v>
      </c>
      <c r="E24" s="2">
        <v>100</v>
      </c>
      <c r="F24" s="2">
        <v>78</v>
      </c>
      <c r="G24" s="2">
        <v>91</v>
      </c>
      <c r="H24" s="2">
        <v>87</v>
      </c>
      <c r="I24" s="9">
        <v>66</v>
      </c>
    </row>
    <row r="25" ht="14.25" hidden="1" spans="1:9">
      <c r="A25" s="3" t="s">
        <v>33</v>
      </c>
      <c r="B25" s="3" t="str">
        <f>VLOOKUP(A25,学生信息表!$A$1:$B$56,2,FALSE)</f>
        <v>吴美州</v>
      </c>
      <c r="C25" s="3">
        <v>101</v>
      </c>
      <c r="D25" s="3">
        <v>92</v>
      </c>
      <c r="E25" s="3">
        <v>82</v>
      </c>
      <c r="F25" s="3">
        <v>95</v>
      </c>
      <c r="G25" s="3">
        <v>81</v>
      </c>
      <c r="H25" s="3">
        <v>99</v>
      </c>
      <c r="I25" s="3">
        <v>92</v>
      </c>
    </row>
    <row r="26" ht="15" hidden="1" spans="1:9">
      <c r="A26" s="3" t="s">
        <v>34</v>
      </c>
      <c r="B26" s="3" t="str">
        <f>VLOOKUP(A26,学生信息表!$A$1:$B$56,2,FALSE)</f>
        <v>陈佩芬</v>
      </c>
      <c r="C26" s="3">
        <v>91</v>
      </c>
      <c r="D26" s="3">
        <v>89</v>
      </c>
      <c r="E26" s="3">
        <v>91</v>
      </c>
      <c r="F26" s="3">
        <v>88</v>
      </c>
      <c r="G26" s="3">
        <v>94</v>
      </c>
      <c r="H26" s="3">
        <v>82</v>
      </c>
      <c r="I26" s="3">
        <v>54</v>
      </c>
    </row>
    <row r="27" ht="15" spans="1:9">
      <c r="A27" s="1" t="s">
        <v>35</v>
      </c>
      <c r="B27" s="2" t="str">
        <f>VLOOKUP(A27,学生信息表!$A$1:$B$56,2,FALSE)</f>
        <v>李咏妤</v>
      </c>
      <c r="C27" s="2">
        <v>95</v>
      </c>
      <c r="D27" s="2">
        <v>105</v>
      </c>
      <c r="E27" s="2">
        <v>94</v>
      </c>
      <c r="F27" s="2">
        <v>82</v>
      </c>
      <c r="G27" s="2">
        <v>85</v>
      </c>
      <c r="H27" s="2">
        <v>81</v>
      </c>
      <c r="I27" s="9">
        <v>87</v>
      </c>
    </row>
    <row r="28" ht="15" hidden="1" spans="1:9">
      <c r="A28" s="3" t="s">
        <v>36</v>
      </c>
      <c r="B28" s="3" t="str">
        <f>VLOOKUP(A28,学生信息表!$A$1:$B$56,2,FALSE)</f>
        <v>张兆洋</v>
      </c>
      <c r="C28" s="3">
        <v>80</v>
      </c>
      <c r="D28" s="3">
        <v>95</v>
      </c>
      <c r="E28" s="3">
        <v>83</v>
      </c>
      <c r="F28" s="3">
        <v>91</v>
      </c>
      <c r="G28" s="3">
        <v>98</v>
      </c>
      <c r="H28" s="3">
        <v>78</v>
      </c>
      <c r="I28" s="3">
        <v>64</v>
      </c>
    </row>
    <row r="29" ht="15" spans="1:9">
      <c r="A29" s="1" t="s">
        <v>37</v>
      </c>
      <c r="B29" s="2" t="str">
        <f>VLOOKUP(A29,学生信息表!$A$1:$B$56,2,FALSE)</f>
        <v>陈彦亨</v>
      </c>
      <c r="C29" s="2">
        <v>102</v>
      </c>
      <c r="D29" s="2">
        <v>112</v>
      </c>
      <c r="E29" s="2">
        <v>87</v>
      </c>
      <c r="F29" s="2">
        <v>91</v>
      </c>
      <c r="G29" s="2">
        <v>90</v>
      </c>
      <c r="H29" s="2">
        <v>91</v>
      </c>
      <c r="I29" s="9">
        <v>95</v>
      </c>
    </row>
    <row r="30" ht="15" hidden="1" spans="1:9">
      <c r="A30" s="3" t="s">
        <v>38</v>
      </c>
      <c r="B30" s="3" t="str">
        <f>VLOOKUP(A30,学生信息表!$A$1:$B$56,2,FALSE)</f>
        <v>王美柏</v>
      </c>
      <c r="C30" s="3">
        <v>96</v>
      </c>
      <c r="D30" s="3">
        <v>96</v>
      </c>
      <c r="E30" s="3">
        <v>83</v>
      </c>
      <c r="F30" s="3">
        <v>98</v>
      </c>
      <c r="G30" s="3">
        <v>82</v>
      </c>
      <c r="H30" s="3">
        <v>88</v>
      </c>
      <c r="I30" s="3">
        <v>88</v>
      </c>
    </row>
    <row r="31" ht="15" spans="1:9">
      <c r="A31" s="1" t="s">
        <v>39</v>
      </c>
      <c r="B31" s="2" t="str">
        <f>VLOOKUP(A31,学生信息表!$A$1:$B$56,2,FALSE)</f>
        <v>史姿蓉</v>
      </c>
      <c r="C31" s="2">
        <v>100</v>
      </c>
      <c r="D31" s="2">
        <v>118</v>
      </c>
      <c r="E31" s="2">
        <v>95</v>
      </c>
      <c r="F31" s="2">
        <v>90</v>
      </c>
      <c r="G31" s="2">
        <v>54</v>
      </c>
      <c r="H31" s="2">
        <v>96</v>
      </c>
      <c r="I31" s="9">
        <v>88</v>
      </c>
    </row>
    <row r="32" ht="15" hidden="1" spans="1:9">
      <c r="A32" s="3" t="s">
        <v>40</v>
      </c>
      <c r="B32" s="3" t="str">
        <f>VLOOKUP(A32,学生信息表!$A$1:$B$56,2,FALSE)</f>
        <v>倪郁英</v>
      </c>
      <c r="C32" s="3">
        <v>96</v>
      </c>
      <c r="D32" s="3">
        <v>91</v>
      </c>
      <c r="E32" s="3">
        <v>94</v>
      </c>
      <c r="F32" s="3">
        <v>86</v>
      </c>
      <c r="G32" s="3">
        <v>67</v>
      </c>
      <c r="H32" s="3">
        <v>89</v>
      </c>
      <c r="I32" s="3">
        <v>78</v>
      </c>
    </row>
    <row r="33" ht="15" spans="1:9">
      <c r="A33" s="1" t="s">
        <v>41</v>
      </c>
      <c r="B33" s="2" t="str">
        <f>VLOOKUP(A33,学生信息表!$A$1:$B$56,2,FALSE)</f>
        <v>黄启善</v>
      </c>
      <c r="C33" s="2">
        <v>89</v>
      </c>
      <c r="D33" s="2">
        <v>118</v>
      </c>
      <c r="E33" s="2">
        <v>95</v>
      </c>
      <c r="F33" s="2">
        <v>91</v>
      </c>
      <c r="G33" s="2">
        <v>99</v>
      </c>
      <c r="H33" s="2">
        <v>91</v>
      </c>
      <c r="I33" s="9">
        <v>65</v>
      </c>
    </row>
    <row r="34" ht="14.25" hidden="1" spans="1:9">
      <c r="A34" s="3" t="s">
        <v>42</v>
      </c>
      <c r="B34" s="3" t="str">
        <f>VLOOKUP(A34,学生信息表!$A$1:$B$56,2,FALSE)</f>
        <v>李美紫</v>
      </c>
      <c r="C34" s="3">
        <v>102</v>
      </c>
      <c r="D34" s="3">
        <v>92</v>
      </c>
      <c r="E34" s="3">
        <v>93</v>
      </c>
      <c r="F34" s="3">
        <v>78</v>
      </c>
      <c r="G34" s="3">
        <v>54</v>
      </c>
      <c r="H34" s="3">
        <v>75</v>
      </c>
      <c r="I34" s="3">
        <v>88</v>
      </c>
    </row>
    <row r="35" ht="15" hidden="1" spans="1:9">
      <c r="A35" s="3" t="s">
        <v>43</v>
      </c>
      <c r="B35" s="3" t="str">
        <f>VLOOKUP(A35,学生信息表!$A$1:$B$56,2,FALSE)</f>
        <v>蔡志瑞</v>
      </c>
      <c r="C35" s="3">
        <v>83</v>
      </c>
      <c r="D35" s="3">
        <v>97</v>
      </c>
      <c r="E35" s="3">
        <v>92</v>
      </c>
      <c r="F35" s="3">
        <v>87</v>
      </c>
      <c r="G35" s="3">
        <v>92</v>
      </c>
      <c r="H35" s="3">
        <v>95</v>
      </c>
      <c r="I35" s="3">
        <v>84</v>
      </c>
    </row>
    <row r="36" ht="15" spans="1:9">
      <c r="A36" s="1" t="s">
        <v>44</v>
      </c>
      <c r="B36" s="2" t="str">
        <f>VLOOKUP(A36,学生信息表!$A$1:$B$56,2,FALSE)</f>
        <v>曹淑媛</v>
      </c>
      <c r="C36" s="2">
        <v>79</v>
      </c>
      <c r="D36" s="2">
        <v>104</v>
      </c>
      <c r="E36" s="2">
        <v>81</v>
      </c>
      <c r="F36" s="2">
        <v>97</v>
      </c>
      <c r="G36" s="2">
        <v>56</v>
      </c>
      <c r="H36" s="2">
        <v>91</v>
      </c>
      <c r="I36" s="9">
        <v>81</v>
      </c>
    </row>
    <row r="37" ht="14.25" hidden="1" spans="1:9">
      <c r="A37" s="3" t="s">
        <v>45</v>
      </c>
      <c r="B37" s="3" t="str">
        <f>VLOOKUP(A37,学生信息表!$A$1:$B$56,2,FALSE)</f>
        <v>林慧韦</v>
      </c>
      <c r="C37" s="3">
        <v>95</v>
      </c>
      <c r="D37" s="3">
        <v>99</v>
      </c>
      <c r="E37" s="3">
        <v>99</v>
      </c>
      <c r="F37" s="3">
        <v>79</v>
      </c>
      <c r="G37" s="3">
        <v>92</v>
      </c>
      <c r="H37" s="3">
        <v>77</v>
      </c>
      <c r="I37" s="3">
        <v>93</v>
      </c>
    </row>
    <row r="38" ht="14.25" hidden="1" spans="1:9">
      <c r="A38" s="3" t="s">
        <v>46</v>
      </c>
      <c r="B38" s="3" t="str">
        <f>VLOOKUP(A38,学生信息表!$A$1:$B$56,2,FALSE)</f>
        <v>许育萱</v>
      </c>
      <c r="C38" s="3">
        <v>99</v>
      </c>
      <c r="D38" s="3">
        <v>98</v>
      </c>
      <c r="E38" s="3">
        <v>90</v>
      </c>
      <c r="F38" s="3">
        <v>86</v>
      </c>
      <c r="G38" s="3">
        <v>65</v>
      </c>
      <c r="H38" s="3">
        <v>92</v>
      </c>
      <c r="I38" s="3">
        <v>96</v>
      </c>
    </row>
    <row r="39" ht="15" hidden="1" spans="1:9">
      <c r="A39" s="3" t="s">
        <v>47</v>
      </c>
      <c r="B39" s="3" t="str">
        <f>VLOOKUP(A39,学生信息表!$A$1:$B$56,2,FALSE)</f>
        <v>廖皇荣</v>
      </c>
      <c r="C39" s="3">
        <v>101</v>
      </c>
      <c r="D39" s="3">
        <v>71</v>
      </c>
      <c r="E39" s="3">
        <v>96</v>
      </c>
      <c r="F39" s="3">
        <v>93</v>
      </c>
      <c r="G39" s="3">
        <v>52</v>
      </c>
      <c r="H39" s="3">
        <v>97</v>
      </c>
      <c r="I39" s="3">
        <v>86</v>
      </c>
    </row>
    <row r="40" ht="15" spans="1:9">
      <c r="A40" s="1" t="s">
        <v>48</v>
      </c>
      <c r="B40" s="2" t="str">
        <f>VLOOKUP(A40,学生信息表!$A$1:$B$56,2,FALSE)</f>
        <v>周禹诚</v>
      </c>
      <c r="C40" s="2">
        <v>86</v>
      </c>
      <c r="D40" s="2">
        <v>107</v>
      </c>
      <c r="E40" s="2">
        <v>86</v>
      </c>
      <c r="F40" s="2">
        <v>97</v>
      </c>
      <c r="G40" s="2">
        <v>90</v>
      </c>
      <c r="H40" s="2">
        <v>92</v>
      </c>
      <c r="I40" s="9">
        <v>98</v>
      </c>
    </row>
    <row r="41" ht="15" hidden="1" spans="1:9">
      <c r="A41" s="3" t="s">
        <v>49</v>
      </c>
      <c r="B41" s="3" t="str">
        <f>VLOOKUP(A41,学生信息表!$A$1:$B$56,2,FALSE)</f>
        <v>陈法璇</v>
      </c>
      <c r="C41" s="3">
        <v>90</v>
      </c>
      <c r="D41" s="3">
        <v>94</v>
      </c>
      <c r="E41" s="3">
        <v>80</v>
      </c>
      <c r="F41" s="3">
        <v>100</v>
      </c>
      <c r="G41" s="3">
        <v>58</v>
      </c>
      <c r="H41" s="3">
        <v>89</v>
      </c>
      <c r="I41" s="3">
        <v>96</v>
      </c>
    </row>
    <row r="42" ht="15" spans="1:9">
      <c r="A42" s="4" t="s">
        <v>50</v>
      </c>
      <c r="B42" s="5" t="str">
        <f>VLOOKUP(A42,学生信息表!$A$1:$B$56,2,FALSE)</f>
        <v>李依勇</v>
      </c>
      <c r="C42" s="5">
        <v>91</v>
      </c>
      <c r="D42" s="5">
        <v>109</v>
      </c>
      <c r="E42" s="5">
        <v>96</v>
      </c>
      <c r="F42" s="5">
        <v>88</v>
      </c>
      <c r="G42" s="5">
        <v>75</v>
      </c>
      <c r="H42" s="5">
        <v>86</v>
      </c>
      <c r="I42" s="10">
        <v>94</v>
      </c>
    </row>
    <row r="43" ht="15.75" spans="1:9">
      <c r="A43" s="6" t="s">
        <v>51</v>
      </c>
      <c r="B43" s="7" t="str">
        <f>VLOOKUP(A43,学生信息表!$A$1:$B$56,2,FALSE)</f>
        <v>杨丹菱</v>
      </c>
      <c r="C43" s="7">
        <v>89</v>
      </c>
      <c r="D43" s="7">
        <v>106</v>
      </c>
      <c r="E43" s="7">
        <v>93</v>
      </c>
      <c r="F43" s="7">
        <v>82</v>
      </c>
      <c r="G43" s="7">
        <v>98</v>
      </c>
      <c r="H43" s="7">
        <v>82</v>
      </c>
      <c r="I43" s="11">
        <v>88</v>
      </c>
    </row>
    <row r="44" ht="14.25" hidden="1" spans="1:9">
      <c r="A44" s="3" t="s">
        <v>52</v>
      </c>
      <c r="B44" s="3" t="str">
        <f>VLOOKUP(A44,学生信息表!$A$1:$B$56,2,FALSE)</f>
        <v>洪子翔</v>
      </c>
      <c r="C44" s="3">
        <v>105</v>
      </c>
      <c r="D44" s="3">
        <v>89</v>
      </c>
      <c r="E44" s="3">
        <v>90</v>
      </c>
      <c r="F44" s="3">
        <v>97</v>
      </c>
      <c r="G44" s="3">
        <v>59</v>
      </c>
      <c r="H44" s="3">
        <v>79</v>
      </c>
      <c r="I44" s="3">
        <v>88</v>
      </c>
    </row>
    <row r="45" ht="14.25" hidden="1" spans="1:9">
      <c r="A45" s="3" t="s">
        <v>53</v>
      </c>
      <c r="B45" s="3" t="str">
        <f>VLOOKUP(A45,学生信息表!$A$1:$B$56,2,FALSE)</f>
        <v>林宏麟</v>
      </c>
      <c r="C45" s="3">
        <v>98</v>
      </c>
      <c r="D45" s="3">
        <v>88</v>
      </c>
      <c r="E45" s="3">
        <v>100</v>
      </c>
      <c r="F45" s="3">
        <v>92</v>
      </c>
      <c r="G45" s="3">
        <v>80</v>
      </c>
      <c r="H45" s="3">
        <v>96</v>
      </c>
      <c r="I45" s="3">
        <v>97</v>
      </c>
    </row>
    <row r="46" ht="15" hidden="1" spans="1:9">
      <c r="A46" s="3" t="s">
        <v>54</v>
      </c>
      <c r="B46" s="3" t="str">
        <f>VLOOKUP(A46,学生信息表!$A$1:$B$56,2,FALSE)</f>
        <v>徐燕启</v>
      </c>
      <c r="C46" s="3">
        <v>98</v>
      </c>
      <c r="D46" s="3">
        <v>98</v>
      </c>
      <c r="E46" s="3">
        <v>95</v>
      </c>
      <c r="F46" s="3">
        <v>97</v>
      </c>
      <c r="G46" s="3">
        <v>62</v>
      </c>
      <c r="H46" s="3">
        <v>95</v>
      </c>
      <c r="I46" s="3">
        <v>91</v>
      </c>
    </row>
    <row r="47" ht="15" spans="1:9">
      <c r="A47" s="1" t="s">
        <v>55</v>
      </c>
      <c r="B47" s="2" t="str">
        <f>VLOOKUP(A47,学生信息表!$A$1:$B$56,2,FALSE)</f>
        <v>刘佳齐</v>
      </c>
      <c r="C47" s="2">
        <v>80</v>
      </c>
      <c r="D47" s="2">
        <v>118</v>
      </c>
      <c r="E47" s="2">
        <v>96</v>
      </c>
      <c r="F47" s="2">
        <v>84</v>
      </c>
      <c r="G47" s="2">
        <v>99</v>
      </c>
      <c r="H47" s="2">
        <v>93</v>
      </c>
      <c r="I47" s="9">
        <v>60</v>
      </c>
    </row>
    <row r="48" ht="14.25" hidden="1" spans="1:9">
      <c r="A48" s="3" t="s">
        <v>56</v>
      </c>
      <c r="B48" s="3"/>
      <c r="C48" s="8">
        <f>AVERAGE(C4:C47)</f>
        <v>93.5681818181818</v>
      </c>
      <c r="D48" s="8">
        <f t="shared" ref="D48:I48" si="0">AVERAGE(D4:D47)</f>
        <v>97.0227272727273</v>
      </c>
      <c r="E48" s="8">
        <f t="shared" si="0"/>
        <v>90.9772727272727</v>
      </c>
      <c r="F48" s="8">
        <f t="shared" si="0"/>
        <v>88.0681818181818</v>
      </c>
      <c r="G48" s="8">
        <f t="shared" si="0"/>
        <v>75.4772727272727</v>
      </c>
      <c r="H48" s="8">
        <f t="shared" si="0"/>
        <v>88.1136363636364</v>
      </c>
      <c r="I48" s="8">
        <f t="shared" si="0"/>
        <v>83.5909090909091</v>
      </c>
    </row>
  </sheetData>
  <conditionalFormatting sqref="C4:C47">
    <cfRule type="top10" dxfId="0" priority="7" rank="1"/>
  </conditionalFormatting>
  <conditionalFormatting sqref="D4:D47">
    <cfRule type="top10" dxfId="0" priority="6" rank="1"/>
  </conditionalFormatting>
  <conditionalFormatting sqref="E4:E47">
    <cfRule type="top10" dxfId="0" priority="5" rank="1"/>
  </conditionalFormatting>
  <conditionalFormatting sqref="F4:F47">
    <cfRule type="top10" dxfId="0" priority="4" rank="1"/>
  </conditionalFormatting>
  <conditionalFormatting sqref="G4:G47">
    <cfRule type="top10" dxfId="0" priority="3" rank="1"/>
  </conditionalFormatting>
  <conditionalFormatting sqref="H4:H47">
    <cfRule type="top10" dxfId="0" priority="2" rank="1"/>
  </conditionalFormatting>
  <conditionalFormatting sqref="I4:I47">
    <cfRule type="top10" dxfId="0" priority="1" rank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期末成绩表</vt:lpstr>
      <vt:lpstr>学生信息表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2023-12-02T01:39:02Z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1214D00FEE634191A7B2531484D577CC_12</vt:lpwstr>
  </property>
  <property fmtid="{D5CDD505-2E9C-101B-9397-08002B2CF9AE}" pid="3" name="KSOProductBuildVer">
    <vt:lpwstr>2052-12.1.0.15712</vt:lpwstr>
  </property>
</Properties>
</file>
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1"/>
  </bookViews>
  <sheets>
    <sheet name="销售表" sheetId="1" r:id="rId1"/>
    <sheet name="测试" sheetId="2" r:id="rId2"/>
  </sheets>
  <calcPr calcId="144525"/>
  <pivotCaches>
    <pivotCache cacheId="0" r:id="rId3"/>
  </pivotCaches>
</workbook>
</file>

<file path=xl/sharedStrings.xml><?xml version="1.0" encoding="utf-8"?>
<sst xmlns="http://schemas.openxmlformats.org/spreadsheetml/2006/main" count="32" uniqueCount="20">
  <si>
    <t>车名</t>
  </si>
  <si>
    <t>品牌</t>
  </si>
  <si>
    <t>价格（万元）</t>
  </si>
  <si>
    <t>销量</t>
  </si>
  <si>
    <t>保时捷911</t>
  </si>
  <si>
    <t>保时捷</t>
  </si>
  <si>
    <t>迈凯伦Solus GT</t>
  </si>
  <si>
    <t>迈凯伦</t>
  </si>
  <si>
    <t>迈凯伦620R</t>
  </si>
  <si>
    <t>保时捷718</t>
  </si>
  <si>
    <t>GranCabrio</t>
  </si>
  <si>
    <t>玛莎拉蒂</t>
  </si>
  <si>
    <t>迈凯伦GT</t>
  </si>
  <si>
    <t>918 Spyder</t>
  </si>
  <si>
    <t>玛莎拉蒂MC20</t>
  </si>
  <si>
    <t>小米SU7 Ultra</t>
  </si>
  <si>
    <t>小米</t>
  </si>
  <si>
    <t>小米SU7</t>
  </si>
  <si>
    <t>求和项:销量</t>
  </si>
  <si>
    <t>总计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</si>
</sst>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Protection="1">
      <alignment vertical="center"/>
      <protection locked="0"/>
    </xf>
    <xf numFmtId="44" fontId="0" fillId="0" borderId="1" xfId="0" applyNumberFormat="1" applyBorder="1" applyProtection="1">
      <alignment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002060"/>
      </font>
      <fill>
        <patternFill patternType="solid"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图表标题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  <a:scene3d>
                <a:camera prst="orthographicFront"/>
                <a:lightRig rig="threePt" dir="t"/>
              </a:scene3d>
              <a:sp3d contourW="9525"/>
            </c:spPr>
          </c:dPt>
          <c:dLbls>
            <c:delete val="1"/>
          </c:dLbls>
          <c:val>
            <c:numRef>
              <c:f>销售表!$G$6:$G$7</c:f>
              <c:numCache>
                <c:formatCode>_ "￥"* #,##0.00_ ;_ "￥"* \-#,##0.00_ ;_ "￥"* "-"??_ ;_ @_ </c:formatCode>
                <c:ptCount val="2"/>
                <c:pt idx="0">
                  <c:v>622223.6</c:v>
                </c:pt>
                <c:pt idx="1">
                  <c:v>52522.75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[新建 XLSX 工作表 - 副本.xlsx]测试!数据透视表1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测试!$D$3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测试!$C$4:$C$7</c:f>
              <c:strCache>
                <c:ptCount val="3"/>
                <c:pt idx="0">
                  <c:v>迈凯伦620R</c:v>
                </c:pt>
                <c:pt idx="1">
                  <c:v>迈凯伦GT</c:v>
                </c:pt>
                <c:pt idx="2">
                  <c:v>迈凯伦Solus GT</c:v>
                </c:pt>
              </c:strCache>
            </c:strRef>
          </c:cat>
          <c:val>
            <c:numRef>
              <c:f>测试!$D$4:$D$7</c:f>
              <c:numCache>
                <c:formatCode>General</c:formatCode>
                <c:ptCount val="3"/>
                <c:pt idx="0">
                  <c:v>245</c:v>
                </c:pt>
                <c:pt idx="1">
                  <c:v>389</c:v>
                </c:pt>
                <c:pt idx="2">
                  <c:v>236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961773"/>
        <c:axId val="909047185"/>
      </c:barChart>
      <c:catAx>
        <c:axId val="61296177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9047185"/>
        <c:crosses val="autoZero"/>
        <c:auto val="1"/>
        <c:lblAlgn val="ctr"/>
        <c:lblOffset val="100"/>
        <c:noMultiLvlLbl val="0"/>
      </c:catAx>
      <c:valAx>
        <c:axId val="90904718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296177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>
      <cs:styleClr val="auto"/>
    </cs:effectRef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365125</xdr:colOff>
      <xdr:row>14</xdr:row>
      <xdr:rowOff>22225</xdr:rowOff>
    </xdr:from>
    <xdr:to>
      <xdr:col>5</xdr:col>
      <xdr:colOff>438150</xdr:colOff>
      <xdr:row>30</xdr:row>
      <xdr:rowOff>22225</xdr:rowOff>
    </xdr:to>
    <xdr:graphicFrame>
      <xdr:nvGraphicFramePr>
        <xdr:cNvPr id="2" name="两品牌销售对比"/>
        <xdr:cNvGraphicFramePr/>
      </xdr:nvGraphicFramePr>
      <xdr:xfrm>
        <a:off x="365125" y="29464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136525</xdr:colOff>
      <xdr:row>13</xdr:row>
      <xdr:rowOff>22225</xdr:rowOff>
    </xdr:from>
    <xdr:to>
      <xdr:col>7</xdr:col>
      <xdr:colOff>57150</xdr:colOff>
      <xdr:row>29</xdr:row>
      <xdr:rowOff>22225</xdr:rowOff>
    </xdr:to>
    <xdr:graphicFrame>
      <xdr:nvGraphicFramePr>
        <xdr:cNvPr id="2" name="图表 1"/>
        <xdr:cNvGraphicFramePr/>
      </xdr:nvGraphicFramePr>
      <xdr:xfrm>
        <a:off x="822325" y="22510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728.5676388889" refreshedBy="25472" recordCount="10">
  <cacheSource type="worksheet">
    <worksheetSource ref="A1:D11" sheet="销售表"/>
  </cacheSource>
  <cacheFields count="4">
    <cacheField name="车名" numFmtId="0">
      <sharedItems count="10">
        <s v="保时捷911"/>
        <s v="迈凯伦Solus GT"/>
        <s v="迈凯伦620R"/>
        <s v="保时捷718"/>
        <s v="GranCabrio"/>
        <s v="迈凯伦GT"/>
        <s v="918 Spyder"/>
        <s v="玛莎拉蒂MC20"/>
        <s v="小米SU7 Ultra"/>
        <s v="小米SU7"/>
      </sharedItems>
    </cacheField>
    <cacheField name="品牌" numFmtId="0">
      <sharedItems count="4">
        <s v="保时捷"/>
        <s v="迈凯伦"/>
        <s v="玛莎拉蒂"/>
        <s v="小米"/>
      </sharedItems>
    </cacheField>
    <cacheField name="价格（万元）" numFmtId="0">
      <sharedItems containsSemiMixedTypes="0" containsString="0" containsNumber="1" minValue="0" maxValue="1338.8" count="10">
        <n v="300"/>
        <n v="800"/>
        <n v="780"/>
        <n v="120"/>
        <n v="243"/>
        <n v="208.8"/>
        <n v="1338.8"/>
        <n v="414"/>
        <n v="52.9"/>
        <n v="21.59"/>
      </sharedItems>
    </cacheField>
    <cacheField name="销量" numFmtId="0">
      <sharedItems containsSemiMixedTypes="0" containsString="0" containsNumber="1" containsInteger="1" minValue="0" maxValue="845" count="10">
        <n v="190"/>
        <n v="236"/>
        <n v="245"/>
        <n v="281"/>
        <n v="341"/>
        <n v="389"/>
        <n v="397"/>
        <n v="458"/>
        <n v="648"/>
        <n v="84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x v="0"/>
    <x v="0"/>
  </r>
  <r>
    <x v="1"/>
    <x v="1"/>
    <x v="1"/>
    <x v="1"/>
  </r>
  <r>
    <x v="2"/>
    <x v="1"/>
    <x v="2"/>
    <x v="2"/>
  </r>
  <r>
    <x v="3"/>
    <x v="0"/>
    <x v="3"/>
    <x v="3"/>
  </r>
  <r>
    <x v="4"/>
    <x v="2"/>
    <x v="4"/>
    <x v="4"/>
  </r>
  <r>
    <x v="5"/>
    <x v="1"/>
    <x v="5"/>
    <x v="5"/>
  </r>
  <r>
    <x v="6"/>
    <x v="0"/>
    <x v="6"/>
    <x v="6"/>
  </r>
  <r>
    <x v="7"/>
    <x v="2"/>
    <x v="7"/>
    <x v="7"/>
  </r>
  <r>
    <x v="8"/>
    <x v="3"/>
    <x v="8"/>
    <x v="8"/>
  </r>
  <r>
    <x v="9"/>
    <x v="3"/>
    <x v="9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C3:D7" firstHeaderRow="1" firstDataRow="1" firstDataCol="1" rowPageCount="1" colPageCount="1"/>
  <pivotFields count="4">
    <pivotField axis="axisRow" compact="0" showAll="0">
      <items count="11">
        <item x="6"/>
        <item x="4"/>
        <item x="3"/>
        <item x="0"/>
        <item x="7"/>
        <item x="2"/>
        <item x="5"/>
        <item x="1"/>
        <item x="9"/>
        <item x="8"/>
        <item t="default"/>
      </items>
    </pivotField>
    <pivotField axis="axisPage" compact="0" showAll="0">
      <items count="5">
        <item x="0"/>
        <item x="2"/>
        <item x="1"/>
        <item x="3"/>
        <item t="default"/>
      </items>
    </pivotField>
    <pivotField compact="0" showAll="0"/>
    <pivotField dataField="1"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0"/>
  </rowFields>
  <rowItems count="4">
    <i>
      <x v="5"/>
    </i>
    <i>
      <x v="6"/>
    </i>
    <i>
      <x v="7"/>
    </i>
    <i t="grand">
      <x/>
    </i>
  </rowItems>
  <colItems count="1">
    <i/>
  </colItems>
  <pageFields count="1">
    <pageField fld="1" item="2"/>
  </pageFields>
  <dataFields count="1">
    <dataField name="求和项:销量" fld="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G20" sqref="G20"/>
    </sheetView>
  </sheetViews>
  <sheetFormatPr defaultColWidth="9" defaultRowHeight="13.5" outlineLevelCol="6"/>
  <cols>
    <col min="1" max="1" width="16.25" style="1" customWidth="1"/>
    <col min="2" max="2" width="9.375" style="1" customWidth="1"/>
    <col min="3" max="3" width="13.75" style="1" customWidth="1"/>
    <col min="4" max="4" width="5.375" style="1" customWidth="1"/>
    <col min="5" max="5" width="17.625" style="1" customWidth="1"/>
    <col min="6" max="6" width="9" style="1"/>
    <col min="7" max="7" width="15.875" style="1"/>
    <col min="8" max="16384" width="9" style="1"/>
  </cols>
  <sheetData>
    <row r="1" ht="17.25" spans="1:5">
      <c r="A1" s="2" t="s">
        <v>0</v>
      </c>
      <c r="B1" s="2" t="s">
        <v>1</v>
      </c>
      <c r="C1" s="2" t="s">
        <v>2</v>
      </c>
      <c r="D1" s="2" t="s">
        <v>3</v>
      </c>
      <c r="E1" s="3"/>
    </row>
    <row r="2" ht="17.25" spans="1:5">
      <c r="A2" s="2" t="s">
        <v>4</v>
      </c>
      <c r="B2" s="2" t="s">
        <v>5</v>
      </c>
      <c r="C2" s="2">
        <v>300</v>
      </c>
      <c r="D2" s="2">
        <v>190</v>
      </c>
      <c r="E2" s="3">
        <f t="shared" ref="E2:E11" si="0">C2*D2</f>
        <v>57000</v>
      </c>
    </row>
    <row r="3" ht="17.25" spans="1:5">
      <c r="A3" s="2" t="s">
        <v>6</v>
      </c>
      <c r="B3" s="2" t="s">
        <v>7</v>
      </c>
      <c r="C3" s="2">
        <v>800</v>
      </c>
      <c r="D3" s="2">
        <v>236</v>
      </c>
      <c r="E3" s="3">
        <f t="shared" si="0"/>
        <v>188800</v>
      </c>
    </row>
    <row r="4" ht="17.25" spans="1:5">
      <c r="A4" s="2" t="s">
        <v>8</v>
      </c>
      <c r="B4" s="2" t="s">
        <v>7</v>
      </c>
      <c r="C4" s="2">
        <v>780</v>
      </c>
      <c r="D4" s="2">
        <v>245</v>
      </c>
      <c r="E4" s="3">
        <f t="shared" si="0"/>
        <v>191100</v>
      </c>
    </row>
    <row r="5" ht="17.25" spans="1:5">
      <c r="A5" s="2" t="s">
        <v>9</v>
      </c>
      <c r="B5" s="2" t="s">
        <v>5</v>
      </c>
      <c r="C5" s="2">
        <v>120</v>
      </c>
      <c r="D5" s="2">
        <v>281</v>
      </c>
      <c r="E5" s="3">
        <f t="shared" si="0"/>
        <v>33720</v>
      </c>
    </row>
    <row r="6" ht="17.25" spans="1:7">
      <c r="A6" s="2" t="s">
        <v>10</v>
      </c>
      <c r="B6" s="2" t="s">
        <v>11</v>
      </c>
      <c r="C6" s="2">
        <v>243</v>
      </c>
      <c r="D6" s="2">
        <v>341</v>
      </c>
      <c r="E6" s="3">
        <f t="shared" si="0"/>
        <v>82863</v>
      </c>
      <c r="G6" s="4">
        <f>SUMIF(B2:B11,"保时捷",E2:E11)</f>
        <v>622223.6</v>
      </c>
    </row>
    <row r="7" ht="17.25" spans="1:7">
      <c r="A7" s="2" t="s">
        <v>12</v>
      </c>
      <c r="B7" s="2" t="s">
        <v>7</v>
      </c>
      <c r="C7" s="2">
        <v>208.8</v>
      </c>
      <c r="D7" s="2">
        <v>389</v>
      </c>
      <c r="E7" s="3">
        <f t="shared" si="0"/>
        <v>81223.2</v>
      </c>
      <c r="G7" s="4">
        <f>SUMIF(B2:B11,"小米",E2:E11)</f>
        <v>52522.75</v>
      </c>
    </row>
    <row r="8" ht="17.25" spans="1:5">
      <c r="A8" s="2" t="s">
        <v>13</v>
      </c>
      <c r="B8" s="2" t="s">
        <v>5</v>
      </c>
      <c r="C8" s="2">
        <v>1338.8</v>
      </c>
      <c r="D8" s="2">
        <v>397</v>
      </c>
      <c r="E8" s="3">
        <f t="shared" si="0"/>
        <v>531503.6</v>
      </c>
    </row>
    <row r="9" ht="17.25" spans="1:5">
      <c r="A9" s="2" t="s">
        <v>14</v>
      </c>
      <c r="B9" s="2" t="s">
        <v>11</v>
      </c>
      <c r="C9" s="2">
        <v>414</v>
      </c>
      <c r="D9" s="2">
        <v>458</v>
      </c>
      <c r="E9" s="3">
        <f t="shared" si="0"/>
        <v>189612</v>
      </c>
    </row>
    <row r="10" ht="17.25" spans="1:5">
      <c r="A10" s="2" t="s">
        <v>15</v>
      </c>
      <c r="B10" s="2" t="s">
        <v>16</v>
      </c>
      <c r="C10" s="2">
        <v>52.9</v>
      </c>
      <c r="D10" s="2">
        <v>648</v>
      </c>
      <c r="E10" s="3">
        <f t="shared" si="0"/>
        <v>34279.2</v>
      </c>
    </row>
    <row r="11" ht="17.25" spans="1:5">
      <c r="A11" s="2" t="s">
        <v>17</v>
      </c>
      <c r="B11" s="2" t="s">
        <v>16</v>
      </c>
      <c r="C11" s="2">
        <v>21.59</v>
      </c>
      <c r="D11" s="2">
        <v>845</v>
      </c>
      <c r="E11" s="3">
        <f t="shared" si="0"/>
        <v>18243.55</v>
      </c>
    </row>
  </sheetData>
  <sortState ref="A2:E11">
    <sortCondition ref="D2:D11"/>
  </sortState>
  <conditionalFormatting sqref="C2:C11">
    <cfRule type="aboveAverage" dxfId="0" priority="1"/>
  </conditionalFormatting>
  <pageMargins left="0.700694444444445" right="0.700694444444445" top="0.751388888888889" bottom="0.751388888888889" header="0.298611111111111" footer="0.298611111111111"/>
  <pageSetup paperSize="9" orientation="landscape" horizontalDpi="600"/>
  <headerFooter>
    <oddHeader>&amp;C&amp;A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D7"/>
  <sheetViews>
    <sheetView tabSelected="1" workbookViewId="0">
      <selection activeCell="N20" sqref="N20"/>
    </sheetView>
  </sheetViews>
  <sheetFormatPr defaultColWidth="9" defaultRowHeight="13.5" outlineLevelRow="6" outlineLevelCol="3"/>
  <cols>
    <col min="3" max="3" width="15.625"/>
    <col min="4" max="4" width="12.75"/>
  </cols>
  <sheetData>
    <row r="1" spans="3:4">
      <c r="C1" t="s">
        <v>1</v>
      </c>
      <c r="D1" t="s">
        <v>7</v>
      </c>
    </row>
    <row r="3" spans="3:4">
      <c r="C3" t="s">
        <v>0</v>
      </c>
      <c r="D3" t="s">
        <v>18</v>
      </c>
    </row>
    <row r="4" spans="3:4">
      <c r="C4" t="s">
        <v>8</v>
      </c>
      <c r="D4">
        <v>245</v>
      </c>
    </row>
    <row r="5" spans="3:4">
      <c r="C5" t="s">
        <v>12</v>
      </c>
      <c r="D5">
        <v>389</v>
      </c>
    </row>
    <row r="6" spans="3:4">
      <c r="C6" t="s">
        <v>6</v>
      </c>
      <c r="D6">
        <v>236</v>
      </c>
    </row>
    <row r="7" spans="3:4">
      <c r="C7" t="s">
        <v>19</v>
      </c>
      <c r="D7">
        <v>870</v>
      </c>
    </row>
  </sheetData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销售表</vt:lpstr>
      <vt:lpstr>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2023-05-12T11:15:00Z</dcterms:created>
  <dcterms:modified xsi:type="dcterms:W3CDTF">2025-03-18T07:34:09Z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
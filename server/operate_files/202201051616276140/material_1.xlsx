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员工工资统计表" sheetId="1" r:id="rId1"/>
    <sheet name="筛选" sheetId="2" r:id="rId2"/>
    <sheet name="分类汇总" sheetId="3" r:id="rId3"/>
    <sheet name="图表" sheetId="4" r:id="rId4"/>
  </sheets>
  <definedNames>
    <definedName name="_xlnm._FilterDatabase" localSheetId="1" hidden="1">筛选!$A$4:$L$16</definedName>
    <definedName name="_xlnm.Criteria" localSheetId="1">筛选!$A$1:$B$2</definedName>
  </definedNames>
  <calcPr calcId="144525"/>
</workbook>
</file>

<file path=xl/calcChain.xml><?xml version="1.0" encoding="utf-8"?>
<calcChain xmlns="http://schemas.openxmlformats.org/spreadsheetml/2006/main">
  <c r="L17" i="3" l="1"/>
  <c r="K17" i="3"/>
  <c r="I17" i="3"/>
  <c r="G17" i="3"/>
  <c r="L16" i="3"/>
  <c r="K16" i="3"/>
  <c r="I16" i="3"/>
  <c r="G16" i="3"/>
  <c r="L10" i="3"/>
  <c r="K10" i="3"/>
  <c r="I10" i="3"/>
  <c r="G10" i="3"/>
  <c r="L5" i="3"/>
  <c r="K5" i="3"/>
  <c r="I5" i="3"/>
  <c r="G5" i="3"/>
  <c r="L16" i="2"/>
  <c r="E16" i="2"/>
  <c r="G16" i="2" s="1"/>
  <c r="I16" i="2" s="1"/>
  <c r="K16" i="2" s="1"/>
  <c r="C16" i="2"/>
  <c r="L15" i="2"/>
  <c r="E15" i="2"/>
  <c r="G15" i="2" s="1"/>
  <c r="I15" i="2" s="1"/>
  <c r="K15" i="2" s="1"/>
  <c r="C15" i="2"/>
  <c r="L14" i="2"/>
  <c r="E14" i="2"/>
  <c r="G14" i="2" s="1"/>
  <c r="I14" i="2" s="1"/>
  <c r="K14" i="2" s="1"/>
  <c r="C14" i="2"/>
  <c r="L13" i="2"/>
  <c r="E13" i="2"/>
  <c r="G13" i="2" s="1"/>
  <c r="I13" i="2" s="1"/>
  <c r="K13" i="2" s="1"/>
  <c r="C13" i="2"/>
  <c r="L12" i="2"/>
  <c r="E12" i="2"/>
  <c r="G12" i="2" s="1"/>
  <c r="I12" i="2" s="1"/>
  <c r="K12" i="2" s="1"/>
  <c r="C12" i="2"/>
  <c r="L11" i="2"/>
  <c r="E11" i="2"/>
  <c r="G11" i="2" s="1"/>
  <c r="I11" i="2" s="1"/>
  <c r="K11" i="2" s="1"/>
  <c r="C11" i="2"/>
  <c r="L10" i="2"/>
  <c r="E10" i="2"/>
  <c r="G10" i="2" s="1"/>
  <c r="I10" i="2" s="1"/>
  <c r="K10" i="2" s="1"/>
  <c r="C10" i="2"/>
  <c r="L9" i="2"/>
  <c r="E9" i="2"/>
  <c r="G9" i="2" s="1"/>
  <c r="I9" i="2" s="1"/>
  <c r="K9" i="2" s="1"/>
  <c r="C9" i="2"/>
  <c r="L8" i="2"/>
  <c r="E8" i="2"/>
  <c r="G8" i="2" s="1"/>
  <c r="I8" i="2" s="1"/>
  <c r="K8" i="2" s="1"/>
  <c r="C8" i="2"/>
  <c r="L7" i="2"/>
  <c r="E7" i="2"/>
  <c r="G7" i="2" s="1"/>
  <c r="I7" i="2" s="1"/>
  <c r="K7" i="2" s="1"/>
  <c r="C7" i="2"/>
  <c r="L6" i="2"/>
  <c r="E6" i="2"/>
  <c r="G6" i="2" s="1"/>
  <c r="I6" i="2" s="1"/>
  <c r="K6" i="2" s="1"/>
  <c r="C6" i="2"/>
  <c r="L5" i="2"/>
  <c r="E5" i="2"/>
  <c r="G5" i="2" s="1"/>
  <c r="I5" i="2" s="1"/>
  <c r="K5" i="2" s="1"/>
  <c r="C5" i="2"/>
  <c r="L4" i="1"/>
  <c r="L5" i="1"/>
  <c r="L6" i="1"/>
  <c r="L7" i="1"/>
  <c r="L8" i="1"/>
  <c r="L9" i="1"/>
  <c r="L10" i="1"/>
  <c r="L11" i="1"/>
  <c r="L12" i="1"/>
  <c r="L13" i="1"/>
  <c r="L14" i="1"/>
  <c r="L3" i="1"/>
  <c r="E3" i="1"/>
  <c r="G3" i="1" s="1"/>
  <c r="I3" i="1" s="1"/>
  <c r="K3" i="1" s="1"/>
  <c r="E4" i="1"/>
  <c r="G4" i="1" s="1"/>
  <c r="I4" i="1" s="1"/>
  <c r="K4" i="1" s="1"/>
  <c r="E5" i="1"/>
  <c r="G5" i="1" s="1"/>
  <c r="I5" i="1" s="1"/>
  <c r="K5" i="1" s="1"/>
  <c r="E6" i="1"/>
  <c r="G6" i="1" s="1"/>
  <c r="I6" i="1" s="1"/>
  <c r="K6" i="1" s="1"/>
  <c r="E7" i="1"/>
  <c r="G7" i="1" s="1"/>
  <c r="I7" i="1" s="1"/>
  <c r="K7" i="1" s="1"/>
  <c r="E8" i="1"/>
  <c r="G8" i="1" s="1"/>
  <c r="I8" i="1" s="1"/>
  <c r="K8" i="1" s="1"/>
  <c r="E9" i="1"/>
  <c r="G9" i="1" s="1"/>
  <c r="I9" i="1" s="1"/>
  <c r="K9" i="1" s="1"/>
  <c r="E10" i="1"/>
  <c r="G10" i="1" s="1"/>
  <c r="I10" i="1" s="1"/>
  <c r="K10" i="1" s="1"/>
  <c r="E11" i="1"/>
  <c r="G11" i="1" s="1"/>
  <c r="I11" i="1" s="1"/>
  <c r="K11" i="1" s="1"/>
  <c r="E12" i="1"/>
  <c r="G12" i="1" s="1"/>
  <c r="I12" i="1" s="1"/>
  <c r="K12" i="1" s="1"/>
  <c r="E13" i="1"/>
  <c r="G13" i="1" s="1"/>
  <c r="I13" i="1" s="1"/>
  <c r="K13" i="1" s="1"/>
  <c r="E14" i="1"/>
  <c r="G14" i="1" s="1"/>
  <c r="I14" i="1" s="1"/>
  <c r="K14" i="1" s="1"/>
  <c r="C4" i="1"/>
  <c r="C5" i="1"/>
  <c r="C6" i="1"/>
  <c r="C7" i="1"/>
  <c r="C8" i="1"/>
  <c r="C9" i="1"/>
  <c r="C10" i="1"/>
  <c r="C11" i="1"/>
  <c r="C12" i="1"/>
  <c r="C13" i="1"/>
  <c r="C14" i="1"/>
  <c r="C3" i="1"/>
</calcChain>
</file>

<file path=xl/sharedStrings.xml><?xml version="1.0" encoding="utf-8"?>
<sst xmlns="http://schemas.openxmlformats.org/spreadsheetml/2006/main" count="189" uniqueCount="80">
  <si>
    <t>性别</t>
    <phoneticPr fontId="1" type="noConversion"/>
  </si>
  <si>
    <t>部门</t>
    <phoneticPr fontId="1" type="noConversion"/>
  </si>
  <si>
    <t>财务</t>
    <phoneticPr fontId="1" type="noConversion"/>
  </si>
  <si>
    <t>技术</t>
    <phoneticPr fontId="1" type="noConversion"/>
  </si>
  <si>
    <t>客服</t>
    <phoneticPr fontId="1" type="noConversion"/>
  </si>
  <si>
    <t>职位</t>
    <phoneticPr fontId="1" type="noConversion"/>
  </si>
  <si>
    <t>基本工资</t>
    <phoneticPr fontId="1" type="noConversion"/>
  </si>
  <si>
    <t>职务补填</t>
    <phoneticPr fontId="1" type="noConversion"/>
  </si>
  <si>
    <t>生活补贴</t>
    <phoneticPr fontId="1" type="noConversion"/>
  </si>
  <si>
    <t>应发工资</t>
    <phoneticPr fontId="1" type="noConversion"/>
  </si>
  <si>
    <t>姓名</t>
    <phoneticPr fontId="1" type="noConversion"/>
  </si>
  <si>
    <t>编号</t>
    <phoneticPr fontId="1" type="noConversion"/>
  </si>
  <si>
    <t>顾云水</t>
  </si>
  <si>
    <t>尹瑾瑶</t>
  </si>
  <si>
    <t>曹雪芬</t>
  </si>
  <si>
    <t>宋文漪</t>
  </si>
  <si>
    <t>杜志文</t>
  </si>
  <si>
    <t>袁新立</t>
  </si>
  <si>
    <t>钟成业</t>
  </si>
  <si>
    <t>赵晓巧</t>
  </si>
  <si>
    <t>袁芮雅</t>
  </si>
  <si>
    <t>曾逸仙</t>
  </si>
  <si>
    <t>杨俊郎</t>
  </si>
  <si>
    <t>顾雨星</t>
  </si>
  <si>
    <t>C451</t>
    <phoneticPr fontId="1" type="noConversion"/>
  </si>
  <si>
    <t>J453</t>
    <phoneticPr fontId="1" type="noConversion"/>
  </si>
  <si>
    <t>K485</t>
    <phoneticPr fontId="1" type="noConversion"/>
  </si>
  <si>
    <t>C453</t>
    <phoneticPr fontId="1" type="noConversion"/>
  </si>
  <si>
    <t>K482</t>
    <phoneticPr fontId="1" type="noConversion"/>
  </si>
  <si>
    <t>K486</t>
    <phoneticPr fontId="1" type="noConversion"/>
  </si>
  <si>
    <t>K484</t>
    <phoneticPr fontId="1" type="noConversion"/>
  </si>
  <si>
    <t>J457</t>
    <phoneticPr fontId="1" type="noConversion"/>
  </si>
  <si>
    <t>K496</t>
    <phoneticPr fontId="1" type="noConversion"/>
  </si>
  <si>
    <t>K488</t>
    <phoneticPr fontId="1" type="noConversion"/>
  </si>
  <si>
    <t>C459</t>
    <phoneticPr fontId="1" type="noConversion"/>
  </si>
  <si>
    <t>实发工资</t>
    <phoneticPr fontId="1" type="noConversion"/>
  </si>
  <si>
    <t>备注</t>
    <phoneticPr fontId="1" type="noConversion"/>
  </si>
  <si>
    <t>奖金</t>
    <phoneticPr fontId="1" type="noConversion"/>
  </si>
  <si>
    <t>2021年员工工资统计表</t>
    <phoneticPr fontId="1" type="noConversion"/>
  </si>
  <si>
    <t>姓名</t>
  </si>
  <si>
    <t>编号</t>
  </si>
  <si>
    <t>性别</t>
  </si>
  <si>
    <t>部门</t>
  </si>
  <si>
    <t>职位</t>
  </si>
  <si>
    <t>基本工资</t>
  </si>
  <si>
    <t>职务补填</t>
  </si>
  <si>
    <t>生活补贴</t>
  </si>
  <si>
    <t>应发工资</t>
  </si>
  <si>
    <t>奖金</t>
  </si>
  <si>
    <t>实发工资</t>
  </si>
  <si>
    <t>备注</t>
  </si>
  <si>
    <t>C451</t>
  </si>
  <si>
    <t>女</t>
  </si>
  <si>
    <t>财务</t>
  </si>
  <si>
    <t>职员</t>
  </si>
  <si>
    <t>优秀</t>
  </si>
  <si>
    <t>J453</t>
  </si>
  <si>
    <t>技术</t>
  </si>
  <si>
    <t>努力</t>
  </si>
  <si>
    <t>K485</t>
  </si>
  <si>
    <t>客服</t>
  </si>
  <si>
    <t>工程师</t>
  </si>
  <si>
    <t>C453</t>
  </si>
  <si>
    <t>K482</t>
  </si>
  <si>
    <t>男</t>
  </si>
  <si>
    <t>部门经理</t>
  </si>
  <si>
    <t>K486</t>
  </si>
  <si>
    <t>K484</t>
  </si>
  <si>
    <t>J457</t>
  </si>
  <si>
    <t>K496</t>
  </si>
  <si>
    <t>K488</t>
  </si>
  <si>
    <t>C459</t>
  </si>
  <si>
    <t>奖金</t>
    <phoneticPr fontId="1" type="noConversion"/>
  </si>
  <si>
    <t>&gt;=350</t>
    <phoneticPr fontId="1" type="noConversion"/>
  </si>
  <si>
    <t>部门</t>
    <phoneticPr fontId="1" type="noConversion"/>
  </si>
  <si>
    <t>技术</t>
    <phoneticPr fontId="1" type="noConversion"/>
  </si>
  <si>
    <t>财务 汇总</t>
  </si>
  <si>
    <t>技术 汇总</t>
  </si>
  <si>
    <t>客服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</si>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</sst>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rgb="FFFF0000"/>
      <name val="微软雅黑"/>
      <family val="2"/>
      <charset val="134"/>
    </font>
    <font>
      <sz val="14"/>
      <color theme="1"/>
      <name val="华文楷体"/>
      <family val="3"/>
      <charset val="134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800" b="1" i="0" u="none" strike="noStrike" baseline="0">
                <a:effectLst/>
              </a:rPr>
              <a:t>员工工资对比图</a:t>
            </a:r>
            <a:endParaRPr lang="zh-CN" alt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员工工资统计表!$I$2</c:f>
              <c:strCache>
                <c:ptCount val="1"/>
                <c:pt idx="0">
                  <c:v>应发工资</c:v>
                </c:pt>
              </c:strCache>
            </c:strRef>
          </c:tx>
          <c:invertIfNegative val="0"/>
          <c:cat>
            <c:strRef>
              <c:f>员工工资统计表!$A$3:$A$14</c:f>
              <c:strCache>
                <c:ptCount val="12"/>
                <c:pt idx="0">
                  <c:v>顾云水</c:v>
                </c:pt>
                <c:pt idx="1">
                  <c:v>尹瑾瑶</c:v>
                </c:pt>
                <c:pt idx="2">
                  <c:v>曹雪芬</c:v>
                </c:pt>
                <c:pt idx="3">
                  <c:v>宋文漪</c:v>
                </c:pt>
                <c:pt idx="4">
                  <c:v>杜志文</c:v>
                </c:pt>
                <c:pt idx="5">
                  <c:v>袁新立</c:v>
                </c:pt>
                <c:pt idx="6">
                  <c:v>钟成业</c:v>
                </c:pt>
                <c:pt idx="7">
                  <c:v>赵晓巧</c:v>
                </c:pt>
                <c:pt idx="8">
                  <c:v>袁芮雅</c:v>
                </c:pt>
                <c:pt idx="9">
                  <c:v>曾逸仙</c:v>
                </c:pt>
                <c:pt idx="10">
                  <c:v>杨俊郎</c:v>
                </c:pt>
                <c:pt idx="11">
                  <c:v>顾雨星</c:v>
                </c:pt>
              </c:strCache>
            </c:strRef>
          </c:cat>
          <c:val>
            <c:numRef>
              <c:f>员工工资统计表!$I$3:$I$14</c:f>
              <c:numCache>
                <c:formatCode>General</c:formatCode>
                <c:ptCount val="12"/>
                <c:pt idx="0">
                  <c:v>5700</c:v>
                </c:pt>
                <c:pt idx="1">
                  <c:v>5700</c:v>
                </c:pt>
                <c:pt idx="2">
                  <c:v>7200</c:v>
                </c:pt>
                <c:pt idx="3">
                  <c:v>7200</c:v>
                </c:pt>
                <c:pt idx="4">
                  <c:v>8700</c:v>
                </c:pt>
                <c:pt idx="5">
                  <c:v>5700</c:v>
                </c:pt>
                <c:pt idx="6">
                  <c:v>8700</c:v>
                </c:pt>
                <c:pt idx="7">
                  <c:v>8700</c:v>
                </c:pt>
                <c:pt idx="8">
                  <c:v>5700</c:v>
                </c:pt>
                <c:pt idx="9">
                  <c:v>5700</c:v>
                </c:pt>
                <c:pt idx="10">
                  <c:v>5700</c:v>
                </c:pt>
                <c:pt idx="11">
                  <c:v>7200</c:v>
                </c:pt>
              </c:numCache>
            </c:numRef>
          </c:val>
        </c:ser>
        <c:ser>
          <c:idx val="1"/>
          <c:order val="1"/>
          <c:tx>
            <c:strRef>
              <c:f>员工工资统计表!$K$2</c:f>
              <c:strCache>
                <c:ptCount val="1"/>
                <c:pt idx="0">
                  <c:v>实发工资</c:v>
                </c:pt>
              </c:strCache>
            </c:strRef>
          </c:tx>
          <c:invertIfNegative val="0"/>
          <c:cat>
            <c:strRef>
              <c:f>员工工资统计表!$A$3:$A$14</c:f>
              <c:strCache>
                <c:ptCount val="12"/>
                <c:pt idx="0">
                  <c:v>顾云水</c:v>
                </c:pt>
                <c:pt idx="1">
                  <c:v>尹瑾瑶</c:v>
                </c:pt>
                <c:pt idx="2">
                  <c:v>曹雪芬</c:v>
                </c:pt>
                <c:pt idx="3">
                  <c:v>宋文漪</c:v>
                </c:pt>
                <c:pt idx="4">
                  <c:v>杜志文</c:v>
                </c:pt>
                <c:pt idx="5">
                  <c:v>袁新立</c:v>
                </c:pt>
                <c:pt idx="6">
                  <c:v>钟成业</c:v>
                </c:pt>
                <c:pt idx="7">
                  <c:v>赵晓巧</c:v>
                </c:pt>
                <c:pt idx="8">
                  <c:v>袁芮雅</c:v>
                </c:pt>
                <c:pt idx="9">
                  <c:v>曾逸仙</c:v>
                </c:pt>
                <c:pt idx="10">
                  <c:v>杨俊郎</c:v>
                </c:pt>
                <c:pt idx="11">
                  <c:v>顾雨星</c:v>
                </c:pt>
              </c:strCache>
            </c:strRef>
          </c:cat>
          <c:val>
            <c:numRef>
              <c:f>员工工资统计表!$K$3:$K$14</c:f>
              <c:numCache>
                <c:formatCode>General</c:formatCode>
                <c:ptCount val="12"/>
                <c:pt idx="0">
                  <c:v>6054</c:v>
                </c:pt>
                <c:pt idx="1">
                  <c:v>6021</c:v>
                </c:pt>
                <c:pt idx="2">
                  <c:v>7453</c:v>
                </c:pt>
                <c:pt idx="3">
                  <c:v>7551</c:v>
                </c:pt>
                <c:pt idx="4">
                  <c:v>9052</c:v>
                </c:pt>
                <c:pt idx="5">
                  <c:v>6025</c:v>
                </c:pt>
                <c:pt idx="6">
                  <c:v>9125</c:v>
                </c:pt>
                <c:pt idx="7">
                  <c:v>9162</c:v>
                </c:pt>
                <c:pt idx="8">
                  <c:v>5969</c:v>
                </c:pt>
                <c:pt idx="9">
                  <c:v>6050</c:v>
                </c:pt>
                <c:pt idx="10">
                  <c:v>5951</c:v>
                </c:pt>
                <c:pt idx="11">
                  <c:v>7651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5140224"/>
        <c:axId val="235141760"/>
        <c:axId val="0"/>
      </c:bar3DChart>
      <c:catAx>
        <c:axId val="235140224"/>
        <c:scaling>
          <c:orientation val="minMax"/>
        </c:scaling>
        <c:delete val="0"/>
        <c:axPos val="b"/>
        <c:majorTickMark val="out"/>
        <c:minorTickMark val="none"/>
        <c:tickLblPos val="nextTo"/>
        <c:crossAx val="235141760"/>
        <c:crosses val="autoZero"/>
        <c:auto val="1"/>
        <c:lblAlgn val="ctr"/>
        <c:lblOffset val="100"/>
        <c:noMultiLvlLbl val="0"/>
      </c:catAx>
      <c:valAx>
        <c:axId val="23514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140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623887</xdr:colOff>
      <xdr:row>14</xdr:row>
      <xdr:rowOff>76200</xdr:rowOff>
    </xdr:from>
    <xdr:to>
      <xdr:col>11</xdr:col>
      <xdr:colOff>395287</xdr:colOff>
      <xdr:row>30</xdr:row>
      <xdr:rowOff>76200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L14" totalsRowShown="0" headerRowDxfId="27" dataDxfId="26">
  <autoFilter ref="A2:L14"/>
  <tableColumns count="12">
    <tableColumn id="1" name="姓名" dataDxfId="25"/>
    <tableColumn id="2" name="编号" dataDxfId="24"/>
    <tableColumn id="3" name="性别" dataDxfId="23">
      <calculatedColumnFormula>IF(MOD(MID(B3,4,1)/2,1),"女","男")</calculatedColumnFormula>
    </tableColumn>
    <tableColumn id="4" name="部门" dataDxfId="22"/>
    <tableColumn id="5" name="职位" dataDxfId="21">
      <calculatedColumnFormula>IF(F3=3200,"职员",IF(F3=4200,"工程师","部门经理"))</calculatedColumnFormula>
    </tableColumn>
    <tableColumn id="6" name="基本工资" dataDxfId="20"/>
    <tableColumn id="7" name="职务补填" dataDxfId="19">
      <calculatedColumnFormula>IF(E3="职员",1000,IF(E3="工程师",1500,2000))</calculatedColumnFormula>
    </tableColumn>
    <tableColumn id="8" name="生活补贴" dataDxfId="18"/>
    <tableColumn id="9" name="应发工资" dataDxfId="17">
      <calculatedColumnFormula>SUM(F3:H3)</calculatedColumnFormula>
    </tableColumn>
    <tableColumn id="10" name="奖金" dataDxfId="16"/>
    <tableColumn id="11" name="实发工资" dataDxfId="15">
      <calculatedColumnFormula>SUM(I3:J3)</calculatedColumnFormula>
    </tableColumn>
    <tableColumn id="12" name="备注" dataDxfId="14">
      <calculatedColumnFormula>IF(J3&gt;=350,"优秀","努力")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6" name="表1_7" displayName="表1_7" ref="A4:L16" totalsRowShown="0" headerRowDxfId="13" dataDxfId="12">
  <tableColumns count="12">
    <tableColumn id="1" name="姓名" dataDxfId="11"/>
    <tableColumn id="2" name="编号" dataDxfId="10"/>
    <tableColumn id="3" name="性别" dataDxfId="9">
      <calculatedColumnFormula>IF(MOD(MID(B5,4,1)/2,1),"女","男")</calculatedColumnFormula>
    </tableColumn>
    <tableColumn id="4" name="部门" dataDxfId="8"/>
    <tableColumn id="5" name="职位" dataDxfId="7">
      <calculatedColumnFormula>IF(F5=3200,"职员",IF(F5=4200,"工程师","部门经理"))</calculatedColumnFormula>
    </tableColumn>
    <tableColumn id="6" name="基本工资" dataDxfId="6"/>
    <tableColumn id="7" name="职务补填" dataDxfId="5">
      <calculatedColumnFormula>IF(E5="职员",1000,IF(E5="工程师",1500,2000))</calculatedColumnFormula>
    </tableColumn>
    <tableColumn id="8" name="生活补贴" dataDxfId="4"/>
    <tableColumn id="9" name="应发工资" dataDxfId="3">
      <calculatedColumnFormula>SUM(F5:H5)</calculatedColumnFormula>
    </tableColumn>
    <tableColumn id="10" name="奖金" dataDxfId="2"/>
    <tableColumn id="11" name="实发工资" dataDxfId="1">
      <calculatedColumnFormula>SUM(I5:J5)</calculatedColumnFormula>
    </tableColumn>
    <tableColumn id="12" name="备注" dataDxfId="0">
      <calculatedColumnFormula>IF(J5&gt;=350,"优秀","努力")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="85" zoomScaleNormal="85" workbookViewId="0">
      <selection activeCell="A21" sqref="A21"/>
    </sheetView>
  </sheetViews>
  <sheetFormatPr defaultRowHeight="13.5" x14ac:dyDescent="0.15"/>
  <cols>
    <col min="1" max="4" width="10.75" bestFit="1" customWidth="1"/>
    <col min="5" max="5" width="11.375" bestFit="1" customWidth="1"/>
    <col min="6" max="9" width="15.875" bestFit="1" customWidth="1"/>
    <col min="10" max="10" width="10.75" bestFit="1" customWidth="1"/>
    <col min="11" max="11" width="15.875" bestFit="1" customWidth="1"/>
    <col min="12" max="12" width="10.75" bestFit="1" customWidth="1"/>
  </cols>
  <sheetData>
    <row r="1" spans="1:12" s="1" customFormat="1" ht="24.95" customHeight="1" x14ac:dyDescent="0.15">
      <c r="A1" s="5" t="s">
        <v>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0.25" x14ac:dyDescent="0.15">
      <c r="A2" s="2" t="s">
        <v>10</v>
      </c>
      <c r="B2" s="2" t="s">
        <v>11</v>
      </c>
      <c r="C2" s="2" t="s">
        <v>0</v>
      </c>
      <c r="D2" s="2" t="s">
        <v>1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37</v>
      </c>
      <c r="K2" s="2" t="s">
        <v>35</v>
      </c>
      <c r="L2" s="2" t="s">
        <v>36</v>
      </c>
    </row>
    <row r="3" spans="1:12" ht="20.25" x14ac:dyDescent="0.15">
      <c r="A3" s="2" t="s">
        <v>12</v>
      </c>
      <c r="B3" s="2" t="s">
        <v>24</v>
      </c>
      <c r="C3" s="2" t="str">
        <f>IF(MOD(MID(B3,4,1)/2,1),"女","男")</f>
        <v>女</v>
      </c>
      <c r="D3" s="2" t="s">
        <v>2</v>
      </c>
      <c r="E3" s="2" t="str">
        <f>IF(F3=3200,"职员",IF(F3=4200,"工程师","部门经理"))</f>
        <v>职员</v>
      </c>
      <c r="F3" s="2">
        <v>3200</v>
      </c>
      <c r="G3" s="2">
        <f>IF(E3="职员",1000,IF(E3="工程师",1500,2000))</f>
        <v>1000</v>
      </c>
      <c r="H3" s="2">
        <v>1500</v>
      </c>
      <c r="I3" s="2">
        <f>SUM(F3:H3)</f>
        <v>5700</v>
      </c>
      <c r="J3" s="2">
        <v>354</v>
      </c>
      <c r="K3" s="2">
        <f>SUM(I3:J3)</f>
        <v>6054</v>
      </c>
      <c r="L3" s="2" t="str">
        <f>IF(J3&gt;=350,"优秀","努力")</f>
        <v>优秀</v>
      </c>
    </row>
    <row r="4" spans="1:12" ht="20.25" x14ac:dyDescent="0.15">
      <c r="A4" s="2" t="s">
        <v>13</v>
      </c>
      <c r="B4" s="2" t="s">
        <v>25</v>
      </c>
      <c r="C4" s="2" t="str">
        <f t="shared" ref="C4:C14" si="0">IF(MOD(MID(B4,4,1)/2,1),"女","男")</f>
        <v>女</v>
      </c>
      <c r="D4" s="2" t="s">
        <v>3</v>
      </c>
      <c r="E4" s="2" t="str">
        <f t="shared" ref="E4:E14" si="1">IF(F4=3200,"职员",IF(F4=4200,"工程师","部门经理"))</f>
        <v>职员</v>
      </c>
      <c r="F4" s="2">
        <v>3200</v>
      </c>
      <c r="G4" s="2">
        <f t="shared" ref="G4:G14" si="2">IF(E4="职员",1000,IF(E4="工程师",1500,2000))</f>
        <v>1000</v>
      </c>
      <c r="H4" s="2">
        <v>1500</v>
      </c>
      <c r="I4" s="2">
        <f t="shared" ref="I4:I14" si="3">SUM(F4:H4)</f>
        <v>5700</v>
      </c>
      <c r="J4" s="2">
        <v>321</v>
      </c>
      <c r="K4" s="2">
        <f t="shared" ref="K4:K14" si="4">SUM(I4:J4)</f>
        <v>6021</v>
      </c>
      <c r="L4" s="2" t="str">
        <f t="shared" ref="L4:L14" si="5">IF(J4&gt;=350,"优秀","努力")</f>
        <v>努力</v>
      </c>
    </row>
    <row r="5" spans="1:12" ht="20.25" x14ac:dyDescent="0.15">
      <c r="A5" s="2" t="s">
        <v>14</v>
      </c>
      <c r="B5" s="2" t="s">
        <v>26</v>
      </c>
      <c r="C5" s="2" t="str">
        <f t="shared" si="0"/>
        <v>女</v>
      </c>
      <c r="D5" s="2" t="s">
        <v>4</v>
      </c>
      <c r="E5" s="2" t="str">
        <f t="shared" si="1"/>
        <v>工程师</v>
      </c>
      <c r="F5" s="2">
        <v>4200</v>
      </c>
      <c r="G5" s="2">
        <f t="shared" si="2"/>
        <v>1500</v>
      </c>
      <c r="H5" s="2">
        <v>1500</v>
      </c>
      <c r="I5" s="2">
        <f t="shared" si="3"/>
        <v>7200</v>
      </c>
      <c r="J5" s="2">
        <v>253</v>
      </c>
      <c r="K5" s="2">
        <f t="shared" si="4"/>
        <v>7453</v>
      </c>
      <c r="L5" s="2" t="str">
        <f t="shared" si="5"/>
        <v>努力</v>
      </c>
    </row>
    <row r="6" spans="1:12" ht="20.25" x14ac:dyDescent="0.15">
      <c r="A6" s="2" t="s">
        <v>15</v>
      </c>
      <c r="B6" s="2" t="s">
        <v>27</v>
      </c>
      <c r="C6" s="2" t="str">
        <f t="shared" si="0"/>
        <v>女</v>
      </c>
      <c r="D6" s="2" t="s">
        <v>2</v>
      </c>
      <c r="E6" s="2" t="str">
        <f t="shared" si="1"/>
        <v>工程师</v>
      </c>
      <c r="F6" s="2">
        <v>4200</v>
      </c>
      <c r="G6" s="2">
        <f t="shared" si="2"/>
        <v>1500</v>
      </c>
      <c r="H6" s="2">
        <v>1500</v>
      </c>
      <c r="I6" s="2">
        <f t="shared" si="3"/>
        <v>7200</v>
      </c>
      <c r="J6" s="2">
        <v>351</v>
      </c>
      <c r="K6" s="2">
        <f t="shared" si="4"/>
        <v>7551</v>
      </c>
      <c r="L6" s="2" t="str">
        <f t="shared" si="5"/>
        <v>优秀</v>
      </c>
    </row>
    <row r="7" spans="1:12" ht="20.25" x14ac:dyDescent="0.15">
      <c r="A7" s="2" t="s">
        <v>16</v>
      </c>
      <c r="B7" s="2" t="s">
        <v>28</v>
      </c>
      <c r="C7" s="2" t="str">
        <f t="shared" si="0"/>
        <v>男</v>
      </c>
      <c r="D7" s="2" t="s">
        <v>3</v>
      </c>
      <c r="E7" s="2" t="str">
        <f t="shared" si="1"/>
        <v>部门经理</v>
      </c>
      <c r="F7" s="2">
        <v>5200</v>
      </c>
      <c r="G7" s="2">
        <f t="shared" si="2"/>
        <v>2000</v>
      </c>
      <c r="H7" s="2">
        <v>1500</v>
      </c>
      <c r="I7" s="2">
        <f t="shared" si="3"/>
        <v>8700</v>
      </c>
      <c r="J7" s="2">
        <v>352</v>
      </c>
      <c r="K7" s="2">
        <f t="shared" si="4"/>
        <v>9052</v>
      </c>
      <c r="L7" s="2" t="str">
        <f t="shared" si="5"/>
        <v>优秀</v>
      </c>
    </row>
    <row r="8" spans="1:12" ht="20.25" x14ac:dyDescent="0.15">
      <c r="A8" s="2" t="s">
        <v>17</v>
      </c>
      <c r="B8" s="2" t="s">
        <v>29</v>
      </c>
      <c r="C8" s="2" t="str">
        <f t="shared" si="0"/>
        <v>男</v>
      </c>
      <c r="D8" s="2" t="s">
        <v>4</v>
      </c>
      <c r="E8" s="2" t="str">
        <f t="shared" si="1"/>
        <v>职员</v>
      </c>
      <c r="F8" s="2">
        <v>3200</v>
      </c>
      <c r="G8" s="2">
        <f t="shared" si="2"/>
        <v>1000</v>
      </c>
      <c r="H8" s="2">
        <v>1500</v>
      </c>
      <c r="I8" s="2">
        <f t="shared" si="3"/>
        <v>5700</v>
      </c>
      <c r="J8" s="2">
        <v>325</v>
      </c>
      <c r="K8" s="2">
        <f t="shared" si="4"/>
        <v>6025</v>
      </c>
      <c r="L8" s="2" t="str">
        <f t="shared" si="5"/>
        <v>努力</v>
      </c>
    </row>
    <row r="9" spans="1:12" ht="20.25" x14ac:dyDescent="0.15">
      <c r="A9" s="2" t="s">
        <v>18</v>
      </c>
      <c r="B9" s="2" t="s">
        <v>30</v>
      </c>
      <c r="C9" s="2" t="str">
        <f t="shared" si="0"/>
        <v>男</v>
      </c>
      <c r="D9" s="2" t="s">
        <v>4</v>
      </c>
      <c r="E9" s="2" t="str">
        <f t="shared" si="1"/>
        <v>部门经理</v>
      </c>
      <c r="F9" s="2">
        <v>5200</v>
      </c>
      <c r="G9" s="2">
        <f t="shared" si="2"/>
        <v>2000</v>
      </c>
      <c r="H9" s="2">
        <v>1500</v>
      </c>
      <c r="I9" s="2">
        <f t="shared" si="3"/>
        <v>8700</v>
      </c>
      <c r="J9" s="2">
        <v>425</v>
      </c>
      <c r="K9" s="2">
        <f t="shared" si="4"/>
        <v>9125</v>
      </c>
      <c r="L9" s="2" t="str">
        <f t="shared" si="5"/>
        <v>优秀</v>
      </c>
    </row>
    <row r="10" spans="1:12" ht="20.25" x14ac:dyDescent="0.15">
      <c r="A10" s="2" t="s">
        <v>19</v>
      </c>
      <c r="B10" s="2" t="s">
        <v>31</v>
      </c>
      <c r="C10" s="2" t="str">
        <f t="shared" si="0"/>
        <v>女</v>
      </c>
      <c r="D10" s="2" t="s">
        <v>3</v>
      </c>
      <c r="E10" s="2" t="str">
        <f t="shared" si="1"/>
        <v>部门经理</v>
      </c>
      <c r="F10" s="2">
        <v>5200</v>
      </c>
      <c r="G10" s="2">
        <f t="shared" si="2"/>
        <v>2000</v>
      </c>
      <c r="H10" s="2">
        <v>1500</v>
      </c>
      <c r="I10" s="2">
        <f t="shared" si="3"/>
        <v>8700</v>
      </c>
      <c r="J10" s="2">
        <v>462</v>
      </c>
      <c r="K10" s="2">
        <f t="shared" si="4"/>
        <v>9162</v>
      </c>
      <c r="L10" s="2" t="str">
        <f t="shared" si="5"/>
        <v>优秀</v>
      </c>
    </row>
    <row r="11" spans="1:12" ht="20.25" x14ac:dyDescent="0.15">
      <c r="A11" s="2" t="s">
        <v>20</v>
      </c>
      <c r="B11" s="2" t="s">
        <v>32</v>
      </c>
      <c r="C11" s="2" t="str">
        <f t="shared" si="0"/>
        <v>男</v>
      </c>
      <c r="D11" s="2" t="s">
        <v>4</v>
      </c>
      <c r="E11" s="2" t="str">
        <f t="shared" si="1"/>
        <v>职员</v>
      </c>
      <c r="F11" s="2">
        <v>3200</v>
      </c>
      <c r="G11" s="2">
        <f t="shared" si="2"/>
        <v>1000</v>
      </c>
      <c r="H11" s="2">
        <v>1500</v>
      </c>
      <c r="I11" s="2">
        <f t="shared" si="3"/>
        <v>5700</v>
      </c>
      <c r="J11" s="2">
        <v>269</v>
      </c>
      <c r="K11" s="2">
        <f t="shared" si="4"/>
        <v>5969</v>
      </c>
      <c r="L11" s="2" t="str">
        <f t="shared" si="5"/>
        <v>努力</v>
      </c>
    </row>
    <row r="12" spans="1:12" ht="20.25" x14ac:dyDescent="0.15">
      <c r="A12" s="2" t="s">
        <v>21</v>
      </c>
      <c r="B12" s="2" t="s">
        <v>33</v>
      </c>
      <c r="C12" s="2" t="str">
        <f t="shared" si="0"/>
        <v>男</v>
      </c>
      <c r="D12" s="2" t="s">
        <v>4</v>
      </c>
      <c r="E12" s="2" t="str">
        <f t="shared" si="1"/>
        <v>职员</v>
      </c>
      <c r="F12" s="2">
        <v>3200</v>
      </c>
      <c r="G12" s="2">
        <f t="shared" si="2"/>
        <v>1000</v>
      </c>
      <c r="H12" s="2">
        <v>1500</v>
      </c>
      <c r="I12" s="2">
        <f t="shared" si="3"/>
        <v>5700</v>
      </c>
      <c r="J12" s="2">
        <v>350</v>
      </c>
      <c r="K12" s="2">
        <f t="shared" si="4"/>
        <v>6050</v>
      </c>
      <c r="L12" s="2" t="str">
        <f t="shared" si="5"/>
        <v>优秀</v>
      </c>
    </row>
    <row r="13" spans="1:12" ht="20.25" x14ac:dyDescent="0.15">
      <c r="A13" s="2" t="s">
        <v>22</v>
      </c>
      <c r="B13" s="2" t="s">
        <v>34</v>
      </c>
      <c r="C13" s="2" t="str">
        <f t="shared" si="0"/>
        <v>女</v>
      </c>
      <c r="D13" s="2" t="s">
        <v>2</v>
      </c>
      <c r="E13" s="2" t="str">
        <f t="shared" si="1"/>
        <v>职员</v>
      </c>
      <c r="F13" s="2">
        <v>3200</v>
      </c>
      <c r="G13" s="2">
        <f t="shared" si="2"/>
        <v>1000</v>
      </c>
      <c r="H13" s="2">
        <v>1500</v>
      </c>
      <c r="I13" s="2">
        <f t="shared" si="3"/>
        <v>5700</v>
      </c>
      <c r="J13" s="2">
        <v>251</v>
      </c>
      <c r="K13" s="2">
        <f t="shared" si="4"/>
        <v>5951</v>
      </c>
      <c r="L13" s="2" t="str">
        <f t="shared" si="5"/>
        <v>努力</v>
      </c>
    </row>
    <row r="14" spans="1:12" ht="20.25" x14ac:dyDescent="0.15">
      <c r="A14" s="2" t="s">
        <v>23</v>
      </c>
      <c r="B14" s="2" t="s">
        <v>31</v>
      </c>
      <c r="C14" s="2" t="str">
        <f t="shared" si="0"/>
        <v>女</v>
      </c>
      <c r="D14" s="2" t="s">
        <v>3</v>
      </c>
      <c r="E14" s="2" t="str">
        <f t="shared" si="1"/>
        <v>工程师</v>
      </c>
      <c r="F14" s="2">
        <v>4200</v>
      </c>
      <c r="G14" s="2">
        <f t="shared" si="2"/>
        <v>1500</v>
      </c>
      <c r="H14" s="2">
        <v>1500</v>
      </c>
      <c r="I14" s="2">
        <f t="shared" si="3"/>
        <v>7200</v>
      </c>
      <c r="J14" s="2">
        <v>451</v>
      </c>
      <c r="K14" s="2">
        <f t="shared" si="4"/>
        <v>7651</v>
      </c>
      <c r="L14" s="2" t="str">
        <f t="shared" si="5"/>
        <v>优秀</v>
      </c>
    </row>
  </sheetData>
  <mergeCells count="1">
    <mergeCell ref="A1:L1"/>
  </mergeCells>
  <phoneticPr fontId="1" type="noConversion"/>
  <conditionalFormatting sqref="K3:K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{B824DE05-8726-46CB-AC1F-CC64C1EFB9CC}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24DE05-8726-46CB-AC1F-CC64C1EFB9C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K3:K14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6"/>
  <sheetViews>
    <sheetView workbookViewId="0">
      <selection activeCell="G25" sqref="G25"/>
    </sheetView>
  </sheetViews>
  <sheetFormatPr defaultRowHeight="13.5" x14ac:dyDescent="0.15"/>
  <cols>
    <col min="1" max="1" width="8.875" bestFit="1" customWidth="1"/>
    <col min="2" max="2" width="6.875" bestFit="1" customWidth="1"/>
    <col min="3" max="4" width="6.75" bestFit="1" customWidth="1"/>
    <col min="5" max="5" width="11.375" bestFit="1" customWidth="1"/>
    <col min="6" max="9" width="11.875" bestFit="1" customWidth="1"/>
    <col min="10" max="10" width="6.75" bestFit="1" customWidth="1"/>
    <col min="11" max="11" width="11.875" bestFit="1" customWidth="1"/>
    <col min="12" max="12" width="6.75" bestFit="1" customWidth="1"/>
  </cols>
  <sheetData>
    <row r="1" spans="1:12" x14ac:dyDescent="0.15">
      <c r="A1" t="s">
        <v>72</v>
      </c>
      <c r="B1" t="s">
        <v>74</v>
      </c>
    </row>
    <row r="2" spans="1:12" x14ac:dyDescent="0.15">
      <c r="A2" t="s">
        <v>73</v>
      </c>
      <c r="B2" t="s">
        <v>75</v>
      </c>
    </row>
    <row r="4" spans="1:12" ht="20.25" x14ac:dyDescent="0.15">
      <c r="A4" s="2" t="s">
        <v>10</v>
      </c>
      <c r="B4" s="2" t="s">
        <v>11</v>
      </c>
      <c r="C4" s="2" t="s">
        <v>0</v>
      </c>
      <c r="D4" s="2" t="s">
        <v>1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37</v>
      </c>
      <c r="K4" s="2" t="s">
        <v>35</v>
      </c>
      <c r="L4" s="2" t="s">
        <v>36</v>
      </c>
    </row>
    <row r="5" spans="1:12" ht="20.25" hidden="1" x14ac:dyDescent="0.15">
      <c r="A5" s="2" t="s">
        <v>12</v>
      </c>
      <c r="B5" s="2" t="s">
        <v>24</v>
      </c>
      <c r="C5" s="2" t="str">
        <f>IF(MOD(MID(B5,4,1)/2,1),"女","男")</f>
        <v>女</v>
      </c>
      <c r="D5" s="2" t="s">
        <v>2</v>
      </c>
      <c r="E5" s="2" t="str">
        <f>IF(F5=3200,"职员",IF(F5=4200,"工程师","部门经理"))</f>
        <v>职员</v>
      </c>
      <c r="F5" s="2">
        <v>3200</v>
      </c>
      <c r="G5" s="2">
        <f>IF(E5="职员",1000,IF(E5="工程师",1500,2000))</f>
        <v>1000</v>
      </c>
      <c r="H5" s="2">
        <v>1500</v>
      </c>
      <c r="I5" s="2">
        <f>SUM(F5:H5)</f>
        <v>5700</v>
      </c>
      <c r="J5" s="2">
        <v>354</v>
      </c>
      <c r="K5" s="2">
        <f>SUM(I5:J5)</f>
        <v>6054</v>
      </c>
      <c r="L5" s="2" t="str">
        <f>IF(J5&gt;=350,"优秀","努力")</f>
        <v>优秀</v>
      </c>
    </row>
    <row r="6" spans="1:12" ht="20.25" hidden="1" x14ac:dyDescent="0.15">
      <c r="A6" s="2" t="s">
        <v>13</v>
      </c>
      <c r="B6" s="2" t="s">
        <v>25</v>
      </c>
      <c r="C6" s="2" t="str">
        <f t="shared" ref="C6:C16" si="0">IF(MOD(MID(B6,4,1)/2,1),"女","男")</f>
        <v>女</v>
      </c>
      <c r="D6" s="2" t="s">
        <v>3</v>
      </c>
      <c r="E6" s="2" t="str">
        <f t="shared" ref="E6:E16" si="1">IF(F6=3200,"职员",IF(F6=4200,"工程师","部门经理"))</f>
        <v>职员</v>
      </c>
      <c r="F6" s="2">
        <v>3200</v>
      </c>
      <c r="G6" s="2">
        <f t="shared" ref="G6:G16" si="2">IF(E6="职员",1000,IF(E6="工程师",1500,2000))</f>
        <v>1000</v>
      </c>
      <c r="H6" s="2">
        <v>1500</v>
      </c>
      <c r="I6" s="2">
        <f t="shared" ref="I6:I16" si="3">SUM(F6:H6)</f>
        <v>5700</v>
      </c>
      <c r="J6" s="2">
        <v>321</v>
      </c>
      <c r="K6" s="2">
        <f t="shared" ref="K6:K16" si="4">SUM(I6:J6)</f>
        <v>6021</v>
      </c>
      <c r="L6" s="2" t="str">
        <f t="shared" ref="L6:L16" si="5">IF(J6&gt;=350,"优秀","努力")</f>
        <v>努力</v>
      </c>
    </row>
    <row r="7" spans="1:12" ht="20.25" hidden="1" x14ac:dyDescent="0.15">
      <c r="A7" s="2" t="s">
        <v>14</v>
      </c>
      <c r="B7" s="2" t="s">
        <v>26</v>
      </c>
      <c r="C7" s="2" t="str">
        <f t="shared" si="0"/>
        <v>女</v>
      </c>
      <c r="D7" s="2" t="s">
        <v>4</v>
      </c>
      <c r="E7" s="2" t="str">
        <f t="shared" si="1"/>
        <v>工程师</v>
      </c>
      <c r="F7" s="2">
        <v>4200</v>
      </c>
      <c r="G7" s="2">
        <f t="shared" si="2"/>
        <v>1500</v>
      </c>
      <c r="H7" s="2">
        <v>1500</v>
      </c>
      <c r="I7" s="2">
        <f t="shared" si="3"/>
        <v>7200</v>
      </c>
      <c r="J7" s="2">
        <v>253</v>
      </c>
      <c r="K7" s="2">
        <f t="shared" si="4"/>
        <v>7453</v>
      </c>
      <c r="L7" s="2" t="str">
        <f t="shared" si="5"/>
        <v>努力</v>
      </c>
    </row>
    <row r="8" spans="1:12" ht="20.25" hidden="1" x14ac:dyDescent="0.15">
      <c r="A8" s="2" t="s">
        <v>15</v>
      </c>
      <c r="B8" s="2" t="s">
        <v>27</v>
      </c>
      <c r="C8" s="2" t="str">
        <f t="shared" si="0"/>
        <v>女</v>
      </c>
      <c r="D8" s="2" t="s">
        <v>2</v>
      </c>
      <c r="E8" s="2" t="str">
        <f t="shared" si="1"/>
        <v>工程师</v>
      </c>
      <c r="F8" s="2">
        <v>4200</v>
      </c>
      <c r="G8" s="2">
        <f t="shared" si="2"/>
        <v>1500</v>
      </c>
      <c r="H8" s="2">
        <v>1500</v>
      </c>
      <c r="I8" s="2">
        <f t="shared" si="3"/>
        <v>7200</v>
      </c>
      <c r="J8" s="2">
        <v>351</v>
      </c>
      <c r="K8" s="2">
        <f t="shared" si="4"/>
        <v>7551</v>
      </c>
      <c r="L8" s="2" t="str">
        <f t="shared" si="5"/>
        <v>优秀</v>
      </c>
    </row>
    <row r="9" spans="1:12" ht="20.25" x14ac:dyDescent="0.15">
      <c r="A9" s="2" t="s">
        <v>16</v>
      </c>
      <c r="B9" s="2" t="s">
        <v>28</v>
      </c>
      <c r="C9" s="2" t="str">
        <f t="shared" si="0"/>
        <v>男</v>
      </c>
      <c r="D9" s="2" t="s">
        <v>3</v>
      </c>
      <c r="E9" s="2" t="str">
        <f t="shared" si="1"/>
        <v>部门经理</v>
      </c>
      <c r="F9" s="2">
        <v>5200</v>
      </c>
      <c r="G9" s="2">
        <f t="shared" si="2"/>
        <v>2000</v>
      </c>
      <c r="H9" s="2">
        <v>1500</v>
      </c>
      <c r="I9" s="2">
        <f t="shared" si="3"/>
        <v>8700</v>
      </c>
      <c r="J9" s="2">
        <v>352</v>
      </c>
      <c r="K9" s="2">
        <f t="shared" si="4"/>
        <v>9052</v>
      </c>
      <c r="L9" s="2" t="str">
        <f t="shared" si="5"/>
        <v>优秀</v>
      </c>
    </row>
    <row r="10" spans="1:12" ht="20.25" hidden="1" x14ac:dyDescent="0.15">
      <c r="A10" s="2" t="s">
        <v>17</v>
      </c>
      <c r="B10" s="2" t="s">
        <v>29</v>
      </c>
      <c r="C10" s="2" t="str">
        <f t="shared" si="0"/>
        <v>男</v>
      </c>
      <c r="D10" s="2" t="s">
        <v>4</v>
      </c>
      <c r="E10" s="2" t="str">
        <f t="shared" si="1"/>
        <v>职员</v>
      </c>
      <c r="F10" s="2">
        <v>3200</v>
      </c>
      <c r="G10" s="2">
        <f t="shared" si="2"/>
        <v>1000</v>
      </c>
      <c r="H10" s="2">
        <v>1500</v>
      </c>
      <c r="I10" s="2">
        <f t="shared" si="3"/>
        <v>5700</v>
      </c>
      <c r="J10" s="2">
        <v>325</v>
      </c>
      <c r="K10" s="2">
        <f t="shared" si="4"/>
        <v>6025</v>
      </c>
      <c r="L10" s="2" t="str">
        <f t="shared" si="5"/>
        <v>努力</v>
      </c>
    </row>
    <row r="11" spans="1:12" ht="20.25" hidden="1" x14ac:dyDescent="0.15">
      <c r="A11" s="2" t="s">
        <v>18</v>
      </c>
      <c r="B11" s="2" t="s">
        <v>30</v>
      </c>
      <c r="C11" s="2" t="str">
        <f t="shared" si="0"/>
        <v>男</v>
      </c>
      <c r="D11" s="2" t="s">
        <v>4</v>
      </c>
      <c r="E11" s="2" t="str">
        <f t="shared" si="1"/>
        <v>部门经理</v>
      </c>
      <c r="F11" s="2">
        <v>5200</v>
      </c>
      <c r="G11" s="2">
        <f t="shared" si="2"/>
        <v>2000</v>
      </c>
      <c r="H11" s="2">
        <v>1500</v>
      </c>
      <c r="I11" s="2">
        <f t="shared" si="3"/>
        <v>8700</v>
      </c>
      <c r="J11" s="2">
        <v>425</v>
      </c>
      <c r="K11" s="2">
        <f t="shared" si="4"/>
        <v>9125</v>
      </c>
      <c r="L11" s="2" t="str">
        <f t="shared" si="5"/>
        <v>优秀</v>
      </c>
    </row>
    <row r="12" spans="1:12" ht="20.25" x14ac:dyDescent="0.15">
      <c r="A12" s="2" t="s">
        <v>19</v>
      </c>
      <c r="B12" s="2" t="s">
        <v>31</v>
      </c>
      <c r="C12" s="2" t="str">
        <f t="shared" si="0"/>
        <v>女</v>
      </c>
      <c r="D12" s="2" t="s">
        <v>3</v>
      </c>
      <c r="E12" s="2" t="str">
        <f t="shared" si="1"/>
        <v>部门经理</v>
      </c>
      <c r="F12" s="2">
        <v>5200</v>
      </c>
      <c r="G12" s="2">
        <f t="shared" si="2"/>
        <v>2000</v>
      </c>
      <c r="H12" s="2">
        <v>1500</v>
      </c>
      <c r="I12" s="2">
        <f t="shared" si="3"/>
        <v>8700</v>
      </c>
      <c r="J12" s="2">
        <v>462</v>
      </c>
      <c r="K12" s="2">
        <f t="shared" si="4"/>
        <v>9162</v>
      </c>
      <c r="L12" s="2" t="str">
        <f t="shared" si="5"/>
        <v>优秀</v>
      </c>
    </row>
    <row r="13" spans="1:12" ht="20.25" hidden="1" x14ac:dyDescent="0.15">
      <c r="A13" s="2" t="s">
        <v>20</v>
      </c>
      <c r="B13" s="2" t="s">
        <v>32</v>
      </c>
      <c r="C13" s="2" t="str">
        <f t="shared" si="0"/>
        <v>男</v>
      </c>
      <c r="D13" s="2" t="s">
        <v>4</v>
      </c>
      <c r="E13" s="2" t="str">
        <f t="shared" si="1"/>
        <v>职员</v>
      </c>
      <c r="F13" s="2">
        <v>3200</v>
      </c>
      <c r="G13" s="2">
        <f t="shared" si="2"/>
        <v>1000</v>
      </c>
      <c r="H13" s="2">
        <v>1500</v>
      </c>
      <c r="I13" s="2">
        <f t="shared" si="3"/>
        <v>5700</v>
      </c>
      <c r="J13" s="2">
        <v>269</v>
      </c>
      <c r="K13" s="2">
        <f t="shared" si="4"/>
        <v>5969</v>
      </c>
      <c r="L13" s="2" t="str">
        <f t="shared" si="5"/>
        <v>努力</v>
      </c>
    </row>
    <row r="14" spans="1:12" ht="20.25" hidden="1" x14ac:dyDescent="0.15">
      <c r="A14" s="2" t="s">
        <v>21</v>
      </c>
      <c r="B14" s="2" t="s">
        <v>33</v>
      </c>
      <c r="C14" s="2" t="str">
        <f t="shared" si="0"/>
        <v>男</v>
      </c>
      <c r="D14" s="2" t="s">
        <v>4</v>
      </c>
      <c r="E14" s="2" t="str">
        <f t="shared" si="1"/>
        <v>职员</v>
      </c>
      <c r="F14" s="2">
        <v>3200</v>
      </c>
      <c r="G14" s="2">
        <f t="shared" si="2"/>
        <v>1000</v>
      </c>
      <c r="H14" s="2">
        <v>1500</v>
      </c>
      <c r="I14" s="2">
        <f t="shared" si="3"/>
        <v>5700</v>
      </c>
      <c r="J14" s="2">
        <v>350</v>
      </c>
      <c r="K14" s="2">
        <f t="shared" si="4"/>
        <v>6050</v>
      </c>
      <c r="L14" s="2" t="str">
        <f t="shared" si="5"/>
        <v>优秀</v>
      </c>
    </row>
    <row r="15" spans="1:12" ht="20.25" hidden="1" x14ac:dyDescent="0.15">
      <c r="A15" s="2" t="s">
        <v>22</v>
      </c>
      <c r="B15" s="2" t="s">
        <v>34</v>
      </c>
      <c r="C15" s="2" t="str">
        <f t="shared" si="0"/>
        <v>女</v>
      </c>
      <c r="D15" s="2" t="s">
        <v>2</v>
      </c>
      <c r="E15" s="2" t="str">
        <f t="shared" si="1"/>
        <v>职员</v>
      </c>
      <c r="F15" s="2">
        <v>3200</v>
      </c>
      <c r="G15" s="2">
        <f t="shared" si="2"/>
        <v>1000</v>
      </c>
      <c r="H15" s="2">
        <v>1500</v>
      </c>
      <c r="I15" s="2">
        <f t="shared" si="3"/>
        <v>5700</v>
      </c>
      <c r="J15" s="2">
        <v>251</v>
      </c>
      <c r="K15" s="2">
        <f t="shared" si="4"/>
        <v>5951</v>
      </c>
      <c r="L15" s="2" t="str">
        <f t="shared" si="5"/>
        <v>努力</v>
      </c>
    </row>
    <row r="16" spans="1:12" ht="20.25" x14ac:dyDescent="0.15">
      <c r="A16" s="2" t="s">
        <v>23</v>
      </c>
      <c r="B16" s="2" t="s">
        <v>31</v>
      </c>
      <c r="C16" s="2" t="str">
        <f t="shared" si="0"/>
        <v>女</v>
      </c>
      <c r="D16" s="2" t="s">
        <v>3</v>
      </c>
      <c r="E16" s="2" t="str">
        <f t="shared" si="1"/>
        <v>工程师</v>
      </c>
      <c r="F16" s="2">
        <v>4200</v>
      </c>
      <c r="G16" s="2">
        <f t="shared" si="2"/>
        <v>1500</v>
      </c>
      <c r="H16" s="2">
        <v>1500</v>
      </c>
      <c r="I16" s="2">
        <f t="shared" si="3"/>
        <v>7200</v>
      </c>
      <c r="J16" s="2">
        <v>451</v>
      </c>
      <c r="K16" s="2">
        <f t="shared" si="4"/>
        <v>7651</v>
      </c>
      <c r="L16" s="2" t="str">
        <f t="shared" si="5"/>
        <v>优秀</v>
      </c>
    </row>
  </sheetData>
  <phoneticPr fontId="1" type="noConversion"/>
  <conditionalFormatting sqref="K5:K1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{EB692FBD-DF81-4E02-8324-77087ACCC80C}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692FBD-DF81-4E02-8324-77087ACCC8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K5:K16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F25" sqref="F25"/>
    </sheetView>
  </sheetViews>
  <sheetFormatPr defaultRowHeight="13.5" outlineLevelRow="2" x14ac:dyDescent="0.15"/>
  <cols>
    <col min="1" max="1" width="7.125" bestFit="1" customWidth="1"/>
    <col min="2" max="2" width="5.5" bestFit="1" customWidth="1"/>
    <col min="3" max="4" width="5.25" bestFit="1" customWidth="1"/>
    <col min="10" max="10" width="5.25" bestFit="1" customWidth="1"/>
    <col min="12" max="12" width="5.25" bestFit="1" customWidth="1"/>
  </cols>
  <sheetData>
    <row r="1" spans="1:12" x14ac:dyDescent="0.15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</row>
    <row r="2" spans="1:12" outlineLevel="2" x14ac:dyDescent="0.15">
      <c r="A2" s="3" t="s">
        <v>22</v>
      </c>
      <c r="B2" s="3" t="s">
        <v>71</v>
      </c>
      <c r="C2" s="3" t="s">
        <v>52</v>
      </c>
      <c r="D2" s="3" t="s">
        <v>53</v>
      </c>
      <c r="E2" s="3" t="s">
        <v>54</v>
      </c>
      <c r="F2" s="3">
        <v>3200</v>
      </c>
      <c r="G2" s="3">
        <v>1000</v>
      </c>
      <c r="H2" s="3">
        <v>1500</v>
      </c>
      <c r="I2" s="3">
        <v>5700</v>
      </c>
      <c r="J2" s="3">
        <v>251</v>
      </c>
      <c r="K2" s="3">
        <v>5951</v>
      </c>
      <c r="L2" s="3" t="s">
        <v>58</v>
      </c>
    </row>
    <row r="3" spans="1:12" outlineLevel="2" x14ac:dyDescent="0.15">
      <c r="A3" s="3" t="s">
        <v>15</v>
      </c>
      <c r="B3" s="3" t="s">
        <v>62</v>
      </c>
      <c r="C3" s="3" t="s">
        <v>52</v>
      </c>
      <c r="D3" s="3" t="s">
        <v>53</v>
      </c>
      <c r="E3" s="3" t="s">
        <v>61</v>
      </c>
      <c r="F3" s="3">
        <v>4200</v>
      </c>
      <c r="G3" s="3">
        <v>1500</v>
      </c>
      <c r="H3" s="3">
        <v>1500</v>
      </c>
      <c r="I3" s="3">
        <v>7200</v>
      </c>
      <c r="J3" s="3">
        <v>351</v>
      </c>
      <c r="K3" s="3">
        <v>7551</v>
      </c>
      <c r="L3" s="3" t="s">
        <v>55</v>
      </c>
    </row>
    <row r="4" spans="1:12" outlineLevel="2" x14ac:dyDescent="0.15">
      <c r="A4" s="3" t="s">
        <v>12</v>
      </c>
      <c r="B4" s="3" t="s">
        <v>51</v>
      </c>
      <c r="C4" s="3" t="s">
        <v>52</v>
      </c>
      <c r="D4" s="3" t="s">
        <v>53</v>
      </c>
      <c r="E4" s="3" t="s">
        <v>54</v>
      </c>
      <c r="F4" s="3">
        <v>3200</v>
      </c>
      <c r="G4" s="3">
        <v>1000</v>
      </c>
      <c r="H4" s="3">
        <v>1500</v>
      </c>
      <c r="I4" s="3">
        <v>5700</v>
      </c>
      <c r="J4" s="3">
        <v>354</v>
      </c>
      <c r="K4" s="3">
        <v>6054</v>
      </c>
      <c r="L4" s="3" t="s">
        <v>55</v>
      </c>
    </row>
    <row r="5" spans="1:12" outlineLevel="1" x14ac:dyDescent="0.15">
      <c r="A5" s="3"/>
      <c r="B5" s="3"/>
      <c r="C5" s="3"/>
      <c r="D5" s="4" t="s">
        <v>76</v>
      </c>
      <c r="E5" s="3"/>
      <c r="F5" s="3"/>
      <c r="G5" s="3">
        <f>SUBTOTAL(9,G2:G4)</f>
        <v>3500</v>
      </c>
      <c r="H5" s="3"/>
      <c r="I5" s="3">
        <f>SUBTOTAL(9,I2:I4)</f>
        <v>18600</v>
      </c>
      <c r="J5" s="3"/>
      <c r="K5" s="3">
        <f>SUBTOTAL(9,K2:K4)</f>
        <v>19556</v>
      </c>
      <c r="L5" s="3">
        <f>SUBTOTAL(9,L2:L4)</f>
        <v>0</v>
      </c>
    </row>
    <row r="6" spans="1:12" outlineLevel="2" x14ac:dyDescent="0.15">
      <c r="A6" s="3" t="s">
        <v>19</v>
      </c>
      <c r="B6" s="3" t="s">
        <v>68</v>
      </c>
      <c r="C6" s="3" t="s">
        <v>52</v>
      </c>
      <c r="D6" s="3" t="s">
        <v>57</v>
      </c>
      <c r="E6" s="3" t="s">
        <v>65</v>
      </c>
      <c r="F6" s="3">
        <v>5200</v>
      </c>
      <c r="G6" s="3">
        <v>2000</v>
      </c>
      <c r="H6" s="3">
        <v>1500</v>
      </c>
      <c r="I6" s="3">
        <v>8700</v>
      </c>
      <c r="J6" s="3">
        <v>462</v>
      </c>
      <c r="K6" s="3">
        <v>9162</v>
      </c>
      <c r="L6" s="3" t="s">
        <v>55</v>
      </c>
    </row>
    <row r="7" spans="1:12" outlineLevel="2" x14ac:dyDescent="0.15">
      <c r="A7" s="3" t="s">
        <v>13</v>
      </c>
      <c r="B7" s="3" t="s">
        <v>56</v>
      </c>
      <c r="C7" s="3" t="s">
        <v>52</v>
      </c>
      <c r="D7" s="3" t="s">
        <v>57</v>
      </c>
      <c r="E7" s="3" t="s">
        <v>54</v>
      </c>
      <c r="F7" s="3">
        <v>3200</v>
      </c>
      <c r="G7" s="3">
        <v>1000</v>
      </c>
      <c r="H7" s="3">
        <v>1500</v>
      </c>
      <c r="I7" s="3">
        <v>5700</v>
      </c>
      <c r="J7" s="3">
        <v>321</v>
      </c>
      <c r="K7" s="3">
        <v>6021</v>
      </c>
      <c r="L7" s="3" t="s">
        <v>58</v>
      </c>
    </row>
    <row r="8" spans="1:12" outlineLevel="2" x14ac:dyDescent="0.15">
      <c r="A8" s="3" t="s">
        <v>23</v>
      </c>
      <c r="B8" s="3" t="s">
        <v>68</v>
      </c>
      <c r="C8" s="3" t="s">
        <v>52</v>
      </c>
      <c r="D8" s="3" t="s">
        <v>57</v>
      </c>
      <c r="E8" s="3" t="s">
        <v>61</v>
      </c>
      <c r="F8" s="3">
        <v>4200</v>
      </c>
      <c r="G8" s="3">
        <v>1500</v>
      </c>
      <c r="H8" s="3">
        <v>1500</v>
      </c>
      <c r="I8" s="3">
        <v>7200</v>
      </c>
      <c r="J8" s="3">
        <v>451</v>
      </c>
      <c r="K8" s="3">
        <v>7651</v>
      </c>
      <c r="L8" s="3" t="s">
        <v>55</v>
      </c>
    </row>
    <row r="9" spans="1:12" outlineLevel="2" x14ac:dyDescent="0.15">
      <c r="A9" s="3" t="s">
        <v>16</v>
      </c>
      <c r="B9" s="3" t="s">
        <v>63</v>
      </c>
      <c r="C9" s="3" t="s">
        <v>64</v>
      </c>
      <c r="D9" s="3" t="s">
        <v>57</v>
      </c>
      <c r="E9" s="3" t="s">
        <v>65</v>
      </c>
      <c r="F9" s="3">
        <v>5200</v>
      </c>
      <c r="G9" s="3">
        <v>2000</v>
      </c>
      <c r="H9" s="3">
        <v>1500</v>
      </c>
      <c r="I9" s="3">
        <v>8700</v>
      </c>
      <c r="J9" s="3">
        <v>352</v>
      </c>
      <c r="K9" s="3">
        <v>9052</v>
      </c>
      <c r="L9" s="3" t="s">
        <v>55</v>
      </c>
    </row>
    <row r="10" spans="1:12" outlineLevel="1" x14ac:dyDescent="0.15">
      <c r="A10" s="3"/>
      <c r="B10" s="3"/>
      <c r="C10" s="3"/>
      <c r="D10" s="4" t="s">
        <v>77</v>
      </c>
      <c r="E10" s="3"/>
      <c r="F10" s="3"/>
      <c r="G10" s="3">
        <f>SUBTOTAL(9,G6:G9)</f>
        <v>6500</v>
      </c>
      <c r="H10" s="3"/>
      <c r="I10" s="3">
        <f>SUBTOTAL(9,I6:I9)</f>
        <v>30300</v>
      </c>
      <c r="J10" s="3"/>
      <c r="K10" s="3">
        <f>SUBTOTAL(9,K6:K9)</f>
        <v>31886</v>
      </c>
      <c r="L10" s="3">
        <f>SUBTOTAL(9,L6:L9)</f>
        <v>0</v>
      </c>
    </row>
    <row r="11" spans="1:12" outlineLevel="2" x14ac:dyDescent="0.15">
      <c r="A11" s="3" t="s">
        <v>18</v>
      </c>
      <c r="B11" s="3" t="s">
        <v>67</v>
      </c>
      <c r="C11" s="3" t="s">
        <v>64</v>
      </c>
      <c r="D11" s="3" t="s">
        <v>60</v>
      </c>
      <c r="E11" s="3" t="s">
        <v>65</v>
      </c>
      <c r="F11" s="3">
        <v>5200</v>
      </c>
      <c r="G11" s="3">
        <v>2000</v>
      </c>
      <c r="H11" s="3">
        <v>1500</v>
      </c>
      <c r="I11" s="3">
        <v>8700</v>
      </c>
      <c r="J11" s="3">
        <v>425</v>
      </c>
      <c r="K11" s="3">
        <v>9125</v>
      </c>
      <c r="L11" s="3" t="s">
        <v>55</v>
      </c>
    </row>
    <row r="12" spans="1:12" outlineLevel="2" x14ac:dyDescent="0.15">
      <c r="A12" s="3" t="s">
        <v>17</v>
      </c>
      <c r="B12" s="3" t="s">
        <v>66</v>
      </c>
      <c r="C12" s="3" t="s">
        <v>64</v>
      </c>
      <c r="D12" s="3" t="s">
        <v>60</v>
      </c>
      <c r="E12" s="3" t="s">
        <v>54</v>
      </c>
      <c r="F12" s="3">
        <v>3200</v>
      </c>
      <c r="G12" s="3">
        <v>1000</v>
      </c>
      <c r="H12" s="3">
        <v>1500</v>
      </c>
      <c r="I12" s="3">
        <v>5700</v>
      </c>
      <c r="J12" s="3">
        <v>325</v>
      </c>
      <c r="K12" s="3">
        <v>6025</v>
      </c>
      <c r="L12" s="3" t="s">
        <v>58</v>
      </c>
    </row>
    <row r="13" spans="1:12" outlineLevel="2" x14ac:dyDescent="0.15">
      <c r="A13" s="3" t="s">
        <v>20</v>
      </c>
      <c r="B13" s="3" t="s">
        <v>69</v>
      </c>
      <c r="C13" s="3" t="s">
        <v>64</v>
      </c>
      <c r="D13" s="3" t="s">
        <v>60</v>
      </c>
      <c r="E13" s="3" t="s">
        <v>54</v>
      </c>
      <c r="F13" s="3">
        <v>3200</v>
      </c>
      <c r="G13" s="3">
        <v>1000</v>
      </c>
      <c r="H13" s="3">
        <v>1500</v>
      </c>
      <c r="I13" s="3">
        <v>5700</v>
      </c>
      <c r="J13" s="3">
        <v>269</v>
      </c>
      <c r="K13" s="3">
        <v>5969</v>
      </c>
      <c r="L13" s="3" t="s">
        <v>58</v>
      </c>
    </row>
    <row r="14" spans="1:12" outlineLevel="2" x14ac:dyDescent="0.15">
      <c r="A14" s="3" t="s">
        <v>21</v>
      </c>
      <c r="B14" s="3" t="s">
        <v>70</v>
      </c>
      <c r="C14" s="3" t="s">
        <v>64</v>
      </c>
      <c r="D14" s="3" t="s">
        <v>60</v>
      </c>
      <c r="E14" s="3" t="s">
        <v>54</v>
      </c>
      <c r="F14" s="3">
        <v>3200</v>
      </c>
      <c r="G14" s="3">
        <v>1000</v>
      </c>
      <c r="H14" s="3">
        <v>1500</v>
      </c>
      <c r="I14" s="3">
        <v>5700</v>
      </c>
      <c r="J14" s="3">
        <v>350</v>
      </c>
      <c r="K14" s="3">
        <v>6050</v>
      </c>
      <c r="L14" s="3" t="s">
        <v>55</v>
      </c>
    </row>
    <row r="15" spans="1:12" outlineLevel="2" x14ac:dyDescent="0.15">
      <c r="A15" s="3" t="s">
        <v>14</v>
      </c>
      <c r="B15" s="3" t="s">
        <v>59</v>
      </c>
      <c r="C15" s="3" t="s">
        <v>52</v>
      </c>
      <c r="D15" s="3" t="s">
        <v>60</v>
      </c>
      <c r="E15" s="3" t="s">
        <v>61</v>
      </c>
      <c r="F15" s="3">
        <v>4200</v>
      </c>
      <c r="G15" s="3">
        <v>1500</v>
      </c>
      <c r="H15" s="3">
        <v>1500</v>
      </c>
      <c r="I15" s="3">
        <v>7200</v>
      </c>
      <c r="J15" s="3">
        <v>253</v>
      </c>
      <c r="K15" s="3">
        <v>7453</v>
      </c>
      <c r="L15" s="3" t="s">
        <v>58</v>
      </c>
    </row>
    <row r="16" spans="1:12" outlineLevel="1" x14ac:dyDescent="0.15">
      <c r="A16" s="3"/>
      <c r="B16" s="3"/>
      <c r="C16" s="3"/>
      <c r="D16" s="4" t="s">
        <v>78</v>
      </c>
      <c r="E16" s="3"/>
      <c r="F16" s="3"/>
      <c r="G16" s="3">
        <f>SUBTOTAL(9,G11:G15)</f>
        <v>6500</v>
      </c>
      <c r="H16" s="3"/>
      <c r="I16" s="3">
        <f>SUBTOTAL(9,I11:I15)</f>
        <v>33000</v>
      </c>
      <c r="J16" s="3"/>
      <c r="K16" s="3">
        <f>SUBTOTAL(9,K11:K15)</f>
        <v>34622</v>
      </c>
      <c r="L16" s="3">
        <f>SUBTOTAL(9,L11:L15)</f>
        <v>0</v>
      </c>
    </row>
    <row r="17" spans="1:12" x14ac:dyDescent="0.15">
      <c r="A17" s="3"/>
      <c r="B17" s="3"/>
      <c r="C17" s="3"/>
      <c r="D17" s="4" t="s">
        <v>79</v>
      </c>
      <c r="E17" s="3"/>
      <c r="F17" s="3"/>
      <c r="G17" s="3">
        <f>SUBTOTAL(9,G2:G15)</f>
        <v>16500</v>
      </c>
      <c r="H17" s="3"/>
      <c r="I17" s="3">
        <f>SUBTOTAL(9,I2:I15)</f>
        <v>81900</v>
      </c>
      <c r="J17" s="3"/>
      <c r="K17" s="3">
        <f>SUBTOTAL(9,K2:K15)</f>
        <v>86064</v>
      </c>
      <c r="L17" s="3">
        <f>SUBTOTAL(9,L2:L15)</f>
        <v>0</v>
      </c>
    </row>
  </sheetData>
  <sortState ref="A2:L13">
    <sortCondition ref="D2:D13"/>
    <sortCondition descending="1" ref="A2:A13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3" sqref="D13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员工工资统计表</vt:lpstr>
      <vt:lpstr>筛选</vt:lpstr>
      <vt:lpstr>分类汇总</vt:lpstr>
      <vt:lpstr>图表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2022-01-05T08:13:40Z</dcterms:modified>
</cp:coreProperties>
</file>
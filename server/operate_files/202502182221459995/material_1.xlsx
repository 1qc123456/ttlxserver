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firstSheet="2" activeTab="3"/>
  </bookViews>
  <sheets>
    <sheet name="2016年消费" sheetId="8" state="hidden" r:id="rId1"/>
    <sheet name="各年龄段人数" sheetId="10" r:id="rId2"/>
    <sheet name="客户资料" sheetId="1" r:id="rId3"/>
    <sheet name="按年龄和性别" sheetId="9" r:id="rId4"/>
  </sheets>
  <definedNames>
    <definedName name="_xlnm._FilterDatabase" localSheetId="2" hidden="1">客户资料!$A$1:$E$1</definedName>
  </definedNames>
  <calcPr calcId="144525"/>
</workbook>
</file>

<file path=xl/sharedStrings.xml><?xml version="1.0" encoding="utf-8"?>
<sst xmlns="http://schemas.openxmlformats.org/spreadsheetml/2006/main" count="701" uniqueCount="129">
  <si>
    <t>顾客编号</t>
  </si>
  <si>
    <t>季度</t>
  </si>
  <si>
    <t>消费金额</t>
  </si>
  <si>
    <t>C00001</t>
  </si>
  <si>
    <t>第一季度</t>
  </si>
  <si>
    <t>第二季度</t>
  </si>
  <si>
    <t>第三季度</t>
  </si>
  <si>
    <t>第四季度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</si>
  <si>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</si>
  <si>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</si>
  <si>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</si>
  <si>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</si>
  <si>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</si>
  <si>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</si>
  <si>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</si>
  <si>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</si>
  <si>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</si>
  <si>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</si>
  <si>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</si>
  <si>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</si>
  <si>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</si>
  <si>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</si>
  <si>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</si>
  <si>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</si>
  <si>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</si>
  <si>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</si>
  <si>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</si>
  <si>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</si>
  <si>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</si>
  <si>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</si>
  <si>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</si>
  <si>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</si>
  <si>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</si>
  <si>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</si>
  <si>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</si>
  <si>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</si>
  <si>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</si>
  <si>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</si>
  <si>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</si>
  <si>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</si>
  <si>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</si>
  <si>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</si>
  <si>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</si>
  <si>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</si>
  <si>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</si>
  <si>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</si>
  <si>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</si>
  <si>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</si>
  <si>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</si>
  <si>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</si>
  <si>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</si>
  <si>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</si>
  <si>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</si>
  <si>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</si>
  <si>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</si>
  <si>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</si>
  <si>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</si>
  <si>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</si>
  <si>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</si>
  <si>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</si>
  <si>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</si>
  <si>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</si>
  <si>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</si>
  <si>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</si>
  <si>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</si>
  <si>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</si>
  <si>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</si>
  <si>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</si>
  <si>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</si>
  <si>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</si>
  <si>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</si>
  <si>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</si>
  <si>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</si>
  <si>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</si>
  <si>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</si>
  <si>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</si>
  <si>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</si>
  <si>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</si>
  <si>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</si>
  <si>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</si>
  <si>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</si>
  <si>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</si>
  <si>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</si>
  <si>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</si>
  <si>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</si>
  <si>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</si>
  <si>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</si>
  <si>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</si>
  <si>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</si>
  <si>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</si>
  <si>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</si>
  <si>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</si>
  <si>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</si>
  <si>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</si>
  <si>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</si>
  <si>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</si>
  <si>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</si>
  <si>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</si>
  <si>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</si>
  <si>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</si>
  <si>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</si>
  <si>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</si>
  <si>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</si>
  <si>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</si>
  <si>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</si>
  <si>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</si>
  <si>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</si>
  <si>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性别</t>
  </si>
  <si>
    <t>生日</t>
  </si>
  <si>
    <t>年龄</t>
  </si>
  <si>
    <t>年龄段</t>
  </si>
  <si>
    <t>年消费金额</t>
  </si>
  <si>
    <t>男</t>
  </si>
  <si>
    <t>女</t>
  </si>
  <si>
    <t>男顾客人数</t>
  </si>
  <si>
    <t>女顾客人数</t>
  </si>
  <si>
    <t>顾客总人数</t>
  </si>
  <si>
    <t>30岁以下</t>
  </si>
  <si>
    <t>30-34岁</t>
  </si>
  <si>
    <t>35-39岁</t>
  </si>
  <si>
    <t>40-44岁</t>
  </si>
  <si>
    <t>45-49岁</t>
  </si>
  <si>
    <t>50-54岁</t>
  </si>
  <si>
    <t>55-59岁</t>
  </si>
  <si>
    <t>60-64岁</t>
  </si>
  <si>
    <t>65-69岁</t>
  </si>
  <si>
    <t>70-74岁</t>
  </si>
  <si>
    <t>75岁以上</t>
  </si>
  <si>
    <t>合计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</si>
</sst>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&quot;年&quot;m&quot;月&quot;d&quot;日&quot;"/>
    <numFmt numFmtId="177" formatCode="\¥#,##0_);[Red]\(\¥#,##0\)"/>
    <numFmt numFmtId="178" formatCode="\¥#,##0.00_);[Red]\(\¥#,##0.00\)"/>
  </numFmts>
  <fonts count="27">
    <font>
      <sz val="12"/>
      <color theme="1"/>
      <name val="微軟正黑體"/>
      <charset val="136"/>
    </font>
    <font>
      <sz val="12"/>
      <color theme="1"/>
      <name val="宋体"/>
      <charset val="134"/>
      <scheme val="minor"/>
    </font>
    <font>
      <sz val="12"/>
      <color theme="0"/>
      <name val="微軟正黑體"/>
      <charset val="136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color theme="1"/>
      <name val="Arial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" fillId="2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0" xfId="49">
      <alignment vertical="center"/>
    </xf>
    <xf numFmtId="0" fontId="3" fillId="3" borderId="0" xfId="26" applyAlignment="1">
      <alignment horizontal="center" vertical="center"/>
    </xf>
    <xf numFmtId="0" fontId="3" fillId="3" borderId="1" xfId="26" applyBorder="1" applyAlignment="1">
      <alignment horizontal="center" vertical="center"/>
    </xf>
    <xf numFmtId="0" fontId="3" fillId="3" borderId="1" xfId="26" applyBorder="1">
      <alignment vertical="center"/>
    </xf>
    <xf numFmtId="0" fontId="4" fillId="0" borderId="2" xfId="2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5" fontId="1" fillId="0" borderId="0" xfId="0" applyNumberFormat="1" applyFont="1">
      <alignment vertical="center"/>
    </xf>
    <xf numFmtId="14" fontId="5" fillId="0" borderId="0" xfId="0" applyNumberFormat="1" applyFont="1">
      <alignment vertical="center"/>
    </xf>
    <xf numFmtId="14" fontId="1" fillId="0" borderId="0" xfId="0" applyNumberFormat="1" applyFont="1">
      <alignment vertical="center"/>
    </xf>
    <xf numFmtId="0" fontId="7" fillId="0" borderId="0" xfId="0" applyFont="1">
      <alignment vertical="center"/>
    </xf>
    <xf numFmtId="0" fontId="8" fillId="4" borderId="3" xfId="0" applyFont="1" applyFill="1" applyBorder="1" applyAlignment="1">
      <alignment vertical="center"/>
    </xf>
    <xf numFmtId="0" fontId="8" fillId="4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77" fontId="1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" fontId="5" fillId="0" borderId="0" xfId="0" applyNumberFormat="1" applyFont="1">
      <alignment vertical="center"/>
    </xf>
    <xf numFmtId="0" fontId="8" fillId="0" borderId="0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表格标题" xfId="49"/>
  </cellStyles>
  <dxfs count="8">
    <dxf>
      <font>
        <name val="宋体"/>
        <scheme val="none"/>
        <charset val="134"/>
        <family val="3"/>
        <b val="0"/>
        <i val="0"/>
        <strike val="0"/>
        <u val="none"/>
        <sz val="12"/>
        <color theme="1"/>
      </font>
    </dxf>
    <dxf>
      <font>
        <name val="宋体"/>
        <scheme val="none"/>
        <charset val="134"/>
        <family val="3"/>
        <b val="0"/>
        <i val="0"/>
        <strike val="0"/>
        <u val="none"/>
        <sz val="12"/>
        <color theme="1"/>
      </font>
    </dxf>
    <dxf>
      <font>
        <name val="宋体"/>
        <scheme val="none"/>
        <charset val="134"/>
        <family val="3"/>
        <b val="0"/>
        <i val="0"/>
        <strike val="0"/>
        <u val="none"/>
        <sz val="12"/>
        <color theme="1"/>
      </font>
      <numFmt numFmtId="176" formatCode="yy&quot;年&quot;m&quot;月&quot;d&quot;日&quot;"/>
    </dxf>
    <dxf>
      <font>
        <name val="宋体"/>
        <scheme val="none"/>
        <charset val="134"/>
        <family val="3"/>
        <b val="0"/>
        <i val="0"/>
        <strike val="0"/>
        <u val="none"/>
        <sz val="12"/>
        <color theme="1"/>
      </font>
      <numFmt numFmtId="0" formatCode="General"/>
    </dxf>
    <dxf>
      <font>
        <name val="宋体"/>
        <scheme val="none"/>
        <charset val="134"/>
        <family val="3"/>
        <b val="0"/>
        <i val="0"/>
        <strike val="0"/>
        <u val="none"/>
        <sz val="12"/>
        <color theme="1"/>
      </font>
      <numFmt numFmtId="0" formatCode="General"/>
    </dxf>
    <dxf>
      <font>
        <name val="宋体"/>
        <scheme val="none"/>
        <charset val="134"/>
        <family val="3"/>
        <b val="0"/>
        <i val="0"/>
        <strike val="0"/>
        <u val="none"/>
        <sz val="12"/>
        <color theme="1"/>
      </font>
      <numFmt numFmtId="5" formatCode="&quot;￥&quot;#,##0;&quot;￥&quot;\-#,##0"/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各年龄段顾客人数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按年龄和性别!$B$1</c:f>
              <c:strCache>
                <c:ptCount val="1"/>
                <c:pt idx="0">
                  <c:v>男顾客人数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按年龄和性别!$A$2:$A$12</c:f>
              <c:strCache>
                <c:ptCount val="11"/>
                <c:pt idx="0">
                  <c:v>30岁以下</c:v>
                </c:pt>
                <c:pt idx="1">
                  <c:v>30-34岁</c:v>
                </c:pt>
                <c:pt idx="2">
                  <c:v>35-39岁</c:v>
                </c:pt>
                <c:pt idx="3">
                  <c:v>40-44岁</c:v>
                </c:pt>
                <c:pt idx="4">
                  <c:v>45-49岁</c:v>
                </c:pt>
                <c:pt idx="5">
                  <c:v>50-54岁</c:v>
                </c:pt>
                <c:pt idx="6">
                  <c:v>55-59岁</c:v>
                </c:pt>
                <c:pt idx="7">
                  <c:v>60-64岁</c:v>
                </c:pt>
                <c:pt idx="8">
                  <c:v>65-69岁</c:v>
                </c:pt>
                <c:pt idx="9">
                  <c:v>70-74岁</c:v>
                </c:pt>
                <c:pt idx="10">
                  <c:v>75岁以上</c:v>
                </c:pt>
              </c:strCache>
            </c:strRef>
          </c:cat>
          <c:val>
            <c:numRef>
              <c:f>按年龄和性别!$B$2:$B$12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8</c:v>
                </c:pt>
                <c:pt idx="4">
                  <c:v>14</c:v>
                </c:pt>
                <c:pt idx="5">
                  <c:v>15</c:v>
                </c:pt>
                <c:pt idx="6">
                  <c:v>11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按年龄和性别!$C$1</c:f>
              <c:strCache>
                <c:ptCount val="1"/>
                <c:pt idx="0">
                  <c:v>女顾客人数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按年龄和性别!$A$2:$A$12</c:f>
              <c:strCache>
                <c:ptCount val="11"/>
                <c:pt idx="0">
                  <c:v>30岁以下</c:v>
                </c:pt>
                <c:pt idx="1">
                  <c:v>30-34岁</c:v>
                </c:pt>
                <c:pt idx="2">
                  <c:v>35-39岁</c:v>
                </c:pt>
                <c:pt idx="3">
                  <c:v>40-44岁</c:v>
                </c:pt>
                <c:pt idx="4">
                  <c:v>45-49岁</c:v>
                </c:pt>
                <c:pt idx="5">
                  <c:v>50-54岁</c:v>
                </c:pt>
                <c:pt idx="6">
                  <c:v>55-59岁</c:v>
                </c:pt>
                <c:pt idx="7">
                  <c:v>60-64岁</c:v>
                </c:pt>
                <c:pt idx="8">
                  <c:v>65-69岁</c:v>
                </c:pt>
                <c:pt idx="9">
                  <c:v>70-74岁</c:v>
                </c:pt>
                <c:pt idx="10">
                  <c:v>75岁以上</c:v>
                </c:pt>
              </c:strCache>
            </c:strRef>
          </c:cat>
          <c:val>
            <c:numRef>
              <c:f>按年龄和性别!$C$2:$C$12</c:f>
              <c:numCache>
                <c:formatCode>General</c:formatCode>
                <c:ptCount val="11"/>
                <c:pt idx="0">
                  <c:v>1</c:v>
                </c:pt>
                <c:pt idx="1">
                  <c:v>4</c:v>
                </c:pt>
                <c:pt idx="2">
                  <c:v>0</c:v>
                </c:pt>
                <c:pt idx="3">
                  <c:v>9</c:v>
                </c:pt>
                <c:pt idx="4">
                  <c:v>10</c:v>
                </c:pt>
                <c:pt idx="5">
                  <c:v>2</c:v>
                </c:pt>
                <c:pt idx="6">
                  <c:v>6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393352683"/>
        <c:axId val="188422604"/>
      </c:barChart>
      <c:catAx>
        <c:axId val="3933526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8422604"/>
        <c:crosses val="autoZero"/>
        <c:auto val="1"/>
        <c:lblAlgn val="ctr"/>
        <c:lblOffset val="100"/>
        <c:noMultiLvlLbl val="0"/>
      </c:catAx>
      <c:valAx>
        <c:axId val="1884226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33526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1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396240</xdr:colOff>
      <xdr:row>30</xdr:row>
      <xdr:rowOff>83820</xdr:rowOff>
    </xdr:to>
    <xdr:graphicFrame>
      <xdr:nvGraphicFramePr>
        <xdr:cNvPr id="3" name="图表 2"/>
        <xdr:cNvGraphicFramePr/>
      </xdr:nvGraphicFramePr>
      <xdr:xfrm>
        <a:off x="0" y="0"/>
        <a:ext cx="10302240" cy="6084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客户资料" displayName="客户资料" ref="A1:F101" totalsRowShown="0">
  <autoFilter ref="A1:F101"/>
  <tableColumns count="6">
    <tableColumn id="1" name="顾客编号" dataDxfId="0"/>
    <tableColumn id="2" name="性别" dataDxfId="1"/>
    <tableColumn id="3" name="生日" dataDxfId="2"/>
    <tableColumn id="4" name="年龄" dataDxfId="3"/>
    <tableColumn id="5" name="年龄段" dataDxfId="4"/>
    <tableColumn id="6" name="年消费金额" dataDxfId="5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4"/>
  <sheetViews>
    <sheetView workbookViewId="0">
      <selection activeCell="A3" sqref="A3:A5 A7:A9 A11:A13 A15:A16 A18:A20 A22:A23 A25:A27 A29:A30 A32:A34 A36:A38 A40:A42 A44:A46 A48:A49 A51:A53 A55:A57 A59:A61 A63:A65 A67:A69 A71:A73 A75:A77 A79:A81 A83:A84 A86:A88 A90:A92 A94:A96 A98:A100 A102:A103 A105:A106 A108:A110 A112:A114 A116:A118 A120:A122 A124:A126 A128:A130 A132:A133 A135:A137 A139:A141 A143:A145 A147 A149:A150 A152:A154 A156:A158 A160:A161 A163:A165 A168:A170 A172:A174 A176:A178 A180:A181 A184:A185 A187 A189:A191 A193:A195 A197:A199 A201:A203 A205:A207 A209:A210 A212:A213 A215:A216 A218:A220 A222:A224 A226:A228 A230:A232 A234:A236 A238:A240 A242 A244:A246 A248:A250 A252:A254 A256:A258 A260:A262 A264:A265 A267:A268 A270 A272:A274 A276:A278 A280:A281 A283:A285 A287:A289 A291:A292 A294:A296 A298:A299 A301:A303 A305:A307 A309 A311:A313 A315:A317 A319:A321 A323:A325 A327:A329 A331:A333 A335:A337 A339:A340 A342:A344 A346:A348 A350:A352 A354:A356 A358:A360 A362:A364"/>
    </sheetView>
  </sheetViews>
  <sheetFormatPr defaultColWidth="8.91111111111111" defaultRowHeight="15.75" outlineLevelCol="7"/>
  <cols>
    <col min="1" max="2" width="8.91111111111111" style="16"/>
    <col min="3" max="3" width="13.0814814814815" style="16" customWidth="1"/>
    <col min="4" max="4" width="8.91111111111111" style="9"/>
    <col min="5" max="5" width="9.41481481481481" style="9" customWidth="1"/>
    <col min="6" max="7" width="8.91111111111111" style="9"/>
    <col min="9" max="16384" width="8.91111111111111" style="9"/>
  </cols>
  <sheetData>
    <row r="1" spans="1:3">
      <c r="A1" s="17" t="s">
        <v>0</v>
      </c>
      <c r="B1" s="18" t="s">
        <v>1</v>
      </c>
      <c r="C1" s="18" t="s">
        <v>2</v>
      </c>
    </row>
    <row r="2" spans="1:7">
      <c r="A2" s="19" t="s">
        <v>3</v>
      </c>
      <c r="B2" s="20" t="s">
        <v>4</v>
      </c>
      <c r="C2" s="21">
        <v>4578</v>
      </c>
      <c r="D2" s="22"/>
      <c r="E2" s="23"/>
      <c r="G2" s="24"/>
    </row>
    <row r="3" spans="1:7">
      <c r="A3" s="25" t="str">
        <f>A2</f>
        <v>C00001</v>
      </c>
      <c r="B3" s="20" t="s">
        <v>5</v>
      </c>
      <c r="C3" s="21">
        <v>5035</v>
      </c>
      <c r="D3" s="22"/>
      <c r="E3" s="23"/>
      <c r="G3" s="24"/>
    </row>
    <row r="4" spans="1:7">
      <c r="A4" s="25" t="str">
        <f>A3</f>
        <v>C00001</v>
      </c>
      <c r="B4" s="20" t="s">
        <v>6</v>
      </c>
      <c r="C4" s="21">
        <v>5035</v>
      </c>
      <c r="D4" s="22"/>
      <c r="E4" s="23"/>
      <c r="G4" s="24"/>
    </row>
    <row r="5" spans="1:7">
      <c r="A5" s="26" t="str">
        <f>A4</f>
        <v>C00001</v>
      </c>
      <c r="B5" s="20" t="s">
        <v>7</v>
      </c>
      <c r="C5" s="21">
        <v>2060</v>
      </c>
      <c r="D5" s="22"/>
      <c r="E5" s="23"/>
      <c r="G5" s="24"/>
    </row>
    <row r="6" spans="1:7">
      <c r="A6" s="19" t="s">
        <v>8</v>
      </c>
      <c r="B6" s="20" t="s">
        <v>4</v>
      </c>
      <c r="C6" s="21">
        <v>8240</v>
      </c>
      <c r="D6" s="22"/>
      <c r="E6" s="23"/>
      <c r="G6" s="24"/>
    </row>
    <row r="7" spans="1:7">
      <c r="A7" s="25" t="str">
        <f>A6</f>
        <v>C00002</v>
      </c>
      <c r="B7" s="20" t="s">
        <v>5</v>
      </c>
      <c r="C7" s="21">
        <v>4120</v>
      </c>
      <c r="D7" s="22"/>
      <c r="E7" s="23"/>
      <c r="G7" s="24"/>
    </row>
    <row r="8" spans="1:7">
      <c r="A8" s="25" t="str">
        <f>A7</f>
        <v>C00002</v>
      </c>
      <c r="B8" s="20" t="s">
        <v>6</v>
      </c>
      <c r="C8" s="21">
        <v>2518</v>
      </c>
      <c r="D8" s="22"/>
      <c r="E8" s="23"/>
      <c r="G8" s="24"/>
    </row>
    <row r="9" spans="1:7">
      <c r="A9" s="26" t="str">
        <f>A8</f>
        <v>C00002</v>
      </c>
      <c r="B9" s="20" t="s">
        <v>7</v>
      </c>
      <c r="C9" s="21">
        <v>4120</v>
      </c>
      <c r="D9" s="22"/>
      <c r="E9" s="23"/>
      <c r="G9" s="24"/>
    </row>
    <row r="10" spans="1:7">
      <c r="A10" s="19" t="s">
        <v>9</v>
      </c>
      <c r="B10" s="20" t="s">
        <v>4</v>
      </c>
      <c r="C10" s="21">
        <v>8240</v>
      </c>
      <c r="D10" s="22"/>
      <c r="E10" s="23"/>
      <c r="G10" s="24"/>
    </row>
    <row r="11" spans="1:7">
      <c r="A11" s="25" t="str">
        <f>A10</f>
        <v>C00003</v>
      </c>
      <c r="B11" s="20" t="s">
        <v>5</v>
      </c>
      <c r="C11" s="21">
        <v>12588</v>
      </c>
      <c r="D11" s="22"/>
      <c r="E11" s="23"/>
      <c r="G11" s="24"/>
    </row>
    <row r="12" spans="1:7">
      <c r="A12" s="25" t="str">
        <f>A11</f>
        <v>C00003</v>
      </c>
      <c r="B12" s="20" t="s">
        <v>6</v>
      </c>
      <c r="C12" s="21">
        <v>6866</v>
      </c>
      <c r="D12" s="22"/>
      <c r="E12" s="23"/>
      <c r="G12" s="24"/>
    </row>
    <row r="13" spans="1:7">
      <c r="A13" s="26" t="str">
        <f>A12</f>
        <v>C00003</v>
      </c>
      <c r="B13" s="20" t="s">
        <v>7</v>
      </c>
      <c r="C13" s="21">
        <v>4120</v>
      </c>
      <c r="D13" s="22"/>
      <c r="E13" s="23"/>
      <c r="G13" s="24"/>
    </row>
    <row r="14" spans="1:7">
      <c r="A14" s="19" t="s">
        <v>10</v>
      </c>
      <c r="B14" s="20" t="s">
        <v>4</v>
      </c>
      <c r="C14" s="21">
        <v>20141</v>
      </c>
      <c r="D14" s="22"/>
      <c r="E14" s="23"/>
      <c r="G14" s="24"/>
    </row>
    <row r="15" spans="1:5">
      <c r="A15" s="25" t="str">
        <f>A14</f>
        <v>C00004</v>
      </c>
      <c r="B15" s="20" t="s">
        <v>5</v>
      </c>
      <c r="C15" s="21">
        <v>7553</v>
      </c>
      <c r="D15" s="22"/>
      <c r="E15" s="23"/>
    </row>
    <row r="16" spans="1:5">
      <c r="A16" s="26" t="str">
        <f>A15</f>
        <v>C00004</v>
      </c>
      <c r="B16" s="20" t="s">
        <v>6</v>
      </c>
      <c r="C16" s="21">
        <v>12588</v>
      </c>
      <c r="D16" s="22"/>
      <c r="E16" s="23"/>
    </row>
    <row r="17" spans="1:5">
      <c r="A17" s="19" t="s">
        <v>11</v>
      </c>
      <c r="B17" s="20" t="s">
        <v>4</v>
      </c>
      <c r="C17" s="21">
        <v>4578</v>
      </c>
      <c r="D17" s="22"/>
      <c r="E17" s="23"/>
    </row>
    <row r="18" spans="1:5">
      <c r="A18" s="25" t="str">
        <f>A17</f>
        <v>C00005</v>
      </c>
      <c r="B18" s="20" t="s">
        <v>5</v>
      </c>
      <c r="C18" s="21">
        <v>4578</v>
      </c>
      <c r="D18" s="22"/>
      <c r="E18" s="23"/>
    </row>
    <row r="19" spans="1:5">
      <c r="A19" s="25" t="str">
        <f>A18</f>
        <v>C00005</v>
      </c>
      <c r="B19" s="20" t="s">
        <v>6</v>
      </c>
      <c r="C19" s="21">
        <v>9155</v>
      </c>
      <c r="D19" s="22"/>
      <c r="E19" s="23"/>
    </row>
    <row r="20" spans="1:5">
      <c r="A20" s="26" t="str">
        <f>A19</f>
        <v>C00005</v>
      </c>
      <c r="B20" s="20" t="s">
        <v>7</v>
      </c>
      <c r="C20" s="21">
        <v>2289</v>
      </c>
      <c r="D20" s="22"/>
      <c r="E20" s="23"/>
    </row>
    <row r="21" spans="1:5">
      <c r="A21" s="19" t="s">
        <v>12</v>
      </c>
      <c r="B21" s="20" t="s">
        <v>4</v>
      </c>
      <c r="C21" s="21">
        <v>2060</v>
      </c>
      <c r="D21" s="22"/>
      <c r="E21" s="23"/>
    </row>
    <row r="22" spans="1:5">
      <c r="A22" s="25" t="str">
        <f>A21</f>
        <v>C00006</v>
      </c>
      <c r="B22" s="20" t="s">
        <v>5</v>
      </c>
      <c r="C22" s="21">
        <v>7553</v>
      </c>
      <c r="D22" s="22"/>
      <c r="E22" s="23"/>
    </row>
    <row r="23" spans="1:5">
      <c r="A23" s="26" t="str">
        <f>A22</f>
        <v>C00006</v>
      </c>
      <c r="B23" s="20" t="s">
        <v>6</v>
      </c>
      <c r="C23" s="21">
        <v>5035</v>
      </c>
      <c r="D23" s="22"/>
      <c r="E23" s="23"/>
    </row>
    <row r="24" spans="1:5">
      <c r="A24" s="19" t="s">
        <v>13</v>
      </c>
      <c r="B24" s="20" t="s">
        <v>4</v>
      </c>
      <c r="C24" s="21">
        <v>4120</v>
      </c>
      <c r="D24" s="22"/>
      <c r="E24" s="23"/>
    </row>
    <row r="25" spans="1:5">
      <c r="A25" s="25" t="str">
        <f>A24</f>
        <v>C00007</v>
      </c>
      <c r="B25" s="20" t="s">
        <v>5</v>
      </c>
      <c r="C25" s="21">
        <v>2060</v>
      </c>
      <c r="D25" s="22"/>
      <c r="E25" s="23"/>
    </row>
    <row r="26" spans="1:5">
      <c r="A26" s="25" t="str">
        <f>A25</f>
        <v>C00007</v>
      </c>
      <c r="B26" s="20" t="s">
        <v>6</v>
      </c>
      <c r="C26" s="21">
        <v>4120</v>
      </c>
      <c r="D26" s="22"/>
      <c r="E26" s="23"/>
    </row>
    <row r="27" spans="1:5">
      <c r="A27" s="26" t="str">
        <f>A26</f>
        <v>C00007</v>
      </c>
      <c r="B27" s="20" t="s">
        <v>7</v>
      </c>
      <c r="C27" s="21">
        <v>4120</v>
      </c>
      <c r="D27" s="22"/>
      <c r="E27" s="23"/>
    </row>
    <row r="28" spans="1:5">
      <c r="A28" s="19" t="s">
        <v>14</v>
      </c>
      <c r="B28" s="20" t="s">
        <v>4</v>
      </c>
      <c r="C28" s="21">
        <v>12360</v>
      </c>
      <c r="D28" s="22"/>
      <c r="E28" s="23"/>
    </row>
    <row r="29" spans="1:5">
      <c r="A29" s="25" t="str">
        <f>A28</f>
        <v>C00008</v>
      </c>
      <c r="B29" s="20" t="s">
        <v>6</v>
      </c>
      <c r="C29" s="21">
        <v>4120</v>
      </c>
      <c r="D29" s="22"/>
      <c r="E29" s="23"/>
    </row>
    <row r="30" spans="1:5">
      <c r="A30" s="26" t="str">
        <f>A29</f>
        <v>C00008</v>
      </c>
      <c r="B30" s="20" t="s">
        <v>7</v>
      </c>
      <c r="C30" s="21">
        <v>2518</v>
      </c>
      <c r="D30" s="22"/>
      <c r="E30" s="23"/>
    </row>
    <row r="31" spans="1:5">
      <c r="A31" s="19" t="s">
        <v>15</v>
      </c>
      <c r="B31" s="20" t="s">
        <v>4</v>
      </c>
      <c r="C31" s="21">
        <v>12588</v>
      </c>
      <c r="D31" s="22"/>
      <c r="E31" s="23"/>
    </row>
    <row r="32" spans="1:5">
      <c r="A32" s="25" t="str">
        <f>A31</f>
        <v>C00009</v>
      </c>
      <c r="B32" s="20" t="s">
        <v>5</v>
      </c>
      <c r="C32" s="21">
        <v>4120</v>
      </c>
      <c r="D32" s="22"/>
      <c r="E32" s="23"/>
    </row>
    <row r="33" spans="1:5">
      <c r="A33" s="25" t="str">
        <f>A32</f>
        <v>C00009</v>
      </c>
      <c r="B33" s="20" t="s">
        <v>6</v>
      </c>
      <c r="C33" s="21">
        <v>9155</v>
      </c>
      <c r="D33" s="22"/>
      <c r="E33" s="23"/>
    </row>
    <row r="34" spans="1:5">
      <c r="A34" s="26" t="str">
        <f>A33</f>
        <v>C00009</v>
      </c>
      <c r="B34" s="20" t="s">
        <v>7</v>
      </c>
      <c r="C34" s="21">
        <v>12360</v>
      </c>
      <c r="D34" s="22"/>
      <c r="E34" s="23"/>
    </row>
    <row r="35" spans="1:5">
      <c r="A35" s="19" t="s">
        <v>16</v>
      </c>
      <c r="B35" s="20" t="s">
        <v>4</v>
      </c>
      <c r="C35" s="21">
        <v>12360</v>
      </c>
      <c r="D35" s="22"/>
      <c r="E35" s="23"/>
    </row>
    <row r="36" spans="1:5">
      <c r="A36" s="25" t="str">
        <f>A35</f>
        <v>C00010</v>
      </c>
      <c r="B36" s="20" t="s">
        <v>5</v>
      </c>
      <c r="C36" s="21">
        <v>6866</v>
      </c>
      <c r="D36" s="22"/>
      <c r="E36" s="23"/>
    </row>
    <row r="37" spans="1:5">
      <c r="A37" s="25" t="str">
        <f>A36</f>
        <v>C00010</v>
      </c>
      <c r="B37" s="20" t="s">
        <v>6</v>
      </c>
      <c r="C37" s="21">
        <v>6180</v>
      </c>
      <c r="D37" s="22"/>
      <c r="E37" s="23"/>
    </row>
    <row r="38" spans="1:5">
      <c r="A38" s="26" t="str">
        <f>A37</f>
        <v>C00010</v>
      </c>
      <c r="B38" s="20" t="s">
        <v>7</v>
      </c>
      <c r="C38" s="21">
        <v>16022</v>
      </c>
      <c r="D38" s="22"/>
      <c r="E38" s="23"/>
    </row>
    <row r="39" spans="1:5">
      <c r="A39" s="19" t="s">
        <v>17</v>
      </c>
      <c r="B39" s="20" t="s">
        <v>4</v>
      </c>
      <c r="C39" s="21">
        <v>5035</v>
      </c>
      <c r="D39" s="22"/>
      <c r="E39" s="23"/>
    </row>
    <row r="40" spans="1:5">
      <c r="A40" s="25" t="str">
        <f>A39</f>
        <v>C00011</v>
      </c>
      <c r="B40" s="20" t="s">
        <v>5</v>
      </c>
      <c r="C40" s="21">
        <v>5035</v>
      </c>
      <c r="D40" s="22"/>
      <c r="E40" s="23"/>
    </row>
    <row r="41" spans="1:5">
      <c r="A41" s="25" t="str">
        <f>A40</f>
        <v>C00011</v>
      </c>
      <c r="B41" s="20" t="s">
        <v>6</v>
      </c>
      <c r="C41" s="21">
        <v>5035</v>
      </c>
      <c r="D41" s="22"/>
      <c r="E41" s="23"/>
    </row>
    <row r="42" spans="1:5">
      <c r="A42" s="26" t="str">
        <f>A41</f>
        <v>C00011</v>
      </c>
      <c r="B42" s="20" t="s">
        <v>7</v>
      </c>
      <c r="C42" s="21">
        <v>2518</v>
      </c>
      <c r="D42" s="22"/>
      <c r="E42" s="23"/>
    </row>
    <row r="43" spans="1:5">
      <c r="A43" s="19" t="s">
        <v>18</v>
      </c>
      <c r="B43" s="20" t="s">
        <v>4</v>
      </c>
      <c r="C43" s="21">
        <v>13733</v>
      </c>
      <c r="D43" s="22"/>
      <c r="E43" s="23"/>
    </row>
    <row r="44" spans="1:5">
      <c r="A44" s="25" t="str">
        <f>A43</f>
        <v>C00012</v>
      </c>
      <c r="B44" s="20" t="s">
        <v>5</v>
      </c>
      <c r="C44" s="21">
        <v>30212</v>
      </c>
      <c r="D44" s="22"/>
      <c r="E44" s="23"/>
    </row>
    <row r="45" spans="1:5">
      <c r="A45" s="25" t="str">
        <f>A44</f>
        <v>C00012</v>
      </c>
      <c r="B45" s="20" t="s">
        <v>6</v>
      </c>
      <c r="C45" s="21">
        <v>12588</v>
      </c>
      <c r="D45" s="22"/>
      <c r="E45" s="23"/>
    </row>
    <row r="46" spans="1:5">
      <c r="A46" s="26" t="str">
        <f>A45</f>
        <v>C00012</v>
      </c>
      <c r="B46" s="20" t="s">
        <v>7</v>
      </c>
      <c r="C46" s="21">
        <v>35248</v>
      </c>
      <c r="D46" s="22"/>
      <c r="E46" s="23"/>
    </row>
    <row r="47" spans="1:5">
      <c r="A47" s="19" t="s">
        <v>19</v>
      </c>
      <c r="B47" s="20" t="s">
        <v>4</v>
      </c>
      <c r="C47" s="21">
        <v>12588</v>
      </c>
      <c r="D47" s="22"/>
      <c r="E47" s="23"/>
    </row>
    <row r="48" spans="1:5">
      <c r="A48" s="25" t="str">
        <f>A47</f>
        <v>C00013</v>
      </c>
      <c r="B48" s="20" t="s">
        <v>6</v>
      </c>
      <c r="C48" s="21">
        <v>10071</v>
      </c>
      <c r="D48" s="22"/>
      <c r="E48" s="23"/>
    </row>
    <row r="49" spans="1:5">
      <c r="A49" s="26" t="str">
        <f>A48</f>
        <v>C00013</v>
      </c>
      <c r="B49" s="20" t="s">
        <v>7</v>
      </c>
      <c r="C49" s="21">
        <v>2289</v>
      </c>
      <c r="D49" s="22"/>
      <c r="E49" s="23"/>
    </row>
    <row r="50" spans="1:5">
      <c r="A50" s="19" t="s">
        <v>20</v>
      </c>
      <c r="B50" s="20" t="s">
        <v>4</v>
      </c>
      <c r="C50" s="21">
        <v>5035</v>
      </c>
      <c r="D50" s="22"/>
      <c r="E50" s="23"/>
    </row>
    <row r="51" spans="1:5">
      <c r="A51" s="25" t="str">
        <f>A50</f>
        <v>C00014</v>
      </c>
      <c r="B51" s="20" t="s">
        <v>5</v>
      </c>
      <c r="C51" s="21">
        <v>11444</v>
      </c>
      <c r="D51" s="22"/>
      <c r="E51" s="23"/>
    </row>
    <row r="52" spans="1:5">
      <c r="A52" s="25" t="str">
        <f>A51</f>
        <v>C00014</v>
      </c>
      <c r="B52" s="20" t="s">
        <v>6</v>
      </c>
      <c r="C52" s="21">
        <v>12360</v>
      </c>
      <c r="D52" s="22"/>
      <c r="E52" s="23"/>
    </row>
    <row r="53" spans="1:5">
      <c r="A53" s="26" t="str">
        <f>A52</f>
        <v>C00014</v>
      </c>
      <c r="B53" s="20" t="s">
        <v>7</v>
      </c>
      <c r="C53" s="21">
        <v>20141</v>
      </c>
      <c r="D53" s="22"/>
      <c r="E53" s="23"/>
    </row>
    <row r="54" spans="1:5">
      <c r="A54" s="19" t="s">
        <v>21</v>
      </c>
      <c r="B54" s="20" t="s">
        <v>4</v>
      </c>
      <c r="C54" s="21">
        <v>12588</v>
      </c>
      <c r="D54" s="22"/>
      <c r="E54" s="23"/>
    </row>
    <row r="55" spans="1:5">
      <c r="A55" s="25" t="str">
        <f>A54</f>
        <v>C00015</v>
      </c>
      <c r="B55" s="20" t="s">
        <v>5</v>
      </c>
      <c r="C55" s="21">
        <v>22659</v>
      </c>
      <c r="D55" s="22"/>
      <c r="E55" s="23"/>
    </row>
    <row r="56" spans="1:5">
      <c r="A56" s="25" t="str">
        <f>A55</f>
        <v>C00015</v>
      </c>
      <c r="B56" s="20" t="s">
        <v>6</v>
      </c>
      <c r="C56" s="21">
        <v>20599</v>
      </c>
      <c r="D56" s="22"/>
      <c r="E56" s="23"/>
    </row>
    <row r="57" spans="1:5">
      <c r="A57" s="26" t="str">
        <f>A56</f>
        <v>C00015</v>
      </c>
      <c r="B57" s="20" t="s">
        <v>7</v>
      </c>
      <c r="C57" s="21">
        <v>12360</v>
      </c>
      <c r="D57" s="22"/>
      <c r="E57" s="23"/>
    </row>
    <row r="58" spans="1:5">
      <c r="A58" s="19" t="s">
        <v>22</v>
      </c>
      <c r="B58" s="20" t="s">
        <v>4</v>
      </c>
      <c r="C58" s="21">
        <v>5035</v>
      </c>
      <c r="D58" s="22"/>
      <c r="E58" s="23"/>
    </row>
    <row r="59" spans="1:5">
      <c r="A59" s="25" t="str">
        <f>A58</f>
        <v>C00016</v>
      </c>
      <c r="B59" s="20" t="s">
        <v>5</v>
      </c>
      <c r="C59" s="21">
        <v>6180</v>
      </c>
      <c r="D59" s="22"/>
      <c r="E59" s="23"/>
    </row>
    <row r="60" spans="1:5">
      <c r="A60" s="25" t="str">
        <f>A59</f>
        <v>C00016</v>
      </c>
      <c r="B60" s="20" t="s">
        <v>6</v>
      </c>
      <c r="C60" s="21">
        <v>6866</v>
      </c>
      <c r="D60" s="22"/>
      <c r="E60" s="23"/>
    </row>
    <row r="61" spans="1:5">
      <c r="A61" s="26" t="str">
        <f>A60</f>
        <v>C00016</v>
      </c>
      <c r="B61" s="20" t="s">
        <v>7</v>
      </c>
      <c r="C61" s="21">
        <v>5035</v>
      </c>
      <c r="D61" s="22"/>
      <c r="E61" s="23"/>
    </row>
    <row r="62" spans="1:5">
      <c r="A62" s="19" t="s">
        <v>23</v>
      </c>
      <c r="B62" s="20" t="s">
        <v>4</v>
      </c>
      <c r="C62" s="21">
        <v>2289</v>
      </c>
      <c r="D62" s="22"/>
      <c r="E62" s="23"/>
    </row>
    <row r="63" spans="1:5">
      <c r="A63" s="25" t="str">
        <f>A62</f>
        <v>C00017</v>
      </c>
      <c r="B63" s="20" t="s">
        <v>5</v>
      </c>
      <c r="C63" s="21">
        <v>5035</v>
      </c>
      <c r="D63" s="22"/>
      <c r="E63" s="23"/>
    </row>
    <row r="64" spans="1:5">
      <c r="A64" s="25" t="str">
        <f>A63</f>
        <v>C00017</v>
      </c>
      <c r="B64" s="20" t="s">
        <v>6</v>
      </c>
      <c r="C64" s="21">
        <v>2518</v>
      </c>
      <c r="D64" s="22"/>
      <c r="E64" s="23"/>
    </row>
    <row r="65" spans="1:5">
      <c r="A65" s="26" t="str">
        <f>A64</f>
        <v>C00017</v>
      </c>
      <c r="B65" s="20" t="s">
        <v>7</v>
      </c>
      <c r="C65" s="21">
        <v>10071</v>
      </c>
      <c r="D65" s="22"/>
      <c r="E65" s="23"/>
    </row>
    <row r="66" spans="1:5">
      <c r="A66" s="19" t="s">
        <v>24</v>
      </c>
      <c r="B66" s="20" t="s">
        <v>4</v>
      </c>
      <c r="C66" s="21">
        <v>6866</v>
      </c>
      <c r="D66" s="22"/>
      <c r="E66" s="23"/>
    </row>
    <row r="67" spans="1:5">
      <c r="A67" s="25" t="str">
        <f>A66</f>
        <v>C00018</v>
      </c>
      <c r="B67" s="20" t="s">
        <v>5</v>
      </c>
      <c r="C67" s="21">
        <v>6180</v>
      </c>
      <c r="D67" s="22"/>
      <c r="E67" s="23"/>
    </row>
    <row r="68" spans="1:5">
      <c r="A68" s="25" t="str">
        <f>A67</f>
        <v>C00018</v>
      </c>
      <c r="B68" s="20" t="s">
        <v>6</v>
      </c>
      <c r="C68" s="21">
        <v>9155</v>
      </c>
      <c r="D68" s="22"/>
      <c r="E68" s="23"/>
    </row>
    <row r="69" spans="1:5">
      <c r="A69" s="26" t="str">
        <f>A68</f>
        <v>C00018</v>
      </c>
      <c r="B69" s="20" t="s">
        <v>7</v>
      </c>
      <c r="C69" s="21">
        <v>4578</v>
      </c>
      <c r="D69" s="22"/>
      <c r="E69" s="23"/>
    </row>
    <row r="70" spans="1:5">
      <c r="A70" s="19" t="s">
        <v>25</v>
      </c>
      <c r="B70" s="20" t="s">
        <v>4</v>
      </c>
      <c r="C70" s="21">
        <v>6180</v>
      </c>
      <c r="D70" s="22"/>
      <c r="E70" s="23"/>
    </row>
    <row r="71" spans="1:5">
      <c r="A71" s="25" t="str">
        <f>A70</f>
        <v>C00019</v>
      </c>
      <c r="B71" s="20" t="s">
        <v>5</v>
      </c>
      <c r="C71" s="21">
        <v>10300</v>
      </c>
      <c r="D71" s="22"/>
      <c r="E71" s="23"/>
    </row>
    <row r="72" spans="1:5">
      <c r="A72" s="25" t="str">
        <f>A71</f>
        <v>C00019</v>
      </c>
      <c r="B72" s="20" t="s">
        <v>6</v>
      </c>
      <c r="C72" s="21">
        <v>2060</v>
      </c>
      <c r="D72" s="22"/>
      <c r="E72" s="23"/>
    </row>
    <row r="73" spans="1:5">
      <c r="A73" s="26" t="str">
        <f>A72</f>
        <v>C00019</v>
      </c>
      <c r="B73" s="20" t="s">
        <v>7</v>
      </c>
      <c r="C73" s="21">
        <v>5035</v>
      </c>
      <c r="D73" s="22"/>
      <c r="E73" s="23"/>
    </row>
    <row r="74" spans="1:5">
      <c r="A74" s="19" t="s">
        <v>26</v>
      </c>
      <c r="B74" s="20" t="s">
        <v>4</v>
      </c>
      <c r="C74" s="21">
        <v>10300</v>
      </c>
      <c r="D74" s="22"/>
      <c r="E74" s="23"/>
    </row>
    <row r="75" spans="1:5">
      <c r="A75" s="25" t="str">
        <f>A74</f>
        <v>C00020</v>
      </c>
      <c r="B75" s="20" t="s">
        <v>5</v>
      </c>
      <c r="C75" s="21">
        <v>4578</v>
      </c>
      <c r="D75" s="22"/>
      <c r="E75" s="23"/>
    </row>
    <row r="76" spans="1:5">
      <c r="A76" s="25" t="str">
        <f>A75</f>
        <v>C00020</v>
      </c>
      <c r="B76" s="20" t="s">
        <v>6</v>
      </c>
      <c r="C76" s="21">
        <v>10300</v>
      </c>
      <c r="D76" s="22"/>
      <c r="E76" s="23"/>
    </row>
    <row r="77" spans="1:5">
      <c r="A77" s="26" t="str">
        <f>A76</f>
        <v>C00020</v>
      </c>
      <c r="B77" s="20" t="s">
        <v>7</v>
      </c>
      <c r="C77" s="21">
        <v>6180</v>
      </c>
      <c r="D77" s="22"/>
      <c r="E77" s="23"/>
    </row>
    <row r="78" spans="1:5">
      <c r="A78" s="19" t="s">
        <v>27</v>
      </c>
      <c r="B78" s="20" t="s">
        <v>4</v>
      </c>
      <c r="C78" s="21">
        <v>5035</v>
      </c>
      <c r="D78" s="22"/>
      <c r="E78" s="23"/>
    </row>
    <row r="79" spans="1:5">
      <c r="A79" s="25" t="str">
        <f>A78</f>
        <v>C00021</v>
      </c>
      <c r="B79" s="20" t="s">
        <v>5</v>
      </c>
      <c r="C79" s="21">
        <v>12360</v>
      </c>
      <c r="D79" s="22"/>
      <c r="E79" s="23"/>
    </row>
    <row r="80" spans="1:5">
      <c r="A80" s="25" t="str">
        <f>A79</f>
        <v>C00021</v>
      </c>
      <c r="B80" s="20" t="s">
        <v>6</v>
      </c>
      <c r="C80" s="21">
        <v>9155</v>
      </c>
      <c r="D80" s="22"/>
      <c r="E80" s="23"/>
    </row>
    <row r="81" spans="1:5">
      <c r="A81" s="26" t="str">
        <f>A80</f>
        <v>C00021</v>
      </c>
      <c r="B81" s="20" t="s">
        <v>7</v>
      </c>
      <c r="C81" s="21">
        <v>6180</v>
      </c>
      <c r="D81" s="22"/>
      <c r="E81" s="23"/>
    </row>
    <row r="82" spans="1:5">
      <c r="A82" s="19" t="s">
        <v>28</v>
      </c>
      <c r="B82" s="20" t="s">
        <v>4</v>
      </c>
      <c r="C82" s="21">
        <v>7553</v>
      </c>
      <c r="D82" s="22"/>
      <c r="E82" s="23"/>
    </row>
    <row r="83" spans="1:5">
      <c r="A83" s="25" t="str">
        <f>A82</f>
        <v>C00022</v>
      </c>
      <c r="B83" s="20" t="s">
        <v>5</v>
      </c>
      <c r="C83" s="21">
        <v>4578</v>
      </c>
      <c r="D83" s="22"/>
      <c r="E83" s="23"/>
    </row>
    <row r="84" spans="1:5">
      <c r="A84" s="26" t="str">
        <f>A83</f>
        <v>C00022</v>
      </c>
      <c r="B84" s="20" t="s">
        <v>6</v>
      </c>
      <c r="C84" s="21">
        <v>7553</v>
      </c>
      <c r="D84" s="22"/>
      <c r="E84" s="23"/>
    </row>
    <row r="85" spans="1:5">
      <c r="A85" s="19" t="s">
        <v>29</v>
      </c>
      <c r="B85" s="20" t="s">
        <v>4</v>
      </c>
      <c r="C85" s="21">
        <v>9155</v>
      </c>
      <c r="D85" s="22"/>
      <c r="E85" s="23"/>
    </row>
    <row r="86" spans="1:5">
      <c r="A86" s="25" t="str">
        <f>A85</f>
        <v>C00023</v>
      </c>
      <c r="B86" s="20" t="s">
        <v>5</v>
      </c>
      <c r="C86" s="21">
        <v>2518</v>
      </c>
      <c r="D86" s="22"/>
      <c r="E86" s="23"/>
    </row>
    <row r="87" spans="1:5">
      <c r="A87" s="25" t="str">
        <f>A86</f>
        <v>C00023</v>
      </c>
      <c r="B87" s="20" t="s">
        <v>6</v>
      </c>
      <c r="C87" s="21">
        <v>2289</v>
      </c>
      <c r="D87" s="22"/>
      <c r="E87" s="23"/>
    </row>
    <row r="88" spans="1:5">
      <c r="A88" s="26" t="str">
        <f>A87</f>
        <v>C00023</v>
      </c>
      <c r="B88" s="20" t="s">
        <v>7</v>
      </c>
      <c r="C88" s="21">
        <v>2060</v>
      </c>
      <c r="D88" s="22"/>
      <c r="E88" s="23"/>
    </row>
    <row r="89" spans="1:5">
      <c r="A89" s="19" t="s">
        <v>30</v>
      </c>
      <c r="B89" s="20" t="s">
        <v>4</v>
      </c>
      <c r="C89" s="21">
        <v>10300</v>
      </c>
      <c r="D89" s="22"/>
      <c r="E89" s="23"/>
    </row>
    <row r="90" spans="1:5">
      <c r="A90" s="25" t="str">
        <f>A89</f>
        <v>C00024</v>
      </c>
      <c r="B90" s="20" t="s">
        <v>5</v>
      </c>
      <c r="C90" s="21">
        <v>8240</v>
      </c>
      <c r="D90" s="22"/>
      <c r="E90" s="23"/>
    </row>
    <row r="91" spans="1:5">
      <c r="A91" s="25" t="str">
        <f>A90</f>
        <v>C00024</v>
      </c>
      <c r="B91" s="20" t="s">
        <v>6</v>
      </c>
      <c r="C91" s="21">
        <v>8240</v>
      </c>
      <c r="D91" s="22"/>
      <c r="E91" s="23"/>
    </row>
    <row r="92" spans="1:5">
      <c r="A92" s="26" t="str">
        <f>A91</f>
        <v>C00024</v>
      </c>
      <c r="B92" s="20" t="s">
        <v>7</v>
      </c>
      <c r="C92" s="21">
        <v>12360</v>
      </c>
      <c r="D92" s="22"/>
      <c r="E92" s="23"/>
    </row>
    <row r="93" spans="1:5">
      <c r="A93" s="19" t="s">
        <v>31</v>
      </c>
      <c r="B93" s="20" t="s">
        <v>4</v>
      </c>
      <c r="C93" s="21">
        <v>4578</v>
      </c>
      <c r="D93" s="22"/>
      <c r="E93" s="23"/>
    </row>
    <row r="94" spans="1:5">
      <c r="A94" s="25" t="str">
        <f>A93</f>
        <v>C00025</v>
      </c>
      <c r="B94" s="20" t="s">
        <v>5</v>
      </c>
      <c r="C94" s="21">
        <v>7553</v>
      </c>
      <c r="D94" s="22"/>
      <c r="E94" s="23"/>
    </row>
    <row r="95" spans="1:5">
      <c r="A95" s="25" t="str">
        <f>A94</f>
        <v>C00025</v>
      </c>
      <c r="B95" s="20" t="s">
        <v>6</v>
      </c>
      <c r="C95" s="21">
        <v>2518</v>
      </c>
      <c r="D95" s="22"/>
      <c r="E95" s="23"/>
    </row>
    <row r="96" spans="1:5">
      <c r="A96" s="26" t="str">
        <f>A95</f>
        <v>C00025</v>
      </c>
      <c r="B96" s="20" t="s">
        <v>7</v>
      </c>
      <c r="C96" s="21">
        <v>4578</v>
      </c>
      <c r="D96" s="22"/>
      <c r="E96" s="23"/>
    </row>
    <row r="97" spans="1:5">
      <c r="A97" s="19" t="s">
        <v>32</v>
      </c>
      <c r="B97" s="20" t="s">
        <v>4</v>
      </c>
      <c r="C97" s="21">
        <v>6866</v>
      </c>
      <c r="D97" s="22"/>
      <c r="E97" s="23"/>
    </row>
    <row r="98" spans="1:5">
      <c r="A98" s="25" t="str">
        <f>A97</f>
        <v>C00026</v>
      </c>
      <c r="B98" s="20" t="s">
        <v>5</v>
      </c>
      <c r="C98" s="21">
        <v>9155</v>
      </c>
      <c r="D98" s="22"/>
      <c r="E98" s="23"/>
    </row>
    <row r="99" spans="1:5">
      <c r="A99" s="25" t="str">
        <f>A98</f>
        <v>C00026</v>
      </c>
      <c r="B99" s="20" t="s">
        <v>6</v>
      </c>
      <c r="C99" s="21">
        <v>14419</v>
      </c>
      <c r="D99" s="22"/>
      <c r="E99" s="23"/>
    </row>
    <row r="100" spans="1:5">
      <c r="A100" s="26" t="str">
        <f>A99</f>
        <v>C00026</v>
      </c>
      <c r="B100" s="20" t="s">
        <v>7</v>
      </c>
      <c r="C100" s="21">
        <v>10071</v>
      </c>
      <c r="D100" s="22"/>
      <c r="E100" s="23"/>
    </row>
    <row r="101" spans="1:5">
      <c r="A101" s="19" t="s">
        <v>33</v>
      </c>
      <c r="B101" s="20" t="s">
        <v>4</v>
      </c>
      <c r="C101" s="21">
        <v>11444</v>
      </c>
      <c r="D101" s="22"/>
      <c r="E101" s="23"/>
    </row>
    <row r="102" spans="1:5">
      <c r="A102" s="25" t="str">
        <f>A101</f>
        <v>C00027</v>
      </c>
      <c r="B102" s="20" t="s">
        <v>5</v>
      </c>
      <c r="C102" s="21">
        <v>12588</v>
      </c>
      <c r="D102" s="22"/>
      <c r="E102" s="23"/>
    </row>
    <row r="103" spans="1:5">
      <c r="A103" s="26" t="str">
        <f>A102</f>
        <v>C00027</v>
      </c>
      <c r="B103" s="20" t="s">
        <v>7</v>
      </c>
      <c r="C103" s="21">
        <v>9155</v>
      </c>
      <c r="D103" s="22"/>
      <c r="E103" s="23"/>
    </row>
    <row r="104" spans="1:5">
      <c r="A104" s="19" t="s">
        <v>34</v>
      </c>
      <c r="B104" s="20" t="s">
        <v>4</v>
      </c>
      <c r="C104" s="21">
        <v>2518</v>
      </c>
      <c r="D104" s="22"/>
      <c r="E104" s="23"/>
    </row>
    <row r="105" spans="1:5">
      <c r="A105" s="25" t="str">
        <f>A104</f>
        <v>C00028</v>
      </c>
      <c r="B105" s="20" t="s">
        <v>5</v>
      </c>
      <c r="C105" s="21">
        <v>4578</v>
      </c>
      <c r="D105" s="22"/>
      <c r="E105" s="23"/>
    </row>
    <row r="106" spans="1:5">
      <c r="A106" s="26" t="str">
        <f>A105</f>
        <v>C00028</v>
      </c>
      <c r="B106" s="20" t="s">
        <v>7</v>
      </c>
      <c r="C106" s="21">
        <v>6180</v>
      </c>
      <c r="D106" s="22"/>
      <c r="E106" s="23"/>
    </row>
    <row r="107" spans="1:5">
      <c r="A107" s="19" t="s">
        <v>35</v>
      </c>
      <c r="B107" s="20" t="s">
        <v>4</v>
      </c>
      <c r="C107" s="21">
        <v>11444</v>
      </c>
      <c r="D107" s="22"/>
      <c r="E107" s="23"/>
    </row>
    <row r="108" spans="1:5">
      <c r="A108" s="25" t="str">
        <f>A107</f>
        <v>C00029</v>
      </c>
      <c r="B108" s="20" t="s">
        <v>5</v>
      </c>
      <c r="C108" s="21">
        <v>4120</v>
      </c>
      <c r="D108" s="22"/>
      <c r="E108" s="23"/>
    </row>
    <row r="109" spans="1:5">
      <c r="A109" s="25" t="str">
        <f>A108</f>
        <v>C00029</v>
      </c>
      <c r="B109" s="20" t="s">
        <v>6</v>
      </c>
      <c r="C109" s="21">
        <v>6866</v>
      </c>
      <c r="D109" s="22"/>
      <c r="E109" s="23"/>
    </row>
    <row r="110" spans="1:5">
      <c r="A110" s="26" t="str">
        <f>A109</f>
        <v>C00029</v>
      </c>
      <c r="B110" s="20" t="s">
        <v>7</v>
      </c>
      <c r="C110" s="21">
        <v>6866</v>
      </c>
      <c r="D110" s="22"/>
      <c r="E110" s="23"/>
    </row>
    <row r="111" spans="1:5">
      <c r="A111" s="19" t="s">
        <v>36</v>
      </c>
      <c r="B111" s="20" t="s">
        <v>4</v>
      </c>
      <c r="C111" s="21">
        <v>5035</v>
      </c>
      <c r="D111" s="22"/>
      <c r="E111" s="23"/>
    </row>
    <row r="112" spans="1:5">
      <c r="A112" s="25" t="str">
        <f>A111</f>
        <v>C00030</v>
      </c>
      <c r="B112" s="20" t="s">
        <v>5</v>
      </c>
      <c r="C112" s="21">
        <v>4578</v>
      </c>
      <c r="D112" s="22"/>
      <c r="E112" s="23"/>
    </row>
    <row r="113" spans="1:5">
      <c r="A113" s="25" t="str">
        <f>A112</f>
        <v>C00030</v>
      </c>
      <c r="B113" s="20" t="s">
        <v>6</v>
      </c>
      <c r="C113" s="21">
        <v>4120</v>
      </c>
      <c r="D113" s="22"/>
      <c r="E113" s="23"/>
    </row>
    <row r="114" spans="1:5">
      <c r="A114" s="26" t="str">
        <f>A113</f>
        <v>C00030</v>
      </c>
      <c r="B114" s="20" t="s">
        <v>7</v>
      </c>
      <c r="C114" s="21">
        <v>6180</v>
      </c>
      <c r="D114" s="22"/>
      <c r="E114" s="23"/>
    </row>
    <row r="115" spans="1:5">
      <c r="A115" s="19" t="s">
        <v>37</v>
      </c>
      <c r="B115" s="20" t="s">
        <v>4</v>
      </c>
      <c r="C115" s="21">
        <v>20599</v>
      </c>
      <c r="D115" s="22"/>
      <c r="E115" s="23"/>
    </row>
    <row r="116" spans="1:5">
      <c r="A116" s="25" t="str">
        <f>A115</f>
        <v>C00031</v>
      </c>
      <c r="B116" s="20" t="s">
        <v>5</v>
      </c>
      <c r="C116" s="21">
        <v>10300</v>
      </c>
      <c r="D116" s="22"/>
      <c r="E116" s="23"/>
    </row>
    <row r="117" spans="1:5">
      <c r="A117" s="25" t="str">
        <f>A116</f>
        <v>C00031</v>
      </c>
      <c r="B117" s="20" t="s">
        <v>6</v>
      </c>
      <c r="C117" s="21">
        <v>16022</v>
      </c>
      <c r="D117" s="22"/>
      <c r="E117" s="23"/>
    </row>
    <row r="118" spans="1:5">
      <c r="A118" s="26" t="str">
        <f>A117</f>
        <v>C00031</v>
      </c>
      <c r="B118" s="20" t="s">
        <v>7</v>
      </c>
      <c r="C118" s="21">
        <v>17624</v>
      </c>
      <c r="D118" s="22"/>
      <c r="E118" s="23"/>
    </row>
    <row r="119" spans="1:5">
      <c r="A119" s="19" t="s">
        <v>38</v>
      </c>
      <c r="B119" s="20" t="s">
        <v>4</v>
      </c>
      <c r="C119" s="21">
        <v>24719</v>
      </c>
      <c r="D119" s="22"/>
      <c r="E119" s="23"/>
    </row>
    <row r="120" spans="1:5">
      <c r="A120" s="25" t="str">
        <f>A119</f>
        <v>C00032</v>
      </c>
      <c r="B120" s="20" t="s">
        <v>5</v>
      </c>
      <c r="C120" s="21">
        <v>30899</v>
      </c>
      <c r="D120" s="22"/>
      <c r="E120" s="23"/>
    </row>
    <row r="121" spans="1:5">
      <c r="A121" s="25" t="str">
        <f>A120</f>
        <v>C00032</v>
      </c>
      <c r="B121" s="20" t="s">
        <v>6</v>
      </c>
      <c r="C121" s="21">
        <v>22659</v>
      </c>
      <c r="D121" s="22"/>
      <c r="E121" s="23"/>
    </row>
    <row r="122" spans="1:5">
      <c r="A122" s="26" t="str">
        <f>A121</f>
        <v>C00032</v>
      </c>
      <c r="B122" s="20" t="s">
        <v>7</v>
      </c>
      <c r="C122" s="21">
        <v>35019</v>
      </c>
      <c r="D122" s="22"/>
      <c r="E122" s="23"/>
    </row>
    <row r="123" spans="1:5">
      <c r="A123" s="19" t="s">
        <v>39</v>
      </c>
      <c r="B123" s="20" t="s">
        <v>4</v>
      </c>
      <c r="C123" s="21">
        <v>8240</v>
      </c>
      <c r="D123" s="22"/>
      <c r="E123" s="23"/>
    </row>
    <row r="124" spans="1:5">
      <c r="A124" s="25" t="str">
        <f>A123</f>
        <v>C00033</v>
      </c>
      <c r="B124" s="20" t="s">
        <v>5</v>
      </c>
      <c r="C124" s="21">
        <v>9155</v>
      </c>
      <c r="D124" s="22"/>
      <c r="E124" s="23"/>
    </row>
    <row r="125" spans="1:5">
      <c r="A125" s="25" t="str">
        <f>A124</f>
        <v>C00033</v>
      </c>
      <c r="B125" s="20" t="s">
        <v>6</v>
      </c>
      <c r="C125" s="21">
        <v>10300</v>
      </c>
      <c r="D125" s="22"/>
      <c r="E125" s="23"/>
    </row>
    <row r="126" spans="1:5">
      <c r="A126" s="26" t="str">
        <f>A125</f>
        <v>C00033</v>
      </c>
      <c r="B126" s="20" t="s">
        <v>7</v>
      </c>
      <c r="C126" s="21">
        <v>4578</v>
      </c>
      <c r="D126" s="22"/>
      <c r="E126" s="23"/>
    </row>
    <row r="127" spans="1:5">
      <c r="A127" s="19" t="s">
        <v>40</v>
      </c>
      <c r="B127" s="20" t="s">
        <v>4</v>
      </c>
      <c r="C127" s="21">
        <v>20141</v>
      </c>
      <c r="D127" s="22"/>
      <c r="E127" s="23"/>
    </row>
    <row r="128" spans="1:5">
      <c r="A128" s="25" t="str">
        <f>A127</f>
        <v>C00034</v>
      </c>
      <c r="B128" s="20" t="s">
        <v>5</v>
      </c>
      <c r="C128" s="21">
        <v>6866</v>
      </c>
      <c r="D128" s="22"/>
      <c r="E128" s="23"/>
    </row>
    <row r="129" spans="1:5">
      <c r="A129" s="25" t="str">
        <f>A128</f>
        <v>C00034</v>
      </c>
      <c r="B129" s="20" t="s">
        <v>6</v>
      </c>
      <c r="C129" s="21">
        <v>4120</v>
      </c>
      <c r="D129" s="22"/>
      <c r="E129" s="23"/>
    </row>
    <row r="130" spans="1:5">
      <c r="A130" s="26" t="str">
        <f>A129</f>
        <v>C00034</v>
      </c>
      <c r="B130" s="20" t="s">
        <v>7</v>
      </c>
      <c r="C130" s="21">
        <v>11444</v>
      </c>
      <c r="D130" s="22"/>
      <c r="E130" s="23"/>
    </row>
    <row r="131" spans="1:5">
      <c r="A131" s="19" t="s">
        <v>41</v>
      </c>
      <c r="B131" s="20" t="s">
        <v>4</v>
      </c>
      <c r="C131" s="21">
        <v>4120</v>
      </c>
      <c r="D131" s="22"/>
      <c r="E131" s="23"/>
    </row>
    <row r="132" spans="1:5">
      <c r="A132" s="25" t="str">
        <f>A131</f>
        <v>C00035</v>
      </c>
      <c r="B132" s="20" t="s">
        <v>5</v>
      </c>
      <c r="C132" s="21">
        <v>5035</v>
      </c>
      <c r="D132" s="22"/>
      <c r="E132" s="23"/>
    </row>
    <row r="133" spans="1:5">
      <c r="A133" s="26" t="str">
        <f>A132</f>
        <v>C00035</v>
      </c>
      <c r="B133" s="20" t="s">
        <v>7</v>
      </c>
      <c r="C133" s="21">
        <v>2518</v>
      </c>
      <c r="D133" s="22"/>
      <c r="E133" s="23"/>
    </row>
    <row r="134" spans="1:5">
      <c r="A134" s="19" t="s">
        <v>42</v>
      </c>
      <c r="B134" s="20" t="s">
        <v>4</v>
      </c>
      <c r="C134" s="21">
        <v>22659</v>
      </c>
      <c r="D134" s="22"/>
      <c r="E134" s="23"/>
    </row>
    <row r="135" spans="1:5">
      <c r="A135" s="25" t="str">
        <f>A134</f>
        <v>C00036</v>
      </c>
      <c r="B135" s="20" t="s">
        <v>5</v>
      </c>
      <c r="C135" s="21">
        <v>18310</v>
      </c>
      <c r="D135" s="22"/>
      <c r="E135" s="23"/>
    </row>
    <row r="136" spans="1:5">
      <c r="A136" s="25" t="str">
        <f>A135</f>
        <v>C00036</v>
      </c>
      <c r="B136" s="20" t="s">
        <v>6</v>
      </c>
      <c r="C136" s="21">
        <v>10300</v>
      </c>
      <c r="D136" s="22"/>
      <c r="E136" s="23"/>
    </row>
    <row r="137" spans="1:5">
      <c r="A137" s="26" t="str">
        <f>A136</f>
        <v>C00036</v>
      </c>
      <c r="B137" s="20" t="s">
        <v>7</v>
      </c>
      <c r="C137" s="21">
        <v>17624</v>
      </c>
      <c r="D137" s="22"/>
      <c r="E137" s="23"/>
    </row>
    <row r="138" spans="1:5">
      <c r="A138" s="19" t="s">
        <v>43</v>
      </c>
      <c r="B138" s="20" t="s">
        <v>4</v>
      </c>
      <c r="C138" s="21">
        <v>2518</v>
      </c>
      <c r="D138" s="22"/>
      <c r="E138" s="23"/>
    </row>
    <row r="139" spans="1:5">
      <c r="A139" s="25" t="str">
        <f>A138</f>
        <v>C00037</v>
      </c>
      <c r="B139" s="20" t="s">
        <v>5</v>
      </c>
      <c r="C139" s="21">
        <v>2060</v>
      </c>
      <c r="D139" s="22"/>
      <c r="E139" s="23"/>
    </row>
    <row r="140" spans="1:5">
      <c r="A140" s="25" t="str">
        <f>A139</f>
        <v>C00037</v>
      </c>
      <c r="B140" s="20" t="s">
        <v>6</v>
      </c>
      <c r="C140" s="21">
        <v>2060</v>
      </c>
      <c r="D140" s="22"/>
      <c r="E140" s="23"/>
    </row>
    <row r="141" spans="1:5">
      <c r="A141" s="26" t="str">
        <f>A140</f>
        <v>C00037</v>
      </c>
      <c r="B141" s="20" t="s">
        <v>7</v>
      </c>
      <c r="C141" s="21">
        <v>2060</v>
      </c>
      <c r="D141" s="22"/>
      <c r="E141" s="23"/>
    </row>
    <row r="142" spans="1:5">
      <c r="A142" s="19" t="s">
        <v>44</v>
      </c>
      <c r="B142" s="20" t="s">
        <v>4</v>
      </c>
      <c r="C142" s="21">
        <v>4578</v>
      </c>
      <c r="D142" s="22"/>
      <c r="E142" s="23"/>
    </row>
    <row r="143" spans="1:5">
      <c r="A143" s="25" t="str">
        <f>A142</f>
        <v>C00038</v>
      </c>
      <c r="B143" s="20" t="s">
        <v>5</v>
      </c>
      <c r="C143" s="21">
        <v>2060</v>
      </c>
      <c r="D143" s="22"/>
      <c r="E143" s="23"/>
    </row>
    <row r="144" spans="1:5">
      <c r="A144" s="25" t="str">
        <f>A143</f>
        <v>C00038</v>
      </c>
      <c r="B144" s="20" t="s">
        <v>6</v>
      </c>
      <c r="C144" s="21">
        <v>6866</v>
      </c>
      <c r="D144" s="22"/>
      <c r="E144" s="23"/>
    </row>
    <row r="145" spans="1:5">
      <c r="A145" s="26" t="str">
        <f>A144</f>
        <v>C00038</v>
      </c>
      <c r="B145" s="20" t="s">
        <v>7</v>
      </c>
      <c r="C145" s="21">
        <v>2289</v>
      </c>
      <c r="D145" s="22"/>
      <c r="E145" s="23"/>
    </row>
    <row r="146" spans="1:5">
      <c r="A146" s="19" t="s">
        <v>45</v>
      </c>
      <c r="B146" s="20" t="s">
        <v>4</v>
      </c>
      <c r="C146" s="21">
        <v>2518</v>
      </c>
      <c r="D146" s="22"/>
      <c r="E146" s="23"/>
    </row>
    <row r="147" spans="1:5">
      <c r="A147" s="26" t="str">
        <f>A146</f>
        <v>C00039</v>
      </c>
      <c r="B147" s="20" t="s">
        <v>5</v>
      </c>
      <c r="C147" s="21">
        <v>2289</v>
      </c>
      <c r="D147" s="22"/>
      <c r="E147" s="23"/>
    </row>
    <row r="148" spans="1:5">
      <c r="A148" s="19" t="s">
        <v>46</v>
      </c>
      <c r="B148" s="20" t="s">
        <v>4</v>
      </c>
      <c r="C148" s="21">
        <v>7553</v>
      </c>
      <c r="D148" s="22"/>
      <c r="E148" s="23"/>
    </row>
    <row r="149" spans="1:5">
      <c r="A149" s="25" t="str">
        <f>A148</f>
        <v>C00040</v>
      </c>
      <c r="B149" s="20" t="s">
        <v>6</v>
      </c>
      <c r="C149" s="21">
        <v>10300</v>
      </c>
      <c r="D149" s="22"/>
      <c r="E149" s="23"/>
    </row>
    <row r="150" spans="1:5">
      <c r="A150" s="26" t="str">
        <f>A149</f>
        <v>C00040</v>
      </c>
      <c r="B150" s="20" t="s">
        <v>7</v>
      </c>
      <c r="C150" s="21">
        <v>6180</v>
      </c>
      <c r="D150" s="22"/>
      <c r="E150" s="23"/>
    </row>
    <row r="151" spans="1:5">
      <c r="A151" s="19" t="s">
        <v>47</v>
      </c>
      <c r="B151" s="20" t="s">
        <v>4</v>
      </c>
      <c r="C151" s="21">
        <v>4120</v>
      </c>
      <c r="D151" s="22"/>
      <c r="E151" s="23"/>
    </row>
    <row r="152" spans="1:5">
      <c r="A152" s="25" t="str">
        <f>A151</f>
        <v>C00041</v>
      </c>
      <c r="B152" s="20" t="s">
        <v>5</v>
      </c>
      <c r="C152" s="21">
        <v>14419</v>
      </c>
      <c r="D152" s="22"/>
      <c r="E152" s="23"/>
    </row>
    <row r="153" spans="1:5">
      <c r="A153" s="25" t="str">
        <f>A152</f>
        <v>C00041</v>
      </c>
      <c r="B153" s="20" t="s">
        <v>6</v>
      </c>
      <c r="C153" s="21">
        <v>12360</v>
      </c>
      <c r="D153" s="22"/>
      <c r="E153" s="23"/>
    </row>
    <row r="154" spans="1:5">
      <c r="A154" s="26" t="str">
        <f>A153</f>
        <v>C00041</v>
      </c>
      <c r="B154" s="20" t="s">
        <v>7</v>
      </c>
      <c r="C154" s="21">
        <v>5035</v>
      </c>
      <c r="D154" s="22"/>
      <c r="E154" s="23"/>
    </row>
    <row r="155" spans="1:5">
      <c r="A155" s="19" t="s">
        <v>48</v>
      </c>
      <c r="B155" s="20" t="s">
        <v>4</v>
      </c>
      <c r="C155" s="21">
        <v>20599</v>
      </c>
      <c r="D155" s="22"/>
      <c r="E155" s="23"/>
    </row>
    <row r="156" spans="1:5">
      <c r="A156" s="25" t="str">
        <f>A155</f>
        <v>C00042</v>
      </c>
      <c r="B156" s="20" t="s">
        <v>5</v>
      </c>
      <c r="C156" s="21">
        <v>2060</v>
      </c>
      <c r="D156" s="22"/>
      <c r="E156" s="23"/>
    </row>
    <row r="157" spans="1:5">
      <c r="A157" s="25" t="str">
        <f>A156</f>
        <v>C00042</v>
      </c>
      <c r="B157" s="20" t="s">
        <v>6</v>
      </c>
      <c r="C157" s="21">
        <v>13733</v>
      </c>
      <c r="D157" s="22"/>
      <c r="E157" s="23"/>
    </row>
    <row r="158" spans="1:5">
      <c r="A158" s="26" t="str">
        <f>A157</f>
        <v>C00042</v>
      </c>
      <c r="B158" s="20" t="s">
        <v>7</v>
      </c>
      <c r="C158" s="21">
        <v>6866</v>
      </c>
      <c r="D158" s="22"/>
      <c r="E158" s="23"/>
    </row>
    <row r="159" spans="1:5">
      <c r="A159" s="19" t="s">
        <v>49</v>
      </c>
      <c r="B159" s="20" t="s">
        <v>4</v>
      </c>
      <c r="C159" s="21">
        <v>6866</v>
      </c>
      <c r="D159" s="22"/>
      <c r="E159" s="23"/>
    </row>
    <row r="160" spans="1:5">
      <c r="A160" s="25" t="str">
        <f>A159</f>
        <v>C00043</v>
      </c>
      <c r="B160" s="20" t="s">
        <v>5</v>
      </c>
      <c r="C160" s="21">
        <v>6866</v>
      </c>
      <c r="D160" s="22"/>
      <c r="E160" s="23"/>
    </row>
    <row r="161" spans="1:5">
      <c r="A161" s="26" t="str">
        <f>A160</f>
        <v>C00043</v>
      </c>
      <c r="B161" s="20" t="s">
        <v>7</v>
      </c>
      <c r="C161" s="21">
        <v>6866</v>
      </c>
      <c r="D161" s="22"/>
      <c r="E161" s="23"/>
    </row>
    <row r="162" spans="1:5">
      <c r="A162" s="19" t="s">
        <v>50</v>
      </c>
      <c r="B162" s="20" t="s">
        <v>4</v>
      </c>
      <c r="C162" s="21">
        <v>17624</v>
      </c>
      <c r="D162" s="22"/>
      <c r="E162" s="23"/>
    </row>
    <row r="163" spans="1:5">
      <c r="A163" s="25" t="str">
        <f>A162</f>
        <v>C00044</v>
      </c>
      <c r="B163" s="20" t="s">
        <v>5</v>
      </c>
      <c r="C163" s="21">
        <v>8240</v>
      </c>
      <c r="D163" s="22"/>
      <c r="E163" s="23"/>
    </row>
    <row r="164" spans="1:5">
      <c r="A164" s="25" t="str">
        <f>A163</f>
        <v>C00044</v>
      </c>
      <c r="B164" s="20" t="s">
        <v>6</v>
      </c>
      <c r="C164" s="21">
        <v>5035</v>
      </c>
      <c r="D164" s="22"/>
      <c r="E164" s="23"/>
    </row>
    <row r="165" spans="1:5">
      <c r="A165" s="26" t="str">
        <f>A164</f>
        <v>C00044</v>
      </c>
      <c r="B165" s="20" t="s">
        <v>7</v>
      </c>
      <c r="C165" s="21">
        <v>10300</v>
      </c>
      <c r="D165" s="22"/>
      <c r="E165" s="23"/>
    </row>
    <row r="166" spans="1:5">
      <c r="A166" s="26" t="s">
        <v>51</v>
      </c>
      <c r="B166" s="20" t="s">
        <v>6</v>
      </c>
      <c r="C166" s="21">
        <v>2289</v>
      </c>
      <c r="D166" s="22"/>
      <c r="E166" s="23"/>
    </row>
    <row r="167" spans="1:5">
      <c r="A167" s="19" t="s">
        <v>52</v>
      </c>
      <c r="B167" s="20" t="s">
        <v>4</v>
      </c>
      <c r="C167" s="21">
        <v>15106</v>
      </c>
      <c r="D167" s="22"/>
      <c r="E167" s="23"/>
    </row>
    <row r="168" spans="1:5">
      <c r="A168" s="25" t="str">
        <f>A167</f>
        <v>C00046</v>
      </c>
      <c r="B168" s="20" t="s">
        <v>5</v>
      </c>
      <c r="C168" s="21">
        <v>6180</v>
      </c>
      <c r="D168" s="22"/>
      <c r="E168" s="23"/>
    </row>
    <row r="169" spans="1:5">
      <c r="A169" s="25" t="str">
        <f>A168</f>
        <v>C00046</v>
      </c>
      <c r="B169" s="20" t="s">
        <v>6</v>
      </c>
      <c r="C169" s="21">
        <v>2289</v>
      </c>
      <c r="D169" s="22"/>
      <c r="E169" s="23"/>
    </row>
    <row r="170" spans="1:5">
      <c r="A170" s="26" t="str">
        <f>A169</f>
        <v>C00046</v>
      </c>
      <c r="B170" s="20" t="s">
        <v>7</v>
      </c>
      <c r="C170" s="21">
        <v>10300</v>
      </c>
      <c r="D170" s="22"/>
      <c r="E170" s="23"/>
    </row>
    <row r="171" spans="1:5">
      <c r="A171" s="19" t="s">
        <v>53</v>
      </c>
      <c r="B171" s="20" t="s">
        <v>4</v>
      </c>
      <c r="C171" s="21">
        <v>18310</v>
      </c>
      <c r="D171" s="22"/>
      <c r="E171" s="23"/>
    </row>
    <row r="172" spans="1:5">
      <c r="A172" s="25" t="str">
        <f>A171</f>
        <v>C00047</v>
      </c>
      <c r="B172" s="20" t="s">
        <v>5</v>
      </c>
      <c r="C172" s="21">
        <v>9155</v>
      </c>
      <c r="D172" s="22"/>
      <c r="E172" s="23"/>
    </row>
    <row r="173" spans="1:5">
      <c r="A173" s="25" t="str">
        <f>A172</f>
        <v>C00047</v>
      </c>
      <c r="B173" s="20" t="s">
        <v>6</v>
      </c>
      <c r="C173" s="21">
        <v>10300</v>
      </c>
      <c r="D173" s="22"/>
      <c r="E173" s="23"/>
    </row>
    <row r="174" spans="1:5">
      <c r="A174" s="26" t="str">
        <f>A173</f>
        <v>C00047</v>
      </c>
      <c r="B174" s="20" t="s">
        <v>7</v>
      </c>
      <c r="C174" s="21">
        <v>14419</v>
      </c>
      <c r="D174" s="22"/>
      <c r="E174" s="23"/>
    </row>
    <row r="175" spans="1:5">
      <c r="A175" s="19" t="s">
        <v>54</v>
      </c>
      <c r="B175" s="20" t="s">
        <v>4</v>
      </c>
      <c r="C175" s="21">
        <v>2289</v>
      </c>
      <c r="D175" s="22"/>
      <c r="E175" s="23"/>
    </row>
    <row r="176" spans="1:5">
      <c r="A176" s="25" t="str">
        <f>A175</f>
        <v>C00048</v>
      </c>
      <c r="B176" s="20" t="s">
        <v>5</v>
      </c>
      <c r="C176" s="21">
        <v>4578</v>
      </c>
      <c r="D176" s="22"/>
      <c r="E176" s="23"/>
    </row>
    <row r="177" spans="1:5">
      <c r="A177" s="25" t="str">
        <f>A176</f>
        <v>C00048</v>
      </c>
      <c r="B177" s="20" t="s">
        <v>6</v>
      </c>
      <c r="C177" s="21">
        <v>2289</v>
      </c>
      <c r="D177" s="22"/>
      <c r="E177" s="23"/>
    </row>
    <row r="178" spans="1:5">
      <c r="A178" s="26" t="str">
        <f>A177</f>
        <v>C00048</v>
      </c>
      <c r="B178" s="20" t="s">
        <v>7</v>
      </c>
      <c r="C178" s="21">
        <v>2518</v>
      </c>
      <c r="D178" s="22"/>
      <c r="E178" s="23"/>
    </row>
    <row r="179" spans="1:5">
      <c r="A179" s="19" t="s">
        <v>55</v>
      </c>
      <c r="B179" s="20" t="s">
        <v>4</v>
      </c>
      <c r="C179" s="21">
        <v>4578</v>
      </c>
      <c r="D179" s="22"/>
      <c r="E179" s="23"/>
    </row>
    <row r="180" spans="1:5">
      <c r="A180" s="25" t="str">
        <f>A179</f>
        <v>C00049</v>
      </c>
      <c r="B180" s="20" t="s">
        <v>6</v>
      </c>
      <c r="C180" s="21">
        <v>2060</v>
      </c>
      <c r="D180" s="22"/>
      <c r="E180" s="23"/>
    </row>
    <row r="181" spans="1:5">
      <c r="A181" s="26" t="str">
        <f>A180</f>
        <v>C00049</v>
      </c>
      <c r="B181" s="20" t="s">
        <v>7</v>
      </c>
      <c r="C181" s="21">
        <v>2060</v>
      </c>
      <c r="D181" s="22"/>
      <c r="E181" s="23"/>
    </row>
    <row r="182" spans="1:5">
      <c r="A182" s="26" t="s">
        <v>56</v>
      </c>
      <c r="B182" s="20" t="s">
        <v>6</v>
      </c>
      <c r="C182" s="21">
        <v>5035</v>
      </c>
      <c r="D182" s="22"/>
      <c r="E182" s="23"/>
    </row>
    <row r="183" spans="1:5">
      <c r="A183" s="19" t="s">
        <v>57</v>
      </c>
      <c r="B183" s="20" t="s">
        <v>5</v>
      </c>
      <c r="C183" s="21">
        <v>2289</v>
      </c>
      <c r="D183" s="22"/>
      <c r="E183" s="23"/>
    </row>
    <row r="184" spans="1:5">
      <c r="A184" s="25" t="str">
        <f>A183</f>
        <v>C00051</v>
      </c>
      <c r="B184" s="20" t="s">
        <v>6</v>
      </c>
      <c r="C184" s="21">
        <v>5035</v>
      </c>
      <c r="D184" s="22"/>
      <c r="E184" s="23"/>
    </row>
    <row r="185" spans="1:5">
      <c r="A185" s="26" t="str">
        <f>A184</f>
        <v>C00051</v>
      </c>
      <c r="B185" s="20" t="s">
        <v>7</v>
      </c>
      <c r="C185" s="21">
        <v>4120</v>
      </c>
      <c r="D185" s="22"/>
      <c r="E185" s="23"/>
    </row>
    <row r="186" spans="1:5">
      <c r="A186" s="19" t="s">
        <v>58</v>
      </c>
      <c r="B186" s="20" t="s">
        <v>6</v>
      </c>
      <c r="C186" s="21">
        <v>6866</v>
      </c>
      <c r="D186" s="22"/>
      <c r="E186" s="23"/>
    </row>
    <row r="187" spans="1:5">
      <c r="A187" s="26" t="str">
        <f>A186</f>
        <v>C00052</v>
      </c>
      <c r="B187" s="20" t="s">
        <v>7</v>
      </c>
      <c r="C187" s="21">
        <v>4578</v>
      </c>
      <c r="D187" s="22"/>
      <c r="E187" s="23"/>
    </row>
    <row r="188" spans="1:5">
      <c r="A188" s="19" t="s">
        <v>59</v>
      </c>
      <c r="B188" s="20" t="s">
        <v>4</v>
      </c>
      <c r="C188" s="21">
        <v>11444</v>
      </c>
      <c r="D188" s="22"/>
      <c r="E188" s="23"/>
    </row>
    <row r="189" spans="1:5">
      <c r="A189" s="25" t="str">
        <f>A188</f>
        <v>C00053</v>
      </c>
      <c r="B189" s="20" t="s">
        <v>5</v>
      </c>
      <c r="C189" s="21">
        <v>22659</v>
      </c>
      <c r="D189" s="22"/>
      <c r="E189" s="23"/>
    </row>
    <row r="190" spans="1:5">
      <c r="A190" s="25" t="str">
        <f>A189</f>
        <v>C00053</v>
      </c>
      <c r="B190" s="20" t="s">
        <v>6</v>
      </c>
      <c r="C190" s="21">
        <v>20599</v>
      </c>
      <c r="D190" s="22"/>
      <c r="E190" s="23"/>
    </row>
    <row r="191" spans="1:5">
      <c r="A191" s="26" t="str">
        <f>A190</f>
        <v>C00053</v>
      </c>
      <c r="B191" s="20" t="s">
        <v>7</v>
      </c>
      <c r="C191" s="21">
        <v>11444</v>
      </c>
      <c r="D191" s="22"/>
      <c r="E191" s="23"/>
    </row>
    <row r="192" spans="1:5">
      <c r="A192" s="19" t="s">
        <v>60</v>
      </c>
      <c r="B192" s="20" t="s">
        <v>4</v>
      </c>
      <c r="C192" s="21">
        <v>4120</v>
      </c>
      <c r="D192" s="22"/>
      <c r="E192" s="23"/>
    </row>
    <row r="193" spans="1:5">
      <c r="A193" s="25" t="str">
        <f>A192</f>
        <v>C00054</v>
      </c>
      <c r="B193" s="20" t="s">
        <v>5</v>
      </c>
      <c r="C193" s="21">
        <v>2518</v>
      </c>
      <c r="D193" s="22"/>
      <c r="E193" s="23"/>
    </row>
    <row r="194" spans="1:5">
      <c r="A194" s="25" t="str">
        <f>A193</f>
        <v>C00054</v>
      </c>
      <c r="B194" s="20" t="s">
        <v>6</v>
      </c>
      <c r="C194" s="21">
        <v>5035</v>
      </c>
      <c r="D194" s="22"/>
      <c r="E194" s="23"/>
    </row>
    <row r="195" spans="1:5">
      <c r="A195" s="26" t="str">
        <f>A194</f>
        <v>C00054</v>
      </c>
      <c r="B195" s="20" t="s">
        <v>7</v>
      </c>
      <c r="C195" s="21">
        <v>8240</v>
      </c>
      <c r="D195" s="22"/>
      <c r="E195" s="23"/>
    </row>
    <row r="196" spans="1:5">
      <c r="A196" s="19" t="s">
        <v>61</v>
      </c>
      <c r="B196" s="20" t="s">
        <v>4</v>
      </c>
      <c r="C196" s="21">
        <v>2518</v>
      </c>
      <c r="D196" s="22"/>
      <c r="E196" s="23"/>
    </row>
    <row r="197" spans="1:5">
      <c r="A197" s="25" t="str">
        <f>A196</f>
        <v>C00055</v>
      </c>
      <c r="B197" s="20" t="s">
        <v>5</v>
      </c>
      <c r="C197" s="21">
        <v>10071</v>
      </c>
      <c r="D197" s="22"/>
      <c r="E197" s="23"/>
    </row>
    <row r="198" spans="1:5">
      <c r="A198" s="25" t="str">
        <f>A197</f>
        <v>C00055</v>
      </c>
      <c r="B198" s="20" t="s">
        <v>6</v>
      </c>
      <c r="C198" s="21">
        <v>2518</v>
      </c>
      <c r="D198" s="22"/>
      <c r="E198" s="23"/>
    </row>
    <row r="199" spans="1:5">
      <c r="A199" s="26" t="str">
        <f>A198</f>
        <v>C00055</v>
      </c>
      <c r="B199" s="20" t="s">
        <v>7</v>
      </c>
      <c r="C199" s="21">
        <v>4578</v>
      </c>
      <c r="D199" s="22"/>
      <c r="E199" s="23"/>
    </row>
    <row r="200" spans="1:5">
      <c r="A200" s="19" t="s">
        <v>62</v>
      </c>
      <c r="B200" s="20" t="s">
        <v>4</v>
      </c>
      <c r="C200" s="21">
        <v>15106</v>
      </c>
      <c r="D200" s="22"/>
      <c r="E200" s="23"/>
    </row>
    <row r="201" spans="1:5">
      <c r="A201" s="25" t="str">
        <f>A200</f>
        <v>C00056</v>
      </c>
      <c r="B201" s="20" t="s">
        <v>5</v>
      </c>
      <c r="C201" s="21">
        <v>14419</v>
      </c>
      <c r="D201" s="22"/>
      <c r="E201" s="23"/>
    </row>
    <row r="202" spans="1:5">
      <c r="A202" s="25" t="str">
        <f>A201</f>
        <v>C00056</v>
      </c>
      <c r="B202" s="20" t="s">
        <v>6</v>
      </c>
      <c r="C202" s="21">
        <v>9155</v>
      </c>
      <c r="D202" s="22"/>
      <c r="E202" s="23"/>
    </row>
    <row r="203" spans="1:5">
      <c r="A203" s="26" t="str">
        <f>A202</f>
        <v>C00056</v>
      </c>
      <c r="B203" s="20" t="s">
        <v>7</v>
      </c>
      <c r="C203" s="21">
        <v>2289</v>
      </c>
      <c r="D203" s="22"/>
      <c r="E203" s="23"/>
    </row>
    <row r="204" spans="1:5">
      <c r="A204" s="19" t="s">
        <v>63</v>
      </c>
      <c r="B204" s="20" t="s">
        <v>4</v>
      </c>
      <c r="C204" s="21">
        <v>4120</v>
      </c>
      <c r="D204" s="22"/>
      <c r="E204" s="23"/>
    </row>
    <row r="205" spans="1:5">
      <c r="A205" s="25" t="str">
        <f>A204</f>
        <v>C00057</v>
      </c>
      <c r="B205" s="20" t="s">
        <v>5</v>
      </c>
      <c r="C205" s="21">
        <v>7553</v>
      </c>
      <c r="D205" s="22"/>
      <c r="E205" s="23"/>
    </row>
    <row r="206" spans="1:5">
      <c r="A206" s="25" t="str">
        <f>A205</f>
        <v>C00057</v>
      </c>
      <c r="B206" s="20" t="s">
        <v>6</v>
      </c>
      <c r="C206" s="21">
        <v>2289</v>
      </c>
      <c r="D206" s="22"/>
      <c r="E206" s="23"/>
    </row>
    <row r="207" spans="1:5">
      <c r="A207" s="26" t="str">
        <f>A206</f>
        <v>C00057</v>
      </c>
      <c r="B207" s="20" t="s">
        <v>7</v>
      </c>
      <c r="C207" s="21">
        <v>4578</v>
      </c>
      <c r="D207" s="22"/>
      <c r="E207" s="23"/>
    </row>
    <row r="208" spans="1:5">
      <c r="A208" s="19" t="s">
        <v>64</v>
      </c>
      <c r="B208" s="20" t="s">
        <v>4</v>
      </c>
      <c r="C208" s="21">
        <v>5035</v>
      </c>
      <c r="D208" s="22"/>
      <c r="E208" s="23"/>
    </row>
    <row r="209" spans="1:5">
      <c r="A209" s="25" t="str">
        <f>A208</f>
        <v>C00058</v>
      </c>
      <c r="B209" s="20" t="s">
        <v>5</v>
      </c>
      <c r="C209" s="21">
        <v>2060</v>
      </c>
      <c r="D209" s="22"/>
      <c r="E209" s="23"/>
    </row>
    <row r="210" spans="1:5">
      <c r="A210" s="26" t="str">
        <f>A209</f>
        <v>C00058</v>
      </c>
      <c r="B210" s="20" t="s">
        <v>7</v>
      </c>
      <c r="C210" s="21">
        <v>10071</v>
      </c>
      <c r="D210" s="22"/>
      <c r="E210" s="23"/>
    </row>
    <row r="211" spans="1:5">
      <c r="A211" s="19" t="s">
        <v>65</v>
      </c>
      <c r="B211" s="20" t="s">
        <v>4</v>
      </c>
      <c r="C211" s="21">
        <v>6866</v>
      </c>
      <c r="D211" s="22"/>
      <c r="E211" s="23"/>
    </row>
    <row r="212" spans="1:5">
      <c r="A212" s="25" t="str">
        <f>A211</f>
        <v>C00059</v>
      </c>
      <c r="B212" s="20" t="s">
        <v>6</v>
      </c>
      <c r="C212" s="21">
        <v>9155</v>
      </c>
      <c r="D212" s="22"/>
      <c r="E212" s="23"/>
    </row>
    <row r="213" spans="1:5">
      <c r="A213" s="26" t="str">
        <f>A212</f>
        <v>C00059</v>
      </c>
      <c r="B213" s="20" t="s">
        <v>7</v>
      </c>
      <c r="C213" s="21">
        <v>2518</v>
      </c>
      <c r="D213" s="22"/>
      <c r="E213" s="23"/>
    </row>
    <row r="214" spans="1:5">
      <c r="A214" s="19" t="s">
        <v>66</v>
      </c>
      <c r="B214" s="20" t="s">
        <v>4</v>
      </c>
      <c r="C214" s="21">
        <v>4120</v>
      </c>
      <c r="D214" s="22"/>
      <c r="E214" s="23"/>
    </row>
    <row r="215" spans="1:5">
      <c r="A215" s="25" t="str">
        <f>A214</f>
        <v>C00060</v>
      </c>
      <c r="B215" s="20" t="s">
        <v>6</v>
      </c>
      <c r="C215" s="21">
        <v>4120</v>
      </c>
      <c r="D215" s="22"/>
      <c r="E215" s="23"/>
    </row>
    <row r="216" spans="1:5">
      <c r="A216" s="26" t="str">
        <f>A215</f>
        <v>C00060</v>
      </c>
      <c r="B216" s="20" t="s">
        <v>7</v>
      </c>
      <c r="C216" s="21">
        <v>2060</v>
      </c>
      <c r="D216" s="22"/>
      <c r="E216" s="23"/>
    </row>
    <row r="217" spans="1:5">
      <c r="A217" s="19" t="s">
        <v>67</v>
      </c>
      <c r="B217" s="20" t="s">
        <v>4</v>
      </c>
      <c r="C217" s="21">
        <v>10300</v>
      </c>
      <c r="D217" s="22"/>
      <c r="E217" s="23"/>
    </row>
    <row r="218" spans="1:5">
      <c r="A218" s="25" t="str">
        <f>A217</f>
        <v>C00061</v>
      </c>
      <c r="B218" s="20" t="s">
        <v>5</v>
      </c>
      <c r="C218" s="21">
        <v>16022</v>
      </c>
      <c r="D218" s="22"/>
      <c r="E218" s="23"/>
    </row>
    <row r="219" spans="1:5">
      <c r="A219" s="25" t="str">
        <f>A218</f>
        <v>C00061</v>
      </c>
      <c r="B219" s="20" t="s">
        <v>6</v>
      </c>
      <c r="C219" s="21">
        <v>12360</v>
      </c>
      <c r="D219" s="22"/>
      <c r="E219" s="23"/>
    </row>
    <row r="220" spans="1:5">
      <c r="A220" s="26" t="str">
        <f>A219</f>
        <v>C00061</v>
      </c>
      <c r="B220" s="20" t="s">
        <v>7</v>
      </c>
      <c r="C220" s="21">
        <v>11444</v>
      </c>
      <c r="D220" s="22"/>
      <c r="E220" s="23"/>
    </row>
    <row r="221" spans="1:5">
      <c r="A221" s="19" t="s">
        <v>68</v>
      </c>
      <c r="B221" s="20" t="s">
        <v>4</v>
      </c>
      <c r="C221" s="21">
        <v>5035</v>
      </c>
      <c r="D221" s="22"/>
      <c r="E221" s="23"/>
    </row>
    <row r="222" spans="1:5">
      <c r="A222" s="25" t="str">
        <f>A221</f>
        <v>C00062</v>
      </c>
      <c r="B222" s="20" t="s">
        <v>5</v>
      </c>
      <c r="C222" s="21">
        <v>2289</v>
      </c>
      <c r="D222" s="22"/>
      <c r="E222" s="23"/>
    </row>
    <row r="223" spans="1:5">
      <c r="A223" s="25" t="str">
        <f>A222</f>
        <v>C00062</v>
      </c>
      <c r="B223" s="20" t="s">
        <v>6</v>
      </c>
      <c r="C223" s="21">
        <v>2518</v>
      </c>
      <c r="D223" s="22"/>
      <c r="E223" s="23"/>
    </row>
    <row r="224" spans="1:5">
      <c r="A224" s="26" t="str">
        <f>A223</f>
        <v>C00062</v>
      </c>
      <c r="B224" s="20" t="s">
        <v>7</v>
      </c>
      <c r="C224" s="21">
        <v>10071</v>
      </c>
      <c r="D224" s="22"/>
      <c r="E224" s="23"/>
    </row>
    <row r="225" spans="1:5">
      <c r="A225" s="19" t="s">
        <v>69</v>
      </c>
      <c r="B225" s="20" t="s">
        <v>4</v>
      </c>
      <c r="C225" s="21">
        <v>2289</v>
      </c>
      <c r="D225" s="22"/>
      <c r="E225" s="23"/>
    </row>
    <row r="226" spans="1:5">
      <c r="A226" s="25" t="str">
        <f>A225</f>
        <v>C00063</v>
      </c>
      <c r="B226" s="20" t="s">
        <v>5</v>
      </c>
      <c r="C226" s="21">
        <v>6180</v>
      </c>
      <c r="D226" s="22"/>
      <c r="E226" s="23"/>
    </row>
    <row r="227" spans="1:5">
      <c r="A227" s="25" t="str">
        <f>A226</f>
        <v>C00063</v>
      </c>
      <c r="B227" s="20" t="s">
        <v>6</v>
      </c>
      <c r="C227" s="21">
        <v>2289</v>
      </c>
      <c r="D227" s="22"/>
      <c r="E227" s="23"/>
    </row>
    <row r="228" spans="1:5">
      <c r="A228" s="26" t="str">
        <f>A227</f>
        <v>C00063</v>
      </c>
      <c r="B228" s="20" t="s">
        <v>7</v>
      </c>
      <c r="C228" s="21">
        <v>4120</v>
      </c>
      <c r="D228" s="22"/>
      <c r="E228" s="23"/>
    </row>
    <row r="229" spans="1:5">
      <c r="A229" s="19" t="s">
        <v>70</v>
      </c>
      <c r="B229" s="20" t="s">
        <v>4</v>
      </c>
      <c r="C229" s="21">
        <v>2518</v>
      </c>
      <c r="D229" s="22"/>
      <c r="E229" s="23"/>
    </row>
    <row r="230" spans="1:5">
      <c r="A230" s="25" t="str">
        <f>A229</f>
        <v>C00064</v>
      </c>
      <c r="B230" s="20" t="s">
        <v>5</v>
      </c>
      <c r="C230" s="21">
        <v>5035</v>
      </c>
      <c r="D230" s="22"/>
      <c r="E230" s="23"/>
    </row>
    <row r="231" spans="1:5">
      <c r="A231" s="25" t="str">
        <f>A230</f>
        <v>C00064</v>
      </c>
      <c r="B231" s="20" t="s">
        <v>6</v>
      </c>
      <c r="C231" s="21">
        <v>15106</v>
      </c>
      <c r="D231" s="22"/>
      <c r="E231" s="23"/>
    </row>
    <row r="232" spans="1:5">
      <c r="A232" s="26" t="str">
        <f>A231</f>
        <v>C00064</v>
      </c>
      <c r="B232" s="20" t="s">
        <v>7</v>
      </c>
      <c r="C232" s="21">
        <v>4120</v>
      </c>
      <c r="D232" s="22"/>
      <c r="E232" s="23"/>
    </row>
    <row r="233" spans="1:5">
      <c r="A233" s="19" t="s">
        <v>71</v>
      </c>
      <c r="B233" s="20" t="s">
        <v>4</v>
      </c>
      <c r="C233" s="21">
        <v>4120</v>
      </c>
      <c r="D233" s="22"/>
      <c r="E233" s="23"/>
    </row>
    <row r="234" spans="1:5">
      <c r="A234" s="25" t="str">
        <f>A233</f>
        <v>C00065</v>
      </c>
      <c r="B234" s="20" t="s">
        <v>5</v>
      </c>
      <c r="C234" s="21">
        <v>2518</v>
      </c>
      <c r="D234" s="22"/>
      <c r="E234" s="23"/>
    </row>
    <row r="235" spans="1:5">
      <c r="A235" s="25" t="str">
        <f>A234</f>
        <v>C00065</v>
      </c>
      <c r="B235" s="20" t="s">
        <v>6</v>
      </c>
      <c r="C235" s="21">
        <v>2289</v>
      </c>
      <c r="D235" s="22"/>
      <c r="E235" s="23"/>
    </row>
    <row r="236" spans="1:5">
      <c r="A236" s="26" t="str">
        <f>A235</f>
        <v>C00065</v>
      </c>
      <c r="B236" s="20" t="s">
        <v>7</v>
      </c>
      <c r="C236" s="21">
        <v>4578</v>
      </c>
      <c r="D236" s="22"/>
      <c r="E236" s="23"/>
    </row>
    <row r="237" spans="1:5">
      <c r="A237" s="19" t="s">
        <v>72</v>
      </c>
      <c r="B237" s="20" t="s">
        <v>4</v>
      </c>
      <c r="C237" s="21">
        <v>12588</v>
      </c>
      <c r="D237" s="22"/>
      <c r="E237" s="23"/>
    </row>
    <row r="238" spans="1:5">
      <c r="A238" s="25" t="str">
        <f>A237</f>
        <v>C00066</v>
      </c>
      <c r="B238" s="20" t="s">
        <v>5</v>
      </c>
      <c r="C238" s="21">
        <v>4120</v>
      </c>
      <c r="D238" s="22"/>
      <c r="E238" s="23"/>
    </row>
    <row r="239" spans="1:5">
      <c r="A239" s="25" t="str">
        <f>A238</f>
        <v>C00066</v>
      </c>
      <c r="B239" s="20" t="s">
        <v>6</v>
      </c>
      <c r="C239" s="21">
        <v>13733</v>
      </c>
      <c r="D239" s="22"/>
      <c r="E239" s="23"/>
    </row>
    <row r="240" spans="1:5">
      <c r="A240" s="26" t="str">
        <f>A239</f>
        <v>C00066</v>
      </c>
      <c r="B240" s="20" t="s">
        <v>7</v>
      </c>
      <c r="C240" s="21">
        <v>7553</v>
      </c>
      <c r="D240" s="22"/>
      <c r="E240" s="23"/>
    </row>
    <row r="241" spans="1:5">
      <c r="A241" s="19" t="s">
        <v>73</v>
      </c>
      <c r="B241" s="20" t="s">
        <v>6</v>
      </c>
      <c r="C241" s="21">
        <v>2289</v>
      </c>
      <c r="D241" s="22"/>
      <c r="E241" s="23"/>
    </row>
    <row r="242" spans="1:5">
      <c r="A242" s="26" t="str">
        <f>A241</f>
        <v>C00067</v>
      </c>
      <c r="B242" s="20" t="s">
        <v>7</v>
      </c>
      <c r="C242" s="21">
        <v>2518</v>
      </c>
      <c r="D242" s="22"/>
      <c r="E242" s="23"/>
    </row>
    <row r="243" spans="1:5">
      <c r="A243" s="19" t="s">
        <v>74</v>
      </c>
      <c r="B243" s="20" t="s">
        <v>4</v>
      </c>
      <c r="C243" s="21">
        <v>12588</v>
      </c>
      <c r="D243" s="22"/>
      <c r="E243" s="23"/>
    </row>
    <row r="244" spans="1:5">
      <c r="A244" s="25" t="str">
        <f>A243</f>
        <v>C00068</v>
      </c>
      <c r="B244" s="20" t="s">
        <v>5</v>
      </c>
      <c r="C244" s="21">
        <v>17624</v>
      </c>
      <c r="D244" s="22"/>
      <c r="E244" s="23"/>
    </row>
    <row r="245" spans="1:5">
      <c r="A245" s="25" t="str">
        <f>A244</f>
        <v>C00068</v>
      </c>
      <c r="B245" s="20" t="s">
        <v>6</v>
      </c>
      <c r="C245" s="21">
        <v>5035</v>
      </c>
      <c r="D245" s="22"/>
      <c r="E245" s="23"/>
    </row>
    <row r="246" spans="1:5">
      <c r="A246" s="26" t="str">
        <f>A245</f>
        <v>C00068</v>
      </c>
      <c r="B246" s="20" t="s">
        <v>7</v>
      </c>
      <c r="C246" s="21">
        <v>16479</v>
      </c>
      <c r="D246" s="22"/>
      <c r="E246" s="23"/>
    </row>
    <row r="247" spans="1:5">
      <c r="A247" s="19" t="s">
        <v>75</v>
      </c>
      <c r="B247" s="20" t="s">
        <v>4</v>
      </c>
      <c r="C247" s="21">
        <v>15106</v>
      </c>
      <c r="D247" s="22"/>
      <c r="E247" s="23"/>
    </row>
    <row r="248" spans="1:5">
      <c r="A248" s="25" t="str">
        <f>A247</f>
        <v>C00069</v>
      </c>
      <c r="B248" s="20" t="s">
        <v>5</v>
      </c>
      <c r="C248" s="21">
        <v>9155</v>
      </c>
      <c r="D248" s="22"/>
      <c r="E248" s="23"/>
    </row>
    <row r="249" spans="1:5">
      <c r="A249" s="25" t="str">
        <f>A248</f>
        <v>C00069</v>
      </c>
      <c r="B249" s="20" t="s">
        <v>6</v>
      </c>
      <c r="C249" s="21">
        <v>15106</v>
      </c>
      <c r="D249" s="22"/>
      <c r="E249" s="23"/>
    </row>
    <row r="250" spans="1:5">
      <c r="A250" s="26" t="str">
        <f>A249</f>
        <v>C00069</v>
      </c>
      <c r="B250" s="20" t="s">
        <v>7</v>
      </c>
      <c r="C250" s="21">
        <v>9155</v>
      </c>
      <c r="D250" s="22"/>
      <c r="E250" s="23"/>
    </row>
    <row r="251" spans="1:5">
      <c r="A251" s="19" t="s">
        <v>76</v>
      </c>
      <c r="B251" s="20" t="s">
        <v>4</v>
      </c>
      <c r="C251" s="21">
        <v>13733</v>
      </c>
      <c r="D251" s="22"/>
      <c r="E251" s="23"/>
    </row>
    <row r="252" spans="1:5">
      <c r="A252" s="25" t="str">
        <f>A251</f>
        <v>C00070</v>
      </c>
      <c r="B252" s="20" t="s">
        <v>5</v>
      </c>
      <c r="C252" s="21">
        <v>10300</v>
      </c>
      <c r="D252" s="22"/>
      <c r="E252" s="23"/>
    </row>
    <row r="253" spans="1:5">
      <c r="A253" s="25" t="str">
        <f>A252</f>
        <v>C00070</v>
      </c>
      <c r="B253" s="20" t="s">
        <v>6</v>
      </c>
      <c r="C253" s="21">
        <v>2518</v>
      </c>
      <c r="D253" s="22"/>
      <c r="E253" s="23"/>
    </row>
    <row r="254" spans="1:5">
      <c r="A254" s="26" t="str">
        <f>A253</f>
        <v>C00070</v>
      </c>
      <c r="B254" s="20" t="s">
        <v>7</v>
      </c>
      <c r="C254" s="21">
        <v>4120</v>
      </c>
      <c r="D254" s="22"/>
      <c r="E254" s="23"/>
    </row>
    <row r="255" spans="1:5">
      <c r="A255" s="19" t="s">
        <v>77</v>
      </c>
      <c r="B255" s="20" t="s">
        <v>4</v>
      </c>
      <c r="C255" s="21">
        <v>5035</v>
      </c>
      <c r="D255" s="22"/>
      <c r="E255" s="23"/>
    </row>
    <row r="256" spans="1:5">
      <c r="A256" s="25" t="str">
        <f>A255</f>
        <v>C00071</v>
      </c>
      <c r="B256" s="20" t="s">
        <v>5</v>
      </c>
      <c r="C256" s="21">
        <v>2060</v>
      </c>
      <c r="D256" s="22"/>
      <c r="E256" s="23"/>
    </row>
    <row r="257" spans="1:5">
      <c r="A257" s="25" t="str">
        <f>A256</f>
        <v>C00071</v>
      </c>
      <c r="B257" s="20" t="s">
        <v>6</v>
      </c>
      <c r="C257" s="21">
        <v>2518</v>
      </c>
      <c r="D257" s="22"/>
      <c r="E257" s="23"/>
    </row>
    <row r="258" spans="1:5">
      <c r="A258" s="26" t="str">
        <f>A257</f>
        <v>C00071</v>
      </c>
      <c r="B258" s="20" t="s">
        <v>7</v>
      </c>
      <c r="C258" s="21">
        <v>2060</v>
      </c>
      <c r="D258" s="22"/>
      <c r="E258" s="23"/>
    </row>
    <row r="259" spans="1:5">
      <c r="A259" s="19" t="s">
        <v>78</v>
      </c>
      <c r="B259" s="20" t="s">
        <v>4</v>
      </c>
      <c r="C259" s="21">
        <v>10071</v>
      </c>
      <c r="D259" s="22"/>
      <c r="E259" s="23"/>
    </row>
    <row r="260" spans="1:5">
      <c r="A260" s="25" t="str">
        <f>A259</f>
        <v>C00072</v>
      </c>
      <c r="B260" s="20" t="s">
        <v>5</v>
      </c>
      <c r="C260" s="21">
        <v>8240</v>
      </c>
      <c r="D260" s="22"/>
      <c r="E260" s="23"/>
    </row>
    <row r="261" spans="1:5">
      <c r="A261" s="25" t="str">
        <f>A260</f>
        <v>C00072</v>
      </c>
      <c r="B261" s="20" t="s">
        <v>6</v>
      </c>
      <c r="C261" s="21">
        <v>6180</v>
      </c>
      <c r="D261" s="22"/>
      <c r="E261" s="23"/>
    </row>
    <row r="262" spans="1:8">
      <c r="A262" s="26" t="str">
        <f>A261</f>
        <v>C00072</v>
      </c>
      <c r="B262" s="20" t="s">
        <v>7</v>
      </c>
      <c r="C262" s="21">
        <v>4120</v>
      </c>
      <c r="D262" s="22"/>
      <c r="E262" s="23"/>
      <c r="H262" s="9"/>
    </row>
    <row r="263" spans="1:8">
      <c r="A263" s="19" t="s">
        <v>79</v>
      </c>
      <c r="B263" s="20" t="s">
        <v>4</v>
      </c>
      <c r="C263" s="21">
        <v>2755</v>
      </c>
      <c r="D263" s="22"/>
      <c r="E263" s="23"/>
      <c r="H263" s="9"/>
    </row>
    <row r="264" spans="1:8">
      <c r="A264" s="25" t="str">
        <f>A263</f>
        <v>C00073</v>
      </c>
      <c r="B264" s="20" t="s">
        <v>5</v>
      </c>
      <c r="C264" s="21">
        <v>7695</v>
      </c>
      <c r="D264" s="22"/>
      <c r="E264" s="23"/>
      <c r="H264" s="9"/>
    </row>
    <row r="265" spans="1:8">
      <c r="A265" s="26" t="str">
        <f>A264</f>
        <v>C00073</v>
      </c>
      <c r="B265" s="20" t="s">
        <v>6</v>
      </c>
      <c r="C265" s="21">
        <v>6636</v>
      </c>
      <c r="D265" s="22"/>
      <c r="E265" s="23"/>
      <c r="H265" s="9"/>
    </row>
    <row r="266" spans="1:8">
      <c r="A266" s="19" t="s">
        <v>80</v>
      </c>
      <c r="B266" s="20" t="s">
        <v>5</v>
      </c>
      <c r="C266" s="21">
        <v>16022</v>
      </c>
      <c r="D266" s="22"/>
      <c r="E266" s="23"/>
      <c r="H266" s="9"/>
    </row>
    <row r="267" spans="1:8">
      <c r="A267" s="25" t="str">
        <f>A266</f>
        <v>C00074</v>
      </c>
      <c r="B267" s="20" t="s">
        <v>6</v>
      </c>
      <c r="C267" s="21">
        <v>6180</v>
      </c>
      <c r="D267" s="22"/>
      <c r="E267" s="23"/>
      <c r="H267" s="9"/>
    </row>
    <row r="268" spans="1:8">
      <c r="A268" s="26" t="str">
        <f>A267</f>
        <v>C00074</v>
      </c>
      <c r="B268" s="20" t="s">
        <v>7</v>
      </c>
      <c r="C268" s="21">
        <v>7553</v>
      </c>
      <c r="D268" s="22"/>
      <c r="E268" s="23"/>
      <c r="H268" s="9"/>
    </row>
    <row r="269" spans="1:8">
      <c r="A269" s="19" t="s">
        <v>81</v>
      </c>
      <c r="B269" s="20" t="s">
        <v>4</v>
      </c>
      <c r="C269" s="21">
        <v>13733</v>
      </c>
      <c r="D269" s="22"/>
      <c r="E269" s="23"/>
      <c r="H269" s="9"/>
    </row>
    <row r="270" spans="1:8">
      <c r="A270" s="26" t="str">
        <f>A269</f>
        <v>C00075</v>
      </c>
      <c r="B270" s="20" t="s">
        <v>7</v>
      </c>
      <c r="C270" s="21">
        <v>15106</v>
      </c>
      <c r="D270" s="22"/>
      <c r="E270" s="23"/>
      <c r="H270" s="9"/>
    </row>
    <row r="271" spans="1:8">
      <c r="A271" s="19" t="s">
        <v>82</v>
      </c>
      <c r="B271" s="20" t="s">
        <v>4</v>
      </c>
      <c r="C271" s="21">
        <v>13733</v>
      </c>
      <c r="D271" s="22"/>
      <c r="E271" s="23"/>
      <c r="H271" s="9"/>
    </row>
    <row r="272" spans="1:8">
      <c r="A272" s="25" t="str">
        <f>A271</f>
        <v>C00076</v>
      </c>
      <c r="B272" s="20" t="s">
        <v>5</v>
      </c>
      <c r="C272" s="21">
        <v>5035</v>
      </c>
      <c r="D272" s="22"/>
      <c r="E272" s="23"/>
      <c r="H272" s="9"/>
    </row>
    <row r="273" spans="1:8">
      <c r="A273" s="25" t="str">
        <f>A272</f>
        <v>C00076</v>
      </c>
      <c r="B273" s="20" t="s">
        <v>6</v>
      </c>
      <c r="C273" s="21">
        <v>4578</v>
      </c>
      <c r="D273" s="22"/>
      <c r="E273" s="23"/>
      <c r="H273" s="9"/>
    </row>
    <row r="274" spans="1:8">
      <c r="A274" s="26" t="str">
        <f>A273</f>
        <v>C00076</v>
      </c>
      <c r="B274" s="20" t="s">
        <v>7</v>
      </c>
      <c r="C274" s="21">
        <v>15106</v>
      </c>
      <c r="D274" s="22"/>
      <c r="E274" s="23"/>
      <c r="H274" s="9"/>
    </row>
    <row r="275" spans="1:8">
      <c r="A275" s="19" t="s">
        <v>83</v>
      </c>
      <c r="B275" s="20" t="s">
        <v>4</v>
      </c>
      <c r="C275" s="21">
        <v>81950</v>
      </c>
      <c r="D275" s="22"/>
      <c r="E275" s="23"/>
      <c r="H275" s="9"/>
    </row>
    <row r="276" spans="1:8">
      <c r="A276" s="25" t="str">
        <f>A275</f>
        <v>C00077</v>
      </c>
      <c r="B276" s="20" t="s">
        <v>5</v>
      </c>
      <c r="C276" s="21">
        <v>23943</v>
      </c>
      <c r="D276" s="22"/>
      <c r="E276" s="23"/>
      <c r="H276" s="9"/>
    </row>
    <row r="277" spans="1:8">
      <c r="A277" s="25" t="str">
        <f>A276</f>
        <v>C00077</v>
      </c>
      <c r="B277" s="20" t="s">
        <v>6</v>
      </c>
      <c r="C277" s="21">
        <v>32089</v>
      </c>
      <c r="D277" s="22"/>
      <c r="E277" s="23"/>
      <c r="H277" s="9"/>
    </row>
    <row r="278" spans="1:8">
      <c r="A278" s="26" t="str">
        <f>A277</f>
        <v>C00077</v>
      </c>
      <c r="B278" s="20" t="s">
        <v>7</v>
      </c>
      <c r="C278" s="21">
        <v>26820</v>
      </c>
      <c r="D278" s="22"/>
      <c r="E278" s="23"/>
      <c r="H278" s="9"/>
    </row>
    <row r="279" spans="1:8">
      <c r="A279" s="19" t="s">
        <v>84</v>
      </c>
      <c r="B279" s="20" t="s">
        <v>4</v>
      </c>
      <c r="C279" s="21">
        <v>14900</v>
      </c>
      <c r="D279" s="22"/>
      <c r="E279" s="23"/>
      <c r="H279" s="9"/>
    </row>
    <row r="280" spans="1:8">
      <c r="A280" s="25" t="str">
        <f>A279</f>
        <v>C00078</v>
      </c>
      <c r="B280" s="20" t="s">
        <v>5</v>
      </c>
      <c r="C280" s="21">
        <v>16390</v>
      </c>
      <c r="D280" s="22"/>
      <c r="E280" s="23"/>
      <c r="H280" s="9"/>
    </row>
    <row r="281" spans="1:8">
      <c r="A281" s="26" t="str">
        <f>A280</f>
        <v>C00078</v>
      </c>
      <c r="B281" s="20" t="s">
        <v>6</v>
      </c>
      <c r="C281" s="21">
        <v>16390</v>
      </c>
      <c r="D281" s="22"/>
      <c r="E281" s="23"/>
      <c r="H281" s="9"/>
    </row>
    <row r="282" spans="1:8">
      <c r="A282" s="19" t="s">
        <v>85</v>
      </c>
      <c r="B282" s="20" t="s">
        <v>4</v>
      </c>
      <c r="C282" s="21">
        <v>44700</v>
      </c>
      <c r="D282" s="22"/>
      <c r="E282" s="23"/>
      <c r="H282" s="9"/>
    </row>
    <row r="283" spans="1:8">
      <c r="A283" s="25" t="str">
        <f>A282</f>
        <v>C00079</v>
      </c>
      <c r="B283" s="20" t="s">
        <v>5</v>
      </c>
      <c r="C283" s="21">
        <v>53640</v>
      </c>
      <c r="D283" s="22"/>
      <c r="E283" s="23"/>
      <c r="H283" s="9"/>
    </row>
    <row r="284" spans="1:8">
      <c r="A284" s="25" t="str">
        <f>A283</f>
        <v>C00079</v>
      </c>
      <c r="B284" s="20" t="s">
        <v>6</v>
      </c>
      <c r="C284" s="21">
        <v>80460</v>
      </c>
      <c r="D284" s="22"/>
      <c r="E284" s="23"/>
      <c r="H284" s="9"/>
    </row>
    <row r="285" spans="1:8">
      <c r="A285" s="26" t="str">
        <f>A284</f>
        <v>C00079</v>
      </c>
      <c r="B285" s="20" t="s">
        <v>7</v>
      </c>
      <c r="C285" s="21">
        <v>89400</v>
      </c>
      <c r="D285" s="22"/>
      <c r="E285" s="23"/>
      <c r="H285" s="9"/>
    </row>
    <row r="286" spans="1:8">
      <c r="A286" s="19" t="s">
        <v>86</v>
      </c>
      <c r="B286" s="20" t="s">
        <v>4</v>
      </c>
      <c r="C286" s="21">
        <v>32780</v>
      </c>
      <c r="D286" s="22"/>
      <c r="E286" s="23"/>
      <c r="H286" s="9"/>
    </row>
    <row r="287" spans="1:8">
      <c r="A287" s="25" t="str">
        <f>A286</f>
        <v>C00080</v>
      </c>
      <c r="B287" s="20" t="s">
        <v>5</v>
      </c>
      <c r="C287" s="21">
        <v>81950</v>
      </c>
      <c r="D287" s="22"/>
      <c r="E287" s="23"/>
      <c r="H287" s="9"/>
    </row>
    <row r="288" spans="1:8">
      <c r="A288" s="25" t="str">
        <f>A287</f>
        <v>C00080</v>
      </c>
      <c r="B288" s="20" t="s">
        <v>6</v>
      </c>
      <c r="C288" s="21">
        <v>59600</v>
      </c>
      <c r="D288" s="22"/>
      <c r="E288" s="23"/>
      <c r="H288" s="9"/>
    </row>
    <row r="289" spans="1:8">
      <c r="A289" s="26" t="str">
        <f>A288</f>
        <v>C00080</v>
      </c>
      <c r="B289" s="20" t="s">
        <v>7</v>
      </c>
      <c r="C289" s="21">
        <v>26820</v>
      </c>
      <c r="D289" s="22"/>
      <c r="E289" s="23"/>
      <c r="H289" s="9"/>
    </row>
    <row r="290" spans="1:8">
      <c r="A290" s="19" t="s">
        <v>87</v>
      </c>
      <c r="B290" s="20" t="s">
        <v>4</v>
      </c>
      <c r="C290" s="21">
        <v>59600</v>
      </c>
      <c r="D290" s="22"/>
      <c r="E290" s="23"/>
      <c r="H290" s="9"/>
    </row>
    <row r="291" spans="1:8">
      <c r="A291" s="25" t="str">
        <f>A290</f>
        <v>C00081</v>
      </c>
      <c r="B291" s="20" t="s">
        <v>5</v>
      </c>
      <c r="C291" s="21">
        <v>26820</v>
      </c>
      <c r="D291" s="22"/>
      <c r="E291" s="23"/>
      <c r="H291" s="9"/>
    </row>
    <row r="292" spans="1:8">
      <c r="A292" s="26" t="str">
        <f>A291</f>
        <v>C00081</v>
      </c>
      <c r="B292" s="20" t="s">
        <v>7</v>
      </c>
      <c r="C292" s="21">
        <v>44700</v>
      </c>
      <c r="D292" s="22"/>
      <c r="E292" s="23"/>
      <c r="H292" s="9"/>
    </row>
    <row r="293" spans="1:8">
      <c r="A293" s="19" t="s">
        <v>88</v>
      </c>
      <c r="B293" s="20" t="s">
        <v>4</v>
      </c>
      <c r="C293" s="21">
        <v>32780</v>
      </c>
      <c r="D293" s="22"/>
      <c r="E293" s="23"/>
      <c r="H293" s="9"/>
    </row>
    <row r="294" spans="1:8">
      <c r="A294" s="25" t="str">
        <f>A293</f>
        <v>C00082</v>
      </c>
      <c r="B294" s="20" t="s">
        <v>5</v>
      </c>
      <c r="C294" s="21">
        <v>80460</v>
      </c>
      <c r="D294" s="22"/>
      <c r="E294" s="23"/>
      <c r="H294" s="9"/>
    </row>
    <row r="295" spans="1:8">
      <c r="A295" s="25" t="str">
        <f>A294</f>
        <v>C00082</v>
      </c>
      <c r="B295" s="20" t="s">
        <v>6</v>
      </c>
      <c r="C295" s="21">
        <v>67050</v>
      </c>
      <c r="D295" s="22"/>
      <c r="E295" s="23"/>
      <c r="H295" s="9"/>
    </row>
    <row r="296" spans="1:8">
      <c r="A296" s="26" t="str">
        <f>A295</f>
        <v>C00082</v>
      </c>
      <c r="B296" s="20" t="s">
        <v>7</v>
      </c>
      <c r="C296" s="21">
        <v>44700</v>
      </c>
      <c r="D296" s="22"/>
      <c r="E296" s="23"/>
      <c r="H296" s="9"/>
    </row>
    <row r="297" spans="1:8">
      <c r="A297" s="19" t="s">
        <v>89</v>
      </c>
      <c r="B297" s="20" t="s">
        <v>4</v>
      </c>
      <c r="C297" s="21">
        <v>14900</v>
      </c>
      <c r="D297" s="22"/>
      <c r="E297" s="23"/>
      <c r="H297" s="9"/>
    </row>
    <row r="298" spans="1:8">
      <c r="A298" s="25" t="str">
        <f>A297</f>
        <v>C00083</v>
      </c>
      <c r="B298" s="20" t="s">
        <v>6</v>
      </c>
      <c r="C298" s="21">
        <v>13410</v>
      </c>
      <c r="D298" s="22"/>
      <c r="E298" s="23"/>
      <c r="H298" s="9"/>
    </row>
    <row r="299" spans="1:8">
      <c r="A299" s="26" t="str">
        <f>A298</f>
        <v>C00083</v>
      </c>
      <c r="B299" s="20" t="s">
        <v>7</v>
      </c>
      <c r="C299" s="21">
        <v>14900</v>
      </c>
      <c r="D299" s="22"/>
      <c r="E299" s="23"/>
      <c r="H299" s="9"/>
    </row>
    <row r="300" spans="1:8">
      <c r="A300" s="19" t="s">
        <v>90</v>
      </c>
      <c r="B300" s="20" t="s">
        <v>4</v>
      </c>
      <c r="C300" s="21">
        <v>53640</v>
      </c>
      <c r="D300" s="22"/>
      <c r="E300" s="23"/>
      <c r="H300" s="9"/>
    </row>
    <row r="301" spans="1:8">
      <c r="A301" s="25" t="str">
        <f>A300</f>
        <v>C00084</v>
      </c>
      <c r="B301" s="20" t="s">
        <v>5</v>
      </c>
      <c r="C301" s="21">
        <v>67050</v>
      </c>
      <c r="D301" s="22"/>
      <c r="E301" s="23"/>
      <c r="H301" s="9"/>
    </row>
    <row r="302" spans="1:8">
      <c r="A302" s="25" t="str">
        <f>A301</f>
        <v>C00084</v>
      </c>
      <c r="B302" s="20" t="s">
        <v>6</v>
      </c>
      <c r="C302" s="21">
        <v>65560</v>
      </c>
      <c r="D302" s="22"/>
      <c r="E302" s="23"/>
      <c r="H302" s="9"/>
    </row>
    <row r="303" spans="1:8">
      <c r="A303" s="26" t="str">
        <f>A302</f>
        <v>C00084</v>
      </c>
      <c r="B303" s="20" t="s">
        <v>7</v>
      </c>
      <c r="C303" s="21">
        <v>81950</v>
      </c>
      <c r="D303" s="22"/>
      <c r="E303" s="23"/>
      <c r="H303" s="9"/>
    </row>
    <row r="304" spans="1:8">
      <c r="A304" s="19" t="s">
        <v>91</v>
      </c>
      <c r="B304" s="20" t="s">
        <v>4</v>
      </c>
      <c r="C304" s="21">
        <v>13410</v>
      </c>
      <c r="D304" s="22"/>
      <c r="E304" s="23"/>
      <c r="H304" s="9"/>
    </row>
    <row r="305" spans="1:8">
      <c r="A305" s="25" t="str">
        <f>A304</f>
        <v>C00085</v>
      </c>
      <c r="B305" s="20" t="s">
        <v>5</v>
      </c>
      <c r="C305" s="21">
        <v>32780</v>
      </c>
      <c r="D305" s="22"/>
      <c r="E305" s="23"/>
      <c r="H305" s="9"/>
    </row>
    <row r="306" spans="1:8">
      <c r="A306" s="25" t="str">
        <f>A305</f>
        <v>C00085</v>
      </c>
      <c r="B306" s="20" t="s">
        <v>6</v>
      </c>
      <c r="C306" s="21">
        <v>13410</v>
      </c>
      <c r="D306" s="22"/>
      <c r="E306" s="23"/>
      <c r="H306" s="9"/>
    </row>
    <row r="307" spans="1:8">
      <c r="A307" s="26" t="str">
        <f>A306</f>
        <v>C00085</v>
      </c>
      <c r="B307" s="20" t="s">
        <v>7</v>
      </c>
      <c r="C307" s="21">
        <v>49170</v>
      </c>
      <c r="D307" s="22"/>
      <c r="E307" s="23"/>
      <c r="H307" s="9"/>
    </row>
    <row r="308" spans="1:8">
      <c r="A308" s="19" t="s">
        <v>92</v>
      </c>
      <c r="B308" s="20" t="s">
        <v>4</v>
      </c>
      <c r="C308" s="21">
        <v>65560</v>
      </c>
      <c r="D308" s="22"/>
      <c r="E308" s="23"/>
      <c r="H308" s="9"/>
    </row>
    <row r="309" spans="1:8">
      <c r="A309" s="26" t="str">
        <f>A308</f>
        <v>C00086</v>
      </c>
      <c r="B309" s="20" t="s">
        <v>6</v>
      </c>
      <c r="C309" s="21">
        <v>40230</v>
      </c>
      <c r="D309" s="22"/>
      <c r="E309" s="23"/>
      <c r="H309" s="9"/>
    </row>
    <row r="310" spans="1:8">
      <c r="A310" s="19" t="s">
        <v>93</v>
      </c>
      <c r="B310" s="20" t="s">
        <v>4</v>
      </c>
      <c r="C310" s="21">
        <v>134100</v>
      </c>
      <c r="D310" s="22"/>
      <c r="E310" s="23"/>
      <c r="H310" s="9"/>
    </row>
    <row r="311" spans="1:8">
      <c r="A311" s="25" t="str">
        <f>A310</f>
        <v>C00087</v>
      </c>
      <c r="B311" s="20" t="s">
        <v>5</v>
      </c>
      <c r="C311" s="21">
        <v>49170</v>
      </c>
      <c r="D311" s="22"/>
      <c r="E311" s="23"/>
      <c r="H311" s="9"/>
    </row>
    <row r="312" spans="1:8">
      <c r="A312" s="25" t="str">
        <f>A311</f>
        <v>C00087</v>
      </c>
      <c r="B312" s="20" t="s">
        <v>6</v>
      </c>
      <c r="C312" s="21">
        <v>26820</v>
      </c>
      <c r="D312" s="22"/>
      <c r="E312" s="23"/>
      <c r="H312" s="9"/>
    </row>
    <row r="313" spans="1:8">
      <c r="A313" s="26" t="str">
        <f>A312</f>
        <v>C00087</v>
      </c>
      <c r="B313" s="20" t="s">
        <v>7</v>
      </c>
      <c r="C313" s="21">
        <v>81950</v>
      </c>
      <c r="D313" s="22"/>
      <c r="E313" s="23"/>
      <c r="H313" s="9"/>
    </row>
    <row r="314" spans="1:8">
      <c r="A314" s="19" t="s">
        <v>94</v>
      </c>
      <c r="B314" s="20" t="s">
        <v>4</v>
      </c>
      <c r="C314" s="21">
        <v>65560</v>
      </c>
      <c r="D314" s="22"/>
      <c r="E314" s="23"/>
      <c r="H314" s="9"/>
    </row>
    <row r="315" spans="1:8">
      <c r="A315" s="25" t="str">
        <f>A314</f>
        <v>C00088</v>
      </c>
      <c r="B315" s="20" t="s">
        <v>5</v>
      </c>
      <c r="C315" s="21">
        <v>67050</v>
      </c>
      <c r="D315" s="22"/>
      <c r="E315" s="23"/>
      <c r="H315" s="9"/>
    </row>
    <row r="316" spans="1:8">
      <c r="A316" s="25" t="str">
        <f>A315</f>
        <v>C00088</v>
      </c>
      <c r="B316" s="20" t="s">
        <v>6</v>
      </c>
      <c r="C316" s="21">
        <v>53640</v>
      </c>
      <c r="D316" s="22"/>
      <c r="E316" s="23"/>
      <c r="H316" s="9"/>
    </row>
    <row r="317" spans="1:8">
      <c r="A317" s="26" t="str">
        <f>A316</f>
        <v>C00088</v>
      </c>
      <c r="B317" s="20" t="s">
        <v>7</v>
      </c>
      <c r="C317" s="21">
        <v>44700</v>
      </c>
      <c r="D317" s="22"/>
      <c r="E317" s="23"/>
      <c r="H317" s="9"/>
    </row>
    <row r="318" spans="1:8">
      <c r="A318" s="19" t="s">
        <v>95</v>
      </c>
      <c r="B318" s="20" t="s">
        <v>4</v>
      </c>
      <c r="C318" s="21">
        <v>53640</v>
      </c>
      <c r="D318" s="22"/>
      <c r="E318" s="23"/>
      <c r="H318" s="9"/>
    </row>
    <row r="319" spans="1:8">
      <c r="A319" s="25" t="str">
        <f>A318</f>
        <v>C00089</v>
      </c>
      <c r="B319" s="20" t="s">
        <v>5</v>
      </c>
      <c r="C319" s="21">
        <v>16390</v>
      </c>
      <c r="D319" s="22"/>
      <c r="E319" s="23"/>
      <c r="H319" s="9"/>
    </row>
    <row r="320" spans="1:8">
      <c r="A320" s="25" t="str">
        <f>A319</f>
        <v>C00089</v>
      </c>
      <c r="B320" s="20" t="s">
        <v>6</v>
      </c>
      <c r="C320" s="21">
        <v>26820</v>
      </c>
      <c r="D320" s="22"/>
      <c r="E320" s="23"/>
      <c r="H320" s="9"/>
    </row>
    <row r="321" spans="1:8">
      <c r="A321" s="26" t="str">
        <f>A320</f>
        <v>C00089</v>
      </c>
      <c r="B321" s="20" t="s">
        <v>7</v>
      </c>
      <c r="C321" s="21">
        <v>14900</v>
      </c>
      <c r="D321" s="22"/>
      <c r="E321" s="23"/>
      <c r="H321" s="9"/>
    </row>
    <row r="322" spans="1:8">
      <c r="A322" s="19" t="s">
        <v>96</v>
      </c>
      <c r="B322" s="20" t="s">
        <v>4</v>
      </c>
      <c r="C322" s="21">
        <v>40230</v>
      </c>
      <c r="D322" s="22"/>
      <c r="E322" s="23"/>
      <c r="H322" s="9"/>
    </row>
    <row r="323" spans="1:8">
      <c r="A323" s="25" t="str">
        <f>A322</f>
        <v>C00090</v>
      </c>
      <c r="B323" s="20" t="s">
        <v>5</v>
      </c>
      <c r="C323" s="21">
        <v>40230</v>
      </c>
      <c r="D323" s="22"/>
      <c r="E323" s="23"/>
      <c r="H323" s="9"/>
    </row>
    <row r="324" spans="1:8">
      <c r="A324" s="25" t="str">
        <f>A323</f>
        <v>C00090</v>
      </c>
      <c r="B324" s="20" t="s">
        <v>6</v>
      </c>
      <c r="C324" s="21">
        <v>16390</v>
      </c>
      <c r="D324" s="22"/>
      <c r="E324" s="23"/>
      <c r="H324" s="9"/>
    </row>
    <row r="325" spans="1:8">
      <c r="A325" s="26" t="str">
        <f>A324</f>
        <v>C00090</v>
      </c>
      <c r="B325" s="20" t="s">
        <v>7</v>
      </c>
      <c r="C325" s="21">
        <v>32780</v>
      </c>
      <c r="D325" s="22"/>
      <c r="E325" s="23"/>
      <c r="H325" s="9"/>
    </row>
    <row r="326" spans="1:8">
      <c r="A326" s="19" t="s">
        <v>97</v>
      </c>
      <c r="B326" s="20" t="s">
        <v>4</v>
      </c>
      <c r="C326" s="21">
        <v>14900</v>
      </c>
      <c r="D326" s="22"/>
      <c r="E326" s="23"/>
      <c r="H326" s="9"/>
    </row>
    <row r="327" spans="1:8">
      <c r="A327" s="25" t="str">
        <f>A326</f>
        <v>C00091</v>
      </c>
      <c r="B327" s="20" t="s">
        <v>5</v>
      </c>
      <c r="C327" s="21">
        <v>49170</v>
      </c>
      <c r="D327" s="22"/>
      <c r="E327" s="23"/>
      <c r="H327" s="9"/>
    </row>
    <row r="328" spans="1:8">
      <c r="A328" s="25" t="str">
        <f>A327</f>
        <v>C00091</v>
      </c>
      <c r="B328" s="20" t="s">
        <v>6</v>
      </c>
      <c r="C328" s="21">
        <v>16390</v>
      </c>
      <c r="D328" s="22"/>
      <c r="E328" s="23"/>
      <c r="H328" s="9"/>
    </row>
    <row r="329" spans="1:8">
      <c r="A329" s="26" t="str">
        <f>A328</f>
        <v>C00091</v>
      </c>
      <c r="B329" s="20" t="s">
        <v>7</v>
      </c>
      <c r="C329" s="21">
        <v>26820</v>
      </c>
      <c r="D329" s="22"/>
      <c r="E329" s="23"/>
      <c r="H329" s="9"/>
    </row>
    <row r="330" spans="1:8">
      <c r="A330" s="19" t="s">
        <v>98</v>
      </c>
      <c r="B330" s="20" t="s">
        <v>4</v>
      </c>
      <c r="C330" s="21">
        <v>29800</v>
      </c>
      <c r="D330" s="22"/>
      <c r="E330" s="23"/>
      <c r="H330" s="9"/>
    </row>
    <row r="331" spans="1:8">
      <c r="A331" s="25" t="str">
        <f>A330</f>
        <v>C00092</v>
      </c>
      <c r="B331" s="20" t="s">
        <v>5</v>
      </c>
      <c r="C331" s="21">
        <v>59600</v>
      </c>
      <c r="D331" s="22"/>
      <c r="E331" s="23"/>
      <c r="H331" s="9"/>
    </row>
    <row r="332" spans="1:8">
      <c r="A332" s="25" t="str">
        <f>A331</f>
        <v>C00092</v>
      </c>
      <c r="B332" s="20" t="s">
        <v>6</v>
      </c>
      <c r="C332" s="21">
        <v>40230</v>
      </c>
      <c r="D332" s="22"/>
      <c r="E332" s="23"/>
      <c r="H332" s="9"/>
    </row>
    <row r="333" spans="1:8">
      <c r="A333" s="26" t="str">
        <f>A332</f>
        <v>C00092</v>
      </c>
      <c r="B333" s="20" t="s">
        <v>7</v>
      </c>
      <c r="C333" s="21">
        <v>14900</v>
      </c>
      <c r="D333" s="22"/>
      <c r="E333" s="23"/>
      <c r="H333" s="9"/>
    </row>
    <row r="334" spans="1:8">
      <c r="A334" s="19" t="s">
        <v>99</v>
      </c>
      <c r="B334" s="20" t="s">
        <v>4</v>
      </c>
      <c r="C334" s="21">
        <v>93870</v>
      </c>
      <c r="D334" s="22"/>
      <c r="E334" s="23"/>
      <c r="H334" s="9"/>
    </row>
    <row r="335" spans="1:8">
      <c r="A335" s="25" t="str">
        <f>A334</f>
        <v>C00093</v>
      </c>
      <c r="B335" s="20" t="s">
        <v>5</v>
      </c>
      <c r="C335" s="21">
        <v>14900</v>
      </c>
      <c r="D335" s="22"/>
      <c r="E335" s="23"/>
      <c r="H335" s="9"/>
    </row>
    <row r="336" spans="1:8">
      <c r="A336" s="25" t="str">
        <f>A335</f>
        <v>C00093</v>
      </c>
      <c r="B336" s="20" t="s">
        <v>6</v>
      </c>
      <c r="C336" s="21">
        <v>134100</v>
      </c>
      <c r="D336" s="22"/>
      <c r="E336" s="23"/>
      <c r="H336" s="9"/>
    </row>
    <row r="337" spans="1:8">
      <c r="A337" s="26" t="str">
        <f>A336</f>
        <v>C00093</v>
      </c>
      <c r="B337" s="20" t="s">
        <v>7</v>
      </c>
      <c r="C337" s="21">
        <v>49170</v>
      </c>
      <c r="D337" s="22"/>
      <c r="E337" s="23"/>
      <c r="H337" s="9"/>
    </row>
    <row r="338" spans="1:8">
      <c r="A338" s="19" t="s">
        <v>100</v>
      </c>
      <c r="B338" s="20" t="s">
        <v>4</v>
      </c>
      <c r="C338" s="21">
        <v>53640</v>
      </c>
      <c r="D338" s="22"/>
      <c r="E338" s="23"/>
      <c r="H338" s="9"/>
    </row>
    <row r="339" spans="1:8">
      <c r="A339" s="25" t="str">
        <f>A338</f>
        <v>C00094</v>
      </c>
      <c r="B339" s="20" t="s">
        <v>6</v>
      </c>
      <c r="C339" s="21">
        <v>89400</v>
      </c>
      <c r="D339" s="22"/>
      <c r="E339" s="23"/>
      <c r="H339" s="9"/>
    </row>
    <row r="340" spans="1:8">
      <c r="A340" s="26" t="str">
        <f>A339</f>
        <v>C00094</v>
      </c>
      <c r="B340" s="20" t="s">
        <v>7</v>
      </c>
      <c r="C340" s="21">
        <v>49170</v>
      </c>
      <c r="D340" s="22"/>
      <c r="E340" s="23"/>
      <c r="H340" s="9"/>
    </row>
    <row r="341" spans="1:8">
      <c r="A341" s="19" t="s">
        <v>101</v>
      </c>
      <c r="B341" s="20" t="s">
        <v>4</v>
      </c>
      <c r="C341" s="21">
        <v>49170</v>
      </c>
      <c r="D341" s="22"/>
      <c r="E341" s="23"/>
      <c r="H341" s="9"/>
    </row>
    <row r="342" spans="1:8">
      <c r="A342" s="25" t="str">
        <f>A341</f>
        <v>C00095</v>
      </c>
      <c r="B342" s="20" t="s">
        <v>5</v>
      </c>
      <c r="C342" s="21">
        <v>114730</v>
      </c>
      <c r="D342" s="22"/>
      <c r="E342" s="23"/>
      <c r="H342" s="9"/>
    </row>
    <row r="343" spans="1:8">
      <c r="A343" s="25" t="str">
        <f>A342</f>
        <v>C00095</v>
      </c>
      <c r="B343" s="20" t="s">
        <v>6</v>
      </c>
      <c r="C343" s="21">
        <v>114730</v>
      </c>
      <c r="D343" s="22"/>
      <c r="E343" s="23"/>
      <c r="H343" s="9"/>
    </row>
    <row r="344" spans="1:8">
      <c r="A344" s="26" t="str">
        <f>A343</f>
        <v>C00095</v>
      </c>
      <c r="B344" s="20" t="s">
        <v>7</v>
      </c>
      <c r="C344" s="21">
        <v>53640</v>
      </c>
      <c r="D344" s="22"/>
      <c r="E344" s="23"/>
      <c r="H344" s="9"/>
    </row>
    <row r="345" spans="1:8">
      <c r="A345" s="19" t="s">
        <v>102</v>
      </c>
      <c r="B345" s="20" t="s">
        <v>4</v>
      </c>
      <c r="C345" s="21">
        <v>14900</v>
      </c>
      <c r="D345" s="22"/>
      <c r="E345" s="23"/>
      <c r="H345" s="9"/>
    </row>
    <row r="346" spans="1:8">
      <c r="A346" s="25" t="str">
        <f>A345</f>
        <v>C00096</v>
      </c>
      <c r="B346" s="20" t="s">
        <v>5</v>
      </c>
      <c r="C346" s="21">
        <v>80460</v>
      </c>
      <c r="D346" s="22"/>
      <c r="E346" s="23"/>
      <c r="H346" s="9"/>
    </row>
    <row r="347" spans="1:8">
      <c r="A347" s="25" t="str">
        <f>A346</f>
        <v>C00096</v>
      </c>
      <c r="B347" s="20" t="s">
        <v>6</v>
      </c>
      <c r="C347" s="21">
        <v>67050</v>
      </c>
      <c r="D347" s="22"/>
      <c r="E347" s="23"/>
      <c r="H347" s="9"/>
    </row>
    <row r="348" spans="1:8">
      <c r="A348" s="26" t="str">
        <f>A347</f>
        <v>C00096</v>
      </c>
      <c r="B348" s="20" t="s">
        <v>7</v>
      </c>
      <c r="C348" s="21">
        <v>14900</v>
      </c>
      <c r="D348" s="22"/>
      <c r="E348" s="23"/>
      <c r="H348" s="9"/>
    </row>
    <row r="349" spans="1:8">
      <c r="A349" s="19" t="s">
        <v>103</v>
      </c>
      <c r="B349" s="20" t="s">
        <v>4</v>
      </c>
      <c r="C349" s="21">
        <v>59600</v>
      </c>
      <c r="D349" s="22"/>
      <c r="E349" s="23"/>
      <c r="H349" s="9"/>
    </row>
    <row r="350" spans="1:8">
      <c r="A350" s="25" t="str">
        <f>A349</f>
        <v>C00097</v>
      </c>
      <c r="B350" s="20" t="s">
        <v>5</v>
      </c>
      <c r="C350" s="21">
        <v>81950</v>
      </c>
      <c r="D350" s="22"/>
      <c r="E350" s="23"/>
      <c r="H350" s="9"/>
    </row>
    <row r="351" spans="1:8">
      <c r="A351" s="25" t="str">
        <f>A350</f>
        <v>C00097</v>
      </c>
      <c r="B351" s="20" t="s">
        <v>6</v>
      </c>
      <c r="C351" s="21">
        <v>89400</v>
      </c>
      <c r="D351" s="22"/>
      <c r="E351" s="23"/>
      <c r="H351" s="9"/>
    </row>
    <row r="352" spans="1:8">
      <c r="A352" s="26" t="str">
        <f>A351</f>
        <v>C00097</v>
      </c>
      <c r="B352" s="20" t="s">
        <v>7</v>
      </c>
      <c r="C352" s="21">
        <v>93870</v>
      </c>
      <c r="D352" s="22"/>
      <c r="E352" s="23"/>
      <c r="H352" s="9"/>
    </row>
    <row r="353" spans="1:8">
      <c r="A353" s="19" t="s">
        <v>104</v>
      </c>
      <c r="B353" s="20" t="s">
        <v>4</v>
      </c>
      <c r="C353" s="21">
        <v>178800</v>
      </c>
      <c r="D353" s="22"/>
      <c r="E353" s="23"/>
      <c r="H353" s="9"/>
    </row>
    <row r="354" spans="1:8">
      <c r="A354" s="25" t="str">
        <f>A353</f>
        <v>C00098</v>
      </c>
      <c r="B354" s="20" t="s">
        <v>5</v>
      </c>
      <c r="C354" s="21">
        <v>53640</v>
      </c>
      <c r="D354" s="22"/>
      <c r="E354" s="23"/>
      <c r="H354" s="9"/>
    </row>
    <row r="355" spans="1:8">
      <c r="A355" s="25" t="str">
        <f>A354</f>
        <v>C00098</v>
      </c>
      <c r="B355" s="20" t="s">
        <v>6</v>
      </c>
      <c r="C355" s="21">
        <v>59600</v>
      </c>
      <c r="D355" s="22"/>
      <c r="E355" s="23"/>
      <c r="H355" s="9"/>
    </row>
    <row r="356" spans="1:8">
      <c r="A356" s="26" t="str">
        <f>A355</f>
        <v>C00098</v>
      </c>
      <c r="B356" s="20" t="s">
        <v>7</v>
      </c>
      <c r="C356" s="21">
        <v>14900</v>
      </c>
      <c r="D356" s="22"/>
      <c r="E356" s="23"/>
      <c r="H356" s="9"/>
    </row>
    <row r="357" spans="1:8">
      <c r="A357" s="19" t="s">
        <v>105</v>
      </c>
      <c r="B357" s="20" t="s">
        <v>4</v>
      </c>
      <c r="C357" s="21">
        <v>40230</v>
      </c>
      <c r="D357" s="22"/>
      <c r="E357" s="23"/>
      <c r="H357" s="9"/>
    </row>
    <row r="358" spans="1:8">
      <c r="A358" s="25" t="str">
        <f>A357</f>
        <v>C00099</v>
      </c>
      <c r="B358" s="20" t="s">
        <v>5</v>
      </c>
      <c r="C358" s="21">
        <v>44700</v>
      </c>
      <c r="D358" s="22"/>
      <c r="E358" s="23"/>
      <c r="H358" s="9"/>
    </row>
    <row r="359" spans="1:8">
      <c r="A359" s="25" t="str">
        <f>A358</f>
        <v>C00099</v>
      </c>
      <c r="B359" s="20" t="s">
        <v>6</v>
      </c>
      <c r="C359" s="21">
        <v>13410</v>
      </c>
      <c r="D359" s="22"/>
      <c r="E359" s="23"/>
      <c r="H359" s="9"/>
    </row>
    <row r="360" spans="1:8">
      <c r="A360" s="26" t="str">
        <f>A359</f>
        <v>C00099</v>
      </c>
      <c r="B360" s="20" t="s">
        <v>7</v>
      </c>
      <c r="C360" s="21">
        <v>14900</v>
      </c>
      <c r="D360" s="22"/>
      <c r="E360" s="23"/>
      <c r="H360" s="9"/>
    </row>
    <row r="361" spans="1:8">
      <c r="A361" s="19" t="s">
        <v>106</v>
      </c>
      <c r="B361" s="20" t="s">
        <v>4</v>
      </c>
      <c r="C361" s="21">
        <v>49170</v>
      </c>
      <c r="D361" s="22"/>
      <c r="E361" s="23"/>
      <c r="H361" s="9"/>
    </row>
    <row r="362" spans="1:8">
      <c r="A362" s="25" t="str">
        <f>A361</f>
        <v>C00100</v>
      </c>
      <c r="B362" s="20" t="s">
        <v>5</v>
      </c>
      <c r="C362" s="21">
        <v>59600</v>
      </c>
      <c r="D362" s="22"/>
      <c r="E362" s="23"/>
      <c r="H362" s="9"/>
    </row>
    <row r="363" spans="1:8">
      <c r="A363" s="25" t="str">
        <f>A362</f>
        <v>C00100</v>
      </c>
      <c r="B363" s="20" t="s">
        <v>6</v>
      </c>
      <c r="C363" s="21">
        <v>14900</v>
      </c>
      <c r="D363" s="22"/>
      <c r="E363" s="23"/>
      <c r="H363" s="9"/>
    </row>
    <row r="364" spans="1:8">
      <c r="A364" s="26" t="str">
        <f>A363</f>
        <v>C00100</v>
      </c>
      <c r="B364" s="20" t="s">
        <v>7</v>
      </c>
      <c r="C364" s="21">
        <v>16390</v>
      </c>
      <c r="D364" s="22"/>
      <c r="E364" s="23"/>
      <c r="H364" s="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115" zoomScaleNormal="115" workbookViewId="0">
      <selection activeCell="G6" sqref="G6"/>
    </sheetView>
  </sheetViews>
  <sheetFormatPr defaultColWidth="8.88888888888889" defaultRowHeight="15.75"/>
  <sheetData/>
  <pageMargins left="0.751388888888889" right="0.751388888888889" top="1" bottom="1" header="0.5" footer="0.5"/>
  <pageSetup paperSize="9" pageOrder="overThenDown" orientation="landscape" horizontalDpi="600"/>
  <headerFooter>
    <oddHeader>&amp;C&amp;A</oddHeader>
    <oddFooter>&amp;C&amp;Pof&amp;N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workbookViewId="0">
      <selection activeCell="H18" sqref="H18"/>
    </sheetView>
  </sheetViews>
  <sheetFormatPr defaultColWidth="8.91111111111111" defaultRowHeight="14.25"/>
  <cols>
    <col min="1" max="1" width="9.66666666666667" style="2" customWidth="1"/>
    <col min="2" max="2" width="7.58518518518519" style="2" customWidth="1"/>
    <col min="3" max="3" width="12.7777777777778" style="2" customWidth="1"/>
    <col min="4" max="4" width="7.58518518518519" style="2" customWidth="1"/>
    <col min="5" max="5" width="10.2518518518519" style="2" customWidth="1"/>
    <col min="6" max="6" width="9.22222222222222" style="2"/>
    <col min="7" max="7" width="11.0814814814815" style="9" customWidth="1"/>
    <col min="8" max="9" width="8.91111111111111" style="9"/>
    <col min="10" max="10" width="10.8296296296296" style="2" customWidth="1"/>
    <col min="11" max="16384" width="8.91111111111111" style="9"/>
  </cols>
  <sheetData>
    <row r="1" spans="1:7">
      <c r="A1" s="2" t="s">
        <v>0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10"/>
    </row>
    <row r="2" spans="1:10">
      <c r="A2" s="2" t="s">
        <v>3</v>
      </c>
      <c r="B2" s="2" t="s">
        <v>112</v>
      </c>
      <c r="C2" s="11">
        <v>25158</v>
      </c>
      <c r="D2" s="12">
        <f t="shared" ref="D2:D33" si="0">DATEDIF(C2,"2017-1-1","y")</f>
        <v>48</v>
      </c>
      <c r="E2" s="12" t="str">
        <f>VLOOKUP(D2,按年龄和性别!$A$16:$B$27,2,TRUE)</f>
        <v>45-49岁</v>
      </c>
      <c r="F2" s="13">
        <f>SUMIFS('2016年消费'!$C$1:$C$364,'2016年消费'!$A$1:$A$364,A2)</f>
        <v>16708</v>
      </c>
      <c r="G2" s="14"/>
      <c r="J2" s="15"/>
    </row>
    <row r="3" spans="1:10">
      <c r="A3" s="2" t="s">
        <v>8</v>
      </c>
      <c r="B3" s="2" t="s">
        <v>113</v>
      </c>
      <c r="C3" s="11">
        <v>26844</v>
      </c>
      <c r="D3" s="12">
        <f t="shared" si="0"/>
        <v>43</v>
      </c>
      <c r="E3" s="12" t="str">
        <f>VLOOKUP(D3,按年龄和性别!$A$16:$B$27,2,TRUE)</f>
        <v>40-44岁</v>
      </c>
      <c r="F3" s="13">
        <f>SUMIFS('2016年消费'!$C$1:$C$364,'2016年消费'!$A$1:$A$364,A3)</f>
        <v>18998</v>
      </c>
      <c r="G3" s="14"/>
      <c r="J3" s="15"/>
    </row>
    <row r="4" spans="1:10">
      <c r="A4" s="2" t="s">
        <v>9</v>
      </c>
      <c r="B4" s="2" t="s">
        <v>113</v>
      </c>
      <c r="C4" s="11">
        <v>26821</v>
      </c>
      <c r="D4" s="12">
        <f t="shared" si="0"/>
        <v>43</v>
      </c>
      <c r="E4" s="12" t="str">
        <f>VLOOKUP(D4,按年龄和性别!$A$16:$B$27,2,TRUE)</f>
        <v>40-44岁</v>
      </c>
      <c r="F4" s="13">
        <f>SUMIFS('2016年消费'!$C$1:$C$364,'2016年消费'!$A$1:$A$364,A4)</f>
        <v>31814</v>
      </c>
      <c r="G4" s="14"/>
      <c r="J4" s="15"/>
    </row>
    <row r="5" spans="1:10">
      <c r="A5" s="2" t="s">
        <v>10</v>
      </c>
      <c r="B5" s="2" t="s">
        <v>112</v>
      </c>
      <c r="C5" s="11">
        <v>26210</v>
      </c>
      <c r="D5" s="12">
        <f t="shared" si="0"/>
        <v>45</v>
      </c>
      <c r="E5" s="12" t="str">
        <f>VLOOKUP(D5,按年龄和性别!$A$16:$B$27,2,TRUE)</f>
        <v>45-49岁</v>
      </c>
      <c r="F5" s="13">
        <f>SUMIFS('2016年消费'!$C$1:$C$364,'2016年消费'!$A$1:$A$364,A5)</f>
        <v>40282</v>
      </c>
      <c r="G5" s="14"/>
      <c r="J5" s="15"/>
    </row>
    <row r="6" spans="1:10">
      <c r="A6" s="2" t="s">
        <v>11</v>
      </c>
      <c r="B6" s="2" t="s">
        <v>113</v>
      </c>
      <c r="C6" s="11">
        <v>22633</v>
      </c>
      <c r="D6" s="12">
        <f t="shared" si="0"/>
        <v>55</v>
      </c>
      <c r="E6" s="12" t="str">
        <f>VLOOKUP(D6,按年龄和性别!$A$16:$B$27,2,TRUE)</f>
        <v>55-59岁</v>
      </c>
      <c r="F6" s="13">
        <f>SUMIFS('2016年消费'!$C$1:$C$364,'2016年消费'!$A$1:$A$364,A6)</f>
        <v>20600</v>
      </c>
      <c r="G6" s="14"/>
      <c r="J6" s="15"/>
    </row>
    <row r="7" spans="1:10">
      <c r="A7" s="2" t="s">
        <v>12</v>
      </c>
      <c r="B7" s="2" t="s">
        <v>112</v>
      </c>
      <c r="C7" s="11">
        <v>23609</v>
      </c>
      <c r="D7" s="12">
        <f t="shared" si="0"/>
        <v>52</v>
      </c>
      <c r="E7" s="12" t="str">
        <f>VLOOKUP(D7,按年龄和性别!$A$16:$B$27,2,TRUE)</f>
        <v>50-54岁</v>
      </c>
      <c r="F7" s="13">
        <f>SUMIFS('2016年消费'!$C$1:$C$364,'2016年消费'!$A$1:$A$364,A7)</f>
        <v>14648</v>
      </c>
      <c r="G7" s="14"/>
      <c r="J7" s="15"/>
    </row>
    <row r="8" spans="1:10">
      <c r="A8" s="2" t="s">
        <v>13</v>
      </c>
      <c r="B8" s="2" t="s">
        <v>113</v>
      </c>
      <c r="C8" s="11">
        <v>31834</v>
      </c>
      <c r="D8" s="12">
        <f t="shared" si="0"/>
        <v>29</v>
      </c>
      <c r="E8" s="12" t="str">
        <f>VLOOKUP(D8,按年龄和性别!$A$16:$B$27,2,TRUE)</f>
        <v>30岁以下</v>
      </c>
      <c r="F8" s="13">
        <f>SUMIFS('2016年消费'!$C$1:$C$364,'2016年消费'!$A$1:$A$364,A8)</f>
        <v>14420</v>
      </c>
      <c r="G8" s="14"/>
      <c r="J8" s="15"/>
    </row>
    <row r="9" spans="1:10">
      <c r="A9" s="2" t="s">
        <v>14</v>
      </c>
      <c r="B9" s="2" t="s">
        <v>112</v>
      </c>
      <c r="C9" s="11">
        <v>32078</v>
      </c>
      <c r="D9" s="12">
        <f t="shared" si="0"/>
        <v>29</v>
      </c>
      <c r="E9" s="12" t="str">
        <f>VLOOKUP(D9,按年龄和性别!$A$16:$B$27,2,TRUE)</f>
        <v>30岁以下</v>
      </c>
      <c r="F9" s="13">
        <f>SUMIFS('2016年消费'!$C$1:$C$364,'2016年消费'!$A$1:$A$364,A9)</f>
        <v>18998</v>
      </c>
      <c r="G9" s="14"/>
      <c r="J9" s="15"/>
    </row>
    <row r="10" spans="1:10">
      <c r="A10" s="2" t="s">
        <v>15</v>
      </c>
      <c r="B10" s="2" t="s">
        <v>112</v>
      </c>
      <c r="C10" s="11">
        <v>23355</v>
      </c>
      <c r="D10" s="12">
        <f t="shared" si="0"/>
        <v>53</v>
      </c>
      <c r="E10" s="12" t="str">
        <f>VLOOKUP(D10,按年龄和性别!$A$16:$B$27,2,TRUE)</f>
        <v>50-54岁</v>
      </c>
      <c r="F10" s="13">
        <f>SUMIFS('2016年消费'!$C$1:$C$364,'2016年消费'!$A$1:$A$364,A10)</f>
        <v>38223</v>
      </c>
      <c r="G10" s="14"/>
      <c r="J10" s="15"/>
    </row>
    <row r="11" spans="1:10">
      <c r="A11" s="2" t="s">
        <v>16</v>
      </c>
      <c r="B11" s="2" t="s">
        <v>112</v>
      </c>
      <c r="C11" s="11">
        <v>26018</v>
      </c>
      <c r="D11" s="12">
        <f t="shared" si="0"/>
        <v>45</v>
      </c>
      <c r="E11" s="12" t="str">
        <f>VLOOKUP(D11,按年龄和性别!$A$16:$B$27,2,TRUE)</f>
        <v>45-49岁</v>
      </c>
      <c r="F11" s="13">
        <f>SUMIFS('2016年消费'!$C$1:$C$364,'2016年消费'!$A$1:$A$364,A11)</f>
        <v>41428</v>
      </c>
      <c r="G11" s="14"/>
      <c r="J11" s="15"/>
    </row>
    <row r="12" spans="1:10">
      <c r="A12" s="2" t="s">
        <v>17</v>
      </c>
      <c r="B12" s="2" t="s">
        <v>113</v>
      </c>
      <c r="C12" s="11">
        <v>26141</v>
      </c>
      <c r="D12" s="12">
        <f t="shared" si="0"/>
        <v>45</v>
      </c>
      <c r="E12" s="12" t="str">
        <f>VLOOKUP(D12,按年龄和性别!$A$16:$B$27,2,TRUE)</f>
        <v>45-49岁</v>
      </c>
      <c r="F12" s="13">
        <f>SUMIFS('2016年消费'!$C$1:$C$364,'2016年消费'!$A$1:$A$364,A12)</f>
        <v>17623</v>
      </c>
      <c r="G12" s="14"/>
      <c r="J12" s="15"/>
    </row>
    <row r="13" spans="1:10">
      <c r="A13" s="2" t="s">
        <v>18</v>
      </c>
      <c r="B13" s="2" t="s">
        <v>112</v>
      </c>
      <c r="C13" s="11">
        <v>16770</v>
      </c>
      <c r="D13" s="12">
        <f t="shared" si="0"/>
        <v>71</v>
      </c>
      <c r="E13" s="12" t="str">
        <f>VLOOKUP(D13,按年龄和性别!$A$16:$B$27,2,TRUE)</f>
        <v>70-74岁</v>
      </c>
      <c r="F13" s="13">
        <f>SUMIFS('2016年消费'!$C$1:$C$364,'2016年消费'!$A$1:$A$364,A13)</f>
        <v>91781</v>
      </c>
      <c r="G13" s="14"/>
      <c r="J13" s="15"/>
    </row>
    <row r="14" spans="1:10">
      <c r="A14" s="2" t="s">
        <v>19</v>
      </c>
      <c r="B14" s="2" t="s">
        <v>112</v>
      </c>
      <c r="C14" s="11">
        <v>17905</v>
      </c>
      <c r="D14" s="12">
        <f t="shared" si="0"/>
        <v>67</v>
      </c>
      <c r="E14" s="12" t="str">
        <f>VLOOKUP(D14,按年龄和性别!$A$16:$B$27,2,TRUE)</f>
        <v>65-69岁</v>
      </c>
      <c r="F14" s="13">
        <f>SUMIFS('2016年消费'!$C$1:$C$364,'2016年消费'!$A$1:$A$364,A14)</f>
        <v>24948</v>
      </c>
      <c r="G14" s="14"/>
      <c r="J14" s="15"/>
    </row>
    <row r="15" spans="1:10">
      <c r="A15" s="2" t="s">
        <v>20</v>
      </c>
      <c r="B15" s="2" t="s">
        <v>113</v>
      </c>
      <c r="C15" s="11">
        <v>17077</v>
      </c>
      <c r="D15" s="12">
        <f t="shared" si="0"/>
        <v>70</v>
      </c>
      <c r="E15" s="12" t="str">
        <f>VLOOKUP(D15,按年龄和性别!$A$16:$B$27,2,TRUE)</f>
        <v>70-74岁</v>
      </c>
      <c r="F15" s="13">
        <f>SUMIFS('2016年消费'!$C$1:$C$364,'2016年消费'!$A$1:$A$364,A15)</f>
        <v>48980</v>
      </c>
      <c r="G15" s="14"/>
      <c r="J15" s="15"/>
    </row>
    <row r="16" spans="1:10">
      <c r="A16" s="2" t="s">
        <v>21</v>
      </c>
      <c r="B16" s="2" t="s">
        <v>112</v>
      </c>
      <c r="C16" s="11">
        <v>18872</v>
      </c>
      <c r="D16" s="12">
        <f t="shared" si="0"/>
        <v>65</v>
      </c>
      <c r="E16" s="12" t="str">
        <f>VLOOKUP(D16,按年龄和性别!$A$16:$B$27,2,TRUE)</f>
        <v>65-69岁</v>
      </c>
      <c r="F16" s="13">
        <f>SUMIFS('2016年消费'!$C$1:$C$364,'2016年消费'!$A$1:$A$364,A16)</f>
        <v>68206</v>
      </c>
      <c r="G16" s="14"/>
      <c r="J16" s="15"/>
    </row>
    <row r="17" spans="1:10">
      <c r="A17" s="2" t="s">
        <v>22</v>
      </c>
      <c r="B17" s="2" t="s">
        <v>113</v>
      </c>
      <c r="C17" s="11">
        <v>18846</v>
      </c>
      <c r="D17" s="12">
        <f t="shared" si="0"/>
        <v>65</v>
      </c>
      <c r="E17" s="12" t="str">
        <f>VLOOKUP(D17,按年龄和性别!$A$16:$B$27,2,TRUE)</f>
        <v>65-69岁</v>
      </c>
      <c r="F17" s="13">
        <f>SUMIFS('2016年消费'!$C$1:$C$364,'2016年消费'!$A$1:$A$364,A17)</f>
        <v>23116</v>
      </c>
      <c r="G17" s="14"/>
      <c r="J17" s="15"/>
    </row>
    <row r="18" spans="1:10">
      <c r="A18" s="2" t="s">
        <v>23</v>
      </c>
      <c r="B18" s="2" t="s">
        <v>112</v>
      </c>
      <c r="C18" s="11">
        <v>23110</v>
      </c>
      <c r="D18" s="12">
        <f t="shared" si="0"/>
        <v>53</v>
      </c>
      <c r="E18" s="12" t="str">
        <f>VLOOKUP(D18,按年龄和性别!$A$16:$B$27,2,TRUE)</f>
        <v>50-54岁</v>
      </c>
      <c r="F18" s="13">
        <f>SUMIFS('2016年消费'!$C$1:$C$364,'2016年消费'!$A$1:$A$364,A18)</f>
        <v>19913</v>
      </c>
      <c r="G18" s="14"/>
      <c r="J18" s="15"/>
    </row>
    <row r="19" spans="1:10">
      <c r="A19" s="2" t="s">
        <v>24</v>
      </c>
      <c r="B19" s="2" t="s">
        <v>113</v>
      </c>
      <c r="C19" s="11">
        <v>25432</v>
      </c>
      <c r="D19" s="12">
        <f t="shared" si="0"/>
        <v>47</v>
      </c>
      <c r="E19" s="12" t="str">
        <f>VLOOKUP(D19,按年龄和性别!$A$16:$B$27,2,TRUE)</f>
        <v>45-49岁</v>
      </c>
      <c r="F19" s="13">
        <f>SUMIFS('2016年消费'!$C$1:$C$364,'2016年消费'!$A$1:$A$364,A19)</f>
        <v>26779</v>
      </c>
      <c r="G19" s="14"/>
      <c r="J19" s="15"/>
    </row>
    <row r="20" spans="1:10">
      <c r="A20" s="2" t="s">
        <v>25</v>
      </c>
      <c r="B20" s="2" t="s">
        <v>112</v>
      </c>
      <c r="C20" s="11">
        <v>15957</v>
      </c>
      <c r="D20" s="12">
        <f t="shared" si="0"/>
        <v>73</v>
      </c>
      <c r="E20" s="12" t="str">
        <f>VLOOKUP(D20,按年龄和性别!$A$16:$B$27,2,TRUE)</f>
        <v>70-74岁</v>
      </c>
      <c r="F20" s="13">
        <f>SUMIFS('2016年消费'!$C$1:$C$364,'2016年消费'!$A$1:$A$364,A20)</f>
        <v>23575</v>
      </c>
      <c r="G20" s="14"/>
      <c r="J20" s="15"/>
    </row>
    <row r="21" spans="1:10">
      <c r="A21" s="2" t="s">
        <v>26</v>
      </c>
      <c r="B21" s="2" t="s">
        <v>113</v>
      </c>
      <c r="C21" s="11">
        <v>27605</v>
      </c>
      <c r="D21" s="12">
        <f t="shared" si="0"/>
        <v>41</v>
      </c>
      <c r="E21" s="12" t="str">
        <f>VLOOKUP(D21,按年龄和性别!$A$16:$B$27,2,TRUE)</f>
        <v>40-44岁</v>
      </c>
      <c r="F21" s="13">
        <f>SUMIFS('2016年消费'!$C$1:$C$364,'2016年消费'!$A$1:$A$364,A21)</f>
        <v>31358</v>
      </c>
      <c r="G21" s="14"/>
      <c r="J21" s="15"/>
    </row>
    <row r="22" spans="1:10">
      <c r="A22" s="2" t="s">
        <v>27</v>
      </c>
      <c r="B22" s="2" t="s">
        <v>113</v>
      </c>
      <c r="C22" s="11">
        <v>27235</v>
      </c>
      <c r="D22" s="12">
        <f t="shared" si="0"/>
        <v>42</v>
      </c>
      <c r="E22" s="12" t="str">
        <f>VLOOKUP(D22,按年龄和性别!$A$16:$B$27,2,TRUE)</f>
        <v>40-44岁</v>
      </c>
      <c r="F22" s="13">
        <f>SUMIFS('2016年消费'!$C$1:$C$364,'2016年消费'!$A$1:$A$364,A22)</f>
        <v>32730</v>
      </c>
      <c r="G22" s="14"/>
      <c r="J22" s="15"/>
    </row>
    <row r="23" spans="1:10">
      <c r="A23" s="2" t="s">
        <v>28</v>
      </c>
      <c r="B23" s="2" t="s">
        <v>112</v>
      </c>
      <c r="C23" s="11">
        <v>26766</v>
      </c>
      <c r="D23" s="12">
        <f t="shared" si="0"/>
        <v>43</v>
      </c>
      <c r="E23" s="12" t="str">
        <f>VLOOKUP(D23,按年龄和性别!$A$16:$B$27,2,TRUE)</f>
        <v>40-44岁</v>
      </c>
      <c r="F23" s="13">
        <f>SUMIFS('2016年消费'!$C$1:$C$364,'2016年消费'!$A$1:$A$364,A23)</f>
        <v>19684</v>
      </c>
      <c r="G23" s="14"/>
      <c r="J23" s="15"/>
    </row>
    <row r="24" spans="1:10">
      <c r="A24" s="2" t="s">
        <v>29</v>
      </c>
      <c r="B24" s="2" t="s">
        <v>113</v>
      </c>
      <c r="C24" s="11">
        <v>26765</v>
      </c>
      <c r="D24" s="12">
        <f t="shared" si="0"/>
        <v>43</v>
      </c>
      <c r="E24" s="12" t="str">
        <f>VLOOKUP(D24,按年龄和性别!$A$16:$B$27,2,TRUE)</f>
        <v>40-44岁</v>
      </c>
      <c r="F24" s="13">
        <f>SUMIFS('2016年消费'!$C$1:$C$364,'2016年消费'!$A$1:$A$364,A24)</f>
        <v>16022</v>
      </c>
      <c r="G24" s="14"/>
      <c r="J24" s="15"/>
    </row>
    <row r="25" spans="1:10">
      <c r="A25" s="2" t="s">
        <v>30</v>
      </c>
      <c r="B25" s="2" t="s">
        <v>112</v>
      </c>
      <c r="C25" s="11">
        <v>26506</v>
      </c>
      <c r="D25" s="12">
        <f t="shared" si="0"/>
        <v>44</v>
      </c>
      <c r="E25" s="12" t="str">
        <f>VLOOKUP(D25,按年龄和性别!$A$16:$B$27,2,TRUE)</f>
        <v>40-44岁</v>
      </c>
      <c r="F25" s="13">
        <f>SUMIFS('2016年消费'!$C$1:$C$364,'2016年消费'!$A$1:$A$364,A25)</f>
        <v>39140</v>
      </c>
      <c r="G25" s="14"/>
      <c r="J25" s="15"/>
    </row>
    <row r="26" spans="1:10">
      <c r="A26" s="2" t="s">
        <v>31</v>
      </c>
      <c r="B26" s="2" t="s">
        <v>112</v>
      </c>
      <c r="C26" s="11">
        <v>26119</v>
      </c>
      <c r="D26" s="12">
        <f t="shared" si="0"/>
        <v>45</v>
      </c>
      <c r="E26" s="12" t="str">
        <f>VLOOKUP(D26,按年龄和性别!$A$16:$B$27,2,TRUE)</f>
        <v>45-49岁</v>
      </c>
      <c r="F26" s="13">
        <f>SUMIFS('2016年消费'!$C$1:$C$364,'2016年消费'!$A$1:$A$364,A26)</f>
        <v>19227</v>
      </c>
      <c r="G26" s="14"/>
      <c r="J26" s="15"/>
    </row>
    <row r="27" spans="1:10">
      <c r="A27" s="2" t="s">
        <v>32</v>
      </c>
      <c r="B27" s="2" t="s">
        <v>112</v>
      </c>
      <c r="C27" s="11">
        <v>19140</v>
      </c>
      <c r="D27" s="12">
        <f t="shared" si="0"/>
        <v>64</v>
      </c>
      <c r="E27" s="12" t="str">
        <f>VLOOKUP(D27,按年龄和性别!$A$16:$B$27,2,TRUE)</f>
        <v>60-64岁</v>
      </c>
      <c r="F27" s="13">
        <f>SUMIFS('2016年消费'!$C$1:$C$364,'2016年消费'!$A$1:$A$364,A27)</f>
        <v>40511</v>
      </c>
      <c r="G27" s="14"/>
      <c r="J27" s="15"/>
    </row>
    <row r="28" spans="1:10">
      <c r="A28" s="2" t="s">
        <v>33</v>
      </c>
      <c r="B28" s="2" t="s">
        <v>112</v>
      </c>
      <c r="C28" s="11">
        <v>19299</v>
      </c>
      <c r="D28" s="12">
        <f t="shared" si="0"/>
        <v>64</v>
      </c>
      <c r="E28" s="12" t="str">
        <f>VLOOKUP(D28,按年龄和性别!$A$16:$B$27,2,TRUE)</f>
        <v>60-64岁</v>
      </c>
      <c r="F28" s="13">
        <f>SUMIFS('2016年消费'!$C$1:$C$364,'2016年消费'!$A$1:$A$364,A28)</f>
        <v>33187</v>
      </c>
      <c r="G28" s="14"/>
      <c r="J28" s="15"/>
    </row>
    <row r="29" spans="1:10">
      <c r="A29" s="2" t="s">
        <v>34</v>
      </c>
      <c r="B29" s="2" t="s">
        <v>112</v>
      </c>
      <c r="C29" s="11">
        <v>22406</v>
      </c>
      <c r="D29" s="12">
        <f t="shared" si="0"/>
        <v>55</v>
      </c>
      <c r="E29" s="12" t="str">
        <f>VLOOKUP(D29,按年龄和性别!$A$16:$B$27,2,TRUE)</f>
        <v>55-59岁</v>
      </c>
      <c r="F29" s="13">
        <f>SUMIFS('2016年消费'!$C$1:$C$364,'2016年消费'!$A$1:$A$364,A29)</f>
        <v>13276</v>
      </c>
      <c r="G29" s="14"/>
      <c r="J29" s="15"/>
    </row>
    <row r="30" spans="1:10">
      <c r="A30" s="2" t="s">
        <v>35</v>
      </c>
      <c r="B30" s="2" t="s">
        <v>112</v>
      </c>
      <c r="C30" s="11">
        <v>22650</v>
      </c>
      <c r="D30" s="12">
        <f t="shared" si="0"/>
        <v>54</v>
      </c>
      <c r="E30" s="12" t="str">
        <f>VLOOKUP(D30,按年龄和性别!$A$16:$B$27,2,TRUE)</f>
        <v>50-54岁</v>
      </c>
      <c r="F30" s="13">
        <f>SUMIFS('2016年消费'!$C$1:$C$364,'2016年消费'!$A$1:$A$364,A30)</f>
        <v>29296</v>
      </c>
      <c r="G30" s="14"/>
      <c r="J30" s="15"/>
    </row>
    <row r="31" spans="1:10">
      <c r="A31" s="2" t="s">
        <v>36</v>
      </c>
      <c r="B31" s="2" t="s">
        <v>112</v>
      </c>
      <c r="C31" s="11">
        <v>20312</v>
      </c>
      <c r="D31" s="12">
        <f t="shared" si="0"/>
        <v>61</v>
      </c>
      <c r="E31" s="12" t="str">
        <f>VLOOKUP(D31,按年龄和性别!$A$16:$B$27,2,TRUE)</f>
        <v>60-64岁</v>
      </c>
      <c r="F31" s="13">
        <f>SUMIFS('2016年消费'!$C$1:$C$364,'2016年消费'!$A$1:$A$364,A31)</f>
        <v>19913</v>
      </c>
      <c r="G31" s="14"/>
      <c r="J31" s="15"/>
    </row>
    <row r="32" spans="1:10">
      <c r="A32" s="2" t="s">
        <v>37</v>
      </c>
      <c r="B32" s="2" t="s">
        <v>112</v>
      </c>
      <c r="C32" s="11">
        <v>21779</v>
      </c>
      <c r="D32" s="12">
        <f t="shared" si="0"/>
        <v>57</v>
      </c>
      <c r="E32" s="12" t="str">
        <f>VLOOKUP(D32,按年龄和性别!$A$16:$B$27,2,TRUE)</f>
        <v>55-59岁</v>
      </c>
      <c r="F32" s="13">
        <f>SUMIFS('2016年消费'!$C$1:$C$364,'2016年消费'!$A$1:$A$364,A32)</f>
        <v>64545</v>
      </c>
      <c r="G32" s="14"/>
      <c r="J32" s="15"/>
    </row>
    <row r="33" spans="1:10">
      <c r="A33" s="2" t="s">
        <v>38</v>
      </c>
      <c r="B33" s="2" t="s">
        <v>113</v>
      </c>
      <c r="C33" s="11">
        <v>13629</v>
      </c>
      <c r="D33" s="12">
        <f t="shared" si="0"/>
        <v>79</v>
      </c>
      <c r="E33" s="12" t="str">
        <f>VLOOKUP(D33,按年龄和性别!$A$16:$B$27,2,TRUE)</f>
        <v>75岁以上</v>
      </c>
      <c r="F33" s="13">
        <f>SUMIFS('2016年消费'!$C$1:$C$364,'2016年消费'!$A$1:$A$364,A33)</f>
        <v>113296</v>
      </c>
      <c r="G33" s="14"/>
      <c r="J33" s="15"/>
    </row>
    <row r="34" spans="1:10">
      <c r="A34" s="2" t="s">
        <v>39</v>
      </c>
      <c r="B34" s="2" t="s">
        <v>112</v>
      </c>
      <c r="C34" s="11">
        <v>25402</v>
      </c>
      <c r="D34" s="12">
        <f t="shared" ref="D34:D65" si="1">DATEDIF(C34,"2017-1-1","y")</f>
        <v>47</v>
      </c>
      <c r="E34" s="12" t="str">
        <f>VLOOKUP(D34,按年龄和性别!$A$16:$B$27,2,TRUE)</f>
        <v>45-49岁</v>
      </c>
      <c r="F34" s="13">
        <f>SUMIFS('2016年消费'!$C$1:$C$364,'2016年消费'!$A$1:$A$364,A34)</f>
        <v>32273</v>
      </c>
      <c r="G34" s="14"/>
      <c r="J34" s="15"/>
    </row>
    <row r="35" spans="1:10">
      <c r="A35" s="2" t="s">
        <v>40</v>
      </c>
      <c r="B35" s="2" t="s">
        <v>113</v>
      </c>
      <c r="C35" s="11">
        <v>25801</v>
      </c>
      <c r="D35" s="12">
        <f t="shared" si="1"/>
        <v>46</v>
      </c>
      <c r="E35" s="12" t="str">
        <f>VLOOKUP(D35,按年龄和性别!$A$16:$B$27,2,TRUE)</f>
        <v>45-49岁</v>
      </c>
      <c r="F35" s="13">
        <f>SUMIFS('2016年消费'!$C$1:$C$364,'2016年消费'!$A$1:$A$364,A35)</f>
        <v>42571</v>
      </c>
      <c r="G35" s="14"/>
      <c r="J35" s="15"/>
    </row>
    <row r="36" spans="1:10">
      <c r="A36" s="2" t="s">
        <v>41</v>
      </c>
      <c r="B36" s="2" t="s">
        <v>113</v>
      </c>
      <c r="C36" s="11">
        <v>26900</v>
      </c>
      <c r="D36" s="12">
        <f t="shared" si="1"/>
        <v>43</v>
      </c>
      <c r="E36" s="12" t="str">
        <f>VLOOKUP(D36,按年龄和性别!$A$16:$B$27,2,TRUE)</f>
        <v>40-44岁</v>
      </c>
      <c r="F36" s="13">
        <f>SUMIFS('2016年消费'!$C$1:$C$364,'2016年消费'!$A$1:$A$364,A36)</f>
        <v>11673</v>
      </c>
      <c r="G36" s="14"/>
      <c r="J36" s="15"/>
    </row>
    <row r="37" spans="1:10">
      <c r="A37" s="2" t="s">
        <v>42</v>
      </c>
      <c r="B37" s="2" t="s">
        <v>112</v>
      </c>
      <c r="C37" s="11">
        <v>23965</v>
      </c>
      <c r="D37" s="12">
        <f t="shared" si="1"/>
        <v>51</v>
      </c>
      <c r="E37" s="12" t="str">
        <f>VLOOKUP(D37,按年龄和性别!$A$16:$B$27,2,TRUE)</f>
        <v>50-54岁</v>
      </c>
      <c r="F37" s="13">
        <f>SUMIFS('2016年消费'!$C$1:$C$364,'2016年消费'!$A$1:$A$364,A37)</f>
        <v>68893</v>
      </c>
      <c r="G37" s="14"/>
      <c r="J37" s="15"/>
    </row>
    <row r="38" spans="1:10">
      <c r="A38" s="2" t="s">
        <v>43</v>
      </c>
      <c r="B38" s="2" t="s">
        <v>113</v>
      </c>
      <c r="C38" s="11">
        <v>24533</v>
      </c>
      <c r="D38" s="12">
        <f t="shared" si="1"/>
        <v>49</v>
      </c>
      <c r="E38" s="12" t="str">
        <f>VLOOKUP(D38,按年龄和性别!$A$16:$B$27,2,TRUE)</f>
        <v>45-49岁</v>
      </c>
      <c r="F38" s="13">
        <f>SUMIFS('2016年消费'!$C$1:$C$364,'2016年消费'!$A$1:$A$364,A38)</f>
        <v>8698</v>
      </c>
      <c r="G38" s="14"/>
      <c r="J38" s="15"/>
    </row>
    <row r="39" spans="1:10">
      <c r="A39" s="2" t="s">
        <v>44</v>
      </c>
      <c r="B39" s="2" t="s">
        <v>112</v>
      </c>
      <c r="C39" s="11">
        <v>24440</v>
      </c>
      <c r="D39" s="12">
        <f t="shared" si="1"/>
        <v>50</v>
      </c>
      <c r="E39" s="12" t="str">
        <f>VLOOKUP(D39,按年龄和性别!$A$16:$B$27,2,TRUE)</f>
        <v>50-54岁</v>
      </c>
      <c r="F39" s="13">
        <f>SUMIFS('2016年消费'!$C$1:$C$364,'2016年消费'!$A$1:$A$364,A39)</f>
        <v>15793</v>
      </c>
      <c r="G39" s="14"/>
      <c r="J39" s="15"/>
    </row>
    <row r="40" spans="1:10">
      <c r="A40" s="2" t="s">
        <v>45</v>
      </c>
      <c r="B40" s="2" t="s">
        <v>112</v>
      </c>
      <c r="C40" s="11">
        <v>32441</v>
      </c>
      <c r="D40" s="12">
        <f t="shared" si="1"/>
        <v>28</v>
      </c>
      <c r="E40" s="12" t="str">
        <f>VLOOKUP(D40,按年龄和性别!$A$16:$B$27,2,TRUE)</f>
        <v>30岁以下</v>
      </c>
      <c r="F40" s="13">
        <f>SUMIFS('2016年消费'!$C$1:$C$364,'2016年消费'!$A$1:$A$364,A40)</f>
        <v>4807</v>
      </c>
      <c r="G40" s="14"/>
      <c r="J40" s="15"/>
    </row>
    <row r="41" spans="1:10">
      <c r="A41" s="2" t="s">
        <v>46</v>
      </c>
      <c r="B41" s="2" t="s">
        <v>112</v>
      </c>
      <c r="C41" s="11">
        <v>23487</v>
      </c>
      <c r="D41" s="12">
        <f t="shared" si="1"/>
        <v>52</v>
      </c>
      <c r="E41" s="12" t="str">
        <f>VLOOKUP(D41,按年龄和性别!$A$16:$B$27,2,TRUE)</f>
        <v>50-54岁</v>
      </c>
      <c r="F41" s="13">
        <f>SUMIFS('2016年消费'!$C$1:$C$364,'2016年消费'!$A$1:$A$364,A41)</f>
        <v>24033</v>
      </c>
      <c r="G41" s="14"/>
      <c r="J41" s="15"/>
    </row>
    <row r="42" spans="1:10">
      <c r="A42" s="2" t="s">
        <v>47</v>
      </c>
      <c r="B42" s="2" t="s">
        <v>112</v>
      </c>
      <c r="C42" s="11">
        <v>23141</v>
      </c>
      <c r="D42" s="12">
        <f t="shared" si="1"/>
        <v>53</v>
      </c>
      <c r="E42" s="12" t="str">
        <f>VLOOKUP(D42,按年龄和性别!$A$16:$B$27,2,TRUE)</f>
        <v>50-54岁</v>
      </c>
      <c r="F42" s="13">
        <f>SUMIFS('2016年消费'!$C$1:$C$364,'2016年消费'!$A$1:$A$364,A42)</f>
        <v>35934</v>
      </c>
      <c r="G42" s="14"/>
      <c r="J42" s="15"/>
    </row>
    <row r="43" spans="1:10">
      <c r="A43" s="2" t="s">
        <v>48</v>
      </c>
      <c r="B43" s="2" t="s">
        <v>112</v>
      </c>
      <c r="C43" s="11">
        <v>21127</v>
      </c>
      <c r="D43" s="12">
        <f t="shared" si="1"/>
        <v>59</v>
      </c>
      <c r="E43" s="12" t="str">
        <f>VLOOKUP(D43,按年龄和性别!$A$16:$B$27,2,TRUE)</f>
        <v>55-59岁</v>
      </c>
      <c r="F43" s="13">
        <f>SUMIFS('2016年消费'!$C$1:$C$364,'2016年消费'!$A$1:$A$364,A43)</f>
        <v>43258</v>
      </c>
      <c r="G43" s="14"/>
      <c r="J43" s="15"/>
    </row>
    <row r="44" spans="1:10">
      <c r="A44" s="2" t="s">
        <v>49</v>
      </c>
      <c r="B44" s="2" t="s">
        <v>113</v>
      </c>
      <c r="C44" s="11">
        <v>21130</v>
      </c>
      <c r="D44" s="12">
        <f t="shared" si="1"/>
        <v>59</v>
      </c>
      <c r="E44" s="12" t="str">
        <f>VLOOKUP(D44,按年龄和性别!$A$16:$B$27,2,TRUE)</f>
        <v>55-59岁</v>
      </c>
      <c r="F44" s="13">
        <f>SUMIFS('2016年消费'!$C$1:$C$364,'2016年消费'!$A$1:$A$364,A44)</f>
        <v>20598</v>
      </c>
      <c r="G44" s="14"/>
      <c r="J44" s="15"/>
    </row>
    <row r="45" spans="1:10">
      <c r="A45" s="2" t="s">
        <v>50</v>
      </c>
      <c r="B45" s="2" t="s">
        <v>113</v>
      </c>
      <c r="C45" s="11">
        <v>20102</v>
      </c>
      <c r="D45" s="12">
        <f t="shared" si="1"/>
        <v>61</v>
      </c>
      <c r="E45" s="12" t="str">
        <f>VLOOKUP(D45,按年龄和性别!$A$16:$B$27,2,TRUE)</f>
        <v>60-64岁</v>
      </c>
      <c r="F45" s="13">
        <f>SUMIFS('2016年消费'!$C$1:$C$364,'2016年消费'!$A$1:$A$364,A45)</f>
        <v>41199</v>
      </c>
      <c r="G45" s="14"/>
      <c r="J45" s="15"/>
    </row>
    <row r="46" spans="1:10">
      <c r="A46" s="2" t="s">
        <v>51</v>
      </c>
      <c r="B46" s="2" t="s">
        <v>112</v>
      </c>
      <c r="C46" s="11">
        <v>31082</v>
      </c>
      <c r="D46" s="12">
        <f t="shared" si="1"/>
        <v>31</v>
      </c>
      <c r="E46" s="12" t="str">
        <f>VLOOKUP(D46,按年龄和性别!$A$16:$B$27,2,TRUE)</f>
        <v>30-34岁</v>
      </c>
      <c r="F46" s="13">
        <f>SUMIFS('2016年消费'!$C$1:$C$364,'2016年消费'!$A$1:$A$364,A46)</f>
        <v>2289</v>
      </c>
      <c r="G46" s="14"/>
      <c r="J46" s="15"/>
    </row>
    <row r="47" spans="1:10">
      <c r="A47" s="2" t="s">
        <v>52</v>
      </c>
      <c r="B47" s="2" t="s">
        <v>113</v>
      </c>
      <c r="C47" s="11">
        <v>30613</v>
      </c>
      <c r="D47" s="12">
        <f t="shared" si="1"/>
        <v>33</v>
      </c>
      <c r="E47" s="12" t="str">
        <f>VLOOKUP(D47,按年龄和性别!$A$16:$B$27,2,TRUE)</f>
        <v>30-34岁</v>
      </c>
      <c r="F47" s="13">
        <f>SUMIFS('2016年消费'!$C$1:$C$364,'2016年消费'!$A$1:$A$364,A47)</f>
        <v>33875</v>
      </c>
      <c r="G47" s="14"/>
      <c r="J47" s="15"/>
    </row>
    <row r="48" spans="1:10">
      <c r="A48" s="2" t="s">
        <v>53</v>
      </c>
      <c r="B48" s="2" t="s">
        <v>113</v>
      </c>
      <c r="C48" s="11">
        <v>24250</v>
      </c>
      <c r="D48" s="12">
        <f t="shared" si="1"/>
        <v>50</v>
      </c>
      <c r="E48" s="12" t="str">
        <f>VLOOKUP(D48,按年龄和性别!$A$16:$B$27,2,TRUE)</f>
        <v>50-54岁</v>
      </c>
      <c r="F48" s="13">
        <f>SUMIFS('2016年消费'!$C$1:$C$364,'2016年消费'!$A$1:$A$364,A48)</f>
        <v>52184</v>
      </c>
      <c r="G48" s="14"/>
      <c r="J48" s="15"/>
    </row>
    <row r="49" spans="1:10">
      <c r="A49" s="2" t="s">
        <v>54</v>
      </c>
      <c r="B49" s="2" t="s">
        <v>112</v>
      </c>
      <c r="C49" s="11">
        <v>22612</v>
      </c>
      <c r="D49" s="12">
        <f t="shared" si="1"/>
        <v>55</v>
      </c>
      <c r="E49" s="12" t="str">
        <f>VLOOKUP(D49,按年龄和性别!$A$16:$B$27,2,TRUE)</f>
        <v>55-59岁</v>
      </c>
      <c r="F49" s="13">
        <f>SUMIFS('2016年消费'!$C$1:$C$364,'2016年消费'!$A$1:$A$364,A49)</f>
        <v>11674</v>
      </c>
      <c r="G49" s="14"/>
      <c r="J49" s="15"/>
    </row>
    <row r="50" spans="1:10">
      <c r="A50" s="2" t="s">
        <v>55</v>
      </c>
      <c r="B50" s="2" t="s">
        <v>112</v>
      </c>
      <c r="C50" s="11">
        <v>24938</v>
      </c>
      <c r="D50" s="12">
        <f t="shared" si="1"/>
        <v>48</v>
      </c>
      <c r="E50" s="12" t="str">
        <f>VLOOKUP(D50,按年龄和性别!$A$16:$B$27,2,TRUE)</f>
        <v>45-49岁</v>
      </c>
      <c r="F50" s="13">
        <f>SUMIFS('2016年消费'!$C$1:$C$364,'2016年消费'!$A$1:$A$364,A50)</f>
        <v>8698</v>
      </c>
      <c r="G50" s="14"/>
      <c r="J50" s="15"/>
    </row>
    <row r="51" spans="1:10">
      <c r="A51" s="2" t="s">
        <v>56</v>
      </c>
      <c r="B51" s="2" t="s">
        <v>112</v>
      </c>
      <c r="C51" s="11">
        <v>29069</v>
      </c>
      <c r="D51" s="12">
        <f t="shared" si="1"/>
        <v>37</v>
      </c>
      <c r="E51" s="12" t="str">
        <f>VLOOKUP(D51,按年龄和性别!$A$16:$B$27,2,TRUE)</f>
        <v>35-39岁</v>
      </c>
      <c r="F51" s="13">
        <f>SUMIFS('2016年消费'!$C$1:$C$364,'2016年消费'!$A$1:$A$364,A51)</f>
        <v>5035</v>
      </c>
      <c r="G51" s="14"/>
      <c r="J51" s="15"/>
    </row>
    <row r="52" spans="1:10">
      <c r="A52" s="2" t="s">
        <v>57</v>
      </c>
      <c r="B52" s="2" t="s">
        <v>112</v>
      </c>
      <c r="C52" s="11">
        <v>16599</v>
      </c>
      <c r="D52" s="12">
        <f t="shared" si="1"/>
        <v>71</v>
      </c>
      <c r="E52" s="12" t="str">
        <f>VLOOKUP(D52,按年龄和性别!$A$16:$B$27,2,TRUE)</f>
        <v>70-74岁</v>
      </c>
      <c r="F52" s="13">
        <f>SUMIFS('2016年消费'!$C$1:$C$364,'2016年消费'!$A$1:$A$364,A52)</f>
        <v>11444</v>
      </c>
      <c r="G52" s="14"/>
      <c r="J52" s="15"/>
    </row>
    <row r="53" spans="1:10">
      <c r="A53" s="2" t="s">
        <v>58</v>
      </c>
      <c r="B53" s="2" t="s">
        <v>112</v>
      </c>
      <c r="C53" s="11">
        <v>26758</v>
      </c>
      <c r="D53" s="12">
        <f t="shared" si="1"/>
        <v>43</v>
      </c>
      <c r="E53" s="12" t="str">
        <f>VLOOKUP(D53,按年龄和性别!$A$16:$B$27,2,TRUE)</f>
        <v>40-44岁</v>
      </c>
      <c r="F53" s="13">
        <f>SUMIFS('2016年消费'!$C$1:$C$364,'2016年消费'!$A$1:$A$364,A53)</f>
        <v>11444</v>
      </c>
      <c r="G53" s="14"/>
      <c r="J53" s="15"/>
    </row>
    <row r="54" spans="1:10">
      <c r="A54" s="2" t="s">
        <v>59</v>
      </c>
      <c r="B54" s="2" t="s">
        <v>112</v>
      </c>
      <c r="C54" s="11">
        <v>23950</v>
      </c>
      <c r="D54" s="12">
        <f t="shared" si="1"/>
        <v>51</v>
      </c>
      <c r="E54" s="12" t="str">
        <f>VLOOKUP(D54,按年龄和性别!$A$16:$B$27,2,TRUE)</f>
        <v>50-54岁</v>
      </c>
      <c r="F54" s="13">
        <f>SUMIFS('2016年消费'!$C$1:$C$364,'2016年消费'!$A$1:$A$364,A54)</f>
        <v>66146</v>
      </c>
      <c r="G54" s="14"/>
      <c r="J54" s="15"/>
    </row>
    <row r="55" spans="1:10">
      <c r="A55" s="2" t="s">
        <v>60</v>
      </c>
      <c r="B55" s="2" t="s">
        <v>113</v>
      </c>
      <c r="C55" s="11">
        <v>26255</v>
      </c>
      <c r="D55" s="12">
        <f t="shared" si="1"/>
        <v>45</v>
      </c>
      <c r="E55" s="12" t="str">
        <f>VLOOKUP(D55,按年龄和性别!$A$16:$B$27,2,TRUE)</f>
        <v>45-49岁</v>
      </c>
      <c r="F55" s="13">
        <f>SUMIFS('2016年消费'!$C$1:$C$364,'2016年消费'!$A$1:$A$364,A55)</f>
        <v>19913</v>
      </c>
      <c r="G55" s="14"/>
      <c r="J55" s="15"/>
    </row>
    <row r="56" spans="1:10">
      <c r="A56" s="2" t="s">
        <v>61</v>
      </c>
      <c r="B56" s="2" t="s">
        <v>113</v>
      </c>
      <c r="C56" s="11">
        <v>26205</v>
      </c>
      <c r="D56" s="12">
        <f t="shared" si="1"/>
        <v>45</v>
      </c>
      <c r="E56" s="12" t="str">
        <f>VLOOKUP(D56,按年龄和性别!$A$16:$B$27,2,TRUE)</f>
        <v>45-49岁</v>
      </c>
      <c r="F56" s="13">
        <f>SUMIFS('2016年消费'!$C$1:$C$364,'2016年消费'!$A$1:$A$364,A56)</f>
        <v>19685</v>
      </c>
      <c r="G56" s="14"/>
      <c r="J56" s="15"/>
    </row>
    <row r="57" spans="1:10">
      <c r="A57" s="2" t="s">
        <v>62</v>
      </c>
      <c r="B57" s="2" t="s">
        <v>112</v>
      </c>
      <c r="C57" s="11">
        <v>26475</v>
      </c>
      <c r="D57" s="12">
        <f t="shared" si="1"/>
        <v>44</v>
      </c>
      <c r="E57" s="12" t="str">
        <f>VLOOKUP(D57,按年龄和性别!$A$16:$B$27,2,TRUE)</f>
        <v>40-44岁</v>
      </c>
      <c r="F57" s="13">
        <f>SUMIFS('2016年消费'!$C$1:$C$364,'2016年消费'!$A$1:$A$364,A57)</f>
        <v>40969</v>
      </c>
      <c r="G57" s="14"/>
      <c r="J57" s="15"/>
    </row>
    <row r="58" spans="1:10">
      <c r="A58" s="2" t="s">
        <v>63</v>
      </c>
      <c r="B58" s="2" t="s">
        <v>113</v>
      </c>
      <c r="C58" s="11">
        <v>30475</v>
      </c>
      <c r="D58" s="12">
        <f t="shared" si="1"/>
        <v>33</v>
      </c>
      <c r="E58" s="12" t="str">
        <f>VLOOKUP(D58,按年龄和性别!$A$16:$B$27,2,TRUE)</f>
        <v>30-34岁</v>
      </c>
      <c r="F58" s="13">
        <f>SUMIFS('2016年消费'!$C$1:$C$364,'2016年消费'!$A$1:$A$364,A58)</f>
        <v>18540</v>
      </c>
      <c r="G58" s="14"/>
      <c r="J58" s="15"/>
    </row>
    <row r="59" spans="1:10">
      <c r="A59" s="2" t="s">
        <v>64</v>
      </c>
      <c r="B59" s="2" t="s">
        <v>113</v>
      </c>
      <c r="C59" s="11">
        <v>31204</v>
      </c>
      <c r="D59" s="12">
        <f t="shared" si="1"/>
        <v>31</v>
      </c>
      <c r="E59" s="12" t="str">
        <f>VLOOKUP(D59,按年龄和性别!$A$16:$B$27,2,TRUE)</f>
        <v>30-34岁</v>
      </c>
      <c r="F59" s="13">
        <f>SUMIFS('2016年消费'!$C$1:$C$364,'2016年消费'!$A$1:$A$364,A59)</f>
        <v>17166</v>
      </c>
      <c r="G59" s="14"/>
      <c r="J59" s="15"/>
    </row>
    <row r="60" spans="1:10">
      <c r="A60" s="2" t="s">
        <v>65</v>
      </c>
      <c r="B60" s="2" t="s">
        <v>112</v>
      </c>
      <c r="C60" s="11">
        <v>22327</v>
      </c>
      <c r="D60" s="12">
        <f t="shared" si="1"/>
        <v>55</v>
      </c>
      <c r="E60" s="12" t="str">
        <f>VLOOKUP(D60,按年龄和性别!$A$16:$B$27,2,TRUE)</f>
        <v>55-59岁</v>
      </c>
      <c r="F60" s="13">
        <f>SUMIFS('2016年消费'!$C$1:$C$364,'2016年消费'!$A$1:$A$364,A60)</f>
        <v>18539</v>
      </c>
      <c r="G60" s="14"/>
      <c r="J60" s="15"/>
    </row>
    <row r="61" spans="1:10">
      <c r="A61" s="2" t="s">
        <v>66</v>
      </c>
      <c r="B61" s="2" t="s">
        <v>112</v>
      </c>
      <c r="C61" s="11">
        <v>22521</v>
      </c>
      <c r="D61" s="12">
        <f t="shared" si="1"/>
        <v>55</v>
      </c>
      <c r="E61" s="12" t="str">
        <f>VLOOKUP(D61,按年龄和性别!$A$16:$B$27,2,TRUE)</f>
        <v>55-59岁</v>
      </c>
      <c r="F61" s="13">
        <f>SUMIFS('2016年消费'!$C$1:$C$364,'2016年消费'!$A$1:$A$364,A61)</f>
        <v>10300</v>
      </c>
      <c r="G61" s="14"/>
      <c r="J61" s="15"/>
    </row>
    <row r="62" spans="1:10">
      <c r="A62" s="2" t="s">
        <v>67</v>
      </c>
      <c r="B62" s="2" t="s">
        <v>113</v>
      </c>
      <c r="C62" s="11">
        <v>16079</v>
      </c>
      <c r="D62" s="12">
        <f t="shared" si="1"/>
        <v>72</v>
      </c>
      <c r="E62" s="12" t="str">
        <f>VLOOKUP(D62,按年龄和性别!$A$16:$B$27,2,TRUE)</f>
        <v>70-74岁</v>
      </c>
      <c r="F62" s="13">
        <f>SUMIFS('2016年消费'!$C$1:$C$364,'2016年消费'!$A$1:$A$364,A62)</f>
        <v>50126</v>
      </c>
      <c r="G62" s="14"/>
      <c r="J62" s="15"/>
    </row>
    <row r="63" spans="1:10">
      <c r="A63" s="2" t="s">
        <v>68</v>
      </c>
      <c r="B63" s="2" t="s">
        <v>113</v>
      </c>
      <c r="C63" s="11">
        <v>31712</v>
      </c>
      <c r="D63" s="12">
        <f t="shared" si="1"/>
        <v>30</v>
      </c>
      <c r="E63" s="12" t="str">
        <f>VLOOKUP(D63,按年龄和性别!$A$16:$B$27,2,TRUE)</f>
        <v>30-34岁</v>
      </c>
      <c r="F63" s="13">
        <f>SUMIFS('2016年消费'!$C$1:$C$364,'2016年消费'!$A$1:$A$364,A63)</f>
        <v>19913</v>
      </c>
      <c r="G63" s="14"/>
      <c r="J63" s="15"/>
    </row>
    <row r="64" spans="1:10">
      <c r="A64" s="2" t="s">
        <v>69</v>
      </c>
      <c r="B64" s="2" t="s">
        <v>112</v>
      </c>
      <c r="C64" s="11">
        <v>27006</v>
      </c>
      <c r="D64" s="12">
        <f t="shared" si="1"/>
        <v>43</v>
      </c>
      <c r="E64" s="12" t="str">
        <f>VLOOKUP(D64,按年龄和性别!$A$16:$B$27,2,TRUE)</f>
        <v>40-44岁</v>
      </c>
      <c r="F64" s="13">
        <f>SUMIFS('2016年消费'!$C$1:$C$364,'2016年消费'!$A$1:$A$364,A64)</f>
        <v>14878</v>
      </c>
      <c r="G64" s="14"/>
      <c r="J64" s="15"/>
    </row>
    <row r="65" spans="1:10">
      <c r="A65" s="2" t="s">
        <v>70</v>
      </c>
      <c r="B65" s="2" t="s">
        <v>112</v>
      </c>
      <c r="C65" s="11">
        <v>20932</v>
      </c>
      <c r="D65" s="12">
        <f t="shared" si="1"/>
        <v>59</v>
      </c>
      <c r="E65" s="12" t="str">
        <f>VLOOKUP(D65,按年龄和性别!$A$16:$B$27,2,TRUE)</f>
        <v>55-59岁</v>
      </c>
      <c r="F65" s="13">
        <f>SUMIFS('2016年消费'!$C$1:$C$364,'2016年消费'!$A$1:$A$364,A65)</f>
        <v>26779</v>
      </c>
      <c r="G65" s="14"/>
      <c r="J65" s="15"/>
    </row>
    <row r="66" spans="1:10">
      <c r="A66" s="2" t="s">
        <v>71</v>
      </c>
      <c r="B66" s="2" t="s">
        <v>112</v>
      </c>
      <c r="C66" s="11">
        <v>18434</v>
      </c>
      <c r="D66" s="12">
        <f t="shared" ref="D66:D101" si="2">DATEDIF(C66,"2017-1-1","y")</f>
        <v>66</v>
      </c>
      <c r="E66" s="12" t="str">
        <f>VLOOKUP(D66,按年龄和性别!$A$16:$B$27,2,TRUE)</f>
        <v>65-69岁</v>
      </c>
      <c r="F66" s="13">
        <f>SUMIFS('2016年消费'!$C$1:$C$364,'2016年消费'!$A$1:$A$364,A66)</f>
        <v>13505</v>
      </c>
      <c r="G66" s="14"/>
      <c r="J66" s="15"/>
    </row>
    <row r="67" spans="1:10">
      <c r="A67" s="2" t="s">
        <v>72</v>
      </c>
      <c r="B67" s="2" t="s">
        <v>112</v>
      </c>
      <c r="C67" s="11">
        <v>22352</v>
      </c>
      <c r="D67" s="12">
        <f t="shared" si="2"/>
        <v>55</v>
      </c>
      <c r="E67" s="12" t="str">
        <f>VLOOKUP(D67,按年龄和性别!$A$16:$B$27,2,TRUE)</f>
        <v>55-59岁</v>
      </c>
      <c r="F67" s="13">
        <f>SUMIFS('2016年消费'!$C$1:$C$364,'2016年消费'!$A$1:$A$364,A67)</f>
        <v>37994</v>
      </c>
      <c r="G67" s="14"/>
      <c r="J67" s="15"/>
    </row>
    <row r="68" spans="1:10">
      <c r="A68" s="2" t="s">
        <v>73</v>
      </c>
      <c r="B68" s="2" t="s">
        <v>112</v>
      </c>
      <c r="C68" s="11">
        <v>22603</v>
      </c>
      <c r="D68" s="12">
        <f t="shared" si="2"/>
        <v>55</v>
      </c>
      <c r="E68" s="12" t="str">
        <f>VLOOKUP(D68,按年龄和性别!$A$16:$B$27,2,TRUE)</f>
        <v>55-59岁</v>
      </c>
      <c r="F68" s="13">
        <f>SUMIFS('2016年消费'!$C$1:$C$364,'2016年消费'!$A$1:$A$364,A68)</f>
        <v>4807</v>
      </c>
      <c r="G68" s="14"/>
      <c r="J68" s="15"/>
    </row>
    <row r="69" spans="1:10">
      <c r="A69" s="2" t="s">
        <v>74</v>
      </c>
      <c r="B69" s="2" t="s">
        <v>112</v>
      </c>
      <c r="C69" s="11">
        <v>17383</v>
      </c>
      <c r="D69" s="12">
        <f t="shared" si="2"/>
        <v>69</v>
      </c>
      <c r="E69" s="12" t="str">
        <f>VLOOKUP(D69,按年龄和性别!$A$16:$B$27,2,TRUE)</f>
        <v>65-69岁</v>
      </c>
      <c r="F69" s="13">
        <f>SUMIFS('2016年消费'!$C$1:$C$364,'2016年消费'!$A$1:$A$364,A69)</f>
        <v>51726</v>
      </c>
      <c r="G69" s="14"/>
      <c r="J69" s="15"/>
    </row>
    <row r="70" spans="1:10">
      <c r="A70" s="2" t="s">
        <v>75</v>
      </c>
      <c r="B70" s="2" t="s">
        <v>113</v>
      </c>
      <c r="C70" s="11">
        <v>25078</v>
      </c>
      <c r="D70" s="12">
        <f t="shared" si="2"/>
        <v>48</v>
      </c>
      <c r="E70" s="12" t="str">
        <f>VLOOKUP(D70,按年龄和性别!$A$16:$B$27,2,TRUE)</f>
        <v>45-49岁</v>
      </c>
      <c r="F70" s="13">
        <f>SUMIFS('2016年消费'!$C$1:$C$364,'2016年消费'!$A$1:$A$364,A70)</f>
        <v>48522</v>
      </c>
      <c r="G70" s="14"/>
      <c r="J70" s="15"/>
    </row>
    <row r="71" spans="1:10">
      <c r="A71" s="2" t="s">
        <v>76</v>
      </c>
      <c r="B71" s="2" t="s">
        <v>112</v>
      </c>
      <c r="C71" s="11">
        <v>26278</v>
      </c>
      <c r="D71" s="12">
        <f t="shared" si="2"/>
        <v>45</v>
      </c>
      <c r="E71" s="12" t="str">
        <f>VLOOKUP(D71,按年龄和性别!$A$16:$B$27,2,TRUE)</f>
        <v>45-49岁</v>
      </c>
      <c r="F71" s="13">
        <f>SUMIFS('2016年消费'!$C$1:$C$364,'2016年消费'!$A$1:$A$364,A71)</f>
        <v>30671</v>
      </c>
      <c r="G71" s="14"/>
      <c r="J71" s="15"/>
    </row>
    <row r="72" spans="1:10">
      <c r="A72" s="2" t="s">
        <v>77</v>
      </c>
      <c r="B72" s="2" t="s">
        <v>112</v>
      </c>
      <c r="C72" s="11">
        <v>26379</v>
      </c>
      <c r="D72" s="12">
        <f t="shared" si="2"/>
        <v>44</v>
      </c>
      <c r="E72" s="12" t="str">
        <f>VLOOKUP(D72,按年龄和性别!$A$16:$B$27,2,TRUE)</f>
        <v>40-44岁</v>
      </c>
      <c r="F72" s="13">
        <f>SUMIFS('2016年消费'!$C$1:$C$364,'2016年消费'!$A$1:$A$364,A72)</f>
        <v>11673</v>
      </c>
      <c r="G72" s="14"/>
      <c r="J72" s="15"/>
    </row>
    <row r="73" spans="1:10">
      <c r="A73" s="2" t="s">
        <v>78</v>
      </c>
      <c r="B73" s="2" t="s">
        <v>113</v>
      </c>
      <c r="C73" s="11">
        <v>22503</v>
      </c>
      <c r="D73" s="12">
        <f t="shared" si="2"/>
        <v>55</v>
      </c>
      <c r="E73" s="12" t="str">
        <f>VLOOKUP(D73,按年龄和性别!$A$16:$B$27,2,TRUE)</f>
        <v>55-59岁</v>
      </c>
      <c r="F73" s="13">
        <f>SUMIFS('2016年消费'!$C$1:$C$364,'2016年消费'!$A$1:$A$364,A73)</f>
        <v>28611</v>
      </c>
      <c r="G73" s="14"/>
      <c r="J73" s="15"/>
    </row>
    <row r="74" spans="1:10">
      <c r="A74" s="2" t="s">
        <v>79</v>
      </c>
      <c r="B74" s="2" t="s">
        <v>112</v>
      </c>
      <c r="C74" s="11">
        <v>22737</v>
      </c>
      <c r="D74" s="12">
        <f t="shared" si="2"/>
        <v>54</v>
      </c>
      <c r="E74" s="12" t="str">
        <f>VLOOKUP(D74,按年龄和性别!$A$16:$B$27,2,TRUE)</f>
        <v>50-54岁</v>
      </c>
      <c r="F74" s="13">
        <f>SUMIFS('2016年消费'!$C$1:$C$364,'2016年消费'!$A$1:$A$364,A74)</f>
        <v>17086</v>
      </c>
      <c r="G74" s="14"/>
      <c r="J74" s="15"/>
    </row>
    <row r="75" spans="1:10">
      <c r="A75" s="2" t="s">
        <v>80</v>
      </c>
      <c r="B75" s="2" t="s">
        <v>112</v>
      </c>
      <c r="C75" s="11">
        <v>23190</v>
      </c>
      <c r="D75" s="12">
        <f t="shared" si="2"/>
        <v>53</v>
      </c>
      <c r="E75" s="12" t="str">
        <f>VLOOKUP(D75,按年龄和性别!$A$16:$B$27,2,TRUE)</f>
        <v>50-54岁</v>
      </c>
      <c r="F75" s="13">
        <f>SUMIFS('2016年消费'!$C$1:$C$364,'2016年消费'!$A$1:$A$364,A75)</f>
        <v>29755</v>
      </c>
      <c r="G75" s="14"/>
      <c r="J75" s="15"/>
    </row>
    <row r="76" spans="1:10">
      <c r="A76" s="2" t="s">
        <v>81</v>
      </c>
      <c r="B76" s="2" t="s">
        <v>112</v>
      </c>
      <c r="C76" s="11">
        <v>27150</v>
      </c>
      <c r="D76" s="12">
        <f t="shared" si="2"/>
        <v>42</v>
      </c>
      <c r="E76" s="12" t="str">
        <f>VLOOKUP(D76,按年龄和性别!$A$16:$B$27,2,TRUE)</f>
        <v>40-44岁</v>
      </c>
      <c r="F76" s="13">
        <f>SUMIFS('2016年消费'!$C$1:$C$364,'2016年消费'!$A$1:$A$364,A76)</f>
        <v>28839</v>
      </c>
      <c r="G76" s="14"/>
      <c r="J76" s="15"/>
    </row>
    <row r="77" spans="1:10">
      <c r="A77" s="2" t="s">
        <v>82</v>
      </c>
      <c r="B77" s="2" t="s">
        <v>112</v>
      </c>
      <c r="C77" s="11">
        <v>25285</v>
      </c>
      <c r="D77" s="12">
        <f t="shared" si="2"/>
        <v>47</v>
      </c>
      <c r="E77" s="12" t="str">
        <f>VLOOKUP(D77,按年龄和性别!$A$16:$B$27,2,TRUE)</f>
        <v>45-49岁</v>
      </c>
      <c r="F77" s="13">
        <f>SUMIFS('2016年消费'!$C$1:$C$364,'2016年消费'!$A$1:$A$364,A77)</f>
        <v>38452</v>
      </c>
      <c r="G77" s="14"/>
      <c r="J77" s="15"/>
    </row>
    <row r="78" spans="1:10">
      <c r="A78" s="2" t="s">
        <v>83</v>
      </c>
      <c r="B78" s="2" t="s">
        <v>112</v>
      </c>
      <c r="C78" s="11">
        <v>25038</v>
      </c>
      <c r="D78" s="12">
        <f t="shared" si="2"/>
        <v>48</v>
      </c>
      <c r="E78" s="12" t="str">
        <f>VLOOKUP(D78,按年龄和性别!$A$16:$B$27,2,TRUE)</f>
        <v>45-49岁</v>
      </c>
      <c r="F78" s="13">
        <f>SUMIFS('2016年消费'!$C$1:$C$364,'2016年消费'!$A$1:$A$364,A78)</f>
        <v>164802</v>
      </c>
      <c r="G78" s="14"/>
      <c r="J78" s="15"/>
    </row>
    <row r="79" spans="1:10">
      <c r="A79" s="2" t="s">
        <v>84</v>
      </c>
      <c r="B79" s="2" t="s">
        <v>112</v>
      </c>
      <c r="C79" s="11">
        <v>26141</v>
      </c>
      <c r="D79" s="12">
        <f t="shared" si="2"/>
        <v>45</v>
      </c>
      <c r="E79" s="12" t="str">
        <f>VLOOKUP(D79,按年龄和性别!$A$16:$B$27,2,TRUE)</f>
        <v>45-49岁</v>
      </c>
      <c r="F79" s="13">
        <f>SUMIFS('2016年消费'!$C$1:$C$364,'2016年消费'!$A$1:$A$364,A79)</f>
        <v>47680</v>
      </c>
      <c r="G79" s="14"/>
      <c r="J79" s="15"/>
    </row>
    <row r="80" spans="1:10">
      <c r="A80" s="2" t="s">
        <v>85</v>
      </c>
      <c r="B80" s="2" t="s">
        <v>113</v>
      </c>
      <c r="C80" s="11">
        <v>21507</v>
      </c>
      <c r="D80" s="12">
        <f t="shared" si="2"/>
        <v>58</v>
      </c>
      <c r="E80" s="12" t="str">
        <f>VLOOKUP(D80,按年龄和性别!$A$16:$B$27,2,TRUE)</f>
        <v>55-59岁</v>
      </c>
      <c r="F80" s="13">
        <f>SUMIFS('2016年消费'!$C$1:$C$364,'2016年消费'!$A$1:$A$364,A80)</f>
        <v>268200</v>
      </c>
      <c r="G80" s="14"/>
      <c r="J80" s="15"/>
    </row>
    <row r="81" spans="1:10">
      <c r="A81" s="2" t="s">
        <v>86</v>
      </c>
      <c r="B81" s="2" t="s">
        <v>113</v>
      </c>
      <c r="C81" s="11">
        <v>26668</v>
      </c>
      <c r="D81" s="12">
        <f t="shared" si="2"/>
        <v>43</v>
      </c>
      <c r="E81" s="12" t="str">
        <f>VLOOKUP(D81,按年龄和性别!$A$16:$B$27,2,TRUE)</f>
        <v>40-44岁</v>
      </c>
      <c r="F81" s="13">
        <f>SUMIFS('2016年消费'!$C$1:$C$364,'2016年消费'!$A$1:$A$364,A81)</f>
        <v>201150</v>
      </c>
      <c r="G81" s="14"/>
      <c r="J81" s="15"/>
    </row>
    <row r="82" spans="1:10">
      <c r="A82" s="2" t="s">
        <v>87</v>
      </c>
      <c r="B82" s="2" t="s">
        <v>113</v>
      </c>
      <c r="C82" s="11">
        <v>21560</v>
      </c>
      <c r="D82" s="12">
        <f t="shared" si="2"/>
        <v>57</v>
      </c>
      <c r="E82" s="12" t="str">
        <f>VLOOKUP(D82,按年龄和性别!$A$16:$B$27,2,TRUE)</f>
        <v>55-59岁</v>
      </c>
      <c r="F82" s="13">
        <f>SUMIFS('2016年消费'!$C$1:$C$364,'2016年消费'!$A$1:$A$364,A82)</f>
        <v>131120</v>
      </c>
      <c r="G82" s="14"/>
      <c r="J82" s="15"/>
    </row>
    <row r="83" spans="1:10">
      <c r="A83" s="2" t="s">
        <v>88</v>
      </c>
      <c r="B83" s="2" t="s">
        <v>112</v>
      </c>
      <c r="C83" s="11">
        <v>24433</v>
      </c>
      <c r="D83" s="12">
        <f t="shared" si="2"/>
        <v>50</v>
      </c>
      <c r="E83" s="12" t="str">
        <f>VLOOKUP(D83,按年龄和性别!$A$16:$B$27,2,TRUE)</f>
        <v>50-54岁</v>
      </c>
      <c r="F83" s="13">
        <f>SUMIFS('2016年消费'!$C$1:$C$364,'2016年消费'!$A$1:$A$364,A83)</f>
        <v>224990</v>
      </c>
      <c r="G83" s="14"/>
      <c r="J83" s="15"/>
    </row>
    <row r="84" spans="1:10">
      <c r="A84" s="2" t="s">
        <v>89</v>
      </c>
      <c r="B84" s="2" t="s">
        <v>113</v>
      </c>
      <c r="C84" s="11">
        <v>24779</v>
      </c>
      <c r="D84" s="12">
        <f t="shared" si="2"/>
        <v>49</v>
      </c>
      <c r="E84" s="12" t="str">
        <f>VLOOKUP(D84,按年龄和性别!$A$16:$B$27,2,TRUE)</f>
        <v>45-49岁</v>
      </c>
      <c r="F84" s="13">
        <f>SUMIFS('2016年消费'!$C$1:$C$364,'2016年消费'!$A$1:$A$364,A84)</f>
        <v>43210</v>
      </c>
      <c r="G84" s="14"/>
      <c r="J84" s="15"/>
    </row>
    <row r="85" spans="1:10">
      <c r="A85" s="2" t="s">
        <v>90</v>
      </c>
      <c r="B85" s="2" t="s">
        <v>112</v>
      </c>
      <c r="C85" s="11">
        <v>21781</v>
      </c>
      <c r="D85" s="12">
        <f t="shared" si="2"/>
        <v>57</v>
      </c>
      <c r="E85" s="12" t="str">
        <f>VLOOKUP(D85,按年龄和性别!$A$16:$B$27,2,TRUE)</f>
        <v>55-59岁</v>
      </c>
      <c r="F85" s="13">
        <f>SUMIFS('2016年消费'!$C$1:$C$364,'2016年消费'!$A$1:$A$364,A85)</f>
        <v>268200</v>
      </c>
      <c r="G85" s="14"/>
      <c r="J85" s="15"/>
    </row>
    <row r="86" spans="1:10">
      <c r="A86" s="2" t="s">
        <v>91</v>
      </c>
      <c r="B86" s="2" t="s">
        <v>112</v>
      </c>
      <c r="C86" s="11">
        <v>24323</v>
      </c>
      <c r="D86" s="12">
        <f t="shared" si="2"/>
        <v>50</v>
      </c>
      <c r="E86" s="12" t="str">
        <f>VLOOKUP(D86,按年龄和性别!$A$16:$B$27,2,TRUE)</f>
        <v>50-54岁</v>
      </c>
      <c r="F86" s="13">
        <f>SUMIFS('2016年消费'!$C$1:$C$364,'2016年消费'!$A$1:$A$364,A86)</f>
        <v>108770</v>
      </c>
      <c r="G86" s="14"/>
      <c r="J86" s="15"/>
    </row>
    <row r="87" spans="1:10">
      <c r="A87" s="2" t="s">
        <v>92</v>
      </c>
      <c r="B87" s="2" t="s">
        <v>113</v>
      </c>
      <c r="C87" s="11">
        <v>24629</v>
      </c>
      <c r="D87" s="12">
        <f t="shared" si="2"/>
        <v>49</v>
      </c>
      <c r="E87" s="12" t="str">
        <f>VLOOKUP(D87,按年龄和性别!$A$16:$B$27,2,TRUE)</f>
        <v>45-49岁</v>
      </c>
      <c r="F87" s="13">
        <f>SUMIFS('2016年消费'!$C$1:$C$364,'2016年消费'!$A$1:$A$364,A87)</f>
        <v>105790</v>
      </c>
      <c r="G87" s="14"/>
      <c r="J87" s="15"/>
    </row>
    <row r="88" spans="1:10">
      <c r="A88" s="2" t="s">
        <v>93</v>
      </c>
      <c r="B88" s="2" t="s">
        <v>113</v>
      </c>
      <c r="C88" s="11">
        <v>26908</v>
      </c>
      <c r="D88" s="12">
        <f t="shared" si="2"/>
        <v>43</v>
      </c>
      <c r="E88" s="12" t="str">
        <f>VLOOKUP(D88,按年龄和性别!$A$16:$B$27,2,TRUE)</f>
        <v>40-44岁</v>
      </c>
      <c r="F88" s="13">
        <f>SUMIFS('2016年消费'!$C$1:$C$364,'2016年消费'!$A$1:$A$364,A88)</f>
        <v>292040</v>
      </c>
      <c r="G88" s="14"/>
      <c r="J88" s="15"/>
    </row>
    <row r="89" spans="1:10">
      <c r="A89" s="2" t="s">
        <v>94</v>
      </c>
      <c r="B89" s="2" t="s">
        <v>113</v>
      </c>
      <c r="C89" s="11">
        <v>26307</v>
      </c>
      <c r="D89" s="12">
        <f t="shared" si="2"/>
        <v>44</v>
      </c>
      <c r="E89" s="12" t="str">
        <f>VLOOKUP(D89,按年龄和性别!$A$16:$B$27,2,TRUE)</f>
        <v>40-44岁</v>
      </c>
      <c r="F89" s="13">
        <f>SUMIFS('2016年消费'!$C$1:$C$364,'2016年消费'!$A$1:$A$364,A89)</f>
        <v>230950</v>
      </c>
      <c r="G89" s="14"/>
      <c r="J89" s="15"/>
    </row>
    <row r="90" spans="1:10">
      <c r="A90" s="2" t="s">
        <v>95</v>
      </c>
      <c r="B90" s="2" t="s">
        <v>112</v>
      </c>
      <c r="C90" s="11">
        <v>27276</v>
      </c>
      <c r="D90" s="12">
        <f t="shared" si="2"/>
        <v>42</v>
      </c>
      <c r="E90" s="12" t="str">
        <f>VLOOKUP(D90,按年龄和性别!$A$16:$B$27,2,TRUE)</f>
        <v>40-44岁</v>
      </c>
      <c r="F90" s="13">
        <f>SUMIFS('2016年消费'!$C$1:$C$364,'2016年消费'!$A$1:$A$364,A90)</f>
        <v>111750</v>
      </c>
      <c r="G90" s="14"/>
      <c r="J90" s="15"/>
    </row>
    <row r="91" spans="1:10">
      <c r="A91" s="2" t="s">
        <v>96</v>
      </c>
      <c r="B91" s="2" t="s">
        <v>113</v>
      </c>
      <c r="C91" s="11">
        <v>23705</v>
      </c>
      <c r="D91" s="12">
        <f t="shared" si="2"/>
        <v>52</v>
      </c>
      <c r="E91" s="12" t="str">
        <f>VLOOKUP(D91,按年龄和性别!$A$16:$B$27,2,TRUE)</f>
        <v>50-54岁</v>
      </c>
      <c r="F91" s="13">
        <f>SUMIFS('2016年消费'!$C$1:$C$364,'2016年消费'!$A$1:$A$364,A91)</f>
        <v>129630</v>
      </c>
      <c r="G91" s="14"/>
      <c r="J91" s="15"/>
    </row>
    <row r="92" spans="1:10">
      <c r="A92" s="2" t="s">
        <v>97</v>
      </c>
      <c r="B92" s="2" t="s">
        <v>112</v>
      </c>
      <c r="C92" s="11">
        <v>24247</v>
      </c>
      <c r="D92" s="12">
        <f t="shared" si="2"/>
        <v>50</v>
      </c>
      <c r="E92" s="12" t="str">
        <f>VLOOKUP(D92,按年龄和性别!$A$16:$B$27,2,TRUE)</f>
        <v>50-54岁</v>
      </c>
      <c r="F92" s="13">
        <f>SUMIFS('2016年消费'!$C$1:$C$364,'2016年消费'!$A$1:$A$364,A92)</f>
        <v>107280</v>
      </c>
      <c r="G92" s="14"/>
      <c r="J92" s="15"/>
    </row>
    <row r="93" spans="1:10">
      <c r="A93" s="2" t="s">
        <v>98</v>
      </c>
      <c r="B93" s="2" t="s">
        <v>112</v>
      </c>
      <c r="C93" s="11">
        <v>24885</v>
      </c>
      <c r="D93" s="12">
        <f t="shared" si="2"/>
        <v>48</v>
      </c>
      <c r="E93" s="12" t="str">
        <f>VLOOKUP(D93,按年龄和性别!$A$16:$B$27,2,TRUE)</f>
        <v>45-49岁</v>
      </c>
      <c r="F93" s="13">
        <f>SUMIFS('2016年消费'!$C$1:$C$364,'2016年消费'!$A$1:$A$364,A93)</f>
        <v>144530</v>
      </c>
      <c r="G93" s="14"/>
      <c r="J93" s="15"/>
    </row>
    <row r="94" spans="1:10">
      <c r="A94" s="2" t="s">
        <v>99</v>
      </c>
      <c r="B94" s="2" t="s">
        <v>112</v>
      </c>
      <c r="C94" s="11">
        <v>26202</v>
      </c>
      <c r="D94" s="12">
        <f t="shared" si="2"/>
        <v>45</v>
      </c>
      <c r="E94" s="12" t="str">
        <f>VLOOKUP(D94,按年龄和性别!$A$16:$B$27,2,TRUE)</f>
        <v>45-49岁</v>
      </c>
      <c r="F94" s="13">
        <f>SUMIFS('2016年消费'!$C$1:$C$364,'2016年消费'!$A$1:$A$364,A94)</f>
        <v>292040</v>
      </c>
      <c r="G94" s="14"/>
      <c r="J94" s="15"/>
    </row>
    <row r="95" spans="1:10">
      <c r="A95" s="2" t="s">
        <v>100</v>
      </c>
      <c r="B95" s="2" t="s">
        <v>112</v>
      </c>
      <c r="C95" s="11">
        <v>25659</v>
      </c>
      <c r="D95" s="12">
        <f t="shared" si="2"/>
        <v>46</v>
      </c>
      <c r="E95" s="12" t="str">
        <f>VLOOKUP(D95,按年龄和性别!$A$16:$B$27,2,TRUE)</f>
        <v>45-49岁</v>
      </c>
      <c r="F95" s="13">
        <f>SUMIFS('2016年消费'!$C$1:$C$364,'2016年消费'!$A$1:$A$364,A95)</f>
        <v>192210</v>
      </c>
      <c r="G95" s="14"/>
      <c r="J95" s="15"/>
    </row>
    <row r="96" spans="1:10">
      <c r="A96" s="2" t="s">
        <v>101</v>
      </c>
      <c r="B96" s="2" t="s">
        <v>112</v>
      </c>
      <c r="C96" s="11">
        <v>25129</v>
      </c>
      <c r="D96" s="12">
        <f t="shared" si="2"/>
        <v>48</v>
      </c>
      <c r="E96" s="12" t="str">
        <f>VLOOKUP(D96,按年龄和性别!$A$16:$B$27,2,TRUE)</f>
        <v>45-49岁</v>
      </c>
      <c r="F96" s="13">
        <f>SUMIFS('2016年消费'!$C$1:$C$364,'2016年消费'!$A$1:$A$364,A96)</f>
        <v>332270</v>
      </c>
      <c r="G96" s="14"/>
      <c r="J96" s="15"/>
    </row>
    <row r="97" spans="1:10">
      <c r="A97" s="2" t="s">
        <v>102</v>
      </c>
      <c r="B97" s="2" t="s">
        <v>112</v>
      </c>
      <c r="C97" s="11">
        <v>20306</v>
      </c>
      <c r="D97" s="12">
        <f t="shared" si="2"/>
        <v>61</v>
      </c>
      <c r="E97" s="12" t="str">
        <f>VLOOKUP(D97,按年龄和性别!$A$16:$B$27,2,TRUE)</f>
        <v>60-64岁</v>
      </c>
      <c r="F97" s="13">
        <f>SUMIFS('2016年消费'!$C$1:$C$364,'2016年消费'!$A$1:$A$364,A97)</f>
        <v>177310</v>
      </c>
      <c r="G97" s="14"/>
      <c r="J97" s="15"/>
    </row>
    <row r="98" spans="1:10">
      <c r="A98" s="2" t="s">
        <v>103</v>
      </c>
      <c r="B98" s="2" t="s">
        <v>112</v>
      </c>
      <c r="C98" s="11">
        <v>22091</v>
      </c>
      <c r="D98" s="12">
        <f t="shared" si="2"/>
        <v>56</v>
      </c>
      <c r="E98" s="12" t="str">
        <f>VLOOKUP(D98,按年龄和性别!$A$16:$B$27,2,TRUE)</f>
        <v>55-59岁</v>
      </c>
      <c r="F98" s="13">
        <f>SUMIFS('2016年消费'!$C$1:$C$364,'2016年消费'!$A$1:$A$364,A98)</f>
        <v>324820</v>
      </c>
      <c r="G98" s="14"/>
      <c r="J98" s="15"/>
    </row>
    <row r="99" spans="1:10">
      <c r="A99" s="2" t="s">
        <v>104</v>
      </c>
      <c r="B99" s="2" t="s">
        <v>112</v>
      </c>
      <c r="C99" s="11">
        <v>24188</v>
      </c>
      <c r="D99" s="12">
        <f t="shared" si="2"/>
        <v>50</v>
      </c>
      <c r="E99" s="12" t="str">
        <f>VLOOKUP(D99,按年龄和性别!$A$16:$B$27,2,TRUE)</f>
        <v>50-54岁</v>
      </c>
      <c r="F99" s="13">
        <f>SUMIFS('2016年消费'!$C$1:$C$364,'2016年消费'!$A$1:$A$364,A99)</f>
        <v>306940</v>
      </c>
      <c r="G99" s="14"/>
      <c r="J99" s="15"/>
    </row>
    <row r="100" spans="1:10">
      <c r="A100" s="2" t="s">
        <v>105</v>
      </c>
      <c r="B100" s="2" t="s">
        <v>113</v>
      </c>
      <c r="C100" s="11">
        <v>22456</v>
      </c>
      <c r="D100" s="12">
        <f t="shared" si="2"/>
        <v>55</v>
      </c>
      <c r="E100" s="12" t="str">
        <f>VLOOKUP(D100,按年龄和性别!$A$16:$B$27,2,TRUE)</f>
        <v>55-59岁</v>
      </c>
      <c r="F100" s="13">
        <f>SUMIFS('2016年消费'!$C$1:$C$364,'2016年消费'!$A$1:$A$364,A100)</f>
        <v>113240</v>
      </c>
      <c r="G100" s="14"/>
      <c r="J100" s="15"/>
    </row>
    <row r="101" spans="1:10">
      <c r="A101" s="2" t="s">
        <v>106</v>
      </c>
      <c r="B101" s="2" t="s">
        <v>113</v>
      </c>
      <c r="C101" s="11">
        <v>24611</v>
      </c>
      <c r="D101" s="12">
        <f t="shared" si="2"/>
        <v>49</v>
      </c>
      <c r="E101" s="12" t="str">
        <f>VLOOKUP(D101,按年龄和性别!$A$16:$B$27,2,TRUE)</f>
        <v>45-49岁</v>
      </c>
      <c r="F101" s="13">
        <f>SUMIFS('2016年消费'!$C$1:$C$364,'2016年消费'!$A$1:$A$364,A101)</f>
        <v>140060</v>
      </c>
      <c r="G101" s="14"/>
      <c r="J101" s="15"/>
    </row>
  </sheetData>
  <sortState ref="J2:J101">
    <sortCondition ref="J2"/>
  </sortState>
  <conditionalFormatting sqref="D2:D101">
    <cfRule type="top10" dxfId="6" priority="1" bottom="1" rank="10"/>
  </conditionalFormatting>
  <conditionalFormatting sqref="A2:F101">
    <cfRule type="expression" dxfId="7" priority="2">
      <formula>RANK($F2,$F$2:$F$101,1)&lt;=15</formula>
    </cfRule>
  </conditionalFormatting>
  <printOptions horizontalCentered="1"/>
  <pageMargins left="0.251388888888889" right="0.251388888888889" top="0.751388888888889" bottom="0.751388888888889" header="0.298611111111111" footer="0.298611111111111"/>
  <pageSetup paperSize="9" orientation="landscape" horizontalDpi="1200" verticalDpi="1200"/>
  <headerFooter>
    <oddHeader>&amp;C&amp;A</oddHeader>
    <oddFooter>&amp;C&amp;Pof&amp;N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L14" sqref="L14"/>
    </sheetView>
  </sheetViews>
  <sheetFormatPr defaultColWidth="9" defaultRowHeight="14.25" outlineLevelCol="3"/>
  <cols>
    <col min="1" max="1" width="8.66666666666667" style="1"/>
    <col min="2" max="2" width="11.2518518518519" style="1" customWidth="1"/>
    <col min="3" max="4" width="11.2518518518519" style="2" customWidth="1"/>
    <col min="5" max="16384" width="8.66666666666667" style="2"/>
  </cols>
  <sheetData>
    <row r="1" ht="15.75" spans="1:4">
      <c r="A1" s="3" t="s">
        <v>110</v>
      </c>
      <c r="B1" s="3" t="s">
        <v>114</v>
      </c>
      <c r="C1" s="3" t="s">
        <v>115</v>
      </c>
      <c r="D1" s="3" t="s">
        <v>116</v>
      </c>
    </row>
    <row r="2" spans="1:4">
      <c r="A2" s="4" t="s">
        <v>117</v>
      </c>
      <c r="B2" s="5">
        <f>COUNTIFS(客户资料!$B$1:$B$101,"男",客户资料!$E$1:$E$101,A2)</f>
        <v>2</v>
      </c>
      <c r="C2" s="6">
        <f>COUNTIFS(客户资料!$B$1:$B$101,"女",客户资料!$E$1:$E$101,A2)</f>
        <v>1</v>
      </c>
      <c r="D2" s="6">
        <f>SUM(B2:C2)</f>
        <v>3</v>
      </c>
    </row>
    <row r="3" spans="1:4">
      <c r="A3" s="5" t="s">
        <v>118</v>
      </c>
      <c r="B3" s="5">
        <f>COUNTIFS(客户资料!$B$1:$B$101,"男",客户资料!$E$1:$E$101,A3)</f>
        <v>1</v>
      </c>
      <c r="C3" s="6">
        <f>COUNTIFS(客户资料!$B$1:$B$101,"女",客户资料!$E$1:$E$101,A3)</f>
        <v>4</v>
      </c>
      <c r="D3" s="6">
        <f t="shared" ref="D3:D13" si="0">SUM(B3:C3)</f>
        <v>5</v>
      </c>
    </row>
    <row r="4" spans="1:4">
      <c r="A4" s="5" t="s">
        <v>119</v>
      </c>
      <c r="B4" s="5">
        <f>COUNTIFS(客户资料!$B$1:$B$101,"男",客户资料!$E$1:$E$101,A4)</f>
        <v>1</v>
      </c>
      <c r="C4" s="6">
        <f>COUNTIFS(客户资料!$B$1:$B$101,"女",客户资料!$E$1:$E$101,A4)</f>
        <v>0</v>
      </c>
      <c r="D4" s="6">
        <f t="shared" si="0"/>
        <v>1</v>
      </c>
    </row>
    <row r="5" spans="1:4">
      <c r="A5" s="5" t="s">
        <v>120</v>
      </c>
      <c r="B5" s="5">
        <f>COUNTIFS(客户资料!$B$1:$B$101,"男",客户资料!$E$1:$E$101,A5)</f>
        <v>8</v>
      </c>
      <c r="C5" s="6">
        <f>COUNTIFS(客户资料!$B$1:$B$101,"女",客户资料!$E$1:$E$101,A5)</f>
        <v>9</v>
      </c>
      <c r="D5" s="6">
        <f t="shared" si="0"/>
        <v>17</v>
      </c>
    </row>
    <row r="6" spans="1:4">
      <c r="A6" s="5" t="s">
        <v>121</v>
      </c>
      <c r="B6" s="5">
        <f>COUNTIFS(客户资料!$B$1:$B$101,"男",客户资料!$E$1:$E$101,A6)</f>
        <v>14</v>
      </c>
      <c r="C6" s="6">
        <f>COUNTIFS(客户资料!$B$1:$B$101,"女",客户资料!$E$1:$E$101,A6)</f>
        <v>10</v>
      </c>
      <c r="D6" s="6">
        <f t="shared" si="0"/>
        <v>24</v>
      </c>
    </row>
    <row r="7" spans="1:4">
      <c r="A7" s="5" t="s">
        <v>122</v>
      </c>
      <c r="B7" s="5">
        <f>COUNTIFS(客户资料!$B$1:$B$101,"男",客户资料!$E$1:$E$101,A7)</f>
        <v>15</v>
      </c>
      <c r="C7" s="6">
        <f>COUNTIFS(客户资料!$B$1:$B$101,"女",客户资料!$E$1:$E$101,A7)</f>
        <v>2</v>
      </c>
      <c r="D7" s="6">
        <f t="shared" si="0"/>
        <v>17</v>
      </c>
    </row>
    <row r="8" spans="1:4">
      <c r="A8" s="5" t="s">
        <v>123</v>
      </c>
      <c r="B8" s="5">
        <f>COUNTIFS(客户资料!$B$1:$B$101,"男",客户资料!$E$1:$E$101,A8)</f>
        <v>11</v>
      </c>
      <c r="C8" s="6">
        <f>COUNTIFS(客户资料!$B$1:$B$101,"女",客户资料!$E$1:$E$101,A8)</f>
        <v>6</v>
      </c>
      <c r="D8" s="6">
        <f t="shared" si="0"/>
        <v>17</v>
      </c>
    </row>
    <row r="9" spans="1:4">
      <c r="A9" s="5" t="s">
        <v>124</v>
      </c>
      <c r="B9" s="5">
        <f>COUNTIFS(客户资料!$B$1:$B$101,"男",客户资料!$E$1:$E$101,A9)</f>
        <v>4</v>
      </c>
      <c r="C9" s="6">
        <f>COUNTIFS(客户资料!$B$1:$B$101,"女",客户资料!$E$1:$E$101,A9)</f>
        <v>1</v>
      </c>
      <c r="D9" s="6">
        <f t="shared" si="0"/>
        <v>5</v>
      </c>
    </row>
    <row r="10" spans="1:4">
      <c r="A10" s="5" t="s">
        <v>125</v>
      </c>
      <c r="B10" s="5">
        <f>COUNTIFS(客户资料!$B$1:$B$101,"男",客户资料!$E$1:$E$101,A10)</f>
        <v>4</v>
      </c>
      <c r="C10" s="6">
        <f>COUNTIFS(客户资料!$B$1:$B$101,"女",客户资料!$E$1:$E$101,A10)</f>
        <v>1</v>
      </c>
      <c r="D10" s="6">
        <f t="shared" si="0"/>
        <v>5</v>
      </c>
    </row>
    <row r="11" spans="1:4">
      <c r="A11" s="5" t="s">
        <v>126</v>
      </c>
      <c r="B11" s="5">
        <f>COUNTIFS(客户资料!$B$1:$B$101,"男",客户资料!$E$1:$E$101,A11)</f>
        <v>3</v>
      </c>
      <c r="C11" s="6">
        <f>COUNTIFS(客户资料!$B$1:$B$101,"女",客户资料!$E$1:$E$101,A11)</f>
        <v>2</v>
      </c>
      <c r="D11" s="6">
        <f t="shared" si="0"/>
        <v>5</v>
      </c>
    </row>
    <row r="12" spans="1:4">
      <c r="A12" s="5" t="s">
        <v>127</v>
      </c>
      <c r="B12" s="5">
        <f>COUNTIFS(客户资料!$B$1:$B$101,"男",客户资料!$E$1:$E$101,A12)</f>
        <v>0</v>
      </c>
      <c r="C12" s="6">
        <f>COUNTIFS(客户资料!$B$1:$B$101,"女",客户资料!$E$1:$E$101,A12)</f>
        <v>1</v>
      </c>
      <c r="D12" s="6">
        <f t="shared" si="0"/>
        <v>1</v>
      </c>
    </row>
    <row r="13" spans="1:4">
      <c r="A13" s="7" t="s">
        <v>128</v>
      </c>
      <c r="B13" s="7">
        <f>SUM(B2:B12)</f>
        <v>63</v>
      </c>
      <c r="C13" s="7">
        <f>SUM(C2:C12)</f>
        <v>37</v>
      </c>
      <c r="D13" s="7">
        <f>SUM(D2:D12)</f>
        <v>100</v>
      </c>
    </row>
    <row r="14" ht="15"/>
    <row r="16" spans="1:2">
      <c r="A16" s="1" t="s">
        <v>109</v>
      </c>
      <c r="B16" s="8" t="s">
        <v>110</v>
      </c>
    </row>
    <row r="17" spans="1:2">
      <c r="A17" s="1">
        <v>0</v>
      </c>
      <c r="B17" s="1" t="s">
        <v>117</v>
      </c>
    </row>
    <row r="18" spans="1:2">
      <c r="A18" s="1">
        <v>30</v>
      </c>
      <c r="B18" s="8" t="s">
        <v>118</v>
      </c>
    </row>
    <row r="19" spans="1:2">
      <c r="A19" s="1">
        <v>35</v>
      </c>
      <c r="B19" s="8" t="s">
        <v>119</v>
      </c>
    </row>
    <row r="20" spans="1:2">
      <c r="A20" s="1">
        <v>40</v>
      </c>
      <c r="B20" s="8" t="s">
        <v>120</v>
      </c>
    </row>
    <row r="21" spans="1:2">
      <c r="A21" s="1">
        <v>45</v>
      </c>
      <c r="B21" s="8" t="s">
        <v>121</v>
      </c>
    </row>
    <row r="22" spans="1:2">
      <c r="A22" s="1">
        <v>50</v>
      </c>
      <c r="B22" s="8" t="s">
        <v>122</v>
      </c>
    </row>
    <row r="23" spans="1:2">
      <c r="A23" s="1">
        <v>55</v>
      </c>
      <c r="B23" s="8" t="s">
        <v>123</v>
      </c>
    </row>
    <row r="24" spans="1:2">
      <c r="A24" s="1">
        <v>60</v>
      </c>
      <c r="B24" s="8" t="s">
        <v>124</v>
      </c>
    </row>
    <row r="25" spans="1:2">
      <c r="A25" s="1">
        <v>65</v>
      </c>
      <c r="B25" s="8" t="s">
        <v>125</v>
      </c>
    </row>
    <row r="26" spans="1:2">
      <c r="A26" s="1">
        <v>70</v>
      </c>
      <c r="B26" s="8" t="s">
        <v>126</v>
      </c>
    </row>
    <row r="27" spans="1:2">
      <c r="A27" s="1">
        <v>75</v>
      </c>
      <c r="B27" s="8" t="s">
        <v>127</v>
      </c>
    </row>
  </sheetData>
  <sortState ref="A2:A11">
    <sortCondition ref="A2:A11"/>
  </sortState>
  <printOptions horizontalCentered="1"/>
  <pageMargins left="0.251388888888889" right="0.251388888888889" top="0.751388888888889" bottom="0.751388888888889" header="0.298611111111111" footer="0.298611111111111"/>
  <pageSetup paperSize="9" orientation="portrait" horizontalDpi="1200" verticalDpi="1200"/>
  <headerFooter>
    <oddHeader>&amp;C&amp;A</oddHeader>
    <oddFooter>&amp;C&amp;Pof&amp;N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2016年消费</vt:lpstr>
      <vt:lpstr>各年龄段人数</vt:lpstr>
      <vt:lpstr>客户资料</vt:lpstr>
      <vt:lpstr>按年龄和性别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</dc:creator>
  <cp:lastModifiedBy>25472</cp:lastModifiedBy>
  <dcterms:created xsi:type="dcterms:W3CDTF">2015-02-27T13:23:00Z</dcterms:created>
  <dcterms:modified xsi:type="dcterms:W3CDTF">2025-02-18T05:15:19Z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02E231AC82E7481E951A173FDC62CCC1_13</vt:lpwstr>
  </property>
</Properties>
</file>
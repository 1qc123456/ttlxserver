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25" windowHeight="12360" activeTab="1"/>
  </bookViews>
  <sheets>
    <sheet name="Sheet1" sheetId="1" r:id="rId1"/>
    <sheet name="品种库存" sheetId="2" r:id="rId2"/>
  </sheets>
  <definedNames>
    <definedName name="_xlnm.Print_Area" localSheetId="1">品种库存!$B$2:$C$5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<sst xmlns="http://schemas.openxmlformats.org/spreadsheetml/2006/main" count="24" uniqueCount="17">
  <si>
    <t>各品种不同水果利润表</t>
  </si>
  <si>
    <t>名称</t>
  </si>
  <si>
    <t>品种</t>
  </si>
  <si>
    <t>库存</t>
  </si>
  <si>
    <t>品质</t>
  </si>
  <si>
    <t>利润</t>
  </si>
  <si>
    <t>评价</t>
  </si>
  <si>
    <t>香蕉</t>
  </si>
  <si>
    <t>中国</t>
  </si>
  <si>
    <t>苹果</t>
  </si>
  <si>
    <t>进口</t>
  </si>
  <si>
    <t>橘子</t>
  </si>
  <si>
    <t>桃子</t>
  </si>
  <si>
    <t>葡萄</t>
  </si>
  <si>
    <t>车厘子</t>
  </si>
  <si>
    <t>求和项:库存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</si>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</sst>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品质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Sheet1!$D$3:$D$8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879422"/>
        <c:axId val="730260616"/>
      </c:barChart>
      <c:lineChart>
        <c:grouping val="standard"/>
        <c:varyColors val="0"/>
        <c:ser>
          <c:idx val="1"/>
          <c:order val="1"/>
          <c:tx>
            <c:strRef>
              <c:f>Sheet1!$E$2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Sheet1!$E$3:$E$8</c:f>
              <c:numCache>
                <c:formatCode>0.00%</c:formatCode>
                <c:ptCount val="6"/>
                <c:pt idx="0">
                  <c:v>0.012</c:v>
                </c:pt>
                <c:pt idx="1">
                  <c:v>0.034</c:v>
                </c:pt>
                <c:pt idx="2">
                  <c:v>0.036</c:v>
                </c:pt>
                <c:pt idx="3">
                  <c:v>0.045</c:v>
                </c:pt>
                <c:pt idx="4">
                  <c:v>0.029</c:v>
                </c:pt>
                <c:pt idx="5">
                  <c:v>0.111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583719"/>
        <c:axId val="774771844"/>
      </c:lineChart>
      <c:catAx>
        <c:axId val="4778794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260616"/>
        <c:crosses val="autoZero"/>
        <c:auto val="1"/>
        <c:lblAlgn val="ctr"/>
        <c:lblOffset val="100"/>
        <c:noMultiLvlLbl val="0"/>
      </c:catAx>
      <c:valAx>
        <c:axId val="73026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879422"/>
        <c:crosses val="autoZero"/>
        <c:crossBetween val="between"/>
      </c:valAx>
      <c:catAx>
        <c:axId val="31658371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771844"/>
        <c:crosses val="autoZero"/>
        <c:auto val="1"/>
        <c:lblAlgn val="ctr"/>
        <c:lblOffset val="100"/>
        <c:noMultiLvlLbl val="0"/>
      </c:catAx>
      <c:valAx>
        <c:axId val="7747718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65837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[标准文件.xlsx]品种库存!数据透视表1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品种利润对比图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品种库存!$C$2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品种库存!$B$3:$B$5</c:f>
              <c:strCache>
                <c:ptCount val="2"/>
                <c:pt idx="0">
                  <c:v>进口</c:v>
                </c:pt>
                <c:pt idx="1">
                  <c:v>中国</c:v>
                </c:pt>
              </c:strCache>
            </c:strRef>
          </c:cat>
          <c:val>
            <c:numRef>
              <c:f>品种库存!$C$3:$C$5</c:f>
              <c:numCache>
                <c:formatCode>General</c:formatCode>
                <c:ptCount val="2"/>
                <c:pt idx="0">
                  <c:v>2200</c:v>
                </c:pt>
                <c:pt idx="1">
                  <c:v>2000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93599212"/>
        <c:axId val="344879612"/>
      </c:barChart>
      <c:catAx>
        <c:axId val="9935992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879612"/>
        <c:crosses val="autoZero"/>
        <c:auto val="1"/>
        <c:lblAlgn val="ctr"/>
        <c:lblOffset val="100"/>
        <c:noMultiLvlLbl val="0"/>
      </c:catAx>
      <c:valAx>
        <c:axId val="344879612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992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444500</xdr:colOff>
      <xdr:row>13</xdr:row>
      <xdr:rowOff>12700</xdr:rowOff>
    </xdr:from>
    <xdr:to>
      <xdr:col>10</xdr:col>
      <xdr:colOff>469900</xdr:colOff>
      <xdr:row>29</xdr:row>
      <xdr:rowOff>12700</xdr:rowOff>
    </xdr:to>
    <xdr:graphicFrame>
      <xdr:nvGraphicFramePr>
        <xdr:cNvPr id="2" name="图表 1"/>
        <xdr:cNvGraphicFramePr/>
      </xdr:nvGraphicFramePr>
      <xdr:xfrm>
        <a:off x="2501900" y="2298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520700</xdr:colOff>
      <xdr:row>12</xdr:row>
      <xdr:rowOff>88900</xdr:rowOff>
    </xdr:from>
    <xdr:to>
      <xdr:col>8</xdr:col>
      <xdr:colOff>384175</xdr:colOff>
      <xdr:row>28</xdr:row>
      <xdr:rowOff>88900</xdr:rowOff>
    </xdr:to>
    <xdr:graphicFrame>
      <xdr:nvGraphicFramePr>
        <xdr:cNvPr id="2" name="图表 1"/>
        <xdr:cNvGraphicFramePr/>
      </xdr:nvGraphicFramePr>
      <xdr:xfrm>
        <a:off x="1206500" y="2146300"/>
        <a:ext cx="5054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12.563125" refreshedBy="25472" recordCount="6">
  <cacheSource type="worksheet">
    <worksheetSource ref="A2:E8" sheet="Sheet1"/>
  </cacheSource>
  <cacheFields count="5">
    <cacheField name="名称" numFmtId="0">
      <sharedItems count="6">
        <s v="香蕉"/>
        <s v="苹果"/>
        <s v="橘子"/>
        <s v="桃子"/>
        <s v="葡萄"/>
        <s v="车厘子"/>
      </sharedItems>
    </cacheField>
    <cacheField name="品种" numFmtId="0">
      <sharedItems count="2">
        <s v="中国"/>
        <s v="进口"/>
      </sharedItems>
    </cacheField>
    <cacheField name="库存" numFmtId="0">
      <sharedItems containsSemiMixedTypes="0" containsString="0" containsNumber="1" containsInteger="1" minValue="0" maxValue="1200" count="6">
        <n v="200"/>
        <n v="400"/>
        <n v="600"/>
        <n v="800"/>
        <n v="1000"/>
        <n v="1200"/>
      </sharedItems>
    </cacheField>
    <cacheField name="品质" numFmtId="0">
      <sharedItems containsSemiMixedTypes="0" containsString="0" containsNumber="1" containsInteger="1" minValue="0" maxValue="3" count="3">
        <n v="1"/>
        <n v="2"/>
        <n v="3"/>
      </sharedItems>
    </cacheField>
    <cacheField name="利润" numFmtId="10">
      <sharedItems containsSemiMixedTypes="0" containsString="0" containsNumber="1" minValue="0" maxValue="0.111" count="6">
        <n v="0.012"/>
        <n v="0.034"/>
        <n v="0.036"/>
        <n v="0.045"/>
        <n v="0.029"/>
        <n v="0.11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</r>
  <r>
    <x v="1"/>
    <x v="1"/>
    <x v="1"/>
    <x v="1"/>
    <x v="1"/>
  </r>
  <r>
    <x v="2"/>
    <x v="0"/>
    <x v="2"/>
    <x v="1"/>
    <x v="2"/>
  </r>
  <r>
    <x v="3"/>
    <x v="1"/>
    <x v="3"/>
    <x v="2"/>
    <x v="3"/>
  </r>
  <r>
    <x v="4"/>
    <x v="1"/>
    <x v="4"/>
    <x v="0"/>
    <x v="4"/>
  </r>
  <r>
    <x v="5"/>
    <x v="0"/>
    <x v="5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2:C5" firstHeaderRow="1" firstDataRow="1" firstDataCol="1"/>
  <pivotFields count="5">
    <pivotField compact="0" showAll="0">
      <items count="7">
        <item x="5"/>
        <item x="2"/>
        <item x="1"/>
        <item x="4"/>
        <item x="3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numFmtId="1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求和项:库存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I9" sqref="I9"/>
    </sheetView>
  </sheetViews>
  <sheetFormatPr defaultColWidth="9" defaultRowHeight="13.5" outlineLevelRow="7" outlineLevelCol="5"/>
  <sheetData>
    <row r="1" s="1" customFormat="1" ht="18" customHeight="1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3" t="s">
        <v>7</v>
      </c>
      <c r="B3" s="3" t="s">
        <v>8</v>
      </c>
      <c r="C3" s="3">
        <v>200</v>
      </c>
      <c r="D3" s="3">
        <v>1</v>
      </c>
      <c r="E3" s="4">
        <v>0.012</v>
      </c>
      <c r="F3" s="3" t="str">
        <f t="shared" ref="F3:F8" si="0">IF(D3=1,"中","高")</f>
        <v>中</v>
      </c>
    </row>
    <row r="4" spans="1:6">
      <c r="A4" s="3" t="s">
        <v>9</v>
      </c>
      <c r="B4" s="3" t="s">
        <v>10</v>
      </c>
      <c r="C4" s="3">
        <f>C3+200</f>
        <v>400</v>
      </c>
      <c r="D4" s="3">
        <v>2</v>
      </c>
      <c r="E4" s="4">
        <v>0.034</v>
      </c>
      <c r="F4" s="3" t="str">
        <f t="shared" si="0"/>
        <v>高</v>
      </c>
    </row>
    <row r="5" spans="1:6">
      <c r="A5" s="3" t="s">
        <v>11</v>
      </c>
      <c r="B5" s="3" t="s">
        <v>8</v>
      </c>
      <c r="C5" s="3">
        <f>C4+200</f>
        <v>600</v>
      </c>
      <c r="D5" s="3">
        <v>2</v>
      </c>
      <c r="E5" s="4">
        <v>0.036</v>
      </c>
      <c r="F5" s="3" t="str">
        <f t="shared" si="0"/>
        <v>高</v>
      </c>
    </row>
    <row r="6" spans="1:6">
      <c r="A6" s="3" t="s">
        <v>12</v>
      </c>
      <c r="B6" s="3" t="s">
        <v>10</v>
      </c>
      <c r="C6" s="3">
        <f>C5+200</f>
        <v>800</v>
      </c>
      <c r="D6" s="3">
        <v>3</v>
      </c>
      <c r="E6" s="4">
        <v>0.045</v>
      </c>
      <c r="F6" s="3" t="str">
        <f t="shared" si="0"/>
        <v>高</v>
      </c>
    </row>
    <row r="7" spans="1:6">
      <c r="A7" s="3" t="s">
        <v>13</v>
      </c>
      <c r="B7" s="3" t="s">
        <v>10</v>
      </c>
      <c r="C7" s="3">
        <f>C6+200</f>
        <v>1000</v>
      </c>
      <c r="D7" s="3">
        <v>1</v>
      </c>
      <c r="E7" s="4">
        <v>0.029</v>
      </c>
      <c r="F7" s="3" t="str">
        <f t="shared" si="0"/>
        <v>中</v>
      </c>
    </row>
    <row r="8" spans="1:6">
      <c r="A8" s="3" t="s">
        <v>14</v>
      </c>
      <c r="B8" s="3" t="s">
        <v>8</v>
      </c>
      <c r="C8" s="3">
        <f>C7+200</f>
        <v>1200</v>
      </c>
      <c r="D8" s="3">
        <v>3</v>
      </c>
      <c r="E8" s="4">
        <v>0.111</v>
      </c>
      <c r="F8" s="3" t="str">
        <f t="shared" si="0"/>
        <v>高</v>
      </c>
    </row>
  </sheetData>
  <mergeCells count="1">
    <mergeCell ref="A1:F1"/>
  </mergeCells>
  <dataValidations count="1">
    <dataValidation type="whole" operator="between" allowBlank="1" showInputMessage="1" showErrorMessage="1" sqref="D3:D8">
      <formula1>1</formula1>
      <formula2>3</formula2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  <pageSetUpPr fitToPage="1"/>
  </sheetPr>
  <dimension ref="B2:C5"/>
  <sheetViews>
    <sheetView tabSelected="1" workbookViewId="0">
      <selection activeCell="I9" sqref="I9"/>
    </sheetView>
  </sheetViews>
  <sheetFormatPr defaultColWidth="9" defaultRowHeight="13.5" outlineLevelRow="4" outlineLevelCol="2"/>
  <cols>
    <col min="2" max="2" width="7.375"/>
    <col min="3" max="3" width="12.75"/>
    <col min="4" max="4" width="12"/>
  </cols>
  <sheetData>
    <row r="2" spans="2:3">
      <c r="B2" t="s">
        <v>2</v>
      </c>
      <c r="C2" t="s">
        <v>15</v>
      </c>
    </row>
    <row r="3" spans="2:3">
      <c r="B3" t="s">
        <v>10</v>
      </c>
      <c r="C3">
        <v>2200</v>
      </c>
    </row>
    <row r="4" spans="2:3">
      <c r="B4" t="s">
        <v>8</v>
      </c>
      <c r="C4">
        <v>2000</v>
      </c>
    </row>
    <row r="5" spans="2:3">
      <c r="B5" t="s">
        <v>16</v>
      </c>
      <c r="C5">
        <v>4200</v>
      </c>
    </row>
  </sheetData>
  <printOptions horizontalCentered="1" verticalCentered="1"/>
  <pageMargins left="0.393055555555556" right="0.393055555555556" top="0.590277777777778" bottom="0.590277777777778" header="0.298611111111111" footer="0.298611111111111"/>
  <pageSetup paperSize="9" orientation="landscape" horizont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品种库存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准易技术~张工</cp:lastModifiedBy>
  <dcterms:created xsi:type="dcterms:W3CDTF">2023-05-12T11:15:00Z</dcterms:created>
  <dcterms:modified xsi:type="dcterms:W3CDTF">2025-05-21T01:23:19Z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
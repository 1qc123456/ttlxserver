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810" windowHeight="12255" activeTab="1"/>
  </bookViews>
  <sheets>
    <sheet name="小张的美好生活" sheetId="1" r:id="rId1"/>
    <sheet name="按季度汇总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<sst xmlns="http://schemas.openxmlformats.org/spreadsheetml/2006/main" count="40" uniqueCount="22">
  <si>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小张2024年开支明细表</t>
  </si>
  <si>
    <t>年月</t>
  </si>
  <si>
    <t>季度</t>
  </si>
  <si>
    <t>服装服饰</t>
  </si>
  <si>
    <t>饮食</t>
  </si>
  <si>
    <t>水电气房租</t>
  </si>
  <si>
    <t>交通</t>
  </si>
  <si>
    <t>通信</t>
  </si>
  <si>
    <t>阅读培训</t>
  </si>
  <si>
    <t>社交应酬</t>
  </si>
  <si>
    <t>医疗保健</t>
  </si>
  <si>
    <t>休闲旅游</t>
  </si>
  <si>
    <t>个人兴趣</t>
  </si>
  <si>
    <t>公益活动</t>
  </si>
  <si>
    <t>总支出</t>
  </si>
  <si>
    <t>月均开销</t>
  </si>
  <si>
    <t>求和项:总支出</t>
  </si>
  <si>
    <t>总计</t>
  </si>
  <si>
    <t>1季度</t>
  </si>
  <si>
    <t>2季度</t>
  </si>
  <si>
    <t>3季度</t>
  </si>
  <si>
    <t>4季度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</si>
</sst>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57" fontId="0" fillId="0" borderId="0" xfId="0" applyNumberFormat="1" applyAlignment="1">
      <alignment horizontal="center" vertical="center"/>
    </xf>
    <xf numFmtId="5" fontId="0" fillId="0" borderId="0" xfId="0" applyNumberFormat="1" applyAlignment="1">
      <alignment horizontal="center" vertical="center"/>
    </xf>
    <xf numFmtId="5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2">
    <dxf>
      <numFmt numFmtId="57" formatCode="yyyy&quot;年&quot;m&quot;月&quot;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numFmt numFmtId="5" formatCode="&quot;￥&quot;#,##0;&quot;￥&quot;\-#,##0"/>
      <alignment horizontal="center" vertical="center"/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</dxfs>
  <tableStyles count="1" defaultTableStyle="TableStyleMedium2" defaultPivotStyle="PivotStyleLight16">
    <tableStyle name="TableStylePreset2_Accent1" pivot="0" count="7" xr9:uid="{92C47A86-FE51-431D-9334-A9A9FE1DDEBB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[开支明细表 - 副本.xlsx]按季度汇总!数据透视表2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2013</a:t>
            </a:r>
            <a:r>
              <a:rPr altLang="en-US"/>
              <a:t>年水电气房租总支出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按季度汇总!$B$16:$B$17</c:f>
              <c:strCache>
                <c:ptCount val="1"/>
                <c:pt idx="0">
                  <c:v>￥900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按季度汇总!$A$18:$A$22</c:f>
              <c:strCache>
                <c:ptCount val="4"/>
                <c:pt idx="0">
                  <c:v>1季度</c:v>
                </c:pt>
                <c:pt idx="1">
                  <c:v>2季度</c:v>
                </c:pt>
                <c:pt idx="2">
                  <c:v>3季度</c:v>
                </c:pt>
                <c:pt idx="3">
                  <c:v>4季度</c:v>
                </c:pt>
              </c:strCache>
            </c:strRef>
          </c:cat>
          <c:val>
            <c:numRef>
              <c:f>按季度汇总!$B$18:$B$22</c:f>
              <c:numCache>
                <c:formatCode>General</c:formatCode>
                <c:ptCount val="4"/>
                <c:pt idx="0">
                  <c:v>6966</c:v>
                </c:pt>
              </c:numCache>
            </c:numRef>
          </c:val>
        </c:ser>
        <c:ser>
          <c:idx val="1"/>
          <c:order val="1"/>
          <c:tx>
            <c:strRef>
              <c:f>按季度汇总!$C$16:$C$17</c:f>
              <c:strCache>
                <c:ptCount val="1"/>
                <c:pt idx="0">
                  <c:v>￥1,000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按季度汇总!$A$18:$A$22</c:f>
              <c:strCache>
                <c:ptCount val="4"/>
                <c:pt idx="0">
                  <c:v>1季度</c:v>
                </c:pt>
                <c:pt idx="1">
                  <c:v>2季度</c:v>
                </c:pt>
                <c:pt idx="2">
                  <c:v>3季度</c:v>
                </c:pt>
                <c:pt idx="3">
                  <c:v>4季度</c:v>
                </c:pt>
              </c:strCache>
            </c:strRef>
          </c:cat>
          <c:val>
            <c:numRef>
              <c:f>按季度汇总!$C$18:$C$22</c:f>
              <c:numCache>
                <c:formatCode>General</c:formatCode>
                <c:ptCount val="4"/>
                <c:pt idx="0">
                  <c:v>3476</c:v>
                </c:pt>
                <c:pt idx="1">
                  <c:v>6992</c:v>
                </c:pt>
                <c:pt idx="2">
                  <c:v>4046</c:v>
                </c:pt>
                <c:pt idx="3">
                  <c:v>6552</c:v>
                </c:pt>
              </c:numCache>
            </c:numRef>
          </c:val>
        </c:ser>
        <c:ser>
          <c:idx val="2"/>
          <c:order val="2"/>
          <c:tx>
            <c:strRef>
              <c:f>按季度汇总!$D$16:$D$17</c:f>
              <c:strCache>
                <c:ptCount val="1"/>
                <c:pt idx="0">
                  <c:v>￥1,050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按季度汇总!$A$18:$A$22</c:f>
              <c:strCache>
                <c:ptCount val="4"/>
                <c:pt idx="0">
                  <c:v>1季度</c:v>
                </c:pt>
                <c:pt idx="1">
                  <c:v>2季度</c:v>
                </c:pt>
                <c:pt idx="2">
                  <c:v>3季度</c:v>
                </c:pt>
                <c:pt idx="3">
                  <c:v>4季度</c:v>
                </c:pt>
              </c:strCache>
            </c:strRef>
          </c:cat>
          <c:val>
            <c:numRef>
              <c:f>按季度汇总!$D$18:$D$22</c:f>
              <c:numCache>
                <c:formatCode>General</c:formatCode>
                <c:ptCount val="4"/>
                <c:pt idx="1">
                  <c:v>3496</c:v>
                </c:pt>
              </c:numCache>
            </c:numRef>
          </c:val>
        </c:ser>
        <c:ser>
          <c:idx val="3"/>
          <c:order val="3"/>
          <c:tx>
            <c:strRef>
              <c:f>按季度汇总!$E$16:$E$17</c:f>
              <c:strCache>
                <c:ptCount val="1"/>
                <c:pt idx="0">
                  <c:v>￥1,100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按季度汇总!$A$18:$A$22</c:f>
              <c:strCache>
                <c:ptCount val="4"/>
                <c:pt idx="0">
                  <c:v>1季度</c:v>
                </c:pt>
                <c:pt idx="1">
                  <c:v>2季度</c:v>
                </c:pt>
                <c:pt idx="2">
                  <c:v>3季度</c:v>
                </c:pt>
                <c:pt idx="3">
                  <c:v>4季度</c:v>
                </c:pt>
              </c:strCache>
            </c:strRef>
          </c:cat>
          <c:val>
            <c:numRef>
              <c:f>按季度汇总!$E$18:$E$22</c:f>
              <c:numCache>
                <c:formatCode>General</c:formatCode>
                <c:ptCount val="4"/>
                <c:pt idx="0">
                  <c:v>3606</c:v>
                </c:pt>
                <c:pt idx="2">
                  <c:v>10692</c:v>
                </c:pt>
                <c:pt idx="3">
                  <c:v>4106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967761410"/>
        <c:axId val="413457734"/>
      </c:barChart>
      <c:catAx>
        <c:axId val="96776141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3457734"/>
        <c:crosses val="autoZero"/>
        <c:auto val="1"/>
        <c:lblAlgn val="ctr"/>
        <c:lblOffset val="100"/>
        <c:noMultiLvlLbl val="0"/>
      </c:catAx>
      <c:valAx>
        <c:axId val="41345773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77614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</xdr:colOff>
      <xdr:row>24</xdr:row>
      <xdr:rowOff>19050</xdr:rowOff>
    </xdr:from>
    <xdr:to>
      <xdr:col>7</xdr:col>
      <xdr:colOff>167005</xdr:colOff>
      <xdr:row>40</xdr:row>
      <xdr:rowOff>155575</xdr:rowOff>
    </xdr:to>
    <xdr:graphicFrame>
      <xdr:nvGraphicFramePr>
        <xdr:cNvPr id="3" name="图表 2"/>
        <xdr:cNvGraphicFramePr/>
      </xdr:nvGraphicFramePr>
      <xdr:xfrm>
        <a:off x="1905" y="4279900"/>
        <a:ext cx="6477000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18.4050694444" refreshedBy="25472" recordCount="12">
  <cacheSource type="worksheet">
    <worksheetSource name="表1_3"/>
  </cacheSource>
  <cacheFields count="14">
    <cacheField name="年月" numFmtId="57">
      <sharedItems containsSemiMixedTypes="0" containsString="0" containsNonDate="0" containsDate="1" minDate="2013-01-01T00:00:00" maxDate="2013-12-01T00:00:00" count="12">
        <d v="2013-11-01T00:00:00"/>
        <d v="2013-04-01T00:00:00"/>
        <d v="2013-03-01T00:00:00"/>
        <d v="2013-06-01T00:00:00"/>
        <d v="2013-05-01T00:00:00"/>
        <d v="2013-10-01T00:00:00"/>
        <d v="2013-01-01T00:00:00"/>
        <d v="2013-09-01T00:00:00"/>
        <d v="2013-12-01T00:00:00"/>
        <d v="2013-08-01T00:00:00"/>
        <d v="2013-07-01T00:00:00"/>
        <d v="2013-02-01T00:00:00"/>
      </sharedItems>
    </cacheField>
    <cacheField name="季度" numFmtId="57">
      <sharedItems count="4">
        <s v="4季度"/>
        <s v="2季度"/>
        <s v="1季度"/>
        <s v="3季度"/>
      </sharedItems>
    </cacheField>
    <cacheField name="服装服饰" numFmtId="5">
      <sharedItems containsSemiMixedTypes="0" containsString="0" containsNumber="1" containsInteger="1" minValue="0" maxValue="1200" count="7">
        <n v="200"/>
        <n v="100"/>
        <n v="50"/>
        <n v="150"/>
        <n v="300"/>
        <n v="1100"/>
        <n v="1200"/>
      </sharedItems>
    </cacheField>
    <cacheField name="饮食" numFmtId="5">
      <sharedItems containsSemiMixedTypes="0" containsString="0" containsNumber="1" containsInteger="1" minValue="0" maxValue="1050" count="6">
        <n v="900"/>
        <n v="750"/>
        <n v="850"/>
        <n v="800"/>
        <n v="1050"/>
        <n v="600"/>
      </sharedItems>
    </cacheField>
    <cacheField name="水电气房租" numFmtId="5">
      <sharedItems containsSemiMixedTypes="0" containsString="0" containsNumber="1" containsInteger="1" minValue="0" maxValue="1100" count="4">
        <n v="1000"/>
        <n v="1050"/>
        <n v="1100"/>
        <n v="900"/>
      </sharedItems>
    </cacheField>
    <cacheField name="交通" numFmtId="5">
      <sharedItems containsSemiMixedTypes="0" containsString="0" containsNumber="1" containsInteger="1" minValue="0" maxValue="1000" count="11">
        <n v="120"/>
        <n v="300"/>
        <n v="200"/>
        <n v="150"/>
        <n v="280"/>
        <n v="260"/>
        <n v="220"/>
        <n v="350"/>
        <n v="180"/>
        <n v="250"/>
        <n v="1000"/>
      </sharedItems>
    </cacheField>
    <cacheField name="通信" numFmtId="5">
      <sharedItems containsSemiMixedTypes="0" containsString="0" containsNumber="1" containsInteger="1" minValue="0" maxValue="900" count="5">
        <n v="0"/>
        <n v="100"/>
        <n v="200"/>
        <n v="900"/>
        <n v="300"/>
      </sharedItems>
    </cacheField>
    <cacheField name="阅读培训" numFmtId="5">
      <sharedItems containsSemiMixedTypes="0" containsString="0" containsNumber="1" containsInteger="1" minValue="0" maxValue="2600" count="6">
        <n v="50"/>
        <n v="80"/>
        <n v="60"/>
        <n v="100"/>
        <n v="0"/>
        <n v="2600"/>
      </sharedItems>
    </cacheField>
    <cacheField name="社交应酬" numFmtId="5">
      <sharedItems containsSemiMixedTypes="0" containsString="0" containsNumber="1" containsInteger="1" minValue="0" maxValue="2000" count="6">
        <n v="100"/>
        <n v="300"/>
        <n v="200"/>
        <n v="600"/>
        <n v="500"/>
        <n v="2000"/>
      </sharedItems>
    </cacheField>
    <cacheField name="医疗保健" numFmtId="5">
      <sharedItems containsSemiMixedTypes="0" containsString="0" containsNumber="1" containsInteger="1" minValue="0" maxValue="230" count="7">
        <n v="100"/>
        <n v="0"/>
        <n v="200"/>
        <n v="230"/>
        <n v="50"/>
        <n v="130"/>
        <n v="60"/>
      </sharedItems>
    </cacheField>
    <cacheField name="休闲旅游" numFmtId="5">
      <sharedItems containsSemiMixedTypes="0" containsString="0" containsNumber="1" containsInteger="1" minValue="0" maxValue="500" count="9">
        <n v="0"/>
        <n v="100"/>
        <n v="300"/>
        <n v="230"/>
        <n v="400"/>
        <n v="180"/>
        <n v="80"/>
        <n v="200"/>
        <n v="500"/>
      </sharedItems>
    </cacheField>
    <cacheField name="个人兴趣" numFmtId="5">
      <sharedItems containsSemiMixedTypes="0" containsString="0" containsNumber="1" containsInteger="1" minValue="0" maxValue="1200" count="7">
        <n v="420"/>
        <n v="450"/>
        <n v="350"/>
        <n v="500"/>
        <n v="300"/>
        <n v="400"/>
        <n v="1200"/>
      </sharedItems>
    </cacheField>
    <cacheField name="公益活动" numFmtId="5">
      <sharedItems containsSemiMixedTypes="0" containsString="0" containsNumber="1" containsInteger="1" minValue="0" maxValue="66" count="1">
        <n v="66"/>
      </sharedItems>
    </cacheField>
    <cacheField name="总支出" numFmtId="5">
      <sharedItems containsSemiMixedTypes="0" containsString="0" containsNumber="1" containsInteger="1" minValue="0" maxValue="6966" count="11">
        <n v="2956"/>
        <n v="3396"/>
        <n v="3476"/>
        <n v="3496"/>
        <n v="3596"/>
        <n v="3606"/>
        <n v="4046"/>
        <n v="4106"/>
        <n v="4276"/>
        <n v="6416"/>
        <n v="6966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0"/>
    <x v="1"/>
    <x v="1"/>
    <x v="1"/>
    <x v="1"/>
    <x v="1"/>
    <x v="1"/>
    <x v="1"/>
    <x v="0"/>
    <x v="1"/>
  </r>
  <r>
    <x v="2"/>
    <x v="2"/>
    <x v="2"/>
    <x v="1"/>
    <x v="0"/>
    <x v="1"/>
    <x v="2"/>
    <x v="2"/>
    <x v="2"/>
    <x v="2"/>
    <x v="2"/>
    <x v="2"/>
    <x v="0"/>
    <x v="2"/>
  </r>
  <r>
    <x v="3"/>
    <x v="1"/>
    <x v="0"/>
    <x v="2"/>
    <x v="1"/>
    <x v="2"/>
    <x v="1"/>
    <x v="3"/>
    <x v="2"/>
    <x v="3"/>
    <x v="0"/>
    <x v="3"/>
    <x v="0"/>
    <x v="3"/>
  </r>
  <r>
    <x v="4"/>
    <x v="1"/>
    <x v="3"/>
    <x v="3"/>
    <x v="0"/>
    <x v="3"/>
    <x v="2"/>
    <x v="4"/>
    <x v="3"/>
    <x v="0"/>
    <x v="3"/>
    <x v="4"/>
    <x v="0"/>
    <x v="4"/>
  </r>
  <r>
    <x v="5"/>
    <x v="0"/>
    <x v="1"/>
    <x v="0"/>
    <x v="0"/>
    <x v="4"/>
    <x v="0"/>
    <x v="4"/>
    <x v="4"/>
    <x v="1"/>
    <x v="4"/>
    <x v="2"/>
    <x v="0"/>
    <x v="4"/>
  </r>
  <r>
    <x v="6"/>
    <x v="2"/>
    <x v="4"/>
    <x v="3"/>
    <x v="2"/>
    <x v="5"/>
    <x v="1"/>
    <x v="3"/>
    <x v="1"/>
    <x v="4"/>
    <x v="5"/>
    <x v="2"/>
    <x v="0"/>
    <x v="5"/>
  </r>
  <r>
    <x v="7"/>
    <x v="3"/>
    <x v="5"/>
    <x v="2"/>
    <x v="0"/>
    <x v="6"/>
    <x v="0"/>
    <x v="3"/>
    <x v="2"/>
    <x v="5"/>
    <x v="6"/>
    <x v="4"/>
    <x v="0"/>
    <x v="6"/>
  </r>
  <r>
    <x v="8"/>
    <x v="0"/>
    <x v="4"/>
    <x v="4"/>
    <x v="2"/>
    <x v="7"/>
    <x v="0"/>
    <x v="1"/>
    <x v="4"/>
    <x v="6"/>
    <x v="7"/>
    <x v="5"/>
    <x v="0"/>
    <x v="7"/>
  </r>
  <r>
    <x v="9"/>
    <x v="3"/>
    <x v="4"/>
    <x v="0"/>
    <x v="2"/>
    <x v="8"/>
    <x v="0"/>
    <x v="1"/>
    <x v="1"/>
    <x v="4"/>
    <x v="1"/>
    <x v="6"/>
    <x v="0"/>
    <x v="8"/>
  </r>
  <r>
    <x v="10"/>
    <x v="3"/>
    <x v="1"/>
    <x v="1"/>
    <x v="2"/>
    <x v="9"/>
    <x v="3"/>
    <x v="5"/>
    <x v="2"/>
    <x v="0"/>
    <x v="0"/>
    <x v="2"/>
    <x v="0"/>
    <x v="9"/>
  </r>
  <r>
    <x v="11"/>
    <x v="2"/>
    <x v="6"/>
    <x v="5"/>
    <x v="3"/>
    <x v="10"/>
    <x v="4"/>
    <x v="4"/>
    <x v="5"/>
    <x v="1"/>
    <x v="8"/>
    <x v="5"/>
    <x v="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6:F22" firstHeaderRow="1" firstDataRow="2" firstDataCol="1"/>
  <pivotFields count="14">
    <pivotField compact="0" numFmtId="57" showAll="0">
      <items count="13">
        <item x="6"/>
        <item x="11"/>
        <item x="2"/>
        <item x="1"/>
        <item x="4"/>
        <item x="3"/>
        <item x="10"/>
        <item x="9"/>
        <item x="7"/>
        <item x="5"/>
        <item x="0"/>
        <item x="8"/>
        <item t="default"/>
      </items>
    </pivotField>
    <pivotField axis="axisRow" compact="0" showAll="0">
      <items count="5">
        <item x="2"/>
        <item x="1"/>
        <item x="3"/>
        <item x="0"/>
        <item t="default"/>
      </items>
    </pivotField>
    <pivotField compact="0" numFmtId="5" showAll="0"/>
    <pivotField compact="0" numFmtId="5" showAll="0">
      <items count="7">
        <item x="5"/>
        <item x="1"/>
        <item x="3"/>
        <item x="2"/>
        <item x="0"/>
        <item x="4"/>
        <item t="default"/>
      </items>
    </pivotField>
    <pivotField axis="axisCol" compact="0" numFmtId="5" showAll="0">
      <items count="5">
        <item x="3"/>
        <item x="0"/>
        <item x="1"/>
        <item x="2"/>
        <item t="default"/>
      </items>
    </pivotField>
    <pivotField compact="0" numFmtId="5" showAll="0"/>
    <pivotField compact="0" numFmtId="5" showAll="0"/>
    <pivotField compact="0" numFmtId="5" showAll="0"/>
    <pivotField compact="0" numFmtId="5" showAll="0"/>
    <pivotField compact="0" numFmtId="5" showAll="0"/>
    <pivotField compact="0" numFmtId="5" showAll="0"/>
    <pivotField compact="0" numFmtId="5" showAll="0"/>
    <pivotField compact="0" numFmtId="5" showAll="0"/>
    <pivotField dataField="1" compact="0" numFmtId="5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求和项:总支出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N15" totalsRowShown="0">
  <autoFilter xmlns:etc="http://www.wps.cn/officeDocument/2017/etCustomData" ref="A2:N15" etc:filterBottomFollowUsedRange="0"/>
  <sortState ref="A2:N15">
    <sortCondition ref="N3:N15"/>
  </sortState>
  <tableColumns count="14">
    <tableColumn id="1" name="年月"/>
    <tableColumn id="14" name="季度" dataDxfId="0">
      <calculatedColumnFormula>IF(A3&lt;DATEVALUE("2013/4/1"),"1季度",IF(A3&lt;DATEVALUE("2013/7/1"),"2季度",IF(A3&lt;DATEVALUE("2013/10/1"),"3季度","4季度")))</calculatedColumnFormula>
    </tableColumn>
    <tableColumn id="2" name="服装服饰" dataDxfId="1"/>
    <tableColumn id="3" name="饮食" dataDxfId="2"/>
    <tableColumn id="4" name="水电气房租" dataDxfId="3"/>
    <tableColumn id="5" name="交通" dataDxfId="4"/>
    <tableColumn id="6" name="通信" dataDxfId="5"/>
    <tableColumn id="7" name="阅读培训" dataDxfId="6"/>
    <tableColumn id="8" name="社交应酬" dataDxfId="7"/>
    <tableColumn id="9" name="医疗保健" dataDxfId="8"/>
    <tableColumn id="10" name="休闲旅游" dataDxfId="9"/>
    <tableColumn id="11" name="个人兴趣" dataDxfId="10"/>
    <tableColumn id="12" name="公益活动" dataDxfId="11"/>
    <tableColumn id="13" name="总支出" dataDxfId="12">
      <calculatedColumnFormula>SUM(C3:M3)</calculatedColumnFormula>
    </tableColumn>
  </tableColumns>
  <tableStyleInfo name="TableStylePreset2_Accent1" showFirstColumn="0" showLastColumn="0" showRowStripes="1" showColumnStripes="0"/>
</table>
</file>

<file path=xl/tables/table2.xml><?xml version="1.0" encoding="utf-8"?>
<table xmlns="http://schemas.openxmlformats.org/spreadsheetml/2006/main" id="2" name="表1_3" displayName="表1_3" ref="A2:N14" totalsRowShown="0">
  <autoFilter xmlns:etc="http://www.wps.cn/officeDocument/2017/etCustomData" ref="A2:N14" etc:filterBottomFollowUsedRange="0"/>
  <sortState ref="A2:N14">
    <sortCondition ref="N2:N15"/>
  </sortState>
  <tableColumns count="14">
    <tableColumn id="1" name="年月"/>
    <tableColumn id="2" name="季度">
      <calculatedColumnFormula>IF(A3&lt;DATEVALUE("2013/4/1"),"1季度",IF(A3&lt;DATEVALUE("2013/7/1"),"2季度",IF(A3&lt;DATEVALUE("2013/10/1"),"3季度","4季度")))</calculatedColumnFormula>
    </tableColumn>
    <tableColumn id="3" name="服装服饰"/>
    <tableColumn id="4" name="饮食"/>
    <tableColumn id="5" name="水电气房租"/>
    <tableColumn id="6" name="交通"/>
    <tableColumn id="7" name="通信"/>
    <tableColumn id="8" name="阅读培训"/>
    <tableColumn id="9" name="社交应酬"/>
    <tableColumn id="10" name="医疗保健"/>
    <tableColumn id="11" name="休闲旅游"/>
    <tableColumn id="12" name="个人兴趣"/>
    <tableColumn id="13" name="公益活动"/>
    <tableColumn id="14" name="总支出">
      <calculatedColumnFormula>SUM(C3:M3)</calculatedColumnFormula>
    </tableColumn>
  </tableColumns>
  <tableStyleInfo name="TableStylePreset2_Accen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N13" sqref="N13"/>
    </sheetView>
  </sheetViews>
  <sheetFormatPr defaultColWidth="9" defaultRowHeight="13.5"/>
  <cols>
    <col min="1" max="2" width="11.25" customWidth="1"/>
    <col min="3" max="3" width="9.375" customWidth="1"/>
    <col min="4" max="4" width="8.25" customWidth="1"/>
    <col min="5" max="5" width="11.5" customWidth="1"/>
    <col min="6" max="6" width="8.25" customWidth="1"/>
    <col min="7" max="7" width="6.25" customWidth="1"/>
    <col min="8" max="13" width="9.375" customWidth="1"/>
    <col min="14" max="14" width="8.25" customWidth="1"/>
  </cols>
  <sheetData>
    <row r="1" ht="2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>
        <v>41579</v>
      </c>
      <c r="B3" s="3" t="str">
        <f t="shared" ref="B3:B15" si="0">IF(A3&lt;DATEVALUE("2013/4/1"),"1季度",IF(A3&lt;DATEVALUE("2013/7/1"),"2季度",IF(A3&lt;DATEVALUE("2013/10/1"),"3季度","4季度")))</f>
        <v>4季度</v>
      </c>
      <c r="C3" s="4">
        <v>200</v>
      </c>
      <c r="D3" s="4">
        <v>900</v>
      </c>
      <c r="E3" s="4">
        <v>1000</v>
      </c>
      <c r="F3" s="4">
        <v>120</v>
      </c>
      <c r="G3" s="4">
        <v>0</v>
      </c>
      <c r="H3" s="4">
        <v>50</v>
      </c>
      <c r="I3" s="4">
        <v>100</v>
      </c>
      <c r="J3" s="4">
        <v>100</v>
      </c>
      <c r="K3" s="4">
        <v>0</v>
      </c>
      <c r="L3" s="4">
        <v>420</v>
      </c>
      <c r="M3" s="4">
        <v>66</v>
      </c>
      <c r="N3" s="4">
        <f t="shared" ref="N3:N15" si="1">SUM(C3:M3)</f>
        <v>2956</v>
      </c>
    </row>
    <row r="4" spans="1:14">
      <c r="A4" s="3">
        <v>41365</v>
      </c>
      <c r="B4" s="3" t="str">
        <f t="shared" si="0"/>
        <v>2季度</v>
      </c>
      <c r="C4" s="4">
        <v>100</v>
      </c>
      <c r="D4" s="4">
        <v>900</v>
      </c>
      <c r="E4" s="4">
        <v>1000</v>
      </c>
      <c r="F4" s="4">
        <v>300</v>
      </c>
      <c r="G4" s="4">
        <v>100</v>
      </c>
      <c r="H4" s="4">
        <v>80</v>
      </c>
      <c r="I4" s="4">
        <v>300</v>
      </c>
      <c r="J4" s="4">
        <v>0</v>
      </c>
      <c r="K4" s="4">
        <v>100</v>
      </c>
      <c r="L4" s="4">
        <v>450</v>
      </c>
      <c r="M4" s="4">
        <v>66</v>
      </c>
      <c r="N4" s="4">
        <f t="shared" si="1"/>
        <v>3396</v>
      </c>
    </row>
    <row r="5" spans="1:14">
      <c r="A5" s="3">
        <v>41334</v>
      </c>
      <c r="B5" s="3" t="str">
        <f t="shared" si="0"/>
        <v>1季度</v>
      </c>
      <c r="C5" s="4">
        <v>50</v>
      </c>
      <c r="D5" s="4">
        <v>750</v>
      </c>
      <c r="E5" s="4">
        <v>1000</v>
      </c>
      <c r="F5" s="4">
        <v>300</v>
      </c>
      <c r="G5" s="4">
        <v>200</v>
      </c>
      <c r="H5" s="4">
        <v>60</v>
      </c>
      <c r="I5" s="4">
        <v>200</v>
      </c>
      <c r="J5" s="4">
        <v>200</v>
      </c>
      <c r="K5" s="4">
        <v>300</v>
      </c>
      <c r="L5" s="4">
        <v>350</v>
      </c>
      <c r="M5" s="4">
        <v>66</v>
      </c>
      <c r="N5" s="4">
        <f t="shared" si="1"/>
        <v>3476</v>
      </c>
    </row>
    <row r="6" spans="1:14">
      <c r="A6" s="3">
        <v>41426</v>
      </c>
      <c r="B6" s="3" t="str">
        <f t="shared" si="0"/>
        <v>2季度</v>
      </c>
      <c r="C6" s="4">
        <v>200</v>
      </c>
      <c r="D6" s="4">
        <v>850</v>
      </c>
      <c r="E6" s="4">
        <v>1050</v>
      </c>
      <c r="F6" s="4">
        <v>200</v>
      </c>
      <c r="G6" s="4">
        <v>100</v>
      </c>
      <c r="H6" s="4">
        <v>100</v>
      </c>
      <c r="I6" s="4">
        <v>200</v>
      </c>
      <c r="J6" s="4">
        <v>230</v>
      </c>
      <c r="K6" s="4">
        <v>0</v>
      </c>
      <c r="L6" s="4">
        <v>500</v>
      </c>
      <c r="M6" s="4">
        <v>66</v>
      </c>
      <c r="N6" s="4">
        <f t="shared" si="1"/>
        <v>3496</v>
      </c>
    </row>
    <row r="7" spans="1:14">
      <c r="A7" s="3">
        <v>41395</v>
      </c>
      <c r="B7" s="3" t="str">
        <f t="shared" si="0"/>
        <v>2季度</v>
      </c>
      <c r="C7" s="4">
        <v>150</v>
      </c>
      <c r="D7" s="4">
        <v>800</v>
      </c>
      <c r="E7" s="4">
        <v>1000</v>
      </c>
      <c r="F7" s="4">
        <v>150</v>
      </c>
      <c r="G7" s="4">
        <v>200</v>
      </c>
      <c r="H7" s="4">
        <v>0</v>
      </c>
      <c r="I7" s="4">
        <v>600</v>
      </c>
      <c r="J7" s="4">
        <v>100</v>
      </c>
      <c r="K7" s="4">
        <v>230</v>
      </c>
      <c r="L7" s="4">
        <v>300</v>
      </c>
      <c r="M7" s="4">
        <v>66</v>
      </c>
      <c r="N7" s="4">
        <f t="shared" si="1"/>
        <v>3596</v>
      </c>
    </row>
    <row r="8" spans="1:14">
      <c r="A8" s="3">
        <v>41548</v>
      </c>
      <c r="B8" s="3" t="str">
        <f t="shared" si="0"/>
        <v>4季度</v>
      </c>
      <c r="C8" s="4">
        <v>100</v>
      </c>
      <c r="D8" s="4">
        <v>900</v>
      </c>
      <c r="E8" s="4">
        <v>1000</v>
      </c>
      <c r="F8" s="4">
        <v>280</v>
      </c>
      <c r="G8" s="4">
        <v>0</v>
      </c>
      <c r="H8" s="4">
        <v>0</v>
      </c>
      <c r="I8" s="4">
        <v>500</v>
      </c>
      <c r="J8" s="4">
        <v>0</v>
      </c>
      <c r="K8" s="4">
        <v>400</v>
      </c>
      <c r="L8" s="4">
        <v>350</v>
      </c>
      <c r="M8" s="4">
        <v>66</v>
      </c>
      <c r="N8" s="4">
        <f t="shared" si="1"/>
        <v>3596</v>
      </c>
    </row>
    <row r="9" spans="1:14">
      <c r="A9" s="3">
        <v>41275</v>
      </c>
      <c r="B9" s="3" t="str">
        <f t="shared" si="0"/>
        <v>1季度</v>
      </c>
      <c r="C9" s="4">
        <v>300</v>
      </c>
      <c r="D9" s="4">
        <v>800</v>
      </c>
      <c r="E9" s="4">
        <v>1100</v>
      </c>
      <c r="F9" s="4">
        <v>260</v>
      </c>
      <c r="G9" s="4">
        <v>100</v>
      </c>
      <c r="H9" s="4">
        <v>100</v>
      </c>
      <c r="I9" s="4">
        <v>300</v>
      </c>
      <c r="J9" s="4">
        <v>50</v>
      </c>
      <c r="K9" s="4">
        <v>180</v>
      </c>
      <c r="L9" s="4">
        <v>350</v>
      </c>
      <c r="M9" s="4">
        <v>66</v>
      </c>
      <c r="N9" s="4">
        <f t="shared" si="1"/>
        <v>3606</v>
      </c>
    </row>
    <row r="10" spans="1:14">
      <c r="A10" s="3">
        <v>41518</v>
      </c>
      <c r="B10" s="3" t="str">
        <f t="shared" si="0"/>
        <v>3季度</v>
      </c>
      <c r="C10" s="4">
        <v>1100</v>
      </c>
      <c r="D10" s="4">
        <v>850</v>
      </c>
      <c r="E10" s="4">
        <v>1000</v>
      </c>
      <c r="F10" s="4">
        <v>220</v>
      </c>
      <c r="G10" s="4">
        <v>0</v>
      </c>
      <c r="H10" s="4">
        <v>100</v>
      </c>
      <c r="I10" s="4">
        <v>200</v>
      </c>
      <c r="J10" s="4">
        <v>130</v>
      </c>
      <c r="K10" s="4">
        <v>80</v>
      </c>
      <c r="L10" s="4">
        <v>300</v>
      </c>
      <c r="M10" s="4">
        <v>66</v>
      </c>
      <c r="N10" s="4">
        <f t="shared" si="1"/>
        <v>4046</v>
      </c>
    </row>
    <row r="11" spans="1:14">
      <c r="A11" s="3">
        <v>41609</v>
      </c>
      <c r="B11" s="3" t="str">
        <f t="shared" si="0"/>
        <v>4季度</v>
      </c>
      <c r="C11" s="4">
        <v>300</v>
      </c>
      <c r="D11" s="4">
        <v>1050</v>
      </c>
      <c r="E11" s="4">
        <v>1100</v>
      </c>
      <c r="F11" s="4">
        <v>350</v>
      </c>
      <c r="G11" s="4">
        <v>0</v>
      </c>
      <c r="H11" s="4">
        <v>80</v>
      </c>
      <c r="I11" s="4">
        <v>500</v>
      </c>
      <c r="J11" s="4">
        <v>60</v>
      </c>
      <c r="K11" s="4">
        <v>200</v>
      </c>
      <c r="L11" s="4">
        <v>400</v>
      </c>
      <c r="M11" s="4">
        <v>66</v>
      </c>
      <c r="N11" s="4">
        <f t="shared" si="1"/>
        <v>4106</v>
      </c>
    </row>
    <row r="12" spans="1:14">
      <c r="A12" s="3">
        <v>41487</v>
      </c>
      <c r="B12" s="3" t="str">
        <f t="shared" si="0"/>
        <v>3季度</v>
      </c>
      <c r="C12" s="4">
        <v>300</v>
      </c>
      <c r="D12" s="4">
        <v>900</v>
      </c>
      <c r="E12" s="4">
        <v>1100</v>
      </c>
      <c r="F12" s="4">
        <v>180</v>
      </c>
      <c r="G12" s="4">
        <v>0</v>
      </c>
      <c r="H12" s="4">
        <v>80</v>
      </c>
      <c r="I12" s="4">
        <v>300</v>
      </c>
      <c r="J12" s="4">
        <v>50</v>
      </c>
      <c r="K12" s="4">
        <v>100</v>
      </c>
      <c r="L12" s="4">
        <v>1200</v>
      </c>
      <c r="M12" s="4">
        <v>66</v>
      </c>
      <c r="N12" s="4">
        <f t="shared" si="1"/>
        <v>4276</v>
      </c>
    </row>
    <row r="13" spans="1:14">
      <c r="A13" s="3">
        <v>41456</v>
      </c>
      <c r="B13" s="3" t="str">
        <f t="shared" si="0"/>
        <v>3季度</v>
      </c>
      <c r="C13" s="4">
        <v>100</v>
      </c>
      <c r="D13" s="4">
        <v>750</v>
      </c>
      <c r="E13" s="4">
        <v>1100</v>
      </c>
      <c r="F13" s="4">
        <v>250</v>
      </c>
      <c r="G13" s="4">
        <v>900</v>
      </c>
      <c r="H13" s="4">
        <v>2600</v>
      </c>
      <c r="I13" s="4">
        <v>200</v>
      </c>
      <c r="J13" s="4">
        <v>100</v>
      </c>
      <c r="K13" s="4">
        <v>0</v>
      </c>
      <c r="L13" s="4">
        <v>350</v>
      </c>
      <c r="M13" s="4">
        <v>66</v>
      </c>
      <c r="N13" s="4">
        <f t="shared" si="1"/>
        <v>6416</v>
      </c>
    </row>
    <row r="14" spans="1:14">
      <c r="A14" s="3">
        <v>41306</v>
      </c>
      <c r="B14" s="3" t="str">
        <f t="shared" si="0"/>
        <v>1季度</v>
      </c>
      <c r="C14" s="4">
        <v>1200</v>
      </c>
      <c r="D14" s="4">
        <v>600</v>
      </c>
      <c r="E14" s="4">
        <v>900</v>
      </c>
      <c r="F14" s="4">
        <v>1000</v>
      </c>
      <c r="G14" s="4">
        <v>300</v>
      </c>
      <c r="H14" s="4">
        <v>0</v>
      </c>
      <c r="I14" s="4">
        <v>2000</v>
      </c>
      <c r="J14" s="4">
        <v>0</v>
      </c>
      <c r="K14" s="4">
        <v>500</v>
      </c>
      <c r="L14" s="4">
        <v>400</v>
      </c>
      <c r="M14" s="4">
        <v>66</v>
      </c>
      <c r="N14" s="4">
        <f t="shared" si="1"/>
        <v>6966</v>
      </c>
    </row>
    <row r="15" spans="1:14">
      <c r="A15" s="2" t="s">
        <v>15</v>
      </c>
      <c r="B15" s="3"/>
      <c r="C15" s="4">
        <f>AVERAGE(C3:C14)</f>
        <v>341.666666666667</v>
      </c>
      <c r="D15" s="4">
        <f t="shared" ref="D15:M15" si="2">AVERAGE(D3:D14)</f>
        <v>837.5</v>
      </c>
      <c r="E15" s="4">
        <f t="shared" si="2"/>
        <v>1029.16666666667</v>
      </c>
      <c r="F15" s="4">
        <f t="shared" si="2"/>
        <v>300.833333333333</v>
      </c>
      <c r="G15" s="4">
        <f t="shared" si="2"/>
        <v>158.333333333333</v>
      </c>
      <c r="H15" s="4">
        <f t="shared" si="2"/>
        <v>270.833333333333</v>
      </c>
      <c r="I15" s="4">
        <f t="shared" si="2"/>
        <v>450</v>
      </c>
      <c r="J15" s="4">
        <f t="shared" si="2"/>
        <v>85</v>
      </c>
      <c r="K15" s="4">
        <f t="shared" si="2"/>
        <v>174.166666666667</v>
      </c>
      <c r="L15" s="4">
        <f t="shared" si="2"/>
        <v>447.5</v>
      </c>
      <c r="M15" s="4">
        <f t="shared" si="2"/>
        <v>66</v>
      </c>
      <c r="N15" s="4">
        <f t="shared" si="1"/>
        <v>4161</v>
      </c>
    </row>
  </sheetData>
  <mergeCells count="1">
    <mergeCell ref="A1:N1"/>
  </mergeCells>
  <conditionalFormatting sqref="N3:N14">
    <cfRule type="cellIs" dxfId="13" priority="1" operator="greaterThan">
      <formula>$N$15*1.1</formula>
    </cfRule>
  </conditionalFormatting>
  <conditionalFormatting sqref="C3:M14">
    <cfRule type="cellIs" dxfId="14" priority="2" operator="greaterThan">
      <formula>1000</formula>
    </cfRule>
  </conditionalFormatting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N22"/>
  <sheetViews>
    <sheetView tabSelected="1" topLeftCell="A3" workbookViewId="0">
      <selection activeCell="G43" sqref="G43"/>
    </sheetView>
  </sheetViews>
  <sheetFormatPr defaultColWidth="9" defaultRowHeight="13.5"/>
  <cols>
    <col min="1" max="1" width="15"/>
    <col min="2" max="5" width="12.875"/>
    <col min="6" max="6" width="6.375"/>
    <col min="7" max="7" width="9.95833333333333"/>
    <col min="8" max="8" width="13.375"/>
    <col min="9" max="9" width="9.95833333333333"/>
    <col min="10" max="10" width="13.375"/>
    <col min="11" max="14" width="9.95833333333333"/>
    <col min="15" max="15" width="13.375"/>
    <col min="16" max="16" width="6.375"/>
  </cols>
  <sheetData>
    <row r="1" ht="2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>
        <v>41579</v>
      </c>
      <c r="B3" s="3" t="str">
        <f t="shared" ref="B3:B15" si="0">IF(A3&lt;DATEVALUE("2013/4/1"),"1季度",IF(A3&lt;DATEVALUE("2013/7/1"),"2季度",IF(A3&lt;DATEVALUE("2013/10/1"),"3季度","4季度")))</f>
        <v>4季度</v>
      </c>
      <c r="C3" s="4">
        <v>200</v>
      </c>
      <c r="D3" s="4">
        <v>900</v>
      </c>
      <c r="E3" s="4">
        <v>1000</v>
      </c>
      <c r="F3" s="4">
        <v>120</v>
      </c>
      <c r="G3" s="4">
        <v>0</v>
      </c>
      <c r="H3" s="4">
        <v>50</v>
      </c>
      <c r="I3" s="4">
        <v>100</v>
      </c>
      <c r="J3" s="4">
        <v>100</v>
      </c>
      <c r="K3" s="4">
        <v>0</v>
      </c>
      <c r="L3" s="4">
        <v>420</v>
      </c>
      <c r="M3" s="4">
        <v>66</v>
      </c>
      <c r="N3" s="4">
        <f t="shared" ref="N3:N15" si="1">SUM(C3:M3)</f>
        <v>2956</v>
      </c>
    </row>
    <row r="4" spans="1:14">
      <c r="A4" s="3">
        <v>41365</v>
      </c>
      <c r="B4" s="3" t="str">
        <f t="shared" si="0"/>
        <v>2季度</v>
      </c>
      <c r="C4" s="4">
        <v>100</v>
      </c>
      <c r="D4" s="4">
        <v>900</v>
      </c>
      <c r="E4" s="4">
        <v>1000</v>
      </c>
      <c r="F4" s="4">
        <v>300</v>
      </c>
      <c r="G4" s="4">
        <v>100</v>
      </c>
      <c r="H4" s="4">
        <v>80</v>
      </c>
      <c r="I4" s="4">
        <v>300</v>
      </c>
      <c r="J4" s="4">
        <v>0</v>
      </c>
      <c r="K4" s="4">
        <v>100</v>
      </c>
      <c r="L4" s="4">
        <v>450</v>
      </c>
      <c r="M4" s="4">
        <v>66</v>
      </c>
      <c r="N4" s="4">
        <f t="shared" si="1"/>
        <v>3396</v>
      </c>
    </row>
    <row r="5" spans="1:14">
      <c r="A5" s="3">
        <v>41334</v>
      </c>
      <c r="B5" s="3" t="str">
        <f t="shared" si="0"/>
        <v>1季度</v>
      </c>
      <c r="C5" s="4">
        <v>50</v>
      </c>
      <c r="D5" s="4">
        <v>750</v>
      </c>
      <c r="E5" s="4">
        <v>1000</v>
      </c>
      <c r="F5" s="4">
        <v>300</v>
      </c>
      <c r="G5" s="4">
        <v>200</v>
      </c>
      <c r="H5" s="4">
        <v>60</v>
      </c>
      <c r="I5" s="4">
        <v>200</v>
      </c>
      <c r="J5" s="4">
        <v>200</v>
      </c>
      <c r="K5" s="4">
        <v>300</v>
      </c>
      <c r="L5" s="4">
        <v>350</v>
      </c>
      <c r="M5" s="4">
        <v>66</v>
      </c>
      <c r="N5" s="4">
        <f t="shared" si="1"/>
        <v>3476</v>
      </c>
    </row>
    <row r="6" spans="1:14">
      <c r="A6" s="3">
        <v>41426</v>
      </c>
      <c r="B6" s="3" t="str">
        <f t="shared" si="0"/>
        <v>2季度</v>
      </c>
      <c r="C6" s="4">
        <v>200</v>
      </c>
      <c r="D6" s="4">
        <v>850</v>
      </c>
      <c r="E6" s="4">
        <v>1050</v>
      </c>
      <c r="F6" s="4">
        <v>200</v>
      </c>
      <c r="G6" s="4">
        <v>100</v>
      </c>
      <c r="H6" s="4">
        <v>100</v>
      </c>
      <c r="I6" s="4">
        <v>200</v>
      </c>
      <c r="J6" s="4">
        <v>230</v>
      </c>
      <c r="K6" s="4">
        <v>0</v>
      </c>
      <c r="L6" s="4">
        <v>500</v>
      </c>
      <c r="M6" s="4">
        <v>66</v>
      </c>
      <c r="N6" s="4">
        <f t="shared" si="1"/>
        <v>3496</v>
      </c>
    </row>
    <row r="7" spans="1:14">
      <c r="A7" s="3">
        <v>41395</v>
      </c>
      <c r="B7" s="3" t="str">
        <f t="shared" si="0"/>
        <v>2季度</v>
      </c>
      <c r="C7" s="4">
        <v>150</v>
      </c>
      <c r="D7" s="4">
        <v>800</v>
      </c>
      <c r="E7" s="4">
        <v>1000</v>
      </c>
      <c r="F7" s="4">
        <v>150</v>
      </c>
      <c r="G7" s="4">
        <v>200</v>
      </c>
      <c r="H7" s="4">
        <v>0</v>
      </c>
      <c r="I7" s="4">
        <v>600</v>
      </c>
      <c r="J7" s="4">
        <v>100</v>
      </c>
      <c r="K7" s="4">
        <v>230</v>
      </c>
      <c r="L7" s="4">
        <v>300</v>
      </c>
      <c r="M7" s="4">
        <v>66</v>
      </c>
      <c r="N7" s="4">
        <f t="shared" si="1"/>
        <v>3596</v>
      </c>
    </row>
    <row r="8" spans="1:14">
      <c r="A8" s="3">
        <v>41548</v>
      </c>
      <c r="B8" s="3" t="str">
        <f t="shared" si="0"/>
        <v>4季度</v>
      </c>
      <c r="C8" s="4">
        <v>100</v>
      </c>
      <c r="D8" s="4">
        <v>900</v>
      </c>
      <c r="E8" s="4">
        <v>1000</v>
      </c>
      <c r="F8" s="4">
        <v>280</v>
      </c>
      <c r="G8" s="4">
        <v>0</v>
      </c>
      <c r="H8" s="4">
        <v>0</v>
      </c>
      <c r="I8" s="4">
        <v>500</v>
      </c>
      <c r="J8" s="4">
        <v>0</v>
      </c>
      <c r="K8" s="4">
        <v>400</v>
      </c>
      <c r="L8" s="4">
        <v>350</v>
      </c>
      <c r="M8" s="4">
        <v>66</v>
      </c>
      <c r="N8" s="4">
        <f t="shared" si="1"/>
        <v>3596</v>
      </c>
    </row>
    <row r="9" spans="1:14">
      <c r="A9" s="3">
        <v>41275</v>
      </c>
      <c r="B9" s="3" t="str">
        <f t="shared" si="0"/>
        <v>1季度</v>
      </c>
      <c r="C9" s="4">
        <v>300</v>
      </c>
      <c r="D9" s="4">
        <v>800</v>
      </c>
      <c r="E9" s="4">
        <v>1100</v>
      </c>
      <c r="F9" s="4">
        <v>260</v>
      </c>
      <c r="G9" s="4">
        <v>100</v>
      </c>
      <c r="H9" s="4">
        <v>100</v>
      </c>
      <c r="I9" s="4">
        <v>300</v>
      </c>
      <c r="J9" s="4">
        <v>50</v>
      </c>
      <c r="K9" s="4">
        <v>180</v>
      </c>
      <c r="L9" s="4">
        <v>350</v>
      </c>
      <c r="M9" s="4">
        <v>66</v>
      </c>
      <c r="N9" s="4">
        <f t="shared" si="1"/>
        <v>3606</v>
      </c>
    </row>
    <row r="10" spans="1:14">
      <c r="A10" s="3">
        <v>41518</v>
      </c>
      <c r="B10" s="3" t="str">
        <f t="shared" si="0"/>
        <v>3季度</v>
      </c>
      <c r="C10" s="4">
        <v>1100</v>
      </c>
      <c r="D10" s="4">
        <v>850</v>
      </c>
      <c r="E10" s="4">
        <v>1000</v>
      </c>
      <c r="F10" s="4">
        <v>220</v>
      </c>
      <c r="G10" s="4">
        <v>0</v>
      </c>
      <c r="H10" s="4">
        <v>100</v>
      </c>
      <c r="I10" s="4">
        <v>200</v>
      </c>
      <c r="J10" s="4">
        <v>130</v>
      </c>
      <c r="K10" s="4">
        <v>80</v>
      </c>
      <c r="L10" s="4">
        <v>300</v>
      </c>
      <c r="M10" s="4">
        <v>66</v>
      </c>
      <c r="N10" s="4">
        <f t="shared" si="1"/>
        <v>4046</v>
      </c>
    </row>
    <row r="11" spans="1:14">
      <c r="A11" s="3">
        <v>41609</v>
      </c>
      <c r="B11" s="3" t="str">
        <f t="shared" si="0"/>
        <v>4季度</v>
      </c>
      <c r="C11" s="4">
        <v>300</v>
      </c>
      <c r="D11" s="4">
        <v>1050</v>
      </c>
      <c r="E11" s="4">
        <v>1100</v>
      </c>
      <c r="F11" s="4">
        <v>350</v>
      </c>
      <c r="G11" s="4">
        <v>0</v>
      </c>
      <c r="H11" s="4">
        <v>80</v>
      </c>
      <c r="I11" s="4">
        <v>500</v>
      </c>
      <c r="J11" s="4">
        <v>60</v>
      </c>
      <c r="K11" s="4">
        <v>200</v>
      </c>
      <c r="L11" s="4">
        <v>400</v>
      </c>
      <c r="M11" s="4">
        <v>66</v>
      </c>
      <c r="N11" s="4">
        <f t="shared" si="1"/>
        <v>4106</v>
      </c>
    </row>
    <row r="12" spans="1:14">
      <c r="A12" s="3">
        <v>41487</v>
      </c>
      <c r="B12" s="3" t="str">
        <f t="shared" si="0"/>
        <v>3季度</v>
      </c>
      <c r="C12" s="4">
        <v>300</v>
      </c>
      <c r="D12" s="4">
        <v>900</v>
      </c>
      <c r="E12" s="4">
        <v>1100</v>
      </c>
      <c r="F12" s="4">
        <v>180</v>
      </c>
      <c r="G12" s="4">
        <v>0</v>
      </c>
      <c r="H12" s="4">
        <v>80</v>
      </c>
      <c r="I12" s="4">
        <v>300</v>
      </c>
      <c r="J12" s="4">
        <v>50</v>
      </c>
      <c r="K12" s="4">
        <v>100</v>
      </c>
      <c r="L12" s="4">
        <v>1200</v>
      </c>
      <c r="M12" s="4">
        <v>66</v>
      </c>
      <c r="N12" s="4">
        <f t="shared" si="1"/>
        <v>4276</v>
      </c>
    </row>
    <row r="13" spans="1:14">
      <c r="A13" s="3">
        <v>41456</v>
      </c>
      <c r="B13" s="3" t="str">
        <f t="shared" si="0"/>
        <v>3季度</v>
      </c>
      <c r="C13" s="4">
        <v>100</v>
      </c>
      <c r="D13" s="4">
        <v>750</v>
      </c>
      <c r="E13" s="4">
        <v>1100</v>
      </c>
      <c r="F13" s="4">
        <v>250</v>
      </c>
      <c r="G13" s="4">
        <v>900</v>
      </c>
      <c r="H13" s="4">
        <v>2600</v>
      </c>
      <c r="I13" s="4">
        <v>200</v>
      </c>
      <c r="J13" s="4">
        <v>100</v>
      </c>
      <c r="K13" s="4">
        <v>0</v>
      </c>
      <c r="L13" s="4">
        <v>350</v>
      </c>
      <c r="M13" s="4">
        <v>66</v>
      </c>
      <c r="N13" s="4">
        <f t="shared" si="1"/>
        <v>6416</v>
      </c>
    </row>
    <row r="14" spans="1:14">
      <c r="A14" s="3">
        <v>41306</v>
      </c>
      <c r="B14" s="3" t="str">
        <f t="shared" si="0"/>
        <v>1季度</v>
      </c>
      <c r="C14" s="4">
        <v>1200</v>
      </c>
      <c r="D14" s="4">
        <v>600</v>
      </c>
      <c r="E14" s="4">
        <v>900</v>
      </c>
      <c r="F14" s="4">
        <v>1000</v>
      </c>
      <c r="G14" s="4">
        <v>300</v>
      </c>
      <c r="H14" s="4">
        <v>0</v>
      </c>
      <c r="I14" s="4">
        <v>2000</v>
      </c>
      <c r="J14" s="4">
        <v>0</v>
      </c>
      <c r="K14" s="4">
        <v>500</v>
      </c>
      <c r="L14" s="4">
        <v>400</v>
      </c>
      <c r="M14" s="4">
        <v>66</v>
      </c>
      <c r="N14" s="4">
        <f t="shared" si="1"/>
        <v>6966</v>
      </c>
    </row>
    <row r="16" spans="1:2">
      <c r="A16" t="s">
        <v>16</v>
      </c>
      <c r="B16" t="s">
        <v>5</v>
      </c>
    </row>
    <row r="17" spans="1:6">
      <c r="A17" t="s">
        <v>2</v>
      </c>
      <c r="B17" s="5">
        <v>900</v>
      </c>
      <c r="C17" s="5">
        <v>1000</v>
      </c>
      <c r="D17" s="5">
        <v>1050</v>
      </c>
      <c r="E17" s="5">
        <v>1100</v>
      </c>
      <c r="F17" t="s">
        <v>17</v>
      </c>
    </row>
    <row r="18" spans="1:6">
      <c r="A18" t="s">
        <v>18</v>
      </c>
      <c r="B18">
        <v>6966</v>
      </c>
      <c r="C18">
        <v>3476</v>
      </c>
      <c r="D18"/>
      <c r="E18">
        <v>3606</v>
      </c>
      <c r="F18">
        <v>14048</v>
      </c>
    </row>
    <row r="19" spans="1:6">
      <c r="A19" t="s">
        <v>19</v>
      </c>
      <c r="B19"/>
      <c r="C19">
        <v>6992</v>
      </c>
      <c r="D19">
        <v>3496</v>
      </c>
      <c r="F19">
        <v>10488</v>
      </c>
    </row>
    <row r="20" spans="1:6">
      <c r="A20" t="s">
        <v>20</v>
      </c>
      <c r="B20"/>
      <c r="C20">
        <v>4046</v>
      </c>
      <c r="E20">
        <v>10692</v>
      </c>
      <c r="F20">
        <v>14738</v>
      </c>
    </row>
    <row r="21" spans="1:6">
      <c r="A21" t="s">
        <v>21</v>
      </c>
      <c r="B21"/>
      <c r="C21">
        <v>6552</v>
      </c>
      <c r="E21">
        <v>4106</v>
      </c>
      <c r="F21">
        <v>10658</v>
      </c>
    </row>
    <row r="22" spans="1:6">
      <c r="A22" t="s">
        <v>17</v>
      </c>
      <c r="B22">
        <v>6966</v>
      </c>
      <c r="C22">
        <v>21066</v>
      </c>
      <c r="D22">
        <v>3496</v>
      </c>
      <c r="E22">
        <v>18404</v>
      </c>
      <c r="F22">
        <v>49932</v>
      </c>
    </row>
  </sheetData>
  <mergeCells count="1">
    <mergeCell ref="A1:N1"/>
  </mergeCells>
  <conditionalFormatting sqref="N3:N14">
    <cfRule type="cellIs" dxfId="13" priority="1" operator="greaterThan">
      <formula>#REF!*1.1</formula>
    </cfRule>
  </conditionalFormatting>
  <conditionalFormatting sqref="C3:M14">
    <cfRule type="cellIs" dxfId="14" priority="2" operator="greaterThan">
      <formula>1000</formula>
    </cfRule>
  </conditionalFormatting>
  <pageMargins left="0.7" right="0.7" top="0.75" bottom="0.75" header="0.3" footer="0.3"/>
  <pageSetup paperSize="9" orientation="portrait"/>
  <headerFooter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小张的美好生活</vt:lpstr>
      <vt:lpstr>按季度汇总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微信用户</cp:lastModifiedBy>
  <dcterms:created xsi:type="dcterms:W3CDTF">2014-01-08T12:41:00Z</dcterms:created>
  <dcterms:modified xsi:type="dcterms:W3CDTF">2024-11-22T02:36:15Z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2052-12.1.0.18372</vt:lpwstr>
  </property>
  <property fmtid="{D5CDD505-2E9C-101B-9397-08002B2CF9AE}" pid="3" name="ICV">
    <vt:lpwstr>D9C523731FF54777962FA7190B20FBA5_12</vt:lpwstr>
  </property>
</Properties>
</file>
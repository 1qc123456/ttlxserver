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 activeTab="4"/>
  </bookViews>
  <sheets>
    <sheet name="期末成绩表" sheetId="1" r:id="rId1"/>
    <sheet name="排序" sheetId="2" r:id="rId2"/>
    <sheet name="筛选" sheetId="3" r:id="rId3"/>
    <sheet name="分类汇总" sheetId="4" r:id="rId4"/>
    <sheet name="图表" sheetId="5" r:id="rId5"/>
  </sheets>
  <definedNames>
    <definedName name="_xlnm._FilterDatabase" localSheetId="2" hidden="1">筛选!$A$4:$L$103</definedName>
    <definedName name="_xlnm.Criteria" localSheetId="2">筛选!$A$1:$B$3</definedName>
  </definedNames>
  <calcPr calcId="144525"/>
</workbook>
</file>

<file path=xl/sharedStrings.xml><?xml version="1.0" encoding="utf-8"?>
<sst xmlns="http://schemas.openxmlformats.org/spreadsheetml/2006/main" count="1253" uniqueCount="132">
  <si>
    <t>2022年高一学生期末成绩汇总表</t>
  </si>
  <si>
    <t>学号</t>
  </si>
  <si>
    <t>姓名</t>
  </si>
  <si>
    <t>性别</t>
  </si>
  <si>
    <t>班级</t>
  </si>
  <si>
    <t>数学</t>
  </si>
  <si>
    <t>英语</t>
  </si>
  <si>
    <t>语文</t>
  </si>
  <si>
    <t>应用文写作</t>
  </si>
  <si>
    <t>程序设计基础</t>
  </si>
  <si>
    <t>总分</t>
  </si>
  <si>
    <t>平均分</t>
  </si>
  <si>
    <t>排名</t>
  </si>
  <si>
    <t>综合成绩</t>
  </si>
  <si>
    <t>李心怡</t>
  </si>
  <si>
    <t>女</t>
  </si>
  <si>
    <t>二班</t>
  </si>
  <si>
    <t>韩珂</t>
  </si>
  <si>
    <t>男</t>
  </si>
  <si>
    <t>一班</t>
  </si>
  <si>
    <t>刘艺涵</t>
  </si>
  <si>
    <t>六班</t>
  </si>
  <si>
    <t>刘俊佟</t>
  </si>
  <si>
    <t>四班</t>
  </si>
  <si>
    <t>统计综合成绩优秀人数</t>
  </si>
  <si>
    <t>刘佳慧</t>
  </si>
  <si>
    <t>男生</t>
  </si>
  <si>
    <t>孙舜</t>
  </si>
  <si>
    <t>女生</t>
  </si>
  <si>
    <t>周米文</t>
  </si>
  <si>
    <t>孙瑜晗</t>
  </si>
  <si>
    <t>三班</t>
  </si>
  <si>
    <t>赵瑜梦</t>
  </si>
  <si>
    <t>余韬</t>
  </si>
  <si>
    <t>孙芊</t>
  </si>
  <si>
    <t>李秋阳</t>
  </si>
  <si>
    <t>周雨昕</t>
  </si>
  <si>
    <t>赵玥</t>
  </si>
  <si>
    <t>五班</t>
  </si>
  <si>
    <t>郭玲玲</t>
  </si>
  <si>
    <t>程恬</t>
  </si>
  <si>
    <t>陈温格</t>
  </si>
  <si>
    <t>杨程雁</t>
  </si>
  <si>
    <t>李冰月</t>
  </si>
  <si>
    <t>黄怀中</t>
  </si>
  <si>
    <t>潘国瑞</t>
  </si>
  <si>
    <t>陈标</t>
  </si>
  <si>
    <t>郭潘</t>
  </si>
  <si>
    <t>洪玉敏</t>
  </si>
  <si>
    <t>汪祺钊</t>
  </si>
  <si>
    <t>史婷</t>
  </si>
  <si>
    <t>陈颖</t>
  </si>
  <si>
    <t>李萌</t>
  </si>
  <si>
    <t>李丁</t>
  </si>
  <si>
    <t>梁玮芸</t>
  </si>
  <si>
    <t>高靖扬</t>
  </si>
  <si>
    <t>郝浚伊</t>
  </si>
  <si>
    <t>鲁颜</t>
  </si>
  <si>
    <t>吴天一</t>
  </si>
  <si>
    <t>董婧雯</t>
  </si>
  <si>
    <t>周沫</t>
  </si>
  <si>
    <t>蔡洁</t>
  </si>
  <si>
    <t>蔡昕澎</t>
  </si>
  <si>
    <t>苗凝</t>
  </si>
  <si>
    <t>王同硕</t>
  </si>
  <si>
    <t>黄一豪</t>
  </si>
  <si>
    <t>高雷</t>
  </si>
  <si>
    <t>王萍</t>
  </si>
  <si>
    <t>冯紫寒</t>
  </si>
  <si>
    <t>袁颖</t>
  </si>
  <si>
    <t>王粤中</t>
  </si>
  <si>
    <t>姜宜辰</t>
  </si>
  <si>
    <t>齐畅</t>
  </si>
  <si>
    <t>许李嘉</t>
  </si>
  <si>
    <t>蒋子咺</t>
  </si>
  <si>
    <t>李琛</t>
  </si>
  <si>
    <t>崔晓乐</t>
  </si>
  <si>
    <t>王天博</t>
  </si>
  <si>
    <t>龙美辰</t>
  </si>
  <si>
    <t>林心怡</t>
  </si>
  <si>
    <t>徐冰</t>
  </si>
  <si>
    <t>刘鑫培</t>
  </si>
  <si>
    <t>李林欣</t>
  </si>
  <si>
    <t>陈洁</t>
  </si>
  <si>
    <t>陈渝</t>
  </si>
  <si>
    <t>李文涛</t>
  </si>
  <si>
    <t>高林</t>
  </si>
  <si>
    <t>李飞杭</t>
  </si>
  <si>
    <t>曹光玮</t>
  </si>
  <si>
    <t>沈先晖</t>
  </si>
  <si>
    <t>张丹宁</t>
  </si>
  <si>
    <t>苏浩</t>
  </si>
  <si>
    <t>董学敏</t>
  </si>
  <si>
    <t>孙逸萱</t>
  </si>
  <si>
    <t>袁艳杰</t>
  </si>
  <si>
    <t>徐宁</t>
  </si>
  <si>
    <t>李星辰</t>
  </si>
  <si>
    <t>宋金苗</t>
  </si>
  <si>
    <t>孙新仪</t>
  </si>
  <si>
    <t>贺怡宁</t>
  </si>
  <si>
    <t>陈怡</t>
  </si>
  <si>
    <t>章怡文</t>
  </si>
  <si>
    <t>张小荷</t>
  </si>
  <si>
    <t>崔越</t>
  </si>
  <si>
    <t>孟雪</t>
  </si>
  <si>
    <t>柯景轩</t>
  </si>
  <si>
    <t>王威</t>
  </si>
  <si>
    <t>曾佳</t>
  </si>
  <si>
    <t>陆清一</t>
  </si>
  <si>
    <t>张康怡</t>
  </si>
  <si>
    <t>秦旭昆</t>
  </si>
  <si>
    <t>王文平</t>
  </si>
  <si>
    <t>李子奇</t>
  </si>
  <si>
    <t>顾岩</t>
  </si>
  <si>
    <t>祁星玥</t>
  </si>
  <si>
    <t>胡文琦</t>
  </si>
  <si>
    <t>窦姝</t>
  </si>
  <si>
    <t>薛耀清</t>
  </si>
  <si>
    <t>黎彤</t>
  </si>
  <si>
    <t>于鑫</t>
  </si>
  <si>
    <t>高一可</t>
  </si>
  <si>
    <t>许琴悦</t>
  </si>
  <si>
    <t>林妙</t>
  </si>
  <si>
    <t>陈乐诗</t>
  </si>
  <si>
    <t>&gt;=95</t>
  </si>
  <si>
    <t>六班 平均值</t>
  </si>
  <si>
    <t>五班 平均值</t>
  </si>
  <si>
    <t>四班 平均值</t>
  </si>
  <si>
    <t>三班 平均值</t>
  </si>
  <si>
    <t>二班 平均值</t>
  </si>
  <si>
    <t>一班 平均值</t>
  </si>
  <si>
    <t>总平均值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</si>
</sst>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rgb="FF7030A0"/>
      <name val="楷体"/>
      <charset val="134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FF0000"/>
      </left>
      <right style="double">
        <color rgb="FF00B050"/>
      </right>
      <top style="thick">
        <color rgb="FFFF0000"/>
      </top>
      <bottom style="thick">
        <color rgb="FFFF0000"/>
      </bottom>
      <diagonal/>
    </border>
    <border>
      <left style="double">
        <color rgb="FF00B050"/>
      </left>
      <right style="double">
        <color rgb="FF00B050"/>
      </right>
      <top style="thick">
        <color rgb="FFFF0000"/>
      </top>
      <bottom style="thick">
        <color rgb="FFFF0000"/>
      </bottom>
      <diagonal/>
    </border>
    <border>
      <left style="double">
        <color rgb="FF00B05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高一年级语数英平均分统计图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分类汇总!$E$1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分类汇总!$D$2:$D$105</c:f>
              <c:strCache>
                <c:ptCount val="5"/>
                <c:pt idx="0">
                  <c:v>六班 平均值</c:v>
                </c:pt>
                <c:pt idx="1">
                  <c:v>五班 平均值</c:v>
                </c:pt>
                <c:pt idx="2">
                  <c:v>四班 平均值</c:v>
                </c:pt>
                <c:pt idx="3">
                  <c:v>三班 平均值</c:v>
                </c:pt>
                <c:pt idx="4">
                  <c:v>二班 平均值</c:v>
                </c:pt>
              </c:strCache>
            </c:strRef>
          </c:cat>
          <c:val>
            <c:numRef>
              <c:f>分类汇总!$E$2:$E$105</c:f>
              <c:numCache>
                <c:formatCode>0.00_ </c:formatCode>
                <c:ptCount val="5"/>
                <c:pt idx="0">
                  <c:v>77.3333333333333</c:v>
                </c:pt>
                <c:pt idx="1">
                  <c:v>78.1785714285714</c:v>
                </c:pt>
                <c:pt idx="2">
                  <c:v>78.9375</c:v>
                </c:pt>
                <c:pt idx="3">
                  <c:v>80.0769230769231</c:v>
                </c:pt>
                <c:pt idx="4">
                  <c:v>75.8571428571429</c:v>
                </c:pt>
              </c:numCache>
            </c:numRef>
          </c:val>
        </c:ser>
        <c:ser>
          <c:idx val="1"/>
          <c:order val="1"/>
          <c:tx>
            <c:strRef>
              <c:f>分类汇总!$F$1</c:f>
              <c:strCache>
                <c:ptCount val="1"/>
                <c:pt idx="0">
                  <c:v>英语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分类汇总!$D$2:$D$105</c:f>
              <c:strCache>
                <c:ptCount val="5"/>
                <c:pt idx="0">
                  <c:v>六班 平均值</c:v>
                </c:pt>
                <c:pt idx="1">
                  <c:v>五班 平均值</c:v>
                </c:pt>
                <c:pt idx="2">
                  <c:v>四班 平均值</c:v>
                </c:pt>
                <c:pt idx="3">
                  <c:v>三班 平均值</c:v>
                </c:pt>
                <c:pt idx="4">
                  <c:v>二班 平均值</c:v>
                </c:pt>
              </c:strCache>
            </c:strRef>
          </c:cat>
          <c:val>
            <c:numRef>
              <c:f>分类汇总!$F$2:$F$105</c:f>
              <c:numCache>
                <c:formatCode>0.00_ </c:formatCode>
                <c:ptCount val="5"/>
                <c:pt idx="0">
                  <c:v>75.5952380952381</c:v>
                </c:pt>
                <c:pt idx="1">
                  <c:v>82.1428571428571</c:v>
                </c:pt>
                <c:pt idx="2">
                  <c:v>77.40625</c:v>
                </c:pt>
                <c:pt idx="3">
                  <c:v>78.5384615384615</c:v>
                </c:pt>
                <c:pt idx="4">
                  <c:v>77.4047619047619</c:v>
                </c:pt>
              </c:numCache>
            </c:numRef>
          </c:val>
        </c:ser>
        <c:ser>
          <c:idx val="2"/>
          <c:order val="2"/>
          <c:tx>
            <c:strRef>
              <c:f>分类汇总!$G$1</c:f>
              <c:strCache>
                <c:ptCount val="1"/>
                <c:pt idx="0">
                  <c:v>语文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分类汇总!$D$2:$D$105</c:f>
              <c:strCache>
                <c:ptCount val="5"/>
                <c:pt idx="0">
                  <c:v>六班 平均值</c:v>
                </c:pt>
                <c:pt idx="1">
                  <c:v>五班 平均值</c:v>
                </c:pt>
                <c:pt idx="2">
                  <c:v>四班 平均值</c:v>
                </c:pt>
                <c:pt idx="3">
                  <c:v>三班 平均值</c:v>
                </c:pt>
                <c:pt idx="4">
                  <c:v>二班 平均值</c:v>
                </c:pt>
              </c:strCache>
            </c:strRef>
          </c:cat>
          <c:val>
            <c:numRef>
              <c:f>分类汇总!$G$2:$G$105</c:f>
              <c:numCache>
                <c:formatCode>0.00_ </c:formatCode>
                <c:ptCount val="5"/>
                <c:pt idx="0">
                  <c:v>78.5238095238095</c:v>
                </c:pt>
                <c:pt idx="1">
                  <c:v>79.5714285714286</c:v>
                </c:pt>
                <c:pt idx="2">
                  <c:v>79.90625</c:v>
                </c:pt>
                <c:pt idx="3">
                  <c:v>75.5769230769231</c:v>
                </c:pt>
                <c:pt idx="4">
                  <c:v>76.4761904761905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26030255"/>
        <c:axId val="1277825567"/>
      </c:barChart>
      <c:catAx>
        <c:axId val="122603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7825567"/>
        <c:crosses val="autoZero"/>
        <c:auto val="1"/>
        <c:lblAlgn val="ctr"/>
        <c:lblOffset val="100"/>
        <c:noMultiLvlLbl val="0"/>
      </c:catAx>
      <c:valAx>
        <c:axId val="127782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603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195262</xdr:colOff>
      <xdr:row>6</xdr:row>
      <xdr:rowOff>142875</xdr:rowOff>
    </xdr:from>
    <xdr:to>
      <xdr:col>10</xdr:col>
      <xdr:colOff>652462</xdr:colOff>
      <xdr:row>22</xdr:row>
      <xdr:rowOff>142875</xdr:rowOff>
    </xdr:to>
    <xdr:graphicFrame>
      <xdr:nvGraphicFramePr>
        <xdr:cNvPr id="3" name="图表 2"/>
        <xdr:cNvGraphicFramePr/>
      </xdr:nvGraphicFramePr>
      <xdr:xfrm>
        <a:off x="2938145" y="11715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"/>
  <sheetViews>
    <sheetView zoomScale="85" zoomScaleNormal="85" workbookViewId="0">
      <selection activeCell="S17" sqref="S17"/>
    </sheetView>
  </sheetViews>
  <sheetFormatPr defaultColWidth="9" defaultRowHeight="13.5"/>
  <cols>
    <col min="9" max="9" width="13.875" customWidth="1"/>
    <col min="15" max="15" width="10" customWidth="1"/>
    <col min="16" max="16" width="13.25" customWidth="1"/>
  </cols>
  <sheetData>
    <row r="1" ht="33" customHeight="1" spans="1:1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t="s">
        <v>13</v>
      </c>
    </row>
    <row r="3" spans="1:13">
      <c r="A3" s="8">
        <v>10001</v>
      </c>
      <c r="B3" s="8" t="s">
        <v>14</v>
      </c>
      <c r="C3" s="8" t="s">
        <v>15</v>
      </c>
      <c r="D3" s="8" t="s">
        <v>16</v>
      </c>
      <c r="E3" s="8">
        <v>91</v>
      </c>
      <c r="F3" s="8">
        <v>98</v>
      </c>
      <c r="G3" s="8">
        <v>94</v>
      </c>
      <c r="H3" s="8">
        <v>92</v>
      </c>
      <c r="I3" s="8">
        <v>82</v>
      </c>
      <c r="J3" s="8">
        <f>SUM(E3:I3)</f>
        <v>457</v>
      </c>
      <c r="K3" s="9">
        <f>AVERAGE(E3:I3)</f>
        <v>91.4</v>
      </c>
      <c r="L3" s="8">
        <f>RANK(J3,$J$3:$J$101)</f>
        <v>5</v>
      </c>
      <c r="M3" t="str">
        <f>IF(K3&gt;=85,"优秀",IF(K3&gt;=60,"及格",IF(K3&lt;60,"不及格")))</f>
        <v>优秀</v>
      </c>
    </row>
    <row r="4" spans="1:13">
      <c r="A4" s="8">
        <v>10002</v>
      </c>
      <c r="B4" s="8" t="s">
        <v>17</v>
      </c>
      <c r="C4" s="8" t="s">
        <v>18</v>
      </c>
      <c r="D4" s="8" t="s">
        <v>19</v>
      </c>
      <c r="E4" s="8">
        <v>87</v>
      </c>
      <c r="F4" s="8">
        <v>90</v>
      </c>
      <c r="G4" s="8">
        <v>97</v>
      </c>
      <c r="H4" s="8">
        <v>69.5</v>
      </c>
      <c r="I4" s="8">
        <v>88.5</v>
      </c>
      <c r="J4" s="8">
        <f t="shared" ref="J4:J67" si="0">SUM(E4:I4)</f>
        <v>432</v>
      </c>
      <c r="K4" s="9">
        <f t="shared" ref="K4:K67" si="1">AVERAGE(E4:I4)</f>
        <v>86.4</v>
      </c>
      <c r="L4" s="8">
        <f t="shared" ref="L4:L67" si="2">RANK(J4,$J$3:$J$101)</f>
        <v>13</v>
      </c>
      <c r="M4" t="str">
        <f t="shared" ref="M4:M67" si="3">IF(K4&gt;=85,"优秀",IF(K4&gt;=60,"及格",IF(K4&lt;60,"不及格")))</f>
        <v>优秀</v>
      </c>
    </row>
    <row r="5" ht="14.25" spans="1:13">
      <c r="A5" s="8">
        <v>10003</v>
      </c>
      <c r="B5" s="8" t="s">
        <v>20</v>
      </c>
      <c r="C5" s="8" t="s">
        <v>15</v>
      </c>
      <c r="D5" s="8" t="s">
        <v>21</v>
      </c>
      <c r="E5" s="8">
        <v>66</v>
      </c>
      <c r="F5" s="8">
        <v>66</v>
      </c>
      <c r="G5" s="8">
        <v>74</v>
      </c>
      <c r="H5" s="8">
        <v>72</v>
      </c>
      <c r="I5" s="8">
        <v>83</v>
      </c>
      <c r="J5" s="8">
        <f t="shared" si="0"/>
        <v>361</v>
      </c>
      <c r="K5" s="9">
        <f t="shared" si="1"/>
        <v>72.2</v>
      </c>
      <c r="L5" s="8">
        <f t="shared" si="2"/>
        <v>80</v>
      </c>
      <c r="M5" t="str">
        <f t="shared" si="3"/>
        <v>及格</v>
      </c>
    </row>
    <row r="6" spans="1:16">
      <c r="A6" s="8">
        <v>10004</v>
      </c>
      <c r="B6" s="8" t="s">
        <v>22</v>
      </c>
      <c r="C6" s="8" t="s">
        <v>15</v>
      </c>
      <c r="D6" s="8" t="s">
        <v>23</v>
      </c>
      <c r="E6" s="8">
        <v>90.5</v>
      </c>
      <c r="F6" s="8">
        <v>50</v>
      </c>
      <c r="G6" s="8">
        <v>88</v>
      </c>
      <c r="H6" s="8">
        <v>72</v>
      </c>
      <c r="I6" s="8">
        <v>91.5</v>
      </c>
      <c r="J6" s="8">
        <f t="shared" si="0"/>
        <v>392</v>
      </c>
      <c r="K6" s="9">
        <f t="shared" si="1"/>
        <v>78.4</v>
      </c>
      <c r="L6" s="8">
        <f t="shared" si="2"/>
        <v>37</v>
      </c>
      <c r="M6" t="str">
        <f t="shared" si="3"/>
        <v>及格</v>
      </c>
      <c r="O6" s="10" t="s">
        <v>24</v>
      </c>
      <c r="P6" s="11"/>
    </row>
    <row r="7" spans="1:16">
      <c r="A7" s="8">
        <v>10005</v>
      </c>
      <c r="B7" s="8" t="s">
        <v>25</v>
      </c>
      <c r="C7" s="8" t="s">
        <v>15</v>
      </c>
      <c r="D7" s="8" t="s">
        <v>16</v>
      </c>
      <c r="E7" s="8">
        <v>73.5</v>
      </c>
      <c r="F7" s="8">
        <v>78</v>
      </c>
      <c r="G7" s="8">
        <v>73</v>
      </c>
      <c r="H7" s="8">
        <v>71</v>
      </c>
      <c r="I7" s="8">
        <v>77.5</v>
      </c>
      <c r="J7" s="8">
        <f t="shared" si="0"/>
        <v>373</v>
      </c>
      <c r="K7" s="9">
        <f t="shared" si="1"/>
        <v>74.6</v>
      </c>
      <c r="L7" s="8">
        <f t="shared" si="2"/>
        <v>65</v>
      </c>
      <c r="M7" t="str">
        <f t="shared" si="3"/>
        <v>及格</v>
      </c>
      <c r="O7" s="12" t="s">
        <v>26</v>
      </c>
      <c r="P7" s="13">
        <f>COUNTIFS(M3:M101,"优秀",C3:C101,"男")</f>
        <v>9</v>
      </c>
    </row>
    <row r="8" ht="14.25" spans="1:16">
      <c r="A8" s="8">
        <v>10006</v>
      </c>
      <c r="B8" s="8" t="s">
        <v>27</v>
      </c>
      <c r="C8" s="8" t="s">
        <v>18</v>
      </c>
      <c r="D8" s="8" t="s">
        <v>16</v>
      </c>
      <c r="E8" s="8">
        <v>78</v>
      </c>
      <c r="F8" s="8">
        <v>86.5</v>
      </c>
      <c r="G8" s="8">
        <v>67</v>
      </c>
      <c r="H8" s="8">
        <v>65</v>
      </c>
      <c r="I8" s="8">
        <v>68</v>
      </c>
      <c r="J8" s="8">
        <f t="shared" si="0"/>
        <v>364.5</v>
      </c>
      <c r="K8" s="9">
        <f t="shared" si="1"/>
        <v>72.9</v>
      </c>
      <c r="L8" s="8">
        <f t="shared" si="2"/>
        <v>73</v>
      </c>
      <c r="M8" t="str">
        <f t="shared" si="3"/>
        <v>及格</v>
      </c>
      <c r="O8" s="14" t="s">
        <v>28</v>
      </c>
      <c r="P8" s="15">
        <f>COUNTIFS(M3:M101,"优秀",C3:C101,"女")</f>
        <v>4</v>
      </c>
    </row>
    <row r="9" spans="1:13">
      <c r="A9" s="8">
        <v>10007</v>
      </c>
      <c r="B9" s="8" t="s">
        <v>29</v>
      </c>
      <c r="C9" s="8" t="s">
        <v>18</v>
      </c>
      <c r="D9" s="8" t="s">
        <v>21</v>
      </c>
      <c r="E9" s="8">
        <v>84</v>
      </c>
      <c r="F9" s="8">
        <v>70.5</v>
      </c>
      <c r="G9" s="8">
        <v>75</v>
      </c>
      <c r="H9" s="8">
        <v>73</v>
      </c>
      <c r="I9" s="8">
        <v>75</v>
      </c>
      <c r="J9" s="8">
        <f t="shared" si="0"/>
        <v>377.5</v>
      </c>
      <c r="K9" s="9">
        <f t="shared" si="1"/>
        <v>75.5</v>
      </c>
      <c r="L9" s="8">
        <f t="shared" si="2"/>
        <v>60</v>
      </c>
      <c r="M9" t="str">
        <f t="shared" si="3"/>
        <v>及格</v>
      </c>
    </row>
    <row r="10" spans="1:13">
      <c r="A10" s="8">
        <v>10008</v>
      </c>
      <c r="B10" s="8" t="s">
        <v>30</v>
      </c>
      <c r="C10" s="8" t="s">
        <v>18</v>
      </c>
      <c r="D10" s="8" t="s">
        <v>31</v>
      </c>
      <c r="E10" s="8">
        <v>86.5</v>
      </c>
      <c r="F10" s="8">
        <v>65</v>
      </c>
      <c r="G10" s="8">
        <v>62.5</v>
      </c>
      <c r="H10" s="8">
        <v>60.5</v>
      </c>
      <c r="I10" s="8">
        <v>58.5</v>
      </c>
      <c r="J10" s="8">
        <f t="shared" si="0"/>
        <v>333</v>
      </c>
      <c r="K10" s="9">
        <f t="shared" si="1"/>
        <v>66.6</v>
      </c>
      <c r="L10" s="8">
        <f t="shared" si="2"/>
        <v>94</v>
      </c>
      <c r="M10" t="str">
        <f t="shared" si="3"/>
        <v>及格</v>
      </c>
    </row>
    <row r="11" spans="1:13">
      <c r="A11" s="8">
        <v>10009</v>
      </c>
      <c r="B11" s="8" t="s">
        <v>32</v>
      </c>
      <c r="C11" s="8" t="s">
        <v>18</v>
      </c>
      <c r="D11" s="8" t="s">
        <v>23</v>
      </c>
      <c r="E11" s="8">
        <v>90.5</v>
      </c>
      <c r="F11" s="8">
        <v>88</v>
      </c>
      <c r="G11" s="8">
        <v>95</v>
      </c>
      <c r="H11" s="8">
        <v>90</v>
      </c>
      <c r="I11" s="8">
        <v>94.5</v>
      </c>
      <c r="J11" s="8">
        <f t="shared" si="0"/>
        <v>458</v>
      </c>
      <c r="K11" s="9">
        <f t="shared" si="1"/>
        <v>91.6</v>
      </c>
      <c r="L11" s="8">
        <f t="shared" si="2"/>
        <v>3</v>
      </c>
      <c r="M11" t="str">
        <f t="shared" si="3"/>
        <v>优秀</v>
      </c>
    </row>
    <row r="12" spans="1:13">
      <c r="A12" s="8">
        <v>10010</v>
      </c>
      <c r="B12" s="8" t="s">
        <v>33</v>
      </c>
      <c r="C12" s="8" t="s">
        <v>15</v>
      </c>
      <c r="D12" s="8" t="s">
        <v>16</v>
      </c>
      <c r="E12" s="8">
        <v>77</v>
      </c>
      <c r="F12" s="8">
        <v>90</v>
      </c>
      <c r="G12" s="8">
        <v>74.5</v>
      </c>
      <c r="H12" s="8">
        <v>72.5</v>
      </c>
      <c r="I12" s="8">
        <v>77.5</v>
      </c>
      <c r="J12" s="8">
        <f t="shared" si="0"/>
        <v>391.5</v>
      </c>
      <c r="K12" s="9">
        <f t="shared" si="1"/>
        <v>78.3</v>
      </c>
      <c r="L12" s="8">
        <f t="shared" si="2"/>
        <v>38</v>
      </c>
      <c r="M12" t="str">
        <f t="shared" si="3"/>
        <v>及格</v>
      </c>
    </row>
    <row r="13" spans="1:13">
      <c r="A13" s="8">
        <v>10011</v>
      </c>
      <c r="B13" s="8" t="s">
        <v>34</v>
      </c>
      <c r="C13" s="8" t="s">
        <v>15</v>
      </c>
      <c r="D13" s="8" t="s">
        <v>31</v>
      </c>
      <c r="E13" s="8">
        <v>73.5</v>
      </c>
      <c r="F13" s="8">
        <v>70</v>
      </c>
      <c r="G13" s="8">
        <v>80</v>
      </c>
      <c r="H13" s="8">
        <v>82.5</v>
      </c>
      <c r="I13" s="8">
        <v>84</v>
      </c>
      <c r="J13" s="8">
        <f t="shared" si="0"/>
        <v>390</v>
      </c>
      <c r="K13" s="9">
        <f t="shared" si="1"/>
        <v>78</v>
      </c>
      <c r="L13" s="8">
        <f t="shared" si="2"/>
        <v>42</v>
      </c>
      <c r="M13" t="str">
        <f t="shared" si="3"/>
        <v>及格</v>
      </c>
    </row>
    <row r="14" spans="1:13">
      <c r="A14" s="8">
        <v>10012</v>
      </c>
      <c r="B14" s="8" t="s">
        <v>35</v>
      </c>
      <c r="C14" s="8" t="s">
        <v>18</v>
      </c>
      <c r="D14" s="8" t="s">
        <v>23</v>
      </c>
      <c r="E14" s="8">
        <v>94</v>
      </c>
      <c r="F14" s="8">
        <v>90</v>
      </c>
      <c r="G14" s="8">
        <v>96</v>
      </c>
      <c r="H14" s="8">
        <v>83.5</v>
      </c>
      <c r="I14" s="8">
        <v>93</v>
      </c>
      <c r="J14" s="8">
        <f t="shared" si="0"/>
        <v>456.5</v>
      </c>
      <c r="K14" s="9">
        <f t="shared" si="1"/>
        <v>91.3</v>
      </c>
      <c r="L14" s="8">
        <f t="shared" si="2"/>
        <v>7</v>
      </c>
      <c r="M14" t="str">
        <f t="shared" si="3"/>
        <v>优秀</v>
      </c>
    </row>
    <row r="15" spans="1:13">
      <c r="A15" s="8">
        <v>10013</v>
      </c>
      <c r="B15" s="8" t="s">
        <v>36</v>
      </c>
      <c r="C15" s="8" t="s">
        <v>18</v>
      </c>
      <c r="D15" s="8" t="s">
        <v>21</v>
      </c>
      <c r="E15" s="8">
        <v>65</v>
      </c>
      <c r="F15" s="8">
        <v>64</v>
      </c>
      <c r="G15" s="8">
        <v>75.5</v>
      </c>
      <c r="H15" s="8">
        <v>73.5</v>
      </c>
      <c r="I15" s="8">
        <v>83.5</v>
      </c>
      <c r="J15" s="8">
        <f t="shared" si="0"/>
        <v>361.5</v>
      </c>
      <c r="K15" s="9">
        <f t="shared" si="1"/>
        <v>72.3</v>
      </c>
      <c r="L15" s="8">
        <f t="shared" si="2"/>
        <v>78</v>
      </c>
      <c r="M15" t="str">
        <f t="shared" si="3"/>
        <v>及格</v>
      </c>
    </row>
    <row r="16" spans="1:13">
      <c r="A16" s="8">
        <v>10014</v>
      </c>
      <c r="B16" s="8" t="s">
        <v>37</v>
      </c>
      <c r="C16" s="8" t="s">
        <v>18</v>
      </c>
      <c r="D16" s="8" t="s">
        <v>38</v>
      </c>
      <c r="E16" s="8">
        <v>67</v>
      </c>
      <c r="F16" s="8">
        <v>86</v>
      </c>
      <c r="G16" s="8">
        <v>70.5</v>
      </c>
      <c r="H16" s="8">
        <v>68.5</v>
      </c>
      <c r="I16" s="8">
        <v>62.5</v>
      </c>
      <c r="J16" s="8">
        <f t="shared" si="0"/>
        <v>354.5</v>
      </c>
      <c r="K16" s="9">
        <f t="shared" si="1"/>
        <v>70.9</v>
      </c>
      <c r="L16" s="8">
        <f t="shared" si="2"/>
        <v>87</v>
      </c>
      <c r="M16" t="str">
        <f t="shared" si="3"/>
        <v>及格</v>
      </c>
    </row>
    <row r="17" spans="1:13">
      <c r="A17" s="8">
        <v>10015</v>
      </c>
      <c r="B17" s="8" t="s">
        <v>39</v>
      </c>
      <c r="C17" s="8" t="s">
        <v>15</v>
      </c>
      <c r="D17" s="8" t="s">
        <v>16</v>
      </c>
      <c r="E17" s="8">
        <v>82.5</v>
      </c>
      <c r="F17" s="8">
        <v>72</v>
      </c>
      <c r="G17" s="8">
        <v>67.5</v>
      </c>
      <c r="H17" s="8">
        <v>65.5</v>
      </c>
      <c r="I17" s="8">
        <v>77.5</v>
      </c>
      <c r="J17" s="8">
        <f t="shared" si="0"/>
        <v>365</v>
      </c>
      <c r="K17" s="9">
        <f t="shared" si="1"/>
        <v>73</v>
      </c>
      <c r="L17" s="8">
        <f t="shared" si="2"/>
        <v>72</v>
      </c>
      <c r="M17" t="str">
        <f t="shared" si="3"/>
        <v>及格</v>
      </c>
    </row>
    <row r="18" spans="1:13">
      <c r="A18" s="8">
        <v>10016</v>
      </c>
      <c r="B18" s="8" t="s">
        <v>40</v>
      </c>
      <c r="C18" s="8" t="s">
        <v>18</v>
      </c>
      <c r="D18" s="8" t="s">
        <v>19</v>
      </c>
      <c r="E18" s="8">
        <v>89</v>
      </c>
      <c r="F18" s="8">
        <v>72</v>
      </c>
      <c r="G18" s="8">
        <v>79</v>
      </c>
      <c r="H18" s="8">
        <v>87</v>
      </c>
      <c r="I18" s="8">
        <v>97</v>
      </c>
      <c r="J18" s="8">
        <f t="shared" si="0"/>
        <v>424</v>
      </c>
      <c r="K18" s="9">
        <f t="shared" si="1"/>
        <v>84.8</v>
      </c>
      <c r="L18" s="8">
        <f t="shared" si="2"/>
        <v>14</v>
      </c>
      <c r="M18" t="str">
        <f t="shared" si="3"/>
        <v>及格</v>
      </c>
    </row>
    <row r="19" spans="1:13">
      <c r="A19" s="8">
        <v>10017</v>
      </c>
      <c r="B19" s="8" t="s">
        <v>41</v>
      </c>
      <c r="C19" s="8" t="s">
        <v>18</v>
      </c>
      <c r="D19" s="8" t="s">
        <v>31</v>
      </c>
      <c r="E19" s="8">
        <v>80</v>
      </c>
      <c r="F19" s="8">
        <v>90</v>
      </c>
      <c r="G19" s="8">
        <v>83</v>
      </c>
      <c r="H19" s="8">
        <v>81</v>
      </c>
      <c r="I19" s="8">
        <v>84</v>
      </c>
      <c r="J19" s="8">
        <f t="shared" si="0"/>
        <v>418</v>
      </c>
      <c r="K19" s="9">
        <f t="shared" si="1"/>
        <v>83.6</v>
      </c>
      <c r="L19" s="8">
        <f t="shared" si="2"/>
        <v>18</v>
      </c>
      <c r="M19" t="str">
        <f t="shared" si="3"/>
        <v>及格</v>
      </c>
    </row>
    <row r="20" spans="1:13">
      <c r="A20" s="8">
        <v>10018</v>
      </c>
      <c r="B20" s="8" t="s">
        <v>42</v>
      </c>
      <c r="C20" s="8" t="s">
        <v>15</v>
      </c>
      <c r="D20" s="8" t="s">
        <v>23</v>
      </c>
      <c r="E20" s="8">
        <v>73</v>
      </c>
      <c r="F20" s="8">
        <v>76</v>
      </c>
      <c r="G20" s="8">
        <v>56</v>
      </c>
      <c r="H20" s="8">
        <v>54</v>
      </c>
      <c r="I20" s="8">
        <v>73</v>
      </c>
      <c r="J20" s="8">
        <f t="shared" si="0"/>
        <v>332</v>
      </c>
      <c r="K20" s="9">
        <f t="shared" si="1"/>
        <v>66.4</v>
      </c>
      <c r="L20" s="8">
        <f t="shared" si="2"/>
        <v>95</v>
      </c>
      <c r="M20" t="str">
        <f t="shared" si="3"/>
        <v>及格</v>
      </c>
    </row>
    <row r="21" spans="1:13">
      <c r="A21" s="8">
        <v>10019</v>
      </c>
      <c r="B21" s="8" t="s">
        <v>43</v>
      </c>
      <c r="C21" s="8" t="s">
        <v>15</v>
      </c>
      <c r="D21" s="8" t="s">
        <v>31</v>
      </c>
      <c r="E21" s="8">
        <v>84</v>
      </c>
      <c r="F21" s="8">
        <v>73</v>
      </c>
      <c r="G21" s="8">
        <v>70</v>
      </c>
      <c r="H21" s="8">
        <v>76</v>
      </c>
      <c r="I21" s="8">
        <v>88</v>
      </c>
      <c r="J21" s="8">
        <f t="shared" si="0"/>
        <v>391</v>
      </c>
      <c r="K21" s="9">
        <f t="shared" si="1"/>
        <v>78.2</v>
      </c>
      <c r="L21" s="8">
        <f t="shared" si="2"/>
        <v>40</v>
      </c>
      <c r="M21" t="str">
        <f t="shared" si="3"/>
        <v>及格</v>
      </c>
    </row>
    <row r="22" spans="1:13">
      <c r="A22" s="8">
        <v>10020</v>
      </c>
      <c r="B22" s="8" t="s">
        <v>44</v>
      </c>
      <c r="C22" s="8" t="s">
        <v>18</v>
      </c>
      <c r="D22" s="8" t="s">
        <v>31</v>
      </c>
      <c r="E22" s="8">
        <v>71</v>
      </c>
      <c r="F22" s="8">
        <v>82.5</v>
      </c>
      <c r="G22" s="8">
        <v>89</v>
      </c>
      <c r="H22" s="8">
        <v>87</v>
      </c>
      <c r="I22" s="8">
        <v>79</v>
      </c>
      <c r="J22" s="8">
        <f t="shared" si="0"/>
        <v>408.5</v>
      </c>
      <c r="K22" s="9">
        <f t="shared" si="1"/>
        <v>81.7</v>
      </c>
      <c r="L22" s="8">
        <f t="shared" si="2"/>
        <v>26</v>
      </c>
      <c r="M22" t="str">
        <f t="shared" si="3"/>
        <v>及格</v>
      </c>
    </row>
    <row r="23" spans="1:13">
      <c r="A23" s="8">
        <v>10021</v>
      </c>
      <c r="B23" s="8" t="s">
        <v>45</v>
      </c>
      <c r="C23" s="8" t="s">
        <v>18</v>
      </c>
      <c r="D23" s="8" t="s">
        <v>21</v>
      </c>
      <c r="E23" s="8">
        <v>91</v>
      </c>
      <c r="F23" s="8">
        <v>68.5</v>
      </c>
      <c r="G23" s="8">
        <v>64.5</v>
      </c>
      <c r="H23" s="8">
        <v>62.5</v>
      </c>
      <c r="I23" s="8">
        <v>76.5</v>
      </c>
      <c r="J23" s="8">
        <f t="shared" si="0"/>
        <v>363</v>
      </c>
      <c r="K23" s="9">
        <f t="shared" si="1"/>
        <v>72.6</v>
      </c>
      <c r="L23" s="8">
        <f t="shared" si="2"/>
        <v>76</v>
      </c>
      <c r="M23" t="str">
        <f t="shared" si="3"/>
        <v>及格</v>
      </c>
    </row>
    <row r="24" spans="1:13">
      <c r="A24" s="8">
        <v>10022</v>
      </c>
      <c r="B24" s="8" t="s">
        <v>46</v>
      </c>
      <c r="C24" s="8" t="s">
        <v>18</v>
      </c>
      <c r="D24" s="8" t="s">
        <v>16</v>
      </c>
      <c r="E24" s="8">
        <v>78.5</v>
      </c>
      <c r="F24" s="8">
        <v>73</v>
      </c>
      <c r="G24" s="8">
        <v>83</v>
      </c>
      <c r="H24" s="8">
        <v>81</v>
      </c>
      <c r="I24" s="8">
        <v>73</v>
      </c>
      <c r="J24" s="8">
        <f t="shared" si="0"/>
        <v>388.5</v>
      </c>
      <c r="K24" s="9">
        <f t="shared" si="1"/>
        <v>77.7</v>
      </c>
      <c r="L24" s="8">
        <f t="shared" si="2"/>
        <v>47</v>
      </c>
      <c r="M24" t="str">
        <f t="shared" si="3"/>
        <v>及格</v>
      </c>
    </row>
    <row r="25" spans="1:13">
      <c r="A25" s="8">
        <v>10023</v>
      </c>
      <c r="B25" s="8" t="s">
        <v>47</v>
      </c>
      <c r="C25" s="8" t="s">
        <v>18</v>
      </c>
      <c r="D25" s="8" t="s">
        <v>19</v>
      </c>
      <c r="E25" s="8">
        <v>72.5</v>
      </c>
      <c r="F25" s="8">
        <v>74.5</v>
      </c>
      <c r="G25" s="8">
        <v>72.5</v>
      </c>
      <c r="H25" s="8">
        <v>70.5</v>
      </c>
      <c r="I25" s="8">
        <v>67</v>
      </c>
      <c r="J25" s="8">
        <f t="shared" si="0"/>
        <v>357</v>
      </c>
      <c r="K25" s="9">
        <f t="shared" si="1"/>
        <v>71.4</v>
      </c>
      <c r="L25" s="8">
        <f t="shared" si="2"/>
        <v>86</v>
      </c>
      <c r="M25" t="str">
        <f t="shared" si="3"/>
        <v>及格</v>
      </c>
    </row>
    <row r="26" spans="1:13">
      <c r="A26" s="8">
        <v>10024</v>
      </c>
      <c r="B26" s="8" t="s">
        <v>48</v>
      </c>
      <c r="C26" s="8" t="s">
        <v>18</v>
      </c>
      <c r="D26" s="8" t="s">
        <v>23</v>
      </c>
      <c r="E26" s="8">
        <v>78</v>
      </c>
      <c r="F26" s="8">
        <v>61.5</v>
      </c>
      <c r="G26" s="8">
        <v>66</v>
      </c>
      <c r="H26" s="8">
        <v>64</v>
      </c>
      <c r="I26" s="8">
        <v>69</v>
      </c>
      <c r="J26" s="8">
        <f t="shared" si="0"/>
        <v>338.5</v>
      </c>
      <c r="K26" s="9">
        <f t="shared" si="1"/>
        <v>67.7</v>
      </c>
      <c r="L26" s="8">
        <f t="shared" si="2"/>
        <v>92</v>
      </c>
      <c r="M26" t="str">
        <f t="shared" si="3"/>
        <v>及格</v>
      </c>
    </row>
    <row r="27" spans="1:13">
      <c r="A27" s="8">
        <v>10025</v>
      </c>
      <c r="B27" s="8" t="s">
        <v>49</v>
      </c>
      <c r="C27" s="8" t="s">
        <v>18</v>
      </c>
      <c r="D27" s="8" t="s">
        <v>31</v>
      </c>
      <c r="E27" s="8">
        <v>93</v>
      </c>
      <c r="F27" s="8">
        <v>86</v>
      </c>
      <c r="G27" s="8">
        <v>94.5</v>
      </c>
      <c r="H27" s="8">
        <v>92.5</v>
      </c>
      <c r="I27" s="8">
        <v>93</v>
      </c>
      <c r="J27" s="8">
        <f t="shared" si="0"/>
        <v>459</v>
      </c>
      <c r="K27" s="9">
        <f t="shared" si="1"/>
        <v>91.8</v>
      </c>
      <c r="L27" s="8">
        <f t="shared" si="2"/>
        <v>2</v>
      </c>
      <c r="M27" t="str">
        <f t="shared" si="3"/>
        <v>优秀</v>
      </c>
    </row>
    <row r="28" spans="1:13">
      <c r="A28" s="8">
        <v>10026</v>
      </c>
      <c r="B28" s="8" t="s">
        <v>50</v>
      </c>
      <c r="C28" s="8" t="s">
        <v>15</v>
      </c>
      <c r="D28" s="8" t="s">
        <v>23</v>
      </c>
      <c r="E28" s="8">
        <v>71.5</v>
      </c>
      <c r="F28" s="8">
        <v>88</v>
      </c>
      <c r="G28" s="8">
        <v>81</v>
      </c>
      <c r="H28" s="8">
        <v>85</v>
      </c>
      <c r="I28" s="8">
        <v>82.5</v>
      </c>
      <c r="J28" s="8">
        <f t="shared" si="0"/>
        <v>408</v>
      </c>
      <c r="K28" s="9">
        <f t="shared" si="1"/>
        <v>81.6</v>
      </c>
      <c r="L28" s="8">
        <f t="shared" si="2"/>
        <v>29</v>
      </c>
      <c r="M28" t="str">
        <f t="shared" si="3"/>
        <v>及格</v>
      </c>
    </row>
    <row r="29" spans="1:13">
      <c r="A29" s="8">
        <v>10027</v>
      </c>
      <c r="B29" s="8" t="s">
        <v>51</v>
      </c>
      <c r="C29" s="8" t="s">
        <v>18</v>
      </c>
      <c r="D29" s="8" t="s">
        <v>16</v>
      </c>
      <c r="E29" s="8">
        <v>63.5</v>
      </c>
      <c r="F29" s="8">
        <v>77.5</v>
      </c>
      <c r="G29" s="8">
        <v>84.5</v>
      </c>
      <c r="H29" s="8">
        <v>82.5</v>
      </c>
      <c r="I29" s="8">
        <v>80</v>
      </c>
      <c r="J29" s="8">
        <f t="shared" si="0"/>
        <v>388</v>
      </c>
      <c r="K29" s="9">
        <f t="shared" si="1"/>
        <v>77.6</v>
      </c>
      <c r="L29" s="8">
        <f t="shared" si="2"/>
        <v>49</v>
      </c>
      <c r="M29" t="str">
        <f t="shared" si="3"/>
        <v>及格</v>
      </c>
    </row>
    <row r="30" spans="1:13">
      <c r="A30" s="8">
        <v>10028</v>
      </c>
      <c r="B30" s="8" t="s">
        <v>52</v>
      </c>
      <c r="C30" s="8" t="s">
        <v>15</v>
      </c>
      <c r="D30" s="8" t="s">
        <v>21</v>
      </c>
      <c r="E30" s="8">
        <v>69</v>
      </c>
      <c r="F30" s="8">
        <v>68.5</v>
      </c>
      <c r="G30" s="8">
        <v>92</v>
      </c>
      <c r="H30" s="8">
        <v>90</v>
      </c>
      <c r="I30" s="8">
        <v>94.5</v>
      </c>
      <c r="J30" s="8">
        <f t="shared" si="0"/>
        <v>414</v>
      </c>
      <c r="K30" s="9">
        <f t="shared" si="1"/>
        <v>82.8</v>
      </c>
      <c r="L30" s="8">
        <f t="shared" si="2"/>
        <v>19</v>
      </c>
      <c r="M30" t="str">
        <f t="shared" si="3"/>
        <v>及格</v>
      </c>
    </row>
    <row r="31" spans="1:13">
      <c r="A31" s="8">
        <v>10029</v>
      </c>
      <c r="B31" s="8" t="s">
        <v>53</v>
      </c>
      <c r="C31" s="8" t="s">
        <v>18</v>
      </c>
      <c r="D31" s="8" t="s">
        <v>16</v>
      </c>
      <c r="E31" s="8">
        <v>52.5</v>
      </c>
      <c r="F31" s="8">
        <v>50</v>
      </c>
      <c r="G31" s="8">
        <v>64</v>
      </c>
      <c r="H31" s="8">
        <v>62</v>
      </c>
      <c r="I31" s="8">
        <v>60</v>
      </c>
      <c r="J31" s="8">
        <f t="shared" si="0"/>
        <v>288.5</v>
      </c>
      <c r="K31" s="9">
        <f t="shared" si="1"/>
        <v>57.7</v>
      </c>
      <c r="L31" s="8">
        <f t="shared" si="2"/>
        <v>99</v>
      </c>
      <c r="M31" t="str">
        <f t="shared" si="3"/>
        <v>不及格</v>
      </c>
    </row>
    <row r="32" spans="1:13">
      <c r="A32" s="8">
        <v>10030</v>
      </c>
      <c r="B32" s="8" t="s">
        <v>54</v>
      </c>
      <c r="C32" s="8" t="s">
        <v>15</v>
      </c>
      <c r="D32" s="8" t="s">
        <v>21</v>
      </c>
      <c r="E32" s="8">
        <v>69</v>
      </c>
      <c r="F32" s="8">
        <v>75</v>
      </c>
      <c r="G32" s="8">
        <v>89</v>
      </c>
      <c r="H32" s="8">
        <v>80</v>
      </c>
      <c r="I32" s="8">
        <v>75</v>
      </c>
      <c r="J32" s="8">
        <f t="shared" si="0"/>
        <v>388</v>
      </c>
      <c r="K32" s="9">
        <f t="shared" si="1"/>
        <v>77.6</v>
      </c>
      <c r="L32" s="8">
        <f t="shared" si="2"/>
        <v>49</v>
      </c>
      <c r="M32" t="str">
        <f t="shared" si="3"/>
        <v>及格</v>
      </c>
    </row>
    <row r="33" spans="1:13">
      <c r="A33" s="8">
        <v>10031</v>
      </c>
      <c r="B33" s="8" t="s">
        <v>55</v>
      </c>
      <c r="C33" s="8" t="s">
        <v>18</v>
      </c>
      <c r="D33" s="8" t="s">
        <v>38</v>
      </c>
      <c r="E33" s="8">
        <v>77.5</v>
      </c>
      <c r="F33" s="8">
        <v>75.5</v>
      </c>
      <c r="G33" s="8">
        <v>79</v>
      </c>
      <c r="H33" s="8">
        <v>77</v>
      </c>
      <c r="I33" s="8">
        <v>80</v>
      </c>
      <c r="J33" s="8">
        <f t="shared" si="0"/>
        <v>389</v>
      </c>
      <c r="K33" s="9">
        <f t="shared" si="1"/>
        <v>77.8</v>
      </c>
      <c r="L33" s="8">
        <f t="shared" si="2"/>
        <v>45</v>
      </c>
      <c r="M33" t="str">
        <f t="shared" si="3"/>
        <v>及格</v>
      </c>
    </row>
    <row r="34" spans="1:13">
      <c r="A34" s="8">
        <v>10032</v>
      </c>
      <c r="B34" s="8" t="s">
        <v>56</v>
      </c>
      <c r="C34" s="8" t="s">
        <v>18</v>
      </c>
      <c r="D34" s="8" t="s">
        <v>21</v>
      </c>
      <c r="E34" s="8">
        <v>77</v>
      </c>
      <c r="F34" s="8">
        <v>85.5</v>
      </c>
      <c r="G34" s="8">
        <v>63.5</v>
      </c>
      <c r="H34" s="8">
        <v>61.5</v>
      </c>
      <c r="I34" s="8">
        <v>72</v>
      </c>
      <c r="J34" s="8">
        <f t="shared" si="0"/>
        <v>359.5</v>
      </c>
      <c r="K34" s="9">
        <f t="shared" si="1"/>
        <v>71.9</v>
      </c>
      <c r="L34" s="8">
        <f t="shared" si="2"/>
        <v>83</v>
      </c>
      <c r="M34" t="str">
        <f t="shared" si="3"/>
        <v>及格</v>
      </c>
    </row>
    <row r="35" spans="1:13">
      <c r="A35" s="8">
        <v>10033</v>
      </c>
      <c r="B35" s="8" t="s">
        <v>57</v>
      </c>
      <c r="C35" s="8" t="s">
        <v>15</v>
      </c>
      <c r="D35" s="8" t="s">
        <v>21</v>
      </c>
      <c r="E35" s="8">
        <v>85</v>
      </c>
      <c r="F35" s="8">
        <v>95</v>
      </c>
      <c r="G35" s="8">
        <v>94</v>
      </c>
      <c r="H35" s="8">
        <v>86.5</v>
      </c>
      <c r="I35" s="8">
        <v>92</v>
      </c>
      <c r="J35" s="8">
        <f t="shared" si="0"/>
        <v>452.5</v>
      </c>
      <c r="K35" s="9">
        <f t="shared" si="1"/>
        <v>90.5</v>
      </c>
      <c r="L35" s="8">
        <f t="shared" si="2"/>
        <v>11</v>
      </c>
      <c r="M35" t="str">
        <f t="shared" si="3"/>
        <v>优秀</v>
      </c>
    </row>
    <row r="36" spans="1:13">
      <c r="A36" s="8">
        <v>10034</v>
      </c>
      <c r="B36" s="8" t="s">
        <v>58</v>
      </c>
      <c r="C36" s="8" t="s">
        <v>18</v>
      </c>
      <c r="D36" s="8" t="s">
        <v>21</v>
      </c>
      <c r="E36" s="8">
        <v>80</v>
      </c>
      <c r="F36" s="8">
        <v>76.5</v>
      </c>
      <c r="G36" s="8">
        <v>89.5</v>
      </c>
      <c r="H36" s="8">
        <v>87.5</v>
      </c>
      <c r="I36" s="8">
        <v>80</v>
      </c>
      <c r="J36" s="8">
        <f t="shared" si="0"/>
        <v>413.5</v>
      </c>
      <c r="K36" s="9">
        <f t="shared" si="1"/>
        <v>82.7</v>
      </c>
      <c r="L36" s="8">
        <f t="shared" si="2"/>
        <v>20</v>
      </c>
      <c r="M36" t="str">
        <f t="shared" si="3"/>
        <v>及格</v>
      </c>
    </row>
    <row r="37" spans="1:13">
      <c r="A37" s="8">
        <v>10035</v>
      </c>
      <c r="B37" s="8" t="s">
        <v>59</v>
      </c>
      <c r="C37" s="8" t="s">
        <v>18</v>
      </c>
      <c r="D37" s="8" t="s">
        <v>21</v>
      </c>
      <c r="E37" s="8">
        <v>65</v>
      </c>
      <c r="F37" s="8">
        <v>60</v>
      </c>
      <c r="G37" s="8">
        <v>50</v>
      </c>
      <c r="H37" s="8">
        <v>52.5</v>
      </c>
      <c r="I37" s="8">
        <v>62</v>
      </c>
      <c r="J37" s="8">
        <f t="shared" si="0"/>
        <v>289.5</v>
      </c>
      <c r="K37" s="9">
        <f t="shared" si="1"/>
        <v>57.9</v>
      </c>
      <c r="L37" s="8">
        <f t="shared" si="2"/>
        <v>98</v>
      </c>
      <c r="M37" t="str">
        <f t="shared" si="3"/>
        <v>不及格</v>
      </c>
    </row>
    <row r="38" spans="1:13">
      <c r="A38" s="8">
        <v>10036</v>
      </c>
      <c r="B38" s="8" t="s">
        <v>60</v>
      </c>
      <c r="C38" s="8" t="s">
        <v>18</v>
      </c>
      <c r="D38" s="8" t="s">
        <v>16</v>
      </c>
      <c r="E38" s="8">
        <v>93</v>
      </c>
      <c r="F38" s="8">
        <v>82</v>
      </c>
      <c r="G38" s="8">
        <v>97</v>
      </c>
      <c r="H38" s="8">
        <v>97</v>
      </c>
      <c r="I38" s="8">
        <v>92</v>
      </c>
      <c r="J38" s="8">
        <f t="shared" si="0"/>
        <v>461</v>
      </c>
      <c r="K38" s="9">
        <f t="shared" si="1"/>
        <v>92.2</v>
      </c>
      <c r="L38" s="8">
        <f t="shared" si="2"/>
        <v>1</v>
      </c>
      <c r="M38" t="str">
        <f t="shared" si="3"/>
        <v>优秀</v>
      </c>
    </row>
    <row r="39" spans="1:13">
      <c r="A39" s="8">
        <v>10037</v>
      </c>
      <c r="B39" s="8" t="s">
        <v>61</v>
      </c>
      <c r="C39" s="8" t="s">
        <v>18</v>
      </c>
      <c r="D39" s="8" t="s">
        <v>31</v>
      </c>
      <c r="E39" s="8">
        <v>76.5</v>
      </c>
      <c r="F39" s="8">
        <v>79.5</v>
      </c>
      <c r="G39" s="8">
        <v>68</v>
      </c>
      <c r="H39" s="8">
        <v>66</v>
      </c>
      <c r="I39" s="8">
        <v>71.5</v>
      </c>
      <c r="J39" s="8">
        <f t="shared" si="0"/>
        <v>361.5</v>
      </c>
      <c r="K39" s="9">
        <f t="shared" si="1"/>
        <v>72.3</v>
      </c>
      <c r="L39" s="8">
        <f t="shared" si="2"/>
        <v>78</v>
      </c>
      <c r="M39" t="str">
        <f t="shared" si="3"/>
        <v>及格</v>
      </c>
    </row>
    <row r="40" spans="1:13">
      <c r="A40" s="8">
        <v>10038</v>
      </c>
      <c r="B40" s="8" t="s">
        <v>62</v>
      </c>
      <c r="C40" s="8" t="s">
        <v>15</v>
      </c>
      <c r="D40" s="8" t="s">
        <v>31</v>
      </c>
      <c r="E40" s="8">
        <v>77</v>
      </c>
      <c r="F40" s="8">
        <v>77</v>
      </c>
      <c r="G40" s="8">
        <v>73</v>
      </c>
      <c r="H40" s="8">
        <v>71</v>
      </c>
      <c r="I40" s="8">
        <v>73</v>
      </c>
      <c r="J40" s="8">
        <f t="shared" si="0"/>
        <v>371</v>
      </c>
      <c r="K40" s="9">
        <f t="shared" si="1"/>
        <v>74.2</v>
      </c>
      <c r="L40" s="8">
        <f t="shared" si="2"/>
        <v>68</v>
      </c>
      <c r="M40" t="str">
        <f t="shared" si="3"/>
        <v>及格</v>
      </c>
    </row>
    <row r="41" spans="1:13">
      <c r="A41" s="8">
        <v>10039</v>
      </c>
      <c r="B41" s="8" t="s">
        <v>63</v>
      </c>
      <c r="C41" s="8" t="s">
        <v>18</v>
      </c>
      <c r="D41" s="8" t="s">
        <v>21</v>
      </c>
      <c r="E41" s="8">
        <v>85.5</v>
      </c>
      <c r="F41" s="8">
        <v>91.5</v>
      </c>
      <c r="G41" s="8">
        <v>56.5</v>
      </c>
      <c r="H41" s="8">
        <v>54.5</v>
      </c>
      <c r="I41" s="8">
        <v>76.5</v>
      </c>
      <c r="J41" s="8">
        <f t="shared" si="0"/>
        <v>364.5</v>
      </c>
      <c r="K41" s="9">
        <f t="shared" si="1"/>
        <v>72.9</v>
      </c>
      <c r="L41" s="8">
        <f t="shared" si="2"/>
        <v>73</v>
      </c>
      <c r="M41" t="str">
        <f t="shared" si="3"/>
        <v>及格</v>
      </c>
    </row>
    <row r="42" spans="1:13">
      <c r="A42" s="8">
        <v>10040</v>
      </c>
      <c r="B42" s="8" t="s">
        <v>64</v>
      </c>
      <c r="C42" s="8" t="s">
        <v>15</v>
      </c>
      <c r="D42" s="8" t="s">
        <v>19</v>
      </c>
      <c r="E42" s="8">
        <v>85.5</v>
      </c>
      <c r="F42" s="8">
        <v>66</v>
      </c>
      <c r="G42" s="8">
        <v>74</v>
      </c>
      <c r="H42" s="8">
        <v>72</v>
      </c>
      <c r="I42" s="8">
        <v>65.5</v>
      </c>
      <c r="J42" s="8">
        <f t="shared" si="0"/>
        <v>363</v>
      </c>
      <c r="K42" s="9">
        <f t="shared" si="1"/>
        <v>72.6</v>
      </c>
      <c r="L42" s="8">
        <f t="shared" si="2"/>
        <v>76</v>
      </c>
      <c r="M42" t="str">
        <f t="shared" si="3"/>
        <v>及格</v>
      </c>
    </row>
    <row r="43" spans="1:13">
      <c r="A43" s="8">
        <v>10041</v>
      </c>
      <c r="B43" s="8" t="s">
        <v>65</v>
      </c>
      <c r="C43" s="8" t="s">
        <v>15</v>
      </c>
      <c r="D43" s="8" t="s">
        <v>16</v>
      </c>
      <c r="E43" s="8">
        <v>73.5</v>
      </c>
      <c r="F43" s="8">
        <v>69</v>
      </c>
      <c r="G43" s="8">
        <v>88.5</v>
      </c>
      <c r="H43" s="8">
        <v>86.5</v>
      </c>
      <c r="I43" s="8">
        <v>74</v>
      </c>
      <c r="J43" s="8">
        <f t="shared" si="0"/>
        <v>391.5</v>
      </c>
      <c r="K43" s="9">
        <f t="shared" si="1"/>
        <v>78.3</v>
      </c>
      <c r="L43" s="8">
        <f t="shared" si="2"/>
        <v>38</v>
      </c>
      <c r="M43" t="str">
        <f t="shared" si="3"/>
        <v>及格</v>
      </c>
    </row>
    <row r="44" spans="1:13">
      <c r="A44" s="8">
        <v>10042</v>
      </c>
      <c r="B44" s="8" t="s">
        <v>66</v>
      </c>
      <c r="C44" s="8" t="s">
        <v>15</v>
      </c>
      <c r="D44" s="8" t="s">
        <v>19</v>
      </c>
      <c r="E44" s="8">
        <v>79.5</v>
      </c>
      <c r="F44" s="8">
        <v>81.5</v>
      </c>
      <c r="G44" s="8">
        <v>71.5</v>
      </c>
      <c r="H44" s="8">
        <v>69.5</v>
      </c>
      <c r="I44" s="8">
        <v>62</v>
      </c>
      <c r="J44" s="8">
        <f t="shared" si="0"/>
        <v>364</v>
      </c>
      <c r="K44" s="9">
        <f t="shared" si="1"/>
        <v>72.8</v>
      </c>
      <c r="L44" s="8">
        <f t="shared" si="2"/>
        <v>75</v>
      </c>
      <c r="M44" t="str">
        <f t="shared" si="3"/>
        <v>及格</v>
      </c>
    </row>
    <row r="45" spans="1:13">
      <c r="A45" s="8">
        <v>10043</v>
      </c>
      <c r="B45" s="8" t="s">
        <v>67</v>
      </c>
      <c r="C45" s="8" t="s">
        <v>15</v>
      </c>
      <c r="D45" s="8" t="s">
        <v>23</v>
      </c>
      <c r="E45" s="8">
        <v>80.5</v>
      </c>
      <c r="F45" s="8">
        <v>90</v>
      </c>
      <c r="G45" s="8">
        <v>63.5</v>
      </c>
      <c r="H45" s="8">
        <v>85</v>
      </c>
      <c r="I45" s="8">
        <v>92.5</v>
      </c>
      <c r="J45" s="8">
        <f t="shared" si="0"/>
        <v>411.5</v>
      </c>
      <c r="K45" s="9">
        <f t="shared" si="1"/>
        <v>82.3</v>
      </c>
      <c r="L45" s="8">
        <f t="shared" si="2"/>
        <v>23</v>
      </c>
      <c r="M45" t="str">
        <f t="shared" si="3"/>
        <v>及格</v>
      </c>
    </row>
    <row r="46" spans="1:13">
      <c r="A46" s="8">
        <v>10044</v>
      </c>
      <c r="B46" s="8" t="s">
        <v>68</v>
      </c>
      <c r="C46" s="8" t="s">
        <v>15</v>
      </c>
      <c r="D46" s="8" t="s">
        <v>21</v>
      </c>
      <c r="E46" s="8">
        <v>71.5</v>
      </c>
      <c r="F46" s="8">
        <v>60</v>
      </c>
      <c r="G46" s="8">
        <v>52</v>
      </c>
      <c r="H46" s="8">
        <v>50</v>
      </c>
      <c r="I46" s="8">
        <v>58</v>
      </c>
      <c r="J46" s="8">
        <f t="shared" si="0"/>
        <v>291.5</v>
      </c>
      <c r="K46" s="9">
        <f t="shared" si="1"/>
        <v>58.3</v>
      </c>
      <c r="L46" s="8">
        <f t="shared" si="2"/>
        <v>97</v>
      </c>
      <c r="M46" t="str">
        <f t="shared" si="3"/>
        <v>不及格</v>
      </c>
    </row>
    <row r="47" spans="1:13">
      <c r="A47" s="8">
        <v>10045</v>
      </c>
      <c r="B47" s="8" t="s">
        <v>69</v>
      </c>
      <c r="C47" s="8" t="s">
        <v>15</v>
      </c>
      <c r="D47" s="8" t="s">
        <v>38</v>
      </c>
      <c r="E47" s="8">
        <v>60.5</v>
      </c>
      <c r="F47" s="8">
        <v>80</v>
      </c>
      <c r="G47" s="8">
        <v>80.5</v>
      </c>
      <c r="H47" s="8">
        <v>78.5</v>
      </c>
      <c r="I47" s="8">
        <v>76</v>
      </c>
      <c r="J47" s="8">
        <f t="shared" si="0"/>
        <v>375.5</v>
      </c>
      <c r="K47" s="9">
        <f t="shared" si="1"/>
        <v>75.1</v>
      </c>
      <c r="L47" s="8">
        <f t="shared" si="2"/>
        <v>61</v>
      </c>
      <c r="M47" t="str">
        <f t="shared" si="3"/>
        <v>及格</v>
      </c>
    </row>
    <row r="48" spans="1:13">
      <c r="A48" s="8">
        <v>10046</v>
      </c>
      <c r="B48" s="8" t="s">
        <v>70</v>
      </c>
      <c r="C48" s="8" t="s">
        <v>18</v>
      </c>
      <c r="D48" s="8" t="s">
        <v>38</v>
      </c>
      <c r="E48" s="8">
        <v>92</v>
      </c>
      <c r="F48" s="8">
        <v>93</v>
      </c>
      <c r="G48" s="8">
        <v>92</v>
      </c>
      <c r="H48" s="8">
        <v>63.5</v>
      </c>
      <c r="I48" s="8">
        <v>65</v>
      </c>
      <c r="J48" s="8">
        <f t="shared" si="0"/>
        <v>405.5</v>
      </c>
      <c r="K48" s="9">
        <f t="shared" si="1"/>
        <v>81.1</v>
      </c>
      <c r="L48" s="8">
        <f t="shared" si="2"/>
        <v>33</v>
      </c>
      <c r="M48" t="str">
        <f t="shared" si="3"/>
        <v>及格</v>
      </c>
    </row>
    <row r="49" spans="1:13">
      <c r="A49" s="8">
        <v>10047</v>
      </c>
      <c r="B49" s="8" t="s">
        <v>71</v>
      </c>
      <c r="C49" s="8" t="s">
        <v>18</v>
      </c>
      <c r="D49" s="8" t="s">
        <v>23</v>
      </c>
      <c r="E49" s="8">
        <v>64.5</v>
      </c>
      <c r="F49" s="8">
        <v>66.5</v>
      </c>
      <c r="G49" s="8">
        <v>75.5</v>
      </c>
      <c r="H49" s="8">
        <v>73.5</v>
      </c>
      <c r="I49" s="8">
        <v>90</v>
      </c>
      <c r="J49" s="8">
        <f t="shared" si="0"/>
        <v>370</v>
      </c>
      <c r="K49" s="9">
        <f t="shared" si="1"/>
        <v>74</v>
      </c>
      <c r="L49" s="8">
        <f t="shared" si="2"/>
        <v>69</v>
      </c>
      <c r="M49" t="str">
        <f t="shared" si="3"/>
        <v>及格</v>
      </c>
    </row>
    <row r="50" spans="1:13">
      <c r="A50" s="8">
        <v>10048</v>
      </c>
      <c r="B50" s="8" t="s">
        <v>72</v>
      </c>
      <c r="C50" s="8" t="s">
        <v>15</v>
      </c>
      <c r="D50" s="8" t="s">
        <v>19</v>
      </c>
      <c r="E50" s="8">
        <v>65.5</v>
      </c>
      <c r="F50" s="8">
        <v>74</v>
      </c>
      <c r="G50" s="8">
        <v>69</v>
      </c>
      <c r="H50" s="8">
        <v>67</v>
      </c>
      <c r="I50" s="8">
        <v>70</v>
      </c>
      <c r="J50" s="8">
        <f t="shared" si="0"/>
        <v>345.5</v>
      </c>
      <c r="K50" s="9">
        <f t="shared" si="1"/>
        <v>69.1</v>
      </c>
      <c r="L50" s="8">
        <f t="shared" si="2"/>
        <v>89</v>
      </c>
      <c r="M50" t="str">
        <f t="shared" si="3"/>
        <v>及格</v>
      </c>
    </row>
    <row r="51" spans="1:13">
      <c r="A51" s="8">
        <v>10049</v>
      </c>
      <c r="B51" s="8" t="s">
        <v>73</v>
      </c>
      <c r="C51" s="8" t="s">
        <v>15</v>
      </c>
      <c r="D51" s="8" t="s">
        <v>38</v>
      </c>
      <c r="E51" s="8">
        <v>63.5</v>
      </c>
      <c r="F51" s="8">
        <v>83</v>
      </c>
      <c r="G51" s="8">
        <v>63.5</v>
      </c>
      <c r="H51" s="8">
        <v>61.5</v>
      </c>
      <c r="I51" s="8">
        <v>70</v>
      </c>
      <c r="J51" s="8">
        <f t="shared" si="0"/>
        <v>341.5</v>
      </c>
      <c r="K51" s="9">
        <f t="shared" si="1"/>
        <v>68.3</v>
      </c>
      <c r="L51" s="8">
        <f t="shared" si="2"/>
        <v>90</v>
      </c>
      <c r="M51" t="str">
        <f t="shared" si="3"/>
        <v>及格</v>
      </c>
    </row>
    <row r="52" spans="1:13">
      <c r="A52" s="8">
        <v>10050</v>
      </c>
      <c r="B52" s="8" t="s">
        <v>74</v>
      </c>
      <c r="C52" s="8" t="s">
        <v>18</v>
      </c>
      <c r="D52" s="8" t="s">
        <v>19</v>
      </c>
      <c r="E52" s="8">
        <v>78</v>
      </c>
      <c r="F52" s="8">
        <v>74</v>
      </c>
      <c r="G52" s="8">
        <v>78</v>
      </c>
      <c r="H52" s="8">
        <v>76</v>
      </c>
      <c r="I52" s="8">
        <v>74</v>
      </c>
      <c r="J52" s="8">
        <f t="shared" si="0"/>
        <v>380</v>
      </c>
      <c r="K52" s="9">
        <f t="shared" si="1"/>
        <v>76</v>
      </c>
      <c r="L52" s="8">
        <f t="shared" si="2"/>
        <v>55</v>
      </c>
      <c r="M52" t="str">
        <f t="shared" si="3"/>
        <v>及格</v>
      </c>
    </row>
    <row r="53" spans="1:13">
      <c r="A53" s="8">
        <v>10051</v>
      </c>
      <c r="B53" s="8" t="s">
        <v>75</v>
      </c>
      <c r="C53" s="8" t="s">
        <v>15</v>
      </c>
      <c r="D53" s="8" t="s">
        <v>19</v>
      </c>
      <c r="E53" s="8">
        <v>91</v>
      </c>
      <c r="F53" s="8">
        <v>86</v>
      </c>
      <c r="G53" s="8">
        <v>73</v>
      </c>
      <c r="H53" s="8">
        <v>71</v>
      </c>
      <c r="I53" s="8">
        <v>67.5</v>
      </c>
      <c r="J53" s="8">
        <f t="shared" si="0"/>
        <v>388.5</v>
      </c>
      <c r="K53" s="9">
        <f t="shared" si="1"/>
        <v>77.7</v>
      </c>
      <c r="L53" s="8">
        <f t="shared" si="2"/>
        <v>47</v>
      </c>
      <c r="M53" t="str">
        <f t="shared" si="3"/>
        <v>及格</v>
      </c>
    </row>
    <row r="54" spans="1:13">
      <c r="A54" s="8">
        <v>10052</v>
      </c>
      <c r="B54" s="8" t="s">
        <v>76</v>
      </c>
      <c r="C54" s="8" t="s">
        <v>18</v>
      </c>
      <c r="D54" s="8" t="s">
        <v>23</v>
      </c>
      <c r="E54" s="8">
        <v>77.5</v>
      </c>
      <c r="F54" s="8">
        <v>72.5</v>
      </c>
      <c r="G54" s="8">
        <v>73.5</v>
      </c>
      <c r="H54" s="8">
        <v>71.5</v>
      </c>
      <c r="I54" s="8">
        <v>65</v>
      </c>
      <c r="J54" s="8">
        <f t="shared" si="0"/>
        <v>360</v>
      </c>
      <c r="K54" s="9">
        <f t="shared" si="1"/>
        <v>72</v>
      </c>
      <c r="L54" s="8">
        <f t="shared" si="2"/>
        <v>82</v>
      </c>
      <c r="M54" t="str">
        <f t="shared" si="3"/>
        <v>及格</v>
      </c>
    </row>
    <row r="55" spans="1:13">
      <c r="A55" s="8">
        <v>10053</v>
      </c>
      <c r="B55" s="8" t="s">
        <v>77</v>
      </c>
      <c r="C55" s="8" t="s">
        <v>18</v>
      </c>
      <c r="D55" s="8" t="s">
        <v>16</v>
      </c>
      <c r="E55" s="8">
        <v>76</v>
      </c>
      <c r="F55" s="8">
        <v>71.5</v>
      </c>
      <c r="G55" s="8">
        <v>76</v>
      </c>
      <c r="H55" s="8">
        <v>74</v>
      </c>
      <c r="I55" s="8">
        <v>72</v>
      </c>
      <c r="J55" s="8">
        <f t="shared" si="0"/>
        <v>369.5</v>
      </c>
      <c r="K55" s="9">
        <f t="shared" si="1"/>
        <v>73.9</v>
      </c>
      <c r="L55" s="8">
        <f t="shared" si="2"/>
        <v>70</v>
      </c>
      <c r="M55" t="str">
        <f t="shared" si="3"/>
        <v>及格</v>
      </c>
    </row>
    <row r="56" spans="1:13">
      <c r="A56" s="8">
        <v>10054</v>
      </c>
      <c r="B56" s="8" t="s">
        <v>78</v>
      </c>
      <c r="C56" s="8" t="s">
        <v>18</v>
      </c>
      <c r="D56" s="8" t="s">
        <v>38</v>
      </c>
      <c r="E56" s="8">
        <v>96</v>
      </c>
      <c r="F56" s="8">
        <v>88</v>
      </c>
      <c r="G56" s="8">
        <v>93</v>
      </c>
      <c r="H56" s="8">
        <v>88</v>
      </c>
      <c r="I56" s="8">
        <v>92</v>
      </c>
      <c r="J56" s="8">
        <f t="shared" si="0"/>
        <v>457</v>
      </c>
      <c r="K56" s="9">
        <f t="shared" si="1"/>
        <v>91.4</v>
      </c>
      <c r="L56" s="8">
        <f t="shared" si="2"/>
        <v>5</v>
      </c>
      <c r="M56" t="str">
        <f t="shared" si="3"/>
        <v>优秀</v>
      </c>
    </row>
    <row r="57" spans="1:13">
      <c r="A57" s="8">
        <v>10055</v>
      </c>
      <c r="B57" s="8" t="s">
        <v>79</v>
      </c>
      <c r="C57" s="8" t="s">
        <v>15</v>
      </c>
      <c r="D57" s="8" t="s">
        <v>21</v>
      </c>
      <c r="E57" s="8">
        <v>81.5</v>
      </c>
      <c r="F57" s="8">
        <v>94</v>
      </c>
      <c r="G57" s="8">
        <v>94</v>
      </c>
      <c r="H57" s="8">
        <v>90</v>
      </c>
      <c r="I57" s="8">
        <v>95</v>
      </c>
      <c r="J57" s="8">
        <f t="shared" si="0"/>
        <v>454.5</v>
      </c>
      <c r="K57" s="9">
        <f t="shared" si="1"/>
        <v>90.9</v>
      </c>
      <c r="L57" s="8">
        <f t="shared" si="2"/>
        <v>10</v>
      </c>
      <c r="M57" t="str">
        <f t="shared" si="3"/>
        <v>优秀</v>
      </c>
    </row>
    <row r="58" spans="1:13">
      <c r="A58" s="8">
        <v>10056</v>
      </c>
      <c r="B58" s="8" t="s">
        <v>80</v>
      </c>
      <c r="C58" s="8" t="s">
        <v>18</v>
      </c>
      <c r="D58" s="8" t="s">
        <v>38</v>
      </c>
      <c r="E58" s="8">
        <v>79.5</v>
      </c>
      <c r="F58" s="8">
        <v>87.5</v>
      </c>
      <c r="G58" s="8">
        <v>74.5</v>
      </c>
      <c r="H58" s="8">
        <v>72.5</v>
      </c>
      <c r="I58" s="8">
        <v>75</v>
      </c>
      <c r="J58" s="8">
        <f t="shared" si="0"/>
        <v>389</v>
      </c>
      <c r="K58" s="9">
        <f t="shared" si="1"/>
        <v>77.8</v>
      </c>
      <c r="L58" s="8">
        <f t="shared" si="2"/>
        <v>45</v>
      </c>
      <c r="M58" t="str">
        <f t="shared" si="3"/>
        <v>及格</v>
      </c>
    </row>
    <row r="59" spans="1:13">
      <c r="A59" s="8">
        <v>10057</v>
      </c>
      <c r="B59" s="8" t="s">
        <v>81</v>
      </c>
      <c r="C59" s="8" t="s">
        <v>15</v>
      </c>
      <c r="D59" s="8" t="s">
        <v>16</v>
      </c>
      <c r="E59" s="8">
        <v>92.5</v>
      </c>
      <c r="F59" s="8">
        <v>82</v>
      </c>
      <c r="G59" s="8">
        <v>75</v>
      </c>
      <c r="H59" s="8">
        <v>73</v>
      </c>
      <c r="I59" s="8">
        <v>82</v>
      </c>
      <c r="J59" s="8">
        <f t="shared" si="0"/>
        <v>404.5</v>
      </c>
      <c r="K59" s="9">
        <f t="shared" si="1"/>
        <v>80.9</v>
      </c>
      <c r="L59" s="8">
        <f t="shared" si="2"/>
        <v>35</v>
      </c>
      <c r="M59" t="str">
        <f t="shared" si="3"/>
        <v>及格</v>
      </c>
    </row>
    <row r="60" spans="1:13">
      <c r="A60" s="8">
        <v>10058</v>
      </c>
      <c r="B60" s="8" t="s">
        <v>82</v>
      </c>
      <c r="C60" s="8" t="s">
        <v>18</v>
      </c>
      <c r="D60" s="8" t="s">
        <v>16</v>
      </c>
      <c r="E60" s="8">
        <v>93.5</v>
      </c>
      <c r="F60" s="8">
        <v>83</v>
      </c>
      <c r="G60" s="8">
        <v>73.5</v>
      </c>
      <c r="H60" s="8">
        <v>71.5</v>
      </c>
      <c r="I60" s="8">
        <v>91</v>
      </c>
      <c r="J60" s="8">
        <f t="shared" si="0"/>
        <v>412.5</v>
      </c>
      <c r="K60" s="9">
        <f t="shared" si="1"/>
        <v>82.5</v>
      </c>
      <c r="L60" s="8">
        <f t="shared" si="2"/>
        <v>22</v>
      </c>
      <c r="M60" t="str">
        <f t="shared" si="3"/>
        <v>及格</v>
      </c>
    </row>
    <row r="61" spans="1:13">
      <c r="A61" s="8">
        <v>10059</v>
      </c>
      <c r="B61" s="8" t="s">
        <v>83</v>
      </c>
      <c r="C61" s="8" t="s">
        <v>18</v>
      </c>
      <c r="D61" s="8" t="s">
        <v>19</v>
      </c>
      <c r="E61" s="8">
        <v>62</v>
      </c>
      <c r="F61" s="8">
        <v>75</v>
      </c>
      <c r="G61" s="8">
        <v>84.5</v>
      </c>
      <c r="H61" s="8">
        <v>82.5</v>
      </c>
      <c r="I61" s="8">
        <v>67.5</v>
      </c>
      <c r="J61" s="8">
        <f t="shared" si="0"/>
        <v>371.5</v>
      </c>
      <c r="K61" s="9">
        <f t="shared" si="1"/>
        <v>74.3</v>
      </c>
      <c r="L61" s="8">
        <f t="shared" si="2"/>
        <v>67</v>
      </c>
      <c r="M61" t="str">
        <f t="shared" si="3"/>
        <v>及格</v>
      </c>
    </row>
    <row r="62" spans="1:13">
      <c r="A62" s="8">
        <v>10060</v>
      </c>
      <c r="B62" s="8" t="s">
        <v>84</v>
      </c>
      <c r="C62" s="8" t="s">
        <v>18</v>
      </c>
      <c r="D62" s="8" t="s">
        <v>21</v>
      </c>
      <c r="E62" s="8">
        <v>96</v>
      </c>
      <c r="F62" s="8">
        <v>84</v>
      </c>
      <c r="G62" s="8">
        <v>98</v>
      </c>
      <c r="H62" s="8">
        <v>96</v>
      </c>
      <c r="I62" s="8">
        <v>69.5</v>
      </c>
      <c r="J62" s="8">
        <f t="shared" si="0"/>
        <v>443.5</v>
      </c>
      <c r="K62" s="9">
        <f t="shared" si="1"/>
        <v>88.7</v>
      </c>
      <c r="L62" s="8">
        <f t="shared" si="2"/>
        <v>12</v>
      </c>
      <c r="M62" t="str">
        <f t="shared" si="3"/>
        <v>优秀</v>
      </c>
    </row>
    <row r="63" spans="1:13">
      <c r="A63" s="8">
        <v>10061</v>
      </c>
      <c r="B63" s="8" t="s">
        <v>85</v>
      </c>
      <c r="C63" s="8" t="s">
        <v>15</v>
      </c>
      <c r="D63" s="8" t="s">
        <v>16</v>
      </c>
      <c r="E63" s="8">
        <v>79.5</v>
      </c>
      <c r="F63" s="8">
        <v>73</v>
      </c>
      <c r="G63" s="8">
        <v>79.5</v>
      </c>
      <c r="H63" s="8">
        <v>77.5</v>
      </c>
      <c r="I63" s="8">
        <v>70.5</v>
      </c>
      <c r="J63" s="8">
        <f t="shared" si="0"/>
        <v>380</v>
      </c>
      <c r="K63" s="9">
        <f t="shared" si="1"/>
        <v>76</v>
      </c>
      <c r="L63" s="8">
        <f t="shared" si="2"/>
        <v>55</v>
      </c>
      <c r="M63" t="str">
        <f t="shared" si="3"/>
        <v>及格</v>
      </c>
    </row>
    <row r="64" spans="1:13">
      <c r="A64" s="8">
        <v>10062</v>
      </c>
      <c r="B64" s="8" t="s">
        <v>86</v>
      </c>
      <c r="C64" s="8" t="s">
        <v>15</v>
      </c>
      <c r="D64" s="8" t="s">
        <v>23</v>
      </c>
      <c r="E64" s="8">
        <v>71</v>
      </c>
      <c r="F64" s="8">
        <v>60</v>
      </c>
      <c r="G64" s="8">
        <v>66.5</v>
      </c>
      <c r="H64" s="8">
        <v>64.5</v>
      </c>
      <c r="I64" s="8">
        <v>85</v>
      </c>
      <c r="J64" s="8">
        <f t="shared" si="0"/>
        <v>347</v>
      </c>
      <c r="K64" s="9">
        <f t="shared" si="1"/>
        <v>69.4</v>
      </c>
      <c r="L64" s="8">
        <f t="shared" si="2"/>
        <v>88</v>
      </c>
      <c r="M64" t="str">
        <f t="shared" si="3"/>
        <v>及格</v>
      </c>
    </row>
    <row r="65" spans="1:13">
      <c r="A65" s="8">
        <v>10063</v>
      </c>
      <c r="B65" s="8" t="s">
        <v>87</v>
      </c>
      <c r="C65" s="8" t="s">
        <v>15</v>
      </c>
      <c r="D65" s="8" t="s">
        <v>16</v>
      </c>
      <c r="E65" s="8">
        <v>64</v>
      </c>
      <c r="F65" s="8">
        <v>70.5</v>
      </c>
      <c r="G65" s="8">
        <v>62</v>
      </c>
      <c r="H65" s="8">
        <v>85</v>
      </c>
      <c r="I65" s="8">
        <v>60</v>
      </c>
      <c r="J65" s="8">
        <f t="shared" si="0"/>
        <v>341.5</v>
      </c>
      <c r="K65" s="9">
        <f t="shared" si="1"/>
        <v>68.3</v>
      </c>
      <c r="L65" s="8">
        <f t="shared" si="2"/>
        <v>90</v>
      </c>
      <c r="M65" t="str">
        <f t="shared" si="3"/>
        <v>及格</v>
      </c>
    </row>
    <row r="66" spans="1:13">
      <c r="A66" s="8">
        <v>10064</v>
      </c>
      <c r="B66" s="8" t="s">
        <v>88</v>
      </c>
      <c r="C66" s="8" t="s">
        <v>18</v>
      </c>
      <c r="D66" s="8" t="s">
        <v>23</v>
      </c>
      <c r="E66" s="8">
        <v>74</v>
      </c>
      <c r="F66" s="8">
        <v>85.5</v>
      </c>
      <c r="G66" s="8">
        <v>73.5</v>
      </c>
      <c r="H66" s="8">
        <v>71.5</v>
      </c>
      <c r="I66" s="8">
        <v>79</v>
      </c>
      <c r="J66" s="8">
        <f t="shared" si="0"/>
        <v>383.5</v>
      </c>
      <c r="K66" s="9">
        <f t="shared" si="1"/>
        <v>76.7</v>
      </c>
      <c r="L66" s="8">
        <f t="shared" si="2"/>
        <v>52</v>
      </c>
      <c r="M66" t="str">
        <f t="shared" si="3"/>
        <v>及格</v>
      </c>
    </row>
    <row r="67" spans="1:13">
      <c r="A67" s="8">
        <v>10065</v>
      </c>
      <c r="B67" s="8" t="s">
        <v>89</v>
      </c>
      <c r="C67" s="8" t="s">
        <v>18</v>
      </c>
      <c r="D67" s="8" t="s">
        <v>19</v>
      </c>
      <c r="E67" s="8">
        <v>82.5</v>
      </c>
      <c r="F67" s="8">
        <v>80</v>
      </c>
      <c r="G67" s="8">
        <v>92.5</v>
      </c>
      <c r="H67" s="8">
        <v>90.5</v>
      </c>
      <c r="I67" s="8">
        <v>73.5</v>
      </c>
      <c r="J67" s="8">
        <f t="shared" si="0"/>
        <v>419</v>
      </c>
      <c r="K67" s="9">
        <f t="shared" si="1"/>
        <v>83.8</v>
      </c>
      <c r="L67" s="8">
        <f t="shared" si="2"/>
        <v>16</v>
      </c>
      <c r="M67" t="str">
        <f t="shared" si="3"/>
        <v>及格</v>
      </c>
    </row>
    <row r="68" spans="1:13">
      <c r="A68" s="8">
        <v>10066</v>
      </c>
      <c r="B68" s="8" t="s">
        <v>90</v>
      </c>
      <c r="C68" s="8" t="s">
        <v>15</v>
      </c>
      <c r="D68" s="8" t="s">
        <v>38</v>
      </c>
      <c r="E68" s="8">
        <v>68</v>
      </c>
      <c r="F68" s="8">
        <v>81</v>
      </c>
      <c r="G68" s="8">
        <v>85.5</v>
      </c>
      <c r="H68" s="8">
        <v>83.5</v>
      </c>
      <c r="I68" s="8">
        <v>65.5</v>
      </c>
      <c r="J68" s="8">
        <f t="shared" ref="J68:J101" si="4">SUM(E68:I68)</f>
        <v>383.5</v>
      </c>
      <c r="K68" s="9">
        <f t="shared" ref="K68:K101" si="5">AVERAGE(E68:I68)</f>
        <v>76.7</v>
      </c>
      <c r="L68" s="8">
        <f t="shared" ref="L68:L101" si="6">RANK(J68,$J$3:$J$101)</f>
        <v>52</v>
      </c>
      <c r="M68" t="str">
        <f t="shared" ref="M68:M101" si="7">IF(K68&gt;=85,"优秀",IF(K68&gt;=60,"及格",IF(K68&lt;60,"不及格")))</f>
        <v>及格</v>
      </c>
    </row>
    <row r="69" spans="1:13">
      <c r="A69" s="8">
        <v>10067</v>
      </c>
      <c r="B69" s="8" t="s">
        <v>91</v>
      </c>
      <c r="C69" s="8" t="s">
        <v>18</v>
      </c>
      <c r="D69" s="8" t="s">
        <v>21</v>
      </c>
      <c r="E69" s="8">
        <v>71.5</v>
      </c>
      <c r="F69" s="8">
        <v>73</v>
      </c>
      <c r="G69" s="8">
        <v>77</v>
      </c>
      <c r="H69" s="8">
        <v>75</v>
      </c>
      <c r="I69" s="8">
        <v>78.5</v>
      </c>
      <c r="J69" s="8">
        <f t="shared" si="4"/>
        <v>375</v>
      </c>
      <c r="K69" s="9">
        <f t="shared" si="5"/>
        <v>75</v>
      </c>
      <c r="L69" s="8">
        <f t="shared" si="6"/>
        <v>64</v>
      </c>
      <c r="M69" t="str">
        <f t="shared" si="7"/>
        <v>及格</v>
      </c>
    </row>
    <row r="70" spans="1:13">
      <c r="A70" s="8">
        <v>10068</v>
      </c>
      <c r="B70" s="8" t="s">
        <v>92</v>
      </c>
      <c r="C70" s="8" t="s">
        <v>15</v>
      </c>
      <c r="D70" s="8" t="s">
        <v>19</v>
      </c>
      <c r="E70" s="8">
        <v>75.5</v>
      </c>
      <c r="F70" s="8">
        <v>65.5</v>
      </c>
      <c r="G70" s="8">
        <v>73.5</v>
      </c>
      <c r="H70" s="8">
        <v>71.5</v>
      </c>
      <c r="I70" s="8">
        <v>71.5</v>
      </c>
      <c r="J70" s="8">
        <f t="shared" si="4"/>
        <v>357.5</v>
      </c>
      <c r="K70" s="9">
        <f t="shared" si="5"/>
        <v>71.5</v>
      </c>
      <c r="L70" s="8">
        <f t="shared" si="6"/>
        <v>85</v>
      </c>
      <c r="M70" t="str">
        <f t="shared" si="7"/>
        <v>及格</v>
      </c>
    </row>
    <row r="71" spans="1:13">
      <c r="A71" s="8">
        <v>10069</v>
      </c>
      <c r="B71" s="8" t="s">
        <v>93</v>
      </c>
      <c r="C71" s="8" t="s">
        <v>18</v>
      </c>
      <c r="D71" s="8" t="s">
        <v>23</v>
      </c>
      <c r="E71" s="8">
        <v>79.5</v>
      </c>
      <c r="F71" s="8">
        <v>86</v>
      </c>
      <c r="G71" s="8">
        <v>85</v>
      </c>
      <c r="H71" s="8">
        <v>83</v>
      </c>
      <c r="I71" s="8">
        <v>61</v>
      </c>
      <c r="J71" s="8">
        <f t="shared" si="4"/>
        <v>394.5</v>
      </c>
      <c r="K71" s="9">
        <f t="shared" si="5"/>
        <v>78.9</v>
      </c>
      <c r="L71" s="8">
        <f t="shared" si="6"/>
        <v>36</v>
      </c>
      <c r="M71" t="str">
        <f t="shared" si="7"/>
        <v>及格</v>
      </c>
    </row>
    <row r="72" spans="1:13">
      <c r="A72" s="8">
        <v>10070</v>
      </c>
      <c r="B72" s="8" t="s">
        <v>94</v>
      </c>
      <c r="C72" s="8" t="s">
        <v>15</v>
      </c>
      <c r="D72" s="8" t="s">
        <v>21</v>
      </c>
      <c r="E72" s="8">
        <v>68.5</v>
      </c>
      <c r="F72" s="8">
        <v>63</v>
      </c>
      <c r="G72" s="8">
        <v>88</v>
      </c>
      <c r="H72" s="8">
        <v>86</v>
      </c>
      <c r="I72" s="8">
        <v>73</v>
      </c>
      <c r="J72" s="8">
        <f t="shared" si="4"/>
        <v>378.5</v>
      </c>
      <c r="K72" s="9">
        <f t="shared" si="5"/>
        <v>75.7</v>
      </c>
      <c r="L72" s="8">
        <f t="shared" si="6"/>
        <v>58</v>
      </c>
      <c r="M72" t="str">
        <f t="shared" si="7"/>
        <v>及格</v>
      </c>
    </row>
    <row r="73" spans="1:13">
      <c r="A73" s="8">
        <v>10071</v>
      </c>
      <c r="B73" s="8" t="s">
        <v>95</v>
      </c>
      <c r="C73" s="8" t="s">
        <v>18</v>
      </c>
      <c r="D73" s="8" t="s">
        <v>16</v>
      </c>
      <c r="E73" s="8">
        <v>56</v>
      </c>
      <c r="F73" s="8">
        <v>60.5</v>
      </c>
      <c r="G73" s="8">
        <v>54</v>
      </c>
      <c r="H73" s="8">
        <v>79</v>
      </c>
      <c r="I73" s="8">
        <v>76.5</v>
      </c>
      <c r="J73" s="8">
        <f t="shared" si="4"/>
        <v>326</v>
      </c>
      <c r="K73" s="9">
        <f t="shared" si="5"/>
        <v>65.2</v>
      </c>
      <c r="L73" s="8">
        <f t="shared" si="6"/>
        <v>96</v>
      </c>
      <c r="M73" t="str">
        <f t="shared" si="7"/>
        <v>及格</v>
      </c>
    </row>
    <row r="74" spans="1:13">
      <c r="A74" s="8">
        <v>10072</v>
      </c>
      <c r="B74" s="8" t="s">
        <v>96</v>
      </c>
      <c r="C74" s="8" t="s">
        <v>18</v>
      </c>
      <c r="D74" s="8" t="s">
        <v>23</v>
      </c>
      <c r="E74" s="8">
        <v>85.5</v>
      </c>
      <c r="F74" s="8">
        <v>94</v>
      </c>
      <c r="G74" s="8">
        <v>94</v>
      </c>
      <c r="H74" s="8">
        <v>75.5</v>
      </c>
      <c r="I74" s="8">
        <v>70</v>
      </c>
      <c r="J74" s="8">
        <f t="shared" si="4"/>
        <v>419</v>
      </c>
      <c r="K74" s="9">
        <f t="shared" si="5"/>
        <v>83.8</v>
      </c>
      <c r="L74" s="8">
        <f t="shared" si="6"/>
        <v>16</v>
      </c>
      <c r="M74" t="str">
        <f t="shared" si="7"/>
        <v>及格</v>
      </c>
    </row>
    <row r="75" spans="1:13">
      <c r="A75" s="8">
        <v>10073</v>
      </c>
      <c r="B75" s="8" t="s">
        <v>97</v>
      </c>
      <c r="C75" s="8" t="s">
        <v>15</v>
      </c>
      <c r="D75" s="8" t="s">
        <v>21</v>
      </c>
      <c r="E75" s="8">
        <v>82</v>
      </c>
      <c r="F75" s="8">
        <v>81</v>
      </c>
      <c r="G75" s="8">
        <v>62.5</v>
      </c>
      <c r="H75" s="8">
        <v>60.5</v>
      </c>
      <c r="I75" s="8">
        <v>92</v>
      </c>
      <c r="J75" s="8">
        <f t="shared" si="4"/>
        <v>378</v>
      </c>
      <c r="K75" s="9">
        <f t="shared" si="5"/>
        <v>75.6</v>
      </c>
      <c r="L75" s="8">
        <f t="shared" si="6"/>
        <v>59</v>
      </c>
      <c r="M75" t="str">
        <f t="shared" si="7"/>
        <v>及格</v>
      </c>
    </row>
    <row r="76" spans="1:13">
      <c r="A76" s="8">
        <v>10074</v>
      </c>
      <c r="B76" s="8" t="s">
        <v>98</v>
      </c>
      <c r="C76" s="8" t="s">
        <v>15</v>
      </c>
      <c r="D76" s="8" t="s">
        <v>23</v>
      </c>
      <c r="E76" s="8">
        <v>89</v>
      </c>
      <c r="F76" s="8">
        <v>72.5</v>
      </c>
      <c r="G76" s="8">
        <v>82.5</v>
      </c>
      <c r="H76" s="8">
        <v>80.5</v>
      </c>
      <c r="I76" s="8">
        <v>82</v>
      </c>
      <c r="J76" s="8">
        <f t="shared" si="4"/>
        <v>406.5</v>
      </c>
      <c r="K76" s="9">
        <f t="shared" si="5"/>
        <v>81.3</v>
      </c>
      <c r="L76" s="8">
        <f t="shared" si="6"/>
        <v>31</v>
      </c>
      <c r="M76" t="str">
        <f t="shared" si="7"/>
        <v>及格</v>
      </c>
    </row>
    <row r="77" spans="1:13">
      <c r="A77" s="8">
        <v>10075</v>
      </c>
      <c r="B77" s="8" t="s">
        <v>99</v>
      </c>
      <c r="C77" s="8" t="s">
        <v>18</v>
      </c>
      <c r="D77" s="8" t="s">
        <v>31</v>
      </c>
      <c r="E77" s="8">
        <v>70.5</v>
      </c>
      <c r="F77" s="8">
        <v>74</v>
      </c>
      <c r="G77" s="8">
        <v>74</v>
      </c>
      <c r="H77" s="8">
        <v>72</v>
      </c>
      <c r="I77" s="8">
        <v>77</v>
      </c>
      <c r="J77" s="8">
        <f t="shared" si="4"/>
        <v>367.5</v>
      </c>
      <c r="K77" s="9">
        <f t="shared" si="5"/>
        <v>73.5</v>
      </c>
      <c r="L77" s="8">
        <f t="shared" si="6"/>
        <v>71</v>
      </c>
      <c r="M77" t="str">
        <f t="shared" si="7"/>
        <v>及格</v>
      </c>
    </row>
    <row r="78" spans="1:13">
      <c r="A78" s="8">
        <v>10076</v>
      </c>
      <c r="B78" s="8" t="s">
        <v>100</v>
      </c>
      <c r="C78" s="8" t="s">
        <v>15</v>
      </c>
      <c r="D78" s="8" t="s">
        <v>38</v>
      </c>
      <c r="E78" s="8">
        <v>81</v>
      </c>
      <c r="F78" s="8">
        <v>83</v>
      </c>
      <c r="G78" s="8">
        <v>75.5</v>
      </c>
      <c r="H78" s="8">
        <v>73.5</v>
      </c>
      <c r="I78" s="8">
        <v>62.5</v>
      </c>
      <c r="J78" s="8">
        <f t="shared" si="4"/>
        <v>375.5</v>
      </c>
      <c r="K78" s="9">
        <f t="shared" si="5"/>
        <v>75.1</v>
      </c>
      <c r="L78" s="8">
        <f t="shared" si="6"/>
        <v>61</v>
      </c>
      <c r="M78" t="str">
        <f t="shared" si="7"/>
        <v>及格</v>
      </c>
    </row>
    <row r="79" spans="1:13">
      <c r="A79" s="8">
        <v>10077</v>
      </c>
      <c r="B79" s="8" t="s">
        <v>101</v>
      </c>
      <c r="C79" s="8" t="s">
        <v>18</v>
      </c>
      <c r="D79" s="8" t="s">
        <v>38</v>
      </c>
      <c r="E79" s="8">
        <v>71.5</v>
      </c>
      <c r="F79" s="8">
        <v>79.5</v>
      </c>
      <c r="G79" s="8">
        <v>75.5</v>
      </c>
      <c r="H79" s="8">
        <v>73.5</v>
      </c>
      <c r="I79" s="8">
        <v>87.5</v>
      </c>
      <c r="J79" s="8">
        <f t="shared" si="4"/>
        <v>387.5</v>
      </c>
      <c r="K79" s="9">
        <f t="shared" si="5"/>
        <v>77.5</v>
      </c>
      <c r="L79" s="8">
        <f t="shared" si="6"/>
        <v>51</v>
      </c>
      <c r="M79" t="str">
        <f t="shared" si="7"/>
        <v>及格</v>
      </c>
    </row>
    <row r="80" spans="1:13">
      <c r="A80" s="8">
        <v>10078</v>
      </c>
      <c r="B80" s="8" t="s">
        <v>102</v>
      </c>
      <c r="C80" s="8" t="s">
        <v>15</v>
      </c>
      <c r="D80" s="8" t="s">
        <v>31</v>
      </c>
      <c r="E80" s="8">
        <v>89</v>
      </c>
      <c r="F80" s="8">
        <v>75</v>
      </c>
      <c r="G80" s="8">
        <v>61</v>
      </c>
      <c r="H80" s="8">
        <v>59</v>
      </c>
      <c r="I80" s="8">
        <v>76.5</v>
      </c>
      <c r="J80" s="8">
        <f t="shared" si="4"/>
        <v>360.5</v>
      </c>
      <c r="K80" s="9">
        <f t="shared" si="5"/>
        <v>72.1</v>
      </c>
      <c r="L80" s="8">
        <f t="shared" si="6"/>
        <v>81</v>
      </c>
      <c r="M80" t="str">
        <f t="shared" si="7"/>
        <v>及格</v>
      </c>
    </row>
    <row r="81" spans="1:13">
      <c r="A81" s="8">
        <v>10079</v>
      </c>
      <c r="B81" s="8" t="s">
        <v>103</v>
      </c>
      <c r="C81" s="8" t="s">
        <v>18</v>
      </c>
      <c r="D81" s="8" t="s">
        <v>16</v>
      </c>
      <c r="E81" s="8">
        <v>74</v>
      </c>
      <c r="F81" s="8">
        <v>85</v>
      </c>
      <c r="G81" s="8">
        <v>73</v>
      </c>
      <c r="H81" s="8">
        <v>71</v>
      </c>
      <c r="I81" s="8">
        <v>88</v>
      </c>
      <c r="J81" s="8">
        <f t="shared" si="4"/>
        <v>391</v>
      </c>
      <c r="K81" s="9">
        <f t="shared" si="5"/>
        <v>78.2</v>
      </c>
      <c r="L81" s="8">
        <f t="shared" si="6"/>
        <v>40</v>
      </c>
      <c r="M81" t="str">
        <f t="shared" si="7"/>
        <v>及格</v>
      </c>
    </row>
    <row r="82" spans="1:13">
      <c r="A82" s="8">
        <v>10080</v>
      </c>
      <c r="B82" s="8" t="s">
        <v>104</v>
      </c>
      <c r="C82" s="8" t="s">
        <v>18</v>
      </c>
      <c r="D82" s="8" t="s">
        <v>31</v>
      </c>
      <c r="E82" s="8">
        <v>87</v>
      </c>
      <c r="F82" s="8">
        <v>80</v>
      </c>
      <c r="G82" s="8">
        <v>82</v>
      </c>
      <c r="H82" s="8">
        <v>72</v>
      </c>
      <c r="I82" s="8">
        <v>84</v>
      </c>
      <c r="J82" s="8">
        <f t="shared" si="4"/>
        <v>405</v>
      </c>
      <c r="K82" s="9">
        <f t="shared" si="5"/>
        <v>81</v>
      </c>
      <c r="L82" s="8">
        <f t="shared" si="6"/>
        <v>34</v>
      </c>
      <c r="M82" t="str">
        <f t="shared" si="7"/>
        <v>及格</v>
      </c>
    </row>
    <row r="83" spans="1:13">
      <c r="A83" s="8">
        <v>10081</v>
      </c>
      <c r="B83" s="8" t="s">
        <v>105</v>
      </c>
      <c r="C83" s="8" t="s">
        <v>18</v>
      </c>
      <c r="D83" s="8" t="s">
        <v>38</v>
      </c>
      <c r="E83" s="8">
        <v>87.5</v>
      </c>
      <c r="F83" s="8">
        <v>73</v>
      </c>
      <c r="G83" s="8">
        <v>91</v>
      </c>
      <c r="H83" s="8">
        <v>89</v>
      </c>
      <c r="I83" s="8">
        <v>69.5</v>
      </c>
      <c r="J83" s="8">
        <f t="shared" si="4"/>
        <v>410</v>
      </c>
      <c r="K83" s="9">
        <f t="shared" si="5"/>
        <v>82</v>
      </c>
      <c r="L83" s="8">
        <f t="shared" si="6"/>
        <v>25</v>
      </c>
      <c r="M83" t="str">
        <f t="shared" si="7"/>
        <v>及格</v>
      </c>
    </row>
    <row r="84" spans="1:13">
      <c r="A84" s="8">
        <v>10082</v>
      </c>
      <c r="B84" s="8" t="s">
        <v>106</v>
      </c>
      <c r="C84" s="8" t="s">
        <v>18</v>
      </c>
      <c r="D84" s="8" t="s">
        <v>21</v>
      </c>
      <c r="E84" s="8">
        <v>81</v>
      </c>
      <c r="F84" s="8">
        <v>91.5</v>
      </c>
      <c r="G84" s="8">
        <v>97</v>
      </c>
      <c r="H84" s="8">
        <v>95</v>
      </c>
      <c r="I84" s="8">
        <v>92</v>
      </c>
      <c r="J84" s="8">
        <f t="shared" si="4"/>
        <v>456.5</v>
      </c>
      <c r="K84" s="9">
        <f t="shared" si="5"/>
        <v>91.3</v>
      </c>
      <c r="L84" s="8">
        <f t="shared" si="6"/>
        <v>7</v>
      </c>
      <c r="M84" t="str">
        <f t="shared" si="7"/>
        <v>优秀</v>
      </c>
    </row>
    <row r="85" spans="1:13">
      <c r="A85" s="8">
        <v>10083</v>
      </c>
      <c r="B85" s="8" t="s">
        <v>107</v>
      </c>
      <c r="C85" s="8" t="s">
        <v>18</v>
      </c>
      <c r="D85" s="8" t="s">
        <v>19</v>
      </c>
      <c r="E85" s="8">
        <v>83</v>
      </c>
      <c r="F85" s="8">
        <v>80</v>
      </c>
      <c r="G85" s="8">
        <v>72.5</v>
      </c>
      <c r="H85" s="8">
        <v>82</v>
      </c>
      <c r="I85" s="8">
        <v>93.5</v>
      </c>
      <c r="J85" s="8">
        <f t="shared" si="4"/>
        <v>411</v>
      </c>
      <c r="K85" s="9">
        <f t="shared" si="5"/>
        <v>82.2</v>
      </c>
      <c r="L85" s="8">
        <f t="shared" si="6"/>
        <v>24</v>
      </c>
      <c r="M85" t="str">
        <f t="shared" si="7"/>
        <v>及格</v>
      </c>
    </row>
    <row r="86" spans="1:13">
      <c r="A86" s="8">
        <v>10084</v>
      </c>
      <c r="B86" s="8" t="s">
        <v>108</v>
      </c>
      <c r="C86" s="8" t="s">
        <v>18</v>
      </c>
      <c r="D86" s="8" t="s">
        <v>16</v>
      </c>
      <c r="E86" s="8">
        <v>58.5</v>
      </c>
      <c r="F86" s="8">
        <v>82</v>
      </c>
      <c r="G86" s="8">
        <v>70</v>
      </c>
      <c r="H86" s="8">
        <v>60</v>
      </c>
      <c r="I86" s="8">
        <v>64.5</v>
      </c>
      <c r="J86" s="8">
        <f t="shared" si="4"/>
        <v>335</v>
      </c>
      <c r="K86" s="9">
        <f t="shared" si="5"/>
        <v>67</v>
      </c>
      <c r="L86" s="8">
        <f t="shared" si="6"/>
        <v>93</v>
      </c>
      <c r="M86" t="str">
        <f t="shared" si="7"/>
        <v>及格</v>
      </c>
    </row>
    <row r="87" spans="1:13">
      <c r="A87" s="8">
        <v>10085</v>
      </c>
      <c r="B87" s="8" t="s">
        <v>109</v>
      </c>
      <c r="C87" s="8" t="s">
        <v>15</v>
      </c>
      <c r="D87" s="8" t="s">
        <v>31</v>
      </c>
      <c r="E87" s="8">
        <v>81</v>
      </c>
      <c r="F87" s="8">
        <v>74.5</v>
      </c>
      <c r="G87" s="8">
        <v>75</v>
      </c>
      <c r="H87" s="8">
        <v>88</v>
      </c>
      <c r="I87" s="8">
        <v>90</v>
      </c>
      <c r="J87" s="8">
        <f t="shared" si="4"/>
        <v>408.5</v>
      </c>
      <c r="K87" s="9">
        <f t="shared" si="5"/>
        <v>81.7</v>
      </c>
      <c r="L87" s="8">
        <f t="shared" si="6"/>
        <v>26</v>
      </c>
      <c r="M87" t="str">
        <f t="shared" si="7"/>
        <v>及格</v>
      </c>
    </row>
    <row r="88" spans="1:13">
      <c r="A88" s="8">
        <v>10086</v>
      </c>
      <c r="B88" s="8" t="s">
        <v>110</v>
      </c>
      <c r="C88" s="8" t="s">
        <v>15</v>
      </c>
      <c r="D88" s="8" t="s">
        <v>21</v>
      </c>
      <c r="E88" s="8">
        <v>93</v>
      </c>
      <c r="F88" s="8">
        <v>88</v>
      </c>
      <c r="G88" s="8">
        <v>98</v>
      </c>
      <c r="H88" s="8">
        <v>85</v>
      </c>
      <c r="I88" s="8">
        <v>94</v>
      </c>
      <c r="J88" s="8">
        <f t="shared" si="4"/>
        <v>458</v>
      </c>
      <c r="K88" s="9">
        <f t="shared" si="5"/>
        <v>91.6</v>
      </c>
      <c r="L88" s="8">
        <f t="shared" si="6"/>
        <v>3</v>
      </c>
      <c r="M88" t="str">
        <f t="shared" si="7"/>
        <v>优秀</v>
      </c>
    </row>
    <row r="89" spans="1:13">
      <c r="A89" s="8">
        <v>10087</v>
      </c>
      <c r="B89" s="8" t="s">
        <v>111</v>
      </c>
      <c r="C89" s="8" t="s">
        <v>18</v>
      </c>
      <c r="D89" s="8" t="s">
        <v>38</v>
      </c>
      <c r="E89" s="8">
        <v>88</v>
      </c>
      <c r="F89" s="8">
        <v>81.5</v>
      </c>
      <c r="G89" s="8">
        <v>83</v>
      </c>
      <c r="H89" s="8">
        <v>81</v>
      </c>
      <c r="I89" s="8">
        <v>73.5</v>
      </c>
      <c r="J89" s="8">
        <f t="shared" si="4"/>
        <v>407</v>
      </c>
      <c r="K89" s="9">
        <f t="shared" si="5"/>
        <v>81.4</v>
      </c>
      <c r="L89" s="8">
        <f t="shared" si="6"/>
        <v>30</v>
      </c>
      <c r="M89" t="str">
        <f t="shared" si="7"/>
        <v>及格</v>
      </c>
    </row>
    <row r="90" spans="1:13">
      <c r="A90" s="8">
        <v>10088</v>
      </c>
      <c r="B90" s="8" t="s">
        <v>112</v>
      </c>
      <c r="C90" s="8" t="s">
        <v>15</v>
      </c>
      <c r="D90" s="8" t="s">
        <v>16</v>
      </c>
      <c r="E90" s="8">
        <v>81.5</v>
      </c>
      <c r="F90" s="8">
        <v>76.5</v>
      </c>
      <c r="G90" s="8">
        <v>72</v>
      </c>
      <c r="H90" s="8">
        <v>70</v>
      </c>
      <c r="I90" s="8">
        <v>82.5</v>
      </c>
      <c r="J90" s="8">
        <f t="shared" si="4"/>
        <v>382.5</v>
      </c>
      <c r="K90" s="9">
        <f t="shared" si="5"/>
        <v>76.5</v>
      </c>
      <c r="L90" s="8">
        <f t="shared" si="6"/>
        <v>54</v>
      </c>
      <c r="M90" t="str">
        <f t="shared" si="7"/>
        <v>及格</v>
      </c>
    </row>
    <row r="91" spans="1:13">
      <c r="A91" s="8">
        <v>10089</v>
      </c>
      <c r="B91" s="8" t="s">
        <v>113</v>
      </c>
      <c r="C91" s="8" t="s">
        <v>18</v>
      </c>
      <c r="D91" s="8" t="s">
        <v>16</v>
      </c>
      <c r="E91" s="8">
        <v>80</v>
      </c>
      <c r="F91" s="8">
        <v>85</v>
      </c>
      <c r="G91" s="8">
        <v>97</v>
      </c>
      <c r="H91" s="8">
        <v>98</v>
      </c>
      <c r="I91" s="8">
        <v>95</v>
      </c>
      <c r="J91" s="8">
        <f t="shared" si="4"/>
        <v>455</v>
      </c>
      <c r="K91" s="9">
        <f t="shared" si="5"/>
        <v>91</v>
      </c>
      <c r="L91" s="8">
        <f t="shared" si="6"/>
        <v>9</v>
      </c>
      <c r="M91" t="str">
        <f t="shared" si="7"/>
        <v>优秀</v>
      </c>
    </row>
    <row r="92" spans="1:13">
      <c r="A92" s="8">
        <v>10090</v>
      </c>
      <c r="B92" s="8" t="s">
        <v>114</v>
      </c>
      <c r="C92" s="8" t="s">
        <v>15</v>
      </c>
      <c r="D92" s="8" t="s">
        <v>23</v>
      </c>
      <c r="E92" s="8">
        <v>76.5</v>
      </c>
      <c r="F92" s="8">
        <v>76</v>
      </c>
      <c r="G92" s="8">
        <v>87</v>
      </c>
      <c r="H92" s="8">
        <v>87</v>
      </c>
      <c r="I92" s="8">
        <v>82</v>
      </c>
      <c r="J92" s="8">
        <f t="shared" si="4"/>
        <v>408.5</v>
      </c>
      <c r="K92" s="9">
        <f t="shared" si="5"/>
        <v>81.7</v>
      </c>
      <c r="L92" s="8">
        <f t="shared" si="6"/>
        <v>26</v>
      </c>
      <c r="M92" t="str">
        <f t="shared" si="7"/>
        <v>及格</v>
      </c>
    </row>
    <row r="93" spans="1:13">
      <c r="A93" s="8">
        <v>10091</v>
      </c>
      <c r="B93" s="8" t="s">
        <v>115</v>
      </c>
      <c r="C93" s="8" t="s">
        <v>18</v>
      </c>
      <c r="D93" s="8" t="s">
        <v>21</v>
      </c>
      <c r="E93" s="8">
        <v>66</v>
      </c>
      <c r="F93" s="8">
        <v>69.5</v>
      </c>
      <c r="G93" s="8">
        <v>79.5</v>
      </c>
      <c r="H93" s="8">
        <v>77.5</v>
      </c>
      <c r="I93" s="8">
        <v>83</v>
      </c>
      <c r="J93" s="8">
        <f t="shared" si="4"/>
        <v>375.5</v>
      </c>
      <c r="K93" s="9">
        <f t="shared" si="5"/>
        <v>75.1</v>
      </c>
      <c r="L93" s="8">
        <f t="shared" si="6"/>
        <v>61</v>
      </c>
      <c r="M93" t="str">
        <f t="shared" si="7"/>
        <v>及格</v>
      </c>
    </row>
    <row r="94" spans="1:13">
      <c r="A94" s="8">
        <v>10092</v>
      </c>
      <c r="B94" s="8" t="s">
        <v>116</v>
      </c>
      <c r="C94" s="8" t="s">
        <v>15</v>
      </c>
      <c r="D94" s="8" t="s">
        <v>19</v>
      </c>
      <c r="E94" s="8">
        <v>91</v>
      </c>
      <c r="F94" s="8">
        <v>83.5</v>
      </c>
      <c r="G94" s="8">
        <v>82.5</v>
      </c>
      <c r="H94" s="8">
        <v>80.5</v>
      </c>
      <c r="I94" s="8">
        <v>84</v>
      </c>
      <c r="J94" s="8">
        <f t="shared" si="4"/>
        <v>421.5</v>
      </c>
      <c r="K94" s="9">
        <f t="shared" si="5"/>
        <v>84.3</v>
      </c>
      <c r="L94" s="8">
        <f t="shared" si="6"/>
        <v>15</v>
      </c>
      <c r="M94" t="str">
        <f t="shared" si="7"/>
        <v>及格</v>
      </c>
    </row>
    <row r="95" spans="1:13">
      <c r="A95" s="8">
        <v>10093</v>
      </c>
      <c r="B95" s="8" t="s">
        <v>117</v>
      </c>
      <c r="C95" s="8" t="s">
        <v>15</v>
      </c>
      <c r="D95" s="8" t="s">
        <v>31</v>
      </c>
      <c r="E95" s="8">
        <v>72</v>
      </c>
      <c r="F95" s="8">
        <v>94.5</v>
      </c>
      <c r="G95" s="8">
        <v>70.5</v>
      </c>
      <c r="H95" s="8">
        <v>68.5</v>
      </c>
      <c r="I95" s="8">
        <v>84.5</v>
      </c>
      <c r="J95" s="8">
        <f t="shared" si="4"/>
        <v>390</v>
      </c>
      <c r="K95" s="9">
        <f t="shared" si="5"/>
        <v>78</v>
      </c>
      <c r="L95" s="8">
        <f t="shared" si="6"/>
        <v>42</v>
      </c>
      <c r="M95" t="str">
        <f t="shared" si="7"/>
        <v>及格</v>
      </c>
    </row>
    <row r="96" spans="1:13">
      <c r="A96" s="8">
        <v>10094</v>
      </c>
      <c r="B96" s="8" t="s">
        <v>118</v>
      </c>
      <c r="C96" s="8" t="s">
        <v>18</v>
      </c>
      <c r="D96" s="8" t="s">
        <v>16</v>
      </c>
      <c r="E96" s="8">
        <v>74.5</v>
      </c>
      <c r="F96" s="8">
        <v>80.5</v>
      </c>
      <c r="G96" s="8">
        <v>81</v>
      </c>
      <c r="H96" s="8">
        <v>79</v>
      </c>
      <c r="I96" s="8">
        <v>75</v>
      </c>
      <c r="J96" s="8">
        <f t="shared" si="4"/>
        <v>390</v>
      </c>
      <c r="K96" s="9">
        <f t="shared" si="5"/>
        <v>78</v>
      </c>
      <c r="L96" s="8">
        <f t="shared" si="6"/>
        <v>42</v>
      </c>
      <c r="M96" t="str">
        <f t="shared" si="7"/>
        <v>及格</v>
      </c>
    </row>
    <row r="97" spans="1:13">
      <c r="A97" s="8">
        <v>10095</v>
      </c>
      <c r="B97" s="8" t="s">
        <v>119</v>
      </c>
      <c r="C97" s="8" t="s">
        <v>18</v>
      </c>
      <c r="D97" s="8" t="s">
        <v>21</v>
      </c>
      <c r="E97" s="8">
        <v>76.5</v>
      </c>
      <c r="F97" s="8">
        <v>62.5</v>
      </c>
      <c r="G97" s="8">
        <v>79.5</v>
      </c>
      <c r="H97" s="8">
        <v>77.5</v>
      </c>
      <c r="I97" s="8">
        <v>83</v>
      </c>
      <c r="J97" s="8">
        <f t="shared" si="4"/>
        <v>379</v>
      </c>
      <c r="K97" s="9">
        <f t="shared" si="5"/>
        <v>75.8</v>
      </c>
      <c r="L97" s="8">
        <f t="shared" si="6"/>
        <v>57</v>
      </c>
      <c r="M97" t="str">
        <f t="shared" si="7"/>
        <v>及格</v>
      </c>
    </row>
    <row r="98" spans="1:13">
      <c r="A98" s="8">
        <v>10096</v>
      </c>
      <c r="B98" s="8" t="s">
        <v>120</v>
      </c>
      <c r="C98" s="8" t="s">
        <v>15</v>
      </c>
      <c r="D98" s="8" t="s">
        <v>38</v>
      </c>
      <c r="E98" s="8">
        <v>81.5</v>
      </c>
      <c r="F98" s="8">
        <v>74</v>
      </c>
      <c r="G98" s="8">
        <v>71</v>
      </c>
      <c r="H98" s="8">
        <v>69</v>
      </c>
      <c r="I98" s="8">
        <v>64</v>
      </c>
      <c r="J98" s="8">
        <f t="shared" si="4"/>
        <v>359.5</v>
      </c>
      <c r="K98" s="9">
        <f t="shared" si="5"/>
        <v>71.9</v>
      </c>
      <c r="L98" s="8">
        <f t="shared" si="6"/>
        <v>83</v>
      </c>
      <c r="M98" t="str">
        <f t="shared" si="7"/>
        <v>及格</v>
      </c>
    </row>
    <row r="99" spans="1:13">
      <c r="A99" s="8">
        <v>10097</v>
      </c>
      <c r="B99" s="8" t="s">
        <v>121</v>
      </c>
      <c r="C99" s="8" t="s">
        <v>15</v>
      </c>
      <c r="D99" s="8" t="s">
        <v>19</v>
      </c>
      <c r="E99" s="8">
        <v>75.5</v>
      </c>
      <c r="F99" s="8">
        <v>74</v>
      </c>
      <c r="G99" s="8">
        <v>76</v>
      </c>
      <c r="H99" s="8">
        <v>74</v>
      </c>
      <c r="I99" s="8">
        <v>73.5</v>
      </c>
      <c r="J99" s="8">
        <f t="shared" si="4"/>
        <v>373</v>
      </c>
      <c r="K99" s="9">
        <f t="shared" si="5"/>
        <v>74.6</v>
      </c>
      <c r="L99" s="8">
        <f t="shared" si="6"/>
        <v>65</v>
      </c>
      <c r="M99" t="str">
        <f t="shared" si="7"/>
        <v>及格</v>
      </c>
    </row>
    <row r="100" spans="1:13">
      <c r="A100" s="8">
        <v>10098</v>
      </c>
      <c r="B100" s="8" t="s">
        <v>122</v>
      </c>
      <c r="C100" s="8" t="s">
        <v>15</v>
      </c>
      <c r="D100" s="8" t="s">
        <v>23</v>
      </c>
      <c r="E100" s="8">
        <v>67.5</v>
      </c>
      <c r="F100" s="8">
        <v>82</v>
      </c>
      <c r="G100" s="8">
        <v>95.5</v>
      </c>
      <c r="H100" s="8">
        <v>93.5</v>
      </c>
      <c r="I100" s="8">
        <v>75</v>
      </c>
      <c r="J100" s="8">
        <f t="shared" si="4"/>
        <v>413.5</v>
      </c>
      <c r="K100" s="9">
        <f t="shared" si="5"/>
        <v>82.7</v>
      </c>
      <c r="L100" s="8">
        <f t="shared" si="6"/>
        <v>20</v>
      </c>
      <c r="M100" t="str">
        <f t="shared" si="7"/>
        <v>及格</v>
      </c>
    </row>
    <row r="101" spans="1:13">
      <c r="A101" s="8">
        <v>10099</v>
      </c>
      <c r="B101" s="8" t="s">
        <v>123</v>
      </c>
      <c r="C101" s="8" t="s">
        <v>18</v>
      </c>
      <c r="D101" s="8" t="s">
        <v>38</v>
      </c>
      <c r="E101" s="8">
        <v>81</v>
      </c>
      <c r="F101" s="8">
        <v>85</v>
      </c>
      <c r="G101" s="8">
        <v>79.5</v>
      </c>
      <c r="H101" s="8">
        <v>77.5</v>
      </c>
      <c r="I101" s="8">
        <v>83</v>
      </c>
      <c r="J101" s="8">
        <f t="shared" si="4"/>
        <v>406</v>
      </c>
      <c r="K101" s="9">
        <f t="shared" si="5"/>
        <v>81.2</v>
      </c>
      <c r="L101" s="8">
        <f t="shared" si="6"/>
        <v>32</v>
      </c>
      <c r="M101" t="str">
        <f t="shared" si="7"/>
        <v>及格</v>
      </c>
    </row>
  </sheetData>
  <mergeCells count="2">
    <mergeCell ref="A1:L1"/>
    <mergeCell ref="O6:P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01"/>
  <sheetViews>
    <sheetView zoomScale="85" zoomScaleNormal="85" workbookViewId="0">
      <selection activeCell="R24" sqref="R24"/>
    </sheetView>
  </sheetViews>
  <sheetFormatPr defaultColWidth="9" defaultRowHeight="13.5"/>
  <sheetData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>
        <v>10002</v>
      </c>
      <c r="B3" t="s">
        <v>17</v>
      </c>
      <c r="C3" t="s">
        <v>18</v>
      </c>
      <c r="D3" t="s">
        <v>19</v>
      </c>
      <c r="E3">
        <v>87</v>
      </c>
      <c r="F3">
        <v>90</v>
      </c>
      <c r="G3">
        <v>97</v>
      </c>
      <c r="H3">
        <v>69.5</v>
      </c>
      <c r="I3">
        <v>88.5</v>
      </c>
      <c r="J3">
        <v>432</v>
      </c>
      <c r="K3">
        <v>86.4</v>
      </c>
      <c r="L3">
        <v>13</v>
      </c>
    </row>
    <row r="4" spans="1:12">
      <c r="A4">
        <v>10016</v>
      </c>
      <c r="B4" t="s">
        <v>40</v>
      </c>
      <c r="C4" t="s">
        <v>18</v>
      </c>
      <c r="D4" t="s">
        <v>19</v>
      </c>
      <c r="E4">
        <v>89</v>
      </c>
      <c r="F4">
        <v>72</v>
      </c>
      <c r="G4">
        <v>79</v>
      </c>
      <c r="H4">
        <v>87</v>
      </c>
      <c r="I4">
        <v>97</v>
      </c>
      <c r="J4">
        <v>424</v>
      </c>
      <c r="K4">
        <v>84.8</v>
      </c>
      <c r="L4">
        <v>14</v>
      </c>
    </row>
    <row r="5" spans="1:12">
      <c r="A5">
        <v>10023</v>
      </c>
      <c r="B5" t="s">
        <v>47</v>
      </c>
      <c r="C5" t="s">
        <v>18</v>
      </c>
      <c r="D5" t="s">
        <v>19</v>
      </c>
      <c r="E5">
        <v>72.5</v>
      </c>
      <c r="F5">
        <v>74.5</v>
      </c>
      <c r="G5">
        <v>72.5</v>
      </c>
      <c r="H5">
        <v>70.5</v>
      </c>
      <c r="I5">
        <v>67</v>
      </c>
      <c r="J5">
        <v>357</v>
      </c>
      <c r="K5">
        <v>71.4</v>
      </c>
      <c r="L5">
        <v>86</v>
      </c>
    </row>
    <row r="6" spans="1:12">
      <c r="A6">
        <v>10040</v>
      </c>
      <c r="B6" t="s">
        <v>64</v>
      </c>
      <c r="C6" t="s">
        <v>15</v>
      </c>
      <c r="D6" t="s">
        <v>19</v>
      </c>
      <c r="E6">
        <v>85.5</v>
      </c>
      <c r="F6">
        <v>66</v>
      </c>
      <c r="G6">
        <v>74</v>
      </c>
      <c r="H6">
        <v>72</v>
      </c>
      <c r="I6">
        <v>65.5</v>
      </c>
      <c r="J6">
        <v>363</v>
      </c>
      <c r="K6">
        <v>72.6</v>
      </c>
      <c r="L6">
        <v>76</v>
      </c>
    </row>
    <row r="7" spans="1:12">
      <c r="A7">
        <v>10042</v>
      </c>
      <c r="B7" t="s">
        <v>66</v>
      </c>
      <c r="C7" t="s">
        <v>15</v>
      </c>
      <c r="D7" t="s">
        <v>19</v>
      </c>
      <c r="E7">
        <v>79.5</v>
      </c>
      <c r="F7">
        <v>81.5</v>
      </c>
      <c r="G7">
        <v>71.5</v>
      </c>
      <c r="H7">
        <v>69.5</v>
      </c>
      <c r="I7">
        <v>62</v>
      </c>
      <c r="J7">
        <v>364</v>
      </c>
      <c r="K7">
        <v>72.8</v>
      </c>
      <c r="L7">
        <v>75</v>
      </c>
    </row>
    <row r="8" spans="1:12">
      <c r="A8">
        <v>10048</v>
      </c>
      <c r="B8" t="s">
        <v>72</v>
      </c>
      <c r="C8" t="s">
        <v>15</v>
      </c>
      <c r="D8" t="s">
        <v>19</v>
      </c>
      <c r="E8">
        <v>65.5</v>
      </c>
      <c r="F8">
        <v>74</v>
      </c>
      <c r="G8">
        <v>69</v>
      </c>
      <c r="H8">
        <v>67</v>
      </c>
      <c r="I8">
        <v>70</v>
      </c>
      <c r="J8">
        <v>345.5</v>
      </c>
      <c r="K8">
        <v>69.1</v>
      </c>
      <c r="L8">
        <v>89</v>
      </c>
    </row>
    <row r="9" spans="1:12">
      <c r="A9">
        <v>10050</v>
      </c>
      <c r="B9" t="s">
        <v>74</v>
      </c>
      <c r="C9" t="s">
        <v>18</v>
      </c>
      <c r="D9" t="s">
        <v>19</v>
      </c>
      <c r="E9">
        <v>78</v>
      </c>
      <c r="F9">
        <v>74</v>
      </c>
      <c r="G9">
        <v>78</v>
      </c>
      <c r="H9">
        <v>76</v>
      </c>
      <c r="I9">
        <v>74</v>
      </c>
      <c r="J9">
        <v>380</v>
      </c>
      <c r="K9">
        <v>76</v>
      </c>
      <c r="L9">
        <v>55</v>
      </c>
    </row>
    <row r="10" spans="1:12">
      <c r="A10">
        <v>10051</v>
      </c>
      <c r="B10" t="s">
        <v>75</v>
      </c>
      <c r="C10" t="s">
        <v>15</v>
      </c>
      <c r="D10" t="s">
        <v>19</v>
      </c>
      <c r="E10">
        <v>91</v>
      </c>
      <c r="F10">
        <v>86</v>
      </c>
      <c r="G10">
        <v>73</v>
      </c>
      <c r="H10">
        <v>71</v>
      </c>
      <c r="I10">
        <v>67.5</v>
      </c>
      <c r="J10">
        <v>388.5</v>
      </c>
      <c r="K10">
        <v>77.7</v>
      </c>
      <c r="L10">
        <v>47</v>
      </c>
    </row>
    <row r="11" spans="1:12">
      <c r="A11">
        <v>10059</v>
      </c>
      <c r="B11" t="s">
        <v>83</v>
      </c>
      <c r="C11" t="s">
        <v>18</v>
      </c>
      <c r="D11" t="s">
        <v>19</v>
      </c>
      <c r="E11">
        <v>62</v>
      </c>
      <c r="F11">
        <v>75</v>
      </c>
      <c r="G11">
        <v>84.5</v>
      </c>
      <c r="H11">
        <v>82.5</v>
      </c>
      <c r="I11">
        <v>67.5</v>
      </c>
      <c r="J11">
        <v>371.5</v>
      </c>
      <c r="K11">
        <v>74.3</v>
      </c>
      <c r="L11">
        <v>67</v>
      </c>
    </row>
    <row r="12" spans="1:12">
      <c r="A12">
        <v>10065</v>
      </c>
      <c r="B12" t="s">
        <v>89</v>
      </c>
      <c r="C12" t="s">
        <v>18</v>
      </c>
      <c r="D12" t="s">
        <v>19</v>
      </c>
      <c r="E12">
        <v>82.5</v>
      </c>
      <c r="F12">
        <v>80</v>
      </c>
      <c r="G12">
        <v>92.5</v>
      </c>
      <c r="H12">
        <v>90.5</v>
      </c>
      <c r="I12">
        <v>73.5</v>
      </c>
      <c r="J12">
        <v>419</v>
      </c>
      <c r="K12">
        <v>83.8</v>
      </c>
      <c r="L12">
        <v>16</v>
      </c>
    </row>
    <row r="13" spans="1:12">
      <c r="A13">
        <v>10068</v>
      </c>
      <c r="B13" t="s">
        <v>92</v>
      </c>
      <c r="C13" t="s">
        <v>15</v>
      </c>
      <c r="D13" t="s">
        <v>19</v>
      </c>
      <c r="E13">
        <v>75.5</v>
      </c>
      <c r="F13">
        <v>65.5</v>
      </c>
      <c r="G13">
        <v>73.5</v>
      </c>
      <c r="H13">
        <v>71.5</v>
      </c>
      <c r="I13">
        <v>71.5</v>
      </c>
      <c r="J13">
        <v>357.5</v>
      </c>
      <c r="K13">
        <v>71.5</v>
      </c>
      <c r="L13">
        <v>85</v>
      </c>
    </row>
    <row r="14" spans="1:12">
      <c r="A14">
        <v>10083</v>
      </c>
      <c r="B14" t="s">
        <v>107</v>
      </c>
      <c r="C14" t="s">
        <v>18</v>
      </c>
      <c r="D14" t="s">
        <v>19</v>
      </c>
      <c r="E14">
        <v>83</v>
      </c>
      <c r="F14">
        <v>80</v>
      </c>
      <c r="G14">
        <v>72.5</v>
      </c>
      <c r="H14">
        <v>82</v>
      </c>
      <c r="I14">
        <v>93.5</v>
      </c>
      <c r="J14">
        <v>411</v>
      </c>
      <c r="K14">
        <v>82.2</v>
      </c>
      <c r="L14">
        <v>24</v>
      </c>
    </row>
    <row r="15" spans="1:12">
      <c r="A15">
        <v>10092</v>
      </c>
      <c r="B15" t="s">
        <v>116</v>
      </c>
      <c r="C15" t="s">
        <v>15</v>
      </c>
      <c r="D15" t="s">
        <v>19</v>
      </c>
      <c r="E15">
        <v>91</v>
      </c>
      <c r="F15">
        <v>83.5</v>
      </c>
      <c r="G15">
        <v>82.5</v>
      </c>
      <c r="H15">
        <v>80.5</v>
      </c>
      <c r="I15">
        <v>84</v>
      </c>
      <c r="J15">
        <v>421.5</v>
      </c>
      <c r="K15">
        <v>84.3</v>
      </c>
      <c r="L15">
        <v>15</v>
      </c>
    </row>
    <row r="16" spans="1:12">
      <c r="A16">
        <v>10097</v>
      </c>
      <c r="B16" t="s">
        <v>121</v>
      </c>
      <c r="C16" t="s">
        <v>15</v>
      </c>
      <c r="D16" t="s">
        <v>19</v>
      </c>
      <c r="E16">
        <v>75.5</v>
      </c>
      <c r="F16">
        <v>74</v>
      </c>
      <c r="G16">
        <v>76</v>
      </c>
      <c r="H16">
        <v>74</v>
      </c>
      <c r="I16">
        <v>73.5</v>
      </c>
      <c r="J16">
        <v>373</v>
      </c>
      <c r="K16">
        <v>74.6</v>
      </c>
      <c r="L16">
        <v>65</v>
      </c>
    </row>
    <row r="17" spans="1:12">
      <c r="A17">
        <v>10001</v>
      </c>
      <c r="B17" t="s">
        <v>14</v>
      </c>
      <c r="C17" t="s">
        <v>15</v>
      </c>
      <c r="D17" t="s">
        <v>16</v>
      </c>
      <c r="E17">
        <v>91</v>
      </c>
      <c r="F17">
        <v>98</v>
      </c>
      <c r="G17">
        <v>94</v>
      </c>
      <c r="H17">
        <v>92</v>
      </c>
      <c r="I17">
        <v>82</v>
      </c>
      <c r="J17">
        <v>457</v>
      </c>
      <c r="K17">
        <v>91.4</v>
      </c>
      <c r="L17">
        <v>5</v>
      </c>
    </row>
    <row r="18" spans="1:12">
      <c r="A18">
        <v>10005</v>
      </c>
      <c r="B18" t="s">
        <v>25</v>
      </c>
      <c r="C18" t="s">
        <v>15</v>
      </c>
      <c r="D18" t="s">
        <v>16</v>
      </c>
      <c r="E18">
        <v>73.5</v>
      </c>
      <c r="F18">
        <v>78</v>
      </c>
      <c r="G18">
        <v>73</v>
      </c>
      <c r="H18">
        <v>71</v>
      </c>
      <c r="I18">
        <v>77.5</v>
      </c>
      <c r="J18">
        <v>373</v>
      </c>
      <c r="K18">
        <v>74.6</v>
      </c>
      <c r="L18">
        <v>65</v>
      </c>
    </row>
    <row r="19" spans="1:12">
      <c r="A19">
        <v>10006</v>
      </c>
      <c r="B19" t="s">
        <v>27</v>
      </c>
      <c r="C19" t="s">
        <v>18</v>
      </c>
      <c r="D19" t="s">
        <v>16</v>
      </c>
      <c r="E19">
        <v>78</v>
      </c>
      <c r="F19">
        <v>86.5</v>
      </c>
      <c r="G19">
        <v>67</v>
      </c>
      <c r="H19">
        <v>65</v>
      </c>
      <c r="I19">
        <v>68</v>
      </c>
      <c r="J19">
        <v>364.5</v>
      </c>
      <c r="K19">
        <v>72.9</v>
      </c>
      <c r="L19">
        <v>73</v>
      </c>
    </row>
    <row r="20" spans="1:12">
      <c r="A20">
        <v>10010</v>
      </c>
      <c r="B20" t="s">
        <v>33</v>
      </c>
      <c r="C20" t="s">
        <v>15</v>
      </c>
      <c r="D20" t="s">
        <v>16</v>
      </c>
      <c r="E20">
        <v>77</v>
      </c>
      <c r="F20">
        <v>90</v>
      </c>
      <c r="G20">
        <v>74.5</v>
      </c>
      <c r="H20">
        <v>72.5</v>
      </c>
      <c r="I20">
        <v>77.5</v>
      </c>
      <c r="J20">
        <v>391.5</v>
      </c>
      <c r="K20">
        <v>78.3</v>
      </c>
      <c r="L20">
        <v>38</v>
      </c>
    </row>
    <row r="21" spans="1:12">
      <c r="A21">
        <v>10015</v>
      </c>
      <c r="B21" t="s">
        <v>39</v>
      </c>
      <c r="C21" t="s">
        <v>15</v>
      </c>
      <c r="D21" t="s">
        <v>16</v>
      </c>
      <c r="E21">
        <v>82.5</v>
      </c>
      <c r="F21">
        <v>72</v>
      </c>
      <c r="G21">
        <v>67.5</v>
      </c>
      <c r="H21">
        <v>65.5</v>
      </c>
      <c r="I21">
        <v>77.5</v>
      </c>
      <c r="J21">
        <v>365</v>
      </c>
      <c r="K21">
        <v>73</v>
      </c>
      <c r="L21">
        <v>72</v>
      </c>
    </row>
    <row r="22" spans="1:12">
      <c r="A22">
        <v>10022</v>
      </c>
      <c r="B22" t="s">
        <v>46</v>
      </c>
      <c r="C22" t="s">
        <v>18</v>
      </c>
      <c r="D22" t="s">
        <v>16</v>
      </c>
      <c r="E22">
        <v>78.5</v>
      </c>
      <c r="F22">
        <v>73</v>
      </c>
      <c r="G22">
        <v>83</v>
      </c>
      <c r="H22">
        <v>81</v>
      </c>
      <c r="I22">
        <v>73</v>
      </c>
      <c r="J22">
        <v>388.5</v>
      </c>
      <c r="K22">
        <v>77.7</v>
      </c>
      <c r="L22">
        <v>47</v>
      </c>
    </row>
    <row r="23" spans="1:12">
      <c r="A23">
        <v>10027</v>
      </c>
      <c r="B23" t="s">
        <v>51</v>
      </c>
      <c r="C23" t="s">
        <v>18</v>
      </c>
      <c r="D23" t="s">
        <v>16</v>
      </c>
      <c r="E23">
        <v>63.5</v>
      </c>
      <c r="F23">
        <v>77.5</v>
      </c>
      <c r="G23">
        <v>84.5</v>
      </c>
      <c r="H23">
        <v>82.5</v>
      </c>
      <c r="I23">
        <v>80</v>
      </c>
      <c r="J23">
        <v>388</v>
      </c>
      <c r="K23">
        <v>77.6</v>
      </c>
      <c r="L23">
        <v>49</v>
      </c>
    </row>
    <row r="24" spans="1:12">
      <c r="A24">
        <v>10029</v>
      </c>
      <c r="B24" t="s">
        <v>53</v>
      </c>
      <c r="C24" t="s">
        <v>18</v>
      </c>
      <c r="D24" t="s">
        <v>16</v>
      </c>
      <c r="E24">
        <v>52.5</v>
      </c>
      <c r="F24">
        <v>50</v>
      </c>
      <c r="G24">
        <v>64</v>
      </c>
      <c r="H24">
        <v>62</v>
      </c>
      <c r="I24">
        <v>60</v>
      </c>
      <c r="J24">
        <v>288.5</v>
      </c>
      <c r="K24">
        <v>57.7</v>
      </c>
      <c r="L24">
        <v>99</v>
      </c>
    </row>
    <row r="25" spans="1:12">
      <c r="A25">
        <v>10036</v>
      </c>
      <c r="B25" t="s">
        <v>60</v>
      </c>
      <c r="C25" t="s">
        <v>18</v>
      </c>
      <c r="D25" t="s">
        <v>16</v>
      </c>
      <c r="E25">
        <v>93</v>
      </c>
      <c r="F25">
        <v>82</v>
      </c>
      <c r="G25">
        <v>97</v>
      </c>
      <c r="H25">
        <v>97</v>
      </c>
      <c r="I25">
        <v>92</v>
      </c>
      <c r="J25">
        <v>461</v>
      </c>
      <c r="K25">
        <v>92.2</v>
      </c>
      <c r="L25">
        <v>1</v>
      </c>
    </row>
    <row r="26" spans="1:12">
      <c r="A26">
        <v>10041</v>
      </c>
      <c r="B26" t="s">
        <v>65</v>
      </c>
      <c r="C26" t="s">
        <v>15</v>
      </c>
      <c r="D26" t="s">
        <v>16</v>
      </c>
      <c r="E26">
        <v>73.5</v>
      </c>
      <c r="F26">
        <v>69</v>
      </c>
      <c r="G26">
        <v>88.5</v>
      </c>
      <c r="H26">
        <v>86.5</v>
      </c>
      <c r="I26">
        <v>74</v>
      </c>
      <c r="J26">
        <v>391.5</v>
      </c>
      <c r="K26">
        <v>78.3</v>
      </c>
      <c r="L26">
        <v>38</v>
      </c>
    </row>
    <row r="27" spans="1:12">
      <c r="A27">
        <v>10053</v>
      </c>
      <c r="B27" t="s">
        <v>77</v>
      </c>
      <c r="C27" t="s">
        <v>18</v>
      </c>
      <c r="D27" t="s">
        <v>16</v>
      </c>
      <c r="E27">
        <v>76</v>
      </c>
      <c r="F27">
        <v>71.5</v>
      </c>
      <c r="G27">
        <v>76</v>
      </c>
      <c r="H27">
        <v>74</v>
      </c>
      <c r="I27">
        <v>72</v>
      </c>
      <c r="J27">
        <v>369.5</v>
      </c>
      <c r="K27">
        <v>73.9</v>
      </c>
      <c r="L27">
        <v>70</v>
      </c>
    </row>
    <row r="28" spans="1:12">
      <c r="A28">
        <v>10057</v>
      </c>
      <c r="B28" t="s">
        <v>81</v>
      </c>
      <c r="C28" t="s">
        <v>15</v>
      </c>
      <c r="D28" t="s">
        <v>16</v>
      </c>
      <c r="E28">
        <v>92.5</v>
      </c>
      <c r="F28">
        <v>82</v>
      </c>
      <c r="G28">
        <v>75</v>
      </c>
      <c r="H28">
        <v>73</v>
      </c>
      <c r="I28">
        <v>82</v>
      </c>
      <c r="J28">
        <v>404.5</v>
      </c>
      <c r="K28">
        <v>80.9</v>
      </c>
      <c r="L28">
        <v>35</v>
      </c>
    </row>
    <row r="29" spans="1:12">
      <c r="A29">
        <v>10058</v>
      </c>
      <c r="B29" t="s">
        <v>82</v>
      </c>
      <c r="C29" t="s">
        <v>18</v>
      </c>
      <c r="D29" t="s">
        <v>16</v>
      </c>
      <c r="E29">
        <v>93.5</v>
      </c>
      <c r="F29">
        <v>83</v>
      </c>
      <c r="G29">
        <v>73.5</v>
      </c>
      <c r="H29">
        <v>71.5</v>
      </c>
      <c r="I29">
        <v>91</v>
      </c>
      <c r="J29">
        <v>412.5</v>
      </c>
      <c r="K29">
        <v>82.5</v>
      </c>
      <c r="L29">
        <v>22</v>
      </c>
    </row>
    <row r="30" spans="1:12">
      <c r="A30">
        <v>10061</v>
      </c>
      <c r="B30" t="s">
        <v>85</v>
      </c>
      <c r="C30" t="s">
        <v>15</v>
      </c>
      <c r="D30" t="s">
        <v>16</v>
      </c>
      <c r="E30">
        <v>79.5</v>
      </c>
      <c r="F30">
        <v>73</v>
      </c>
      <c r="G30">
        <v>79.5</v>
      </c>
      <c r="H30">
        <v>77.5</v>
      </c>
      <c r="I30">
        <v>70.5</v>
      </c>
      <c r="J30">
        <v>380</v>
      </c>
      <c r="K30">
        <v>76</v>
      </c>
      <c r="L30">
        <v>55</v>
      </c>
    </row>
    <row r="31" spans="1:12">
      <c r="A31">
        <v>10063</v>
      </c>
      <c r="B31" t="s">
        <v>87</v>
      </c>
      <c r="C31" t="s">
        <v>15</v>
      </c>
      <c r="D31" t="s">
        <v>16</v>
      </c>
      <c r="E31">
        <v>64</v>
      </c>
      <c r="F31">
        <v>70.5</v>
      </c>
      <c r="G31">
        <v>62</v>
      </c>
      <c r="H31">
        <v>85</v>
      </c>
      <c r="I31">
        <v>60</v>
      </c>
      <c r="J31">
        <v>341.5</v>
      </c>
      <c r="K31">
        <v>68.3</v>
      </c>
      <c r="L31">
        <v>90</v>
      </c>
    </row>
    <row r="32" spans="1:12">
      <c r="A32">
        <v>10071</v>
      </c>
      <c r="B32" t="s">
        <v>95</v>
      </c>
      <c r="C32" t="s">
        <v>18</v>
      </c>
      <c r="D32" t="s">
        <v>16</v>
      </c>
      <c r="E32">
        <v>56</v>
      </c>
      <c r="F32">
        <v>60.5</v>
      </c>
      <c r="G32">
        <v>54</v>
      </c>
      <c r="H32">
        <v>79</v>
      </c>
      <c r="I32">
        <v>76.5</v>
      </c>
      <c r="J32">
        <v>326</v>
      </c>
      <c r="K32">
        <v>65.2</v>
      </c>
      <c r="L32">
        <v>96</v>
      </c>
    </row>
    <row r="33" spans="1:12">
      <c r="A33">
        <v>10079</v>
      </c>
      <c r="B33" t="s">
        <v>103</v>
      </c>
      <c r="C33" t="s">
        <v>18</v>
      </c>
      <c r="D33" t="s">
        <v>16</v>
      </c>
      <c r="E33">
        <v>74</v>
      </c>
      <c r="F33">
        <v>85</v>
      </c>
      <c r="G33">
        <v>73</v>
      </c>
      <c r="H33">
        <v>71</v>
      </c>
      <c r="I33">
        <v>88</v>
      </c>
      <c r="J33">
        <v>391</v>
      </c>
      <c r="K33">
        <v>78.2</v>
      </c>
      <c r="L33">
        <v>40</v>
      </c>
    </row>
    <row r="34" spans="1:12">
      <c r="A34">
        <v>10084</v>
      </c>
      <c r="B34" t="s">
        <v>108</v>
      </c>
      <c r="C34" t="s">
        <v>18</v>
      </c>
      <c r="D34" t="s">
        <v>16</v>
      </c>
      <c r="E34">
        <v>58.5</v>
      </c>
      <c r="F34">
        <v>82</v>
      </c>
      <c r="G34">
        <v>70</v>
      </c>
      <c r="H34">
        <v>60</v>
      </c>
      <c r="I34">
        <v>64.5</v>
      </c>
      <c r="J34">
        <v>335</v>
      </c>
      <c r="K34">
        <v>67</v>
      </c>
      <c r="L34">
        <v>93</v>
      </c>
    </row>
    <row r="35" spans="1:12">
      <c r="A35">
        <v>10088</v>
      </c>
      <c r="B35" t="s">
        <v>112</v>
      </c>
      <c r="C35" t="s">
        <v>15</v>
      </c>
      <c r="D35" t="s">
        <v>16</v>
      </c>
      <c r="E35">
        <v>81.5</v>
      </c>
      <c r="F35">
        <v>76.5</v>
      </c>
      <c r="G35">
        <v>72</v>
      </c>
      <c r="H35">
        <v>70</v>
      </c>
      <c r="I35">
        <v>82.5</v>
      </c>
      <c r="J35">
        <v>382.5</v>
      </c>
      <c r="K35">
        <v>76.5</v>
      </c>
      <c r="L35">
        <v>54</v>
      </c>
    </row>
    <row r="36" spans="1:12">
      <c r="A36">
        <v>10089</v>
      </c>
      <c r="B36" t="s">
        <v>113</v>
      </c>
      <c r="C36" t="s">
        <v>18</v>
      </c>
      <c r="D36" t="s">
        <v>16</v>
      </c>
      <c r="E36">
        <v>80</v>
      </c>
      <c r="F36">
        <v>85</v>
      </c>
      <c r="G36">
        <v>97</v>
      </c>
      <c r="H36">
        <v>98</v>
      </c>
      <c r="I36">
        <v>95</v>
      </c>
      <c r="J36">
        <v>455</v>
      </c>
      <c r="K36">
        <v>91</v>
      </c>
      <c r="L36">
        <v>9</v>
      </c>
    </row>
    <row r="37" spans="1:12">
      <c r="A37">
        <v>10094</v>
      </c>
      <c r="B37" t="s">
        <v>118</v>
      </c>
      <c r="C37" t="s">
        <v>18</v>
      </c>
      <c r="D37" t="s">
        <v>16</v>
      </c>
      <c r="E37">
        <v>74.5</v>
      </c>
      <c r="F37">
        <v>80.5</v>
      </c>
      <c r="G37">
        <v>81</v>
      </c>
      <c r="H37">
        <v>79</v>
      </c>
      <c r="I37">
        <v>75</v>
      </c>
      <c r="J37">
        <v>390</v>
      </c>
      <c r="K37">
        <v>78</v>
      </c>
      <c r="L37">
        <v>42</v>
      </c>
    </row>
    <row r="38" spans="1:12">
      <c r="A38">
        <v>10008</v>
      </c>
      <c r="B38" t="s">
        <v>30</v>
      </c>
      <c r="C38" t="s">
        <v>18</v>
      </c>
      <c r="D38" t="s">
        <v>31</v>
      </c>
      <c r="E38">
        <v>86.5</v>
      </c>
      <c r="F38">
        <v>65</v>
      </c>
      <c r="G38">
        <v>62.5</v>
      </c>
      <c r="H38">
        <v>60.5</v>
      </c>
      <c r="I38">
        <v>58.5</v>
      </c>
      <c r="J38">
        <v>333</v>
      </c>
      <c r="K38">
        <v>66.6</v>
      </c>
      <c r="L38">
        <v>94</v>
      </c>
    </row>
    <row r="39" spans="1:12">
      <c r="A39">
        <v>10011</v>
      </c>
      <c r="B39" t="s">
        <v>34</v>
      </c>
      <c r="C39" t="s">
        <v>15</v>
      </c>
      <c r="D39" t="s">
        <v>31</v>
      </c>
      <c r="E39">
        <v>73.5</v>
      </c>
      <c r="F39">
        <v>70</v>
      </c>
      <c r="G39">
        <v>80</v>
      </c>
      <c r="H39">
        <v>82.5</v>
      </c>
      <c r="I39">
        <v>84</v>
      </c>
      <c r="J39">
        <v>390</v>
      </c>
      <c r="K39">
        <v>78</v>
      </c>
      <c r="L39">
        <v>42</v>
      </c>
    </row>
    <row r="40" spans="1:12">
      <c r="A40">
        <v>10017</v>
      </c>
      <c r="B40" t="s">
        <v>41</v>
      </c>
      <c r="C40" t="s">
        <v>18</v>
      </c>
      <c r="D40" t="s">
        <v>31</v>
      </c>
      <c r="E40">
        <v>80</v>
      </c>
      <c r="F40">
        <v>90</v>
      </c>
      <c r="G40">
        <v>83</v>
      </c>
      <c r="H40">
        <v>81</v>
      </c>
      <c r="I40">
        <v>84</v>
      </c>
      <c r="J40">
        <v>418</v>
      </c>
      <c r="K40">
        <v>83.6</v>
      </c>
      <c r="L40">
        <v>18</v>
      </c>
    </row>
    <row r="41" spans="1:12">
      <c r="A41">
        <v>10019</v>
      </c>
      <c r="B41" t="s">
        <v>43</v>
      </c>
      <c r="C41" t="s">
        <v>15</v>
      </c>
      <c r="D41" t="s">
        <v>31</v>
      </c>
      <c r="E41">
        <v>84</v>
      </c>
      <c r="F41">
        <v>73</v>
      </c>
      <c r="G41">
        <v>70</v>
      </c>
      <c r="H41">
        <v>76</v>
      </c>
      <c r="I41">
        <v>88</v>
      </c>
      <c r="J41">
        <v>391</v>
      </c>
      <c r="K41">
        <v>78.2</v>
      </c>
      <c r="L41">
        <v>40</v>
      </c>
    </row>
    <row r="42" spans="1:12">
      <c r="A42">
        <v>10020</v>
      </c>
      <c r="B42" t="s">
        <v>44</v>
      </c>
      <c r="C42" t="s">
        <v>18</v>
      </c>
      <c r="D42" t="s">
        <v>31</v>
      </c>
      <c r="E42">
        <v>71</v>
      </c>
      <c r="F42">
        <v>82.5</v>
      </c>
      <c r="G42">
        <v>89</v>
      </c>
      <c r="H42">
        <v>87</v>
      </c>
      <c r="I42">
        <v>79</v>
      </c>
      <c r="J42">
        <v>408.5</v>
      </c>
      <c r="K42">
        <v>81.7</v>
      </c>
      <c r="L42">
        <v>26</v>
      </c>
    </row>
    <row r="43" spans="1:12">
      <c r="A43">
        <v>10025</v>
      </c>
      <c r="B43" t="s">
        <v>49</v>
      </c>
      <c r="C43" t="s">
        <v>18</v>
      </c>
      <c r="D43" t="s">
        <v>31</v>
      </c>
      <c r="E43">
        <v>93</v>
      </c>
      <c r="F43">
        <v>86</v>
      </c>
      <c r="G43">
        <v>94.5</v>
      </c>
      <c r="H43">
        <v>92.5</v>
      </c>
      <c r="I43">
        <v>93</v>
      </c>
      <c r="J43">
        <v>459</v>
      </c>
      <c r="K43">
        <v>91.8</v>
      </c>
      <c r="L43">
        <v>2</v>
      </c>
    </row>
    <row r="44" spans="1:12">
      <c r="A44">
        <v>10037</v>
      </c>
      <c r="B44" t="s">
        <v>61</v>
      </c>
      <c r="C44" t="s">
        <v>18</v>
      </c>
      <c r="D44" t="s">
        <v>31</v>
      </c>
      <c r="E44">
        <v>76.5</v>
      </c>
      <c r="F44">
        <v>79.5</v>
      </c>
      <c r="G44">
        <v>68</v>
      </c>
      <c r="H44">
        <v>66</v>
      </c>
      <c r="I44">
        <v>71.5</v>
      </c>
      <c r="J44">
        <v>361.5</v>
      </c>
      <c r="K44">
        <v>72.3</v>
      </c>
      <c r="L44">
        <v>78</v>
      </c>
    </row>
    <row r="45" spans="1:12">
      <c r="A45">
        <v>10038</v>
      </c>
      <c r="B45" t="s">
        <v>62</v>
      </c>
      <c r="C45" t="s">
        <v>15</v>
      </c>
      <c r="D45" t="s">
        <v>31</v>
      </c>
      <c r="E45">
        <v>77</v>
      </c>
      <c r="F45">
        <v>77</v>
      </c>
      <c r="G45">
        <v>73</v>
      </c>
      <c r="H45">
        <v>71</v>
      </c>
      <c r="I45">
        <v>73</v>
      </c>
      <c r="J45">
        <v>371</v>
      </c>
      <c r="K45">
        <v>74.2</v>
      </c>
      <c r="L45">
        <v>68</v>
      </c>
    </row>
    <row r="46" spans="1:12">
      <c r="A46">
        <v>10075</v>
      </c>
      <c r="B46" t="s">
        <v>99</v>
      </c>
      <c r="C46" t="s">
        <v>18</v>
      </c>
      <c r="D46" t="s">
        <v>31</v>
      </c>
      <c r="E46">
        <v>70.5</v>
      </c>
      <c r="F46">
        <v>74</v>
      </c>
      <c r="G46">
        <v>74</v>
      </c>
      <c r="H46">
        <v>72</v>
      </c>
      <c r="I46">
        <v>77</v>
      </c>
      <c r="J46">
        <v>367.5</v>
      </c>
      <c r="K46">
        <v>73.5</v>
      </c>
      <c r="L46">
        <v>71</v>
      </c>
    </row>
    <row r="47" spans="1:12">
      <c r="A47">
        <v>10078</v>
      </c>
      <c r="B47" t="s">
        <v>102</v>
      </c>
      <c r="C47" t="s">
        <v>15</v>
      </c>
      <c r="D47" t="s">
        <v>31</v>
      </c>
      <c r="E47">
        <v>89</v>
      </c>
      <c r="F47">
        <v>75</v>
      </c>
      <c r="G47">
        <v>61</v>
      </c>
      <c r="H47">
        <v>59</v>
      </c>
      <c r="I47">
        <v>76.5</v>
      </c>
      <c r="J47">
        <v>360.5</v>
      </c>
      <c r="K47">
        <v>72.1</v>
      </c>
      <c r="L47">
        <v>81</v>
      </c>
    </row>
    <row r="48" spans="1:12">
      <c r="A48">
        <v>10080</v>
      </c>
      <c r="B48" t="s">
        <v>104</v>
      </c>
      <c r="C48" t="s">
        <v>18</v>
      </c>
      <c r="D48" t="s">
        <v>31</v>
      </c>
      <c r="E48">
        <v>87</v>
      </c>
      <c r="F48">
        <v>80</v>
      </c>
      <c r="G48">
        <v>82</v>
      </c>
      <c r="H48">
        <v>72</v>
      </c>
      <c r="I48">
        <v>84</v>
      </c>
      <c r="J48">
        <v>405</v>
      </c>
      <c r="K48">
        <v>81</v>
      </c>
      <c r="L48">
        <v>34</v>
      </c>
    </row>
    <row r="49" spans="1:12">
      <c r="A49">
        <v>10085</v>
      </c>
      <c r="B49" t="s">
        <v>109</v>
      </c>
      <c r="C49" t="s">
        <v>15</v>
      </c>
      <c r="D49" t="s">
        <v>31</v>
      </c>
      <c r="E49">
        <v>81</v>
      </c>
      <c r="F49">
        <v>74.5</v>
      </c>
      <c r="G49">
        <v>75</v>
      </c>
      <c r="H49">
        <v>88</v>
      </c>
      <c r="I49">
        <v>90</v>
      </c>
      <c r="J49">
        <v>408.5</v>
      </c>
      <c r="K49">
        <v>81.7</v>
      </c>
      <c r="L49">
        <v>26</v>
      </c>
    </row>
    <row r="50" spans="1:12">
      <c r="A50">
        <v>10093</v>
      </c>
      <c r="B50" t="s">
        <v>117</v>
      </c>
      <c r="C50" t="s">
        <v>15</v>
      </c>
      <c r="D50" t="s">
        <v>31</v>
      </c>
      <c r="E50">
        <v>72</v>
      </c>
      <c r="F50">
        <v>94.5</v>
      </c>
      <c r="G50">
        <v>70.5</v>
      </c>
      <c r="H50">
        <v>68.5</v>
      </c>
      <c r="I50">
        <v>84.5</v>
      </c>
      <c r="J50">
        <v>390</v>
      </c>
      <c r="K50">
        <v>78</v>
      </c>
      <c r="L50">
        <v>42</v>
      </c>
    </row>
    <row r="51" spans="1:12">
      <c r="A51">
        <v>10004</v>
      </c>
      <c r="B51" t="s">
        <v>22</v>
      </c>
      <c r="C51" t="s">
        <v>15</v>
      </c>
      <c r="D51" t="s">
        <v>23</v>
      </c>
      <c r="E51">
        <v>90.5</v>
      </c>
      <c r="F51">
        <v>50</v>
      </c>
      <c r="G51">
        <v>88</v>
      </c>
      <c r="H51">
        <v>72</v>
      </c>
      <c r="I51">
        <v>91.5</v>
      </c>
      <c r="J51">
        <v>392</v>
      </c>
      <c r="K51">
        <v>78.4</v>
      </c>
      <c r="L51">
        <v>37</v>
      </c>
    </row>
    <row r="52" spans="1:12">
      <c r="A52">
        <v>10009</v>
      </c>
      <c r="B52" t="s">
        <v>32</v>
      </c>
      <c r="C52" t="s">
        <v>18</v>
      </c>
      <c r="D52" t="s">
        <v>23</v>
      </c>
      <c r="E52">
        <v>90.5</v>
      </c>
      <c r="F52">
        <v>88</v>
      </c>
      <c r="G52">
        <v>95</v>
      </c>
      <c r="H52">
        <v>90</v>
      </c>
      <c r="I52">
        <v>94.5</v>
      </c>
      <c r="J52">
        <v>458</v>
      </c>
      <c r="K52">
        <v>91.6</v>
      </c>
      <c r="L52">
        <v>3</v>
      </c>
    </row>
    <row r="53" spans="1:12">
      <c r="A53">
        <v>10012</v>
      </c>
      <c r="B53" t="s">
        <v>35</v>
      </c>
      <c r="C53" t="s">
        <v>18</v>
      </c>
      <c r="D53" t="s">
        <v>23</v>
      </c>
      <c r="E53">
        <v>94</v>
      </c>
      <c r="F53">
        <v>90</v>
      </c>
      <c r="G53">
        <v>96</v>
      </c>
      <c r="H53">
        <v>83.5</v>
      </c>
      <c r="I53">
        <v>93</v>
      </c>
      <c r="J53">
        <v>456.5</v>
      </c>
      <c r="K53">
        <v>91.3</v>
      </c>
      <c r="L53">
        <v>7</v>
      </c>
    </row>
    <row r="54" spans="1:12">
      <c r="A54">
        <v>10018</v>
      </c>
      <c r="B54" t="s">
        <v>42</v>
      </c>
      <c r="C54" t="s">
        <v>15</v>
      </c>
      <c r="D54" t="s">
        <v>23</v>
      </c>
      <c r="E54">
        <v>73</v>
      </c>
      <c r="F54">
        <v>76</v>
      </c>
      <c r="G54">
        <v>56</v>
      </c>
      <c r="H54">
        <v>54</v>
      </c>
      <c r="I54">
        <v>73</v>
      </c>
      <c r="J54">
        <v>332</v>
      </c>
      <c r="K54">
        <v>66.4</v>
      </c>
      <c r="L54">
        <v>95</v>
      </c>
    </row>
    <row r="55" spans="1:12">
      <c r="A55">
        <v>10024</v>
      </c>
      <c r="B55" t="s">
        <v>48</v>
      </c>
      <c r="C55" t="s">
        <v>18</v>
      </c>
      <c r="D55" t="s">
        <v>23</v>
      </c>
      <c r="E55">
        <v>78</v>
      </c>
      <c r="F55">
        <v>61.5</v>
      </c>
      <c r="G55">
        <v>66</v>
      </c>
      <c r="H55">
        <v>64</v>
      </c>
      <c r="I55">
        <v>69</v>
      </c>
      <c r="J55">
        <v>338.5</v>
      </c>
      <c r="K55">
        <v>67.7</v>
      </c>
      <c r="L55">
        <v>92</v>
      </c>
    </row>
    <row r="56" spans="1:12">
      <c r="A56">
        <v>10026</v>
      </c>
      <c r="B56" t="s">
        <v>50</v>
      </c>
      <c r="C56" t="s">
        <v>15</v>
      </c>
      <c r="D56" t="s">
        <v>23</v>
      </c>
      <c r="E56">
        <v>71.5</v>
      </c>
      <c r="F56">
        <v>88</v>
      </c>
      <c r="G56">
        <v>81</v>
      </c>
      <c r="H56">
        <v>85</v>
      </c>
      <c r="I56">
        <v>82.5</v>
      </c>
      <c r="J56">
        <v>408</v>
      </c>
      <c r="K56">
        <v>81.6</v>
      </c>
      <c r="L56">
        <v>29</v>
      </c>
    </row>
    <row r="57" spans="1:12">
      <c r="A57">
        <v>10043</v>
      </c>
      <c r="B57" t="s">
        <v>67</v>
      </c>
      <c r="C57" t="s">
        <v>15</v>
      </c>
      <c r="D57" t="s">
        <v>23</v>
      </c>
      <c r="E57">
        <v>80.5</v>
      </c>
      <c r="F57">
        <v>90</v>
      </c>
      <c r="G57">
        <v>63.5</v>
      </c>
      <c r="H57">
        <v>85</v>
      </c>
      <c r="I57">
        <v>92.5</v>
      </c>
      <c r="J57">
        <v>411.5</v>
      </c>
      <c r="K57">
        <v>82.3</v>
      </c>
      <c r="L57">
        <v>23</v>
      </c>
    </row>
    <row r="58" spans="1:12">
      <c r="A58">
        <v>10047</v>
      </c>
      <c r="B58" t="s">
        <v>71</v>
      </c>
      <c r="C58" t="s">
        <v>18</v>
      </c>
      <c r="D58" t="s">
        <v>23</v>
      </c>
      <c r="E58">
        <v>64.5</v>
      </c>
      <c r="F58">
        <v>66.5</v>
      </c>
      <c r="G58">
        <v>75.5</v>
      </c>
      <c r="H58">
        <v>73.5</v>
      </c>
      <c r="I58">
        <v>90</v>
      </c>
      <c r="J58">
        <v>370</v>
      </c>
      <c r="K58">
        <v>74</v>
      </c>
      <c r="L58">
        <v>69</v>
      </c>
    </row>
    <row r="59" spans="1:12">
      <c r="A59">
        <v>10052</v>
      </c>
      <c r="B59" t="s">
        <v>76</v>
      </c>
      <c r="C59" t="s">
        <v>18</v>
      </c>
      <c r="D59" t="s">
        <v>23</v>
      </c>
      <c r="E59">
        <v>77.5</v>
      </c>
      <c r="F59">
        <v>72.5</v>
      </c>
      <c r="G59">
        <v>73.5</v>
      </c>
      <c r="H59">
        <v>71.5</v>
      </c>
      <c r="I59">
        <v>65</v>
      </c>
      <c r="J59">
        <v>360</v>
      </c>
      <c r="K59">
        <v>72</v>
      </c>
      <c r="L59">
        <v>82</v>
      </c>
    </row>
    <row r="60" spans="1:12">
      <c r="A60">
        <v>10062</v>
      </c>
      <c r="B60" t="s">
        <v>86</v>
      </c>
      <c r="C60" t="s">
        <v>15</v>
      </c>
      <c r="D60" t="s">
        <v>23</v>
      </c>
      <c r="E60">
        <v>71</v>
      </c>
      <c r="F60">
        <v>60</v>
      </c>
      <c r="G60">
        <v>66.5</v>
      </c>
      <c r="H60">
        <v>64.5</v>
      </c>
      <c r="I60">
        <v>85</v>
      </c>
      <c r="J60">
        <v>347</v>
      </c>
      <c r="K60">
        <v>69.4</v>
      </c>
      <c r="L60">
        <v>88</v>
      </c>
    </row>
    <row r="61" spans="1:12">
      <c r="A61">
        <v>10064</v>
      </c>
      <c r="B61" t="s">
        <v>88</v>
      </c>
      <c r="C61" t="s">
        <v>18</v>
      </c>
      <c r="D61" t="s">
        <v>23</v>
      </c>
      <c r="E61">
        <v>74</v>
      </c>
      <c r="F61">
        <v>85.5</v>
      </c>
      <c r="G61">
        <v>73.5</v>
      </c>
      <c r="H61">
        <v>71.5</v>
      </c>
      <c r="I61">
        <v>79</v>
      </c>
      <c r="J61">
        <v>383.5</v>
      </c>
      <c r="K61">
        <v>76.7</v>
      </c>
      <c r="L61">
        <v>52</v>
      </c>
    </row>
    <row r="62" spans="1:12">
      <c r="A62">
        <v>10069</v>
      </c>
      <c r="B62" t="s">
        <v>93</v>
      </c>
      <c r="C62" t="s">
        <v>18</v>
      </c>
      <c r="D62" t="s">
        <v>23</v>
      </c>
      <c r="E62">
        <v>79.5</v>
      </c>
      <c r="F62">
        <v>86</v>
      </c>
      <c r="G62">
        <v>85</v>
      </c>
      <c r="H62">
        <v>83</v>
      </c>
      <c r="I62">
        <v>61</v>
      </c>
      <c r="J62">
        <v>394.5</v>
      </c>
      <c r="K62">
        <v>78.9</v>
      </c>
      <c r="L62">
        <v>36</v>
      </c>
    </row>
    <row r="63" spans="1:12">
      <c r="A63">
        <v>10072</v>
      </c>
      <c r="B63" t="s">
        <v>96</v>
      </c>
      <c r="C63" t="s">
        <v>18</v>
      </c>
      <c r="D63" t="s">
        <v>23</v>
      </c>
      <c r="E63">
        <v>85.5</v>
      </c>
      <c r="F63">
        <v>94</v>
      </c>
      <c r="G63">
        <v>94</v>
      </c>
      <c r="H63">
        <v>75.5</v>
      </c>
      <c r="I63">
        <v>70</v>
      </c>
      <c r="J63">
        <v>419</v>
      </c>
      <c r="K63">
        <v>83.8</v>
      </c>
      <c r="L63">
        <v>16</v>
      </c>
    </row>
    <row r="64" spans="1:12">
      <c r="A64">
        <v>10074</v>
      </c>
      <c r="B64" t="s">
        <v>98</v>
      </c>
      <c r="C64" t="s">
        <v>15</v>
      </c>
      <c r="D64" t="s">
        <v>23</v>
      </c>
      <c r="E64">
        <v>89</v>
      </c>
      <c r="F64">
        <v>72.5</v>
      </c>
      <c r="G64">
        <v>82.5</v>
      </c>
      <c r="H64">
        <v>80.5</v>
      </c>
      <c r="I64">
        <v>82</v>
      </c>
      <c r="J64">
        <v>406.5</v>
      </c>
      <c r="K64">
        <v>81.3</v>
      </c>
      <c r="L64">
        <v>31</v>
      </c>
    </row>
    <row r="65" spans="1:12">
      <c r="A65">
        <v>10090</v>
      </c>
      <c r="B65" t="s">
        <v>114</v>
      </c>
      <c r="C65" t="s">
        <v>15</v>
      </c>
      <c r="D65" t="s">
        <v>23</v>
      </c>
      <c r="E65">
        <v>76.5</v>
      </c>
      <c r="F65">
        <v>76</v>
      </c>
      <c r="G65">
        <v>87</v>
      </c>
      <c r="H65">
        <v>87</v>
      </c>
      <c r="I65">
        <v>82</v>
      </c>
      <c r="J65">
        <v>408.5</v>
      </c>
      <c r="K65">
        <v>81.7</v>
      </c>
      <c r="L65">
        <v>26</v>
      </c>
    </row>
    <row r="66" spans="1:12">
      <c r="A66">
        <v>10098</v>
      </c>
      <c r="B66" t="s">
        <v>122</v>
      </c>
      <c r="C66" t="s">
        <v>15</v>
      </c>
      <c r="D66" t="s">
        <v>23</v>
      </c>
      <c r="E66">
        <v>67.5</v>
      </c>
      <c r="F66">
        <v>82</v>
      </c>
      <c r="G66">
        <v>95.5</v>
      </c>
      <c r="H66">
        <v>93.5</v>
      </c>
      <c r="I66">
        <v>75</v>
      </c>
      <c r="J66">
        <v>413.5</v>
      </c>
      <c r="K66">
        <v>82.7</v>
      </c>
      <c r="L66">
        <v>20</v>
      </c>
    </row>
    <row r="67" spans="1:12">
      <c r="A67">
        <v>10014</v>
      </c>
      <c r="B67" t="s">
        <v>37</v>
      </c>
      <c r="C67" t="s">
        <v>18</v>
      </c>
      <c r="D67" t="s">
        <v>38</v>
      </c>
      <c r="E67">
        <v>67</v>
      </c>
      <c r="F67">
        <v>86</v>
      </c>
      <c r="G67">
        <v>70.5</v>
      </c>
      <c r="H67">
        <v>68.5</v>
      </c>
      <c r="I67">
        <v>62.5</v>
      </c>
      <c r="J67">
        <v>354.5</v>
      </c>
      <c r="K67">
        <v>70.9</v>
      </c>
      <c r="L67">
        <v>87</v>
      </c>
    </row>
    <row r="68" spans="1:12">
      <c r="A68">
        <v>10031</v>
      </c>
      <c r="B68" t="s">
        <v>55</v>
      </c>
      <c r="C68" t="s">
        <v>18</v>
      </c>
      <c r="D68" t="s">
        <v>38</v>
      </c>
      <c r="E68">
        <v>77.5</v>
      </c>
      <c r="F68">
        <v>75.5</v>
      </c>
      <c r="G68">
        <v>79</v>
      </c>
      <c r="H68">
        <v>77</v>
      </c>
      <c r="I68">
        <v>80</v>
      </c>
      <c r="J68">
        <v>389</v>
      </c>
      <c r="K68">
        <v>77.8</v>
      </c>
      <c r="L68">
        <v>45</v>
      </c>
    </row>
    <row r="69" spans="1:12">
      <c r="A69">
        <v>10045</v>
      </c>
      <c r="B69" t="s">
        <v>69</v>
      </c>
      <c r="C69" t="s">
        <v>15</v>
      </c>
      <c r="D69" t="s">
        <v>38</v>
      </c>
      <c r="E69">
        <v>60.5</v>
      </c>
      <c r="F69">
        <v>80</v>
      </c>
      <c r="G69">
        <v>80.5</v>
      </c>
      <c r="H69">
        <v>78.5</v>
      </c>
      <c r="I69">
        <v>76</v>
      </c>
      <c r="J69">
        <v>375.5</v>
      </c>
      <c r="K69">
        <v>75.1</v>
      </c>
      <c r="L69">
        <v>61</v>
      </c>
    </row>
    <row r="70" spans="1:12">
      <c r="A70">
        <v>10046</v>
      </c>
      <c r="B70" t="s">
        <v>70</v>
      </c>
      <c r="C70" t="s">
        <v>18</v>
      </c>
      <c r="D70" t="s">
        <v>38</v>
      </c>
      <c r="E70">
        <v>92</v>
      </c>
      <c r="F70">
        <v>93</v>
      </c>
      <c r="G70">
        <v>92</v>
      </c>
      <c r="H70">
        <v>63.5</v>
      </c>
      <c r="I70">
        <v>65</v>
      </c>
      <c r="J70">
        <v>405.5</v>
      </c>
      <c r="K70">
        <v>81.1</v>
      </c>
      <c r="L70">
        <v>33</v>
      </c>
    </row>
    <row r="71" spans="1:12">
      <c r="A71">
        <v>10049</v>
      </c>
      <c r="B71" t="s">
        <v>73</v>
      </c>
      <c r="C71" t="s">
        <v>15</v>
      </c>
      <c r="D71" t="s">
        <v>38</v>
      </c>
      <c r="E71">
        <v>63.5</v>
      </c>
      <c r="F71">
        <v>83</v>
      </c>
      <c r="G71">
        <v>63.5</v>
      </c>
      <c r="H71">
        <v>61.5</v>
      </c>
      <c r="I71">
        <v>70</v>
      </c>
      <c r="J71">
        <v>341.5</v>
      </c>
      <c r="K71">
        <v>68.3</v>
      </c>
      <c r="L71">
        <v>90</v>
      </c>
    </row>
    <row r="72" spans="1:12">
      <c r="A72">
        <v>10054</v>
      </c>
      <c r="B72" t="s">
        <v>78</v>
      </c>
      <c r="C72" t="s">
        <v>18</v>
      </c>
      <c r="D72" t="s">
        <v>38</v>
      </c>
      <c r="E72">
        <v>96</v>
      </c>
      <c r="F72">
        <v>88</v>
      </c>
      <c r="G72">
        <v>93</v>
      </c>
      <c r="H72">
        <v>88</v>
      </c>
      <c r="I72">
        <v>92</v>
      </c>
      <c r="J72">
        <v>457</v>
      </c>
      <c r="K72">
        <v>91.4</v>
      </c>
      <c r="L72">
        <v>5</v>
      </c>
    </row>
    <row r="73" spans="1:12">
      <c r="A73">
        <v>10056</v>
      </c>
      <c r="B73" t="s">
        <v>80</v>
      </c>
      <c r="C73" t="s">
        <v>18</v>
      </c>
      <c r="D73" t="s">
        <v>38</v>
      </c>
      <c r="E73">
        <v>79.5</v>
      </c>
      <c r="F73">
        <v>87.5</v>
      </c>
      <c r="G73">
        <v>74.5</v>
      </c>
      <c r="H73">
        <v>72.5</v>
      </c>
      <c r="I73">
        <v>75</v>
      </c>
      <c r="J73">
        <v>389</v>
      </c>
      <c r="K73">
        <v>77.8</v>
      </c>
      <c r="L73">
        <v>45</v>
      </c>
    </row>
    <row r="74" spans="1:12">
      <c r="A74">
        <v>10066</v>
      </c>
      <c r="B74" t="s">
        <v>90</v>
      </c>
      <c r="C74" t="s">
        <v>15</v>
      </c>
      <c r="D74" t="s">
        <v>38</v>
      </c>
      <c r="E74">
        <v>68</v>
      </c>
      <c r="F74">
        <v>81</v>
      </c>
      <c r="G74">
        <v>85.5</v>
      </c>
      <c r="H74">
        <v>83.5</v>
      </c>
      <c r="I74">
        <v>65.5</v>
      </c>
      <c r="J74">
        <v>383.5</v>
      </c>
      <c r="K74">
        <v>76.7</v>
      </c>
      <c r="L74">
        <v>52</v>
      </c>
    </row>
    <row r="75" spans="1:12">
      <c r="A75">
        <v>10076</v>
      </c>
      <c r="B75" t="s">
        <v>100</v>
      </c>
      <c r="C75" t="s">
        <v>15</v>
      </c>
      <c r="D75" t="s">
        <v>38</v>
      </c>
      <c r="E75">
        <v>81</v>
      </c>
      <c r="F75">
        <v>83</v>
      </c>
      <c r="G75">
        <v>75.5</v>
      </c>
      <c r="H75">
        <v>73.5</v>
      </c>
      <c r="I75">
        <v>62.5</v>
      </c>
      <c r="J75">
        <v>375.5</v>
      </c>
      <c r="K75">
        <v>75.1</v>
      </c>
      <c r="L75">
        <v>61</v>
      </c>
    </row>
    <row r="76" spans="1:12">
      <c r="A76">
        <v>10077</v>
      </c>
      <c r="B76" t="s">
        <v>101</v>
      </c>
      <c r="C76" t="s">
        <v>18</v>
      </c>
      <c r="D76" t="s">
        <v>38</v>
      </c>
      <c r="E76">
        <v>71.5</v>
      </c>
      <c r="F76">
        <v>79.5</v>
      </c>
      <c r="G76">
        <v>75.5</v>
      </c>
      <c r="H76">
        <v>73.5</v>
      </c>
      <c r="I76">
        <v>87.5</v>
      </c>
      <c r="J76">
        <v>387.5</v>
      </c>
      <c r="K76">
        <v>77.5</v>
      </c>
      <c r="L76">
        <v>51</v>
      </c>
    </row>
    <row r="77" spans="1:12">
      <c r="A77">
        <v>10081</v>
      </c>
      <c r="B77" t="s">
        <v>105</v>
      </c>
      <c r="C77" t="s">
        <v>18</v>
      </c>
      <c r="D77" t="s">
        <v>38</v>
      </c>
      <c r="E77">
        <v>87.5</v>
      </c>
      <c r="F77">
        <v>73</v>
      </c>
      <c r="G77">
        <v>91</v>
      </c>
      <c r="H77">
        <v>89</v>
      </c>
      <c r="I77">
        <v>69.5</v>
      </c>
      <c r="J77">
        <v>410</v>
      </c>
      <c r="K77">
        <v>82</v>
      </c>
      <c r="L77">
        <v>25</v>
      </c>
    </row>
    <row r="78" spans="1:12">
      <c r="A78">
        <v>10087</v>
      </c>
      <c r="B78" t="s">
        <v>111</v>
      </c>
      <c r="C78" t="s">
        <v>18</v>
      </c>
      <c r="D78" t="s">
        <v>38</v>
      </c>
      <c r="E78">
        <v>88</v>
      </c>
      <c r="F78">
        <v>81.5</v>
      </c>
      <c r="G78">
        <v>83</v>
      </c>
      <c r="H78">
        <v>81</v>
      </c>
      <c r="I78">
        <v>73.5</v>
      </c>
      <c r="J78">
        <v>407</v>
      </c>
      <c r="K78">
        <v>81.4</v>
      </c>
      <c r="L78">
        <v>30</v>
      </c>
    </row>
    <row r="79" spans="1:12">
      <c r="A79">
        <v>10096</v>
      </c>
      <c r="B79" t="s">
        <v>120</v>
      </c>
      <c r="C79" t="s">
        <v>15</v>
      </c>
      <c r="D79" t="s">
        <v>38</v>
      </c>
      <c r="E79">
        <v>81.5</v>
      </c>
      <c r="F79">
        <v>74</v>
      </c>
      <c r="G79">
        <v>71</v>
      </c>
      <c r="H79">
        <v>69</v>
      </c>
      <c r="I79">
        <v>64</v>
      </c>
      <c r="J79">
        <v>359.5</v>
      </c>
      <c r="K79">
        <v>71.9</v>
      </c>
      <c r="L79">
        <v>83</v>
      </c>
    </row>
    <row r="80" spans="1:12">
      <c r="A80">
        <v>10099</v>
      </c>
      <c r="B80" t="s">
        <v>123</v>
      </c>
      <c r="C80" t="s">
        <v>18</v>
      </c>
      <c r="D80" t="s">
        <v>38</v>
      </c>
      <c r="E80">
        <v>81</v>
      </c>
      <c r="F80">
        <v>85</v>
      </c>
      <c r="G80">
        <v>79.5</v>
      </c>
      <c r="H80">
        <v>77.5</v>
      </c>
      <c r="I80">
        <v>83</v>
      </c>
      <c r="J80">
        <v>406</v>
      </c>
      <c r="K80">
        <v>81.2</v>
      </c>
      <c r="L80">
        <v>32</v>
      </c>
    </row>
    <row r="81" spans="1:12">
      <c r="A81">
        <v>10003</v>
      </c>
      <c r="B81" t="s">
        <v>20</v>
      </c>
      <c r="C81" t="s">
        <v>15</v>
      </c>
      <c r="D81" t="s">
        <v>21</v>
      </c>
      <c r="E81">
        <v>66</v>
      </c>
      <c r="F81">
        <v>66</v>
      </c>
      <c r="G81">
        <v>74</v>
      </c>
      <c r="H81">
        <v>72</v>
      </c>
      <c r="I81">
        <v>83</v>
      </c>
      <c r="J81">
        <v>361</v>
      </c>
      <c r="K81">
        <v>72.2</v>
      </c>
      <c r="L81">
        <v>80</v>
      </c>
    </row>
    <row r="82" spans="1:12">
      <c r="A82">
        <v>10007</v>
      </c>
      <c r="B82" t="s">
        <v>29</v>
      </c>
      <c r="C82" t="s">
        <v>18</v>
      </c>
      <c r="D82" t="s">
        <v>21</v>
      </c>
      <c r="E82">
        <v>84</v>
      </c>
      <c r="F82">
        <v>70.5</v>
      </c>
      <c r="G82">
        <v>75</v>
      </c>
      <c r="H82">
        <v>73</v>
      </c>
      <c r="I82">
        <v>75</v>
      </c>
      <c r="J82">
        <v>377.5</v>
      </c>
      <c r="K82">
        <v>75.5</v>
      </c>
      <c r="L82">
        <v>60</v>
      </c>
    </row>
    <row r="83" spans="1:12">
      <c r="A83">
        <v>10013</v>
      </c>
      <c r="B83" t="s">
        <v>36</v>
      </c>
      <c r="C83" t="s">
        <v>18</v>
      </c>
      <c r="D83" t="s">
        <v>21</v>
      </c>
      <c r="E83">
        <v>65</v>
      </c>
      <c r="F83">
        <v>64</v>
      </c>
      <c r="G83">
        <v>75.5</v>
      </c>
      <c r="H83">
        <v>73.5</v>
      </c>
      <c r="I83">
        <v>83.5</v>
      </c>
      <c r="J83">
        <v>361.5</v>
      </c>
      <c r="K83">
        <v>72.3</v>
      </c>
      <c r="L83">
        <v>78</v>
      </c>
    </row>
    <row r="84" spans="1:12">
      <c r="A84">
        <v>10021</v>
      </c>
      <c r="B84" t="s">
        <v>45</v>
      </c>
      <c r="C84" t="s">
        <v>18</v>
      </c>
      <c r="D84" t="s">
        <v>21</v>
      </c>
      <c r="E84">
        <v>91</v>
      </c>
      <c r="F84">
        <v>68.5</v>
      </c>
      <c r="G84">
        <v>64.5</v>
      </c>
      <c r="H84">
        <v>62.5</v>
      </c>
      <c r="I84">
        <v>76.5</v>
      </c>
      <c r="J84">
        <v>363</v>
      </c>
      <c r="K84">
        <v>72.6</v>
      </c>
      <c r="L84">
        <v>76</v>
      </c>
    </row>
    <row r="85" spans="1:12">
      <c r="A85">
        <v>10028</v>
      </c>
      <c r="B85" t="s">
        <v>52</v>
      </c>
      <c r="C85" t="s">
        <v>15</v>
      </c>
      <c r="D85" t="s">
        <v>21</v>
      </c>
      <c r="E85">
        <v>69</v>
      </c>
      <c r="F85">
        <v>68.5</v>
      </c>
      <c r="G85">
        <v>92</v>
      </c>
      <c r="H85">
        <v>90</v>
      </c>
      <c r="I85">
        <v>94.5</v>
      </c>
      <c r="J85">
        <v>414</v>
      </c>
      <c r="K85">
        <v>82.8</v>
      </c>
      <c r="L85">
        <v>19</v>
      </c>
    </row>
    <row r="86" spans="1:12">
      <c r="A86">
        <v>10030</v>
      </c>
      <c r="B86" t="s">
        <v>54</v>
      </c>
      <c r="C86" t="s">
        <v>15</v>
      </c>
      <c r="D86" t="s">
        <v>21</v>
      </c>
      <c r="E86">
        <v>69</v>
      </c>
      <c r="F86">
        <v>75</v>
      </c>
      <c r="G86">
        <v>89</v>
      </c>
      <c r="H86">
        <v>80</v>
      </c>
      <c r="I86">
        <v>75</v>
      </c>
      <c r="J86">
        <v>388</v>
      </c>
      <c r="K86">
        <v>77.6</v>
      </c>
      <c r="L86">
        <v>49</v>
      </c>
    </row>
    <row r="87" spans="1:12">
      <c r="A87">
        <v>10032</v>
      </c>
      <c r="B87" t="s">
        <v>56</v>
      </c>
      <c r="C87" t="s">
        <v>18</v>
      </c>
      <c r="D87" t="s">
        <v>21</v>
      </c>
      <c r="E87">
        <v>77</v>
      </c>
      <c r="F87">
        <v>85.5</v>
      </c>
      <c r="G87">
        <v>63.5</v>
      </c>
      <c r="H87">
        <v>61.5</v>
      </c>
      <c r="I87">
        <v>72</v>
      </c>
      <c r="J87">
        <v>359.5</v>
      </c>
      <c r="K87">
        <v>71.9</v>
      </c>
      <c r="L87">
        <v>83</v>
      </c>
    </row>
    <row r="88" spans="1:12">
      <c r="A88">
        <v>10033</v>
      </c>
      <c r="B88" t="s">
        <v>57</v>
      </c>
      <c r="C88" t="s">
        <v>15</v>
      </c>
      <c r="D88" t="s">
        <v>21</v>
      </c>
      <c r="E88">
        <v>85</v>
      </c>
      <c r="F88">
        <v>95</v>
      </c>
      <c r="G88">
        <v>94</v>
      </c>
      <c r="H88">
        <v>86.5</v>
      </c>
      <c r="I88">
        <v>92</v>
      </c>
      <c r="J88">
        <v>452.5</v>
      </c>
      <c r="K88">
        <v>90.5</v>
      </c>
      <c r="L88">
        <v>11</v>
      </c>
    </row>
    <row r="89" spans="1:12">
      <c r="A89">
        <v>10034</v>
      </c>
      <c r="B89" t="s">
        <v>58</v>
      </c>
      <c r="C89" t="s">
        <v>18</v>
      </c>
      <c r="D89" t="s">
        <v>21</v>
      </c>
      <c r="E89">
        <v>80</v>
      </c>
      <c r="F89">
        <v>76.5</v>
      </c>
      <c r="G89">
        <v>89.5</v>
      </c>
      <c r="H89">
        <v>87.5</v>
      </c>
      <c r="I89">
        <v>80</v>
      </c>
      <c r="J89">
        <v>413.5</v>
      </c>
      <c r="K89">
        <v>82.7</v>
      </c>
      <c r="L89">
        <v>20</v>
      </c>
    </row>
    <row r="90" spans="1:12">
      <c r="A90">
        <v>10035</v>
      </c>
      <c r="B90" t="s">
        <v>59</v>
      </c>
      <c r="C90" t="s">
        <v>18</v>
      </c>
      <c r="D90" t="s">
        <v>21</v>
      </c>
      <c r="E90">
        <v>65</v>
      </c>
      <c r="F90">
        <v>60</v>
      </c>
      <c r="G90">
        <v>50</v>
      </c>
      <c r="H90">
        <v>52.5</v>
      </c>
      <c r="I90">
        <v>62</v>
      </c>
      <c r="J90">
        <v>289.5</v>
      </c>
      <c r="K90">
        <v>57.9</v>
      </c>
      <c r="L90">
        <v>98</v>
      </c>
    </row>
    <row r="91" spans="1:12">
      <c r="A91">
        <v>10039</v>
      </c>
      <c r="B91" t="s">
        <v>63</v>
      </c>
      <c r="C91" t="s">
        <v>18</v>
      </c>
      <c r="D91" t="s">
        <v>21</v>
      </c>
      <c r="E91">
        <v>85.5</v>
      </c>
      <c r="F91">
        <v>91.5</v>
      </c>
      <c r="G91">
        <v>56.5</v>
      </c>
      <c r="H91">
        <v>54.5</v>
      </c>
      <c r="I91">
        <v>76.5</v>
      </c>
      <c r="J91">
        <v>364.5</v>
      </c>
      <c r="K91">
        <v>72.9</v>
      </c>
      <c r="L91">
        <v>73</v>
      </c>
    </row>
    <row r="92" spans="1:12">
      <c r="A92">
        <v>10044</v>
      </c>
      <c r="B92" t="s">
        <v>68</v>
      </c>
      <c r="C92" t="s">
        <v>15</v>
      </c>
      <c r="D92" t="s">
        <v>21</v>
      </c>
      <c r="E92">
        <v>71.5</v>
      </c>
      <c r="F92">
        <v>60</v>
      </c>
      <c r="G92">
        <v>52</v>
      </c>
      <c r="H92">
        <v>50</v>
      </c>
      <c r="I92">
        <v>58</v>
      </c>
      <c r="J92">
        <v>291.5</v>
      </c>
      <c r="K92">
        <v>58.3</v>
      </c>
      <c r="L92">
        <v>97</v>
      </c>
    </row>
    <row r="93" spans="1:12">
      <c r="A93">
        <v>10055</v>
      </c>
      <c r="B93" t="s">
        <v>79</v>
      </c>
      <c r="C93" t="s">
        <v>15</v>
      </c>
      <c r="D93" t="s">
        <v>21</v>
      </c>
      <c r="E93">
        <v>81.5</v>
      </c>
      <c r="F93">
        <v>94</v>
      </c>
      <c r="G93">
        <v>94</v>
      </c>
      <c r="H93">
        <v>90</v>
      </c>
      <c r="I93">
        <v>95</v>
      </c>
      <c r="J93">
        <v>454.5</v>
      </c>
      <c r="K93">
        <v>90.9</v>
      </c>
      <c r="L93">
        <v>10</v>
      </c>
    </row>
    <row r="94" spans="1:12">
      <c r="A94">
        <v>10060</v>
      </c>
      <c r="B94" t="s">
        <v>84</v>
      </c>
      <c r="C94" t="s">
        <v>18</v>
      </c>
      <c r="D94" t="s">
        <v>21</v>
      </c>
      <c r="E94">
        <v>96</v>
      </c>
      <c r="F94">
        <v>84</v>
      </c>
      <c r="G94">
        <v>98</v>
      </c>
      <c r="H94">
        <v>96</v>
      </c>
      <c r="I94">
        <v>69.5</v>
      </c>
      <c r="J94">
        <v>443.5</v>
      </c>
      <c r="K94">
        <v>88.7</v>
      </c>
      <c r="L94">
        <v>12</v>
      </c>
    </row>
    <row r="95" spans="1:12">
      <c r="A95">
        <v>10067</v>
      </c>
      <c r="B95" t="s">
        <v>91</v>
      </c>
      <c r="C95" t="s">
        <v>18</v>
      </c>
      <c r="D95" t="s">
        <v>21</v>
      </c>
      <c r="E95">
        <v>71.5</v>
      </c>
      <c r="F95">
        <v>73</v>
      </c>
      <c r="G95">
        <v>77</v>
      </c>
      <c r="H95">
        <v>75</v>
      </c>
      <c r="I95">
        <v>78.5</v>
      </c>
      <c r="J95">
        <v>375</v>
      </c>
      <c r="K95">
        <v>75</v>
      </c>
      <c r="L95">
        <v>64</v>
      </c>
    </row>
    <row r="96" spans="1:12">
      <c r="A96">
        <v>10070</v>
      </c>
      <c r="B96" t="s">
        <v>94</v>
      </c>
      <c r="C96" t="s">
        <v>15</v>
      </c>
      <c r="D96" t="s">
        <v>21</v>
      </c>
      <c r="E96">
        <v>68.5</v>
      </c>
      <c r="F96">
        <v>63</v>
      </c>
      <c r="G96">
        <v>88</v>
      </c>
      <c r="H96">
        <v>86</v>
      </c>
      <c r="I96">
        <v>73</v>
      </c>
      <c r="J96">
        <v>378.5</v>
      </c>
      <c r="K96">
        <v>75.7</v>
      </c>
      <c r="L96">
        <v>58</v>
      </c>
    </row>
    <row r="97" spans="1:12">
      <c r="A97">
        <v>10073</v>
      </c>
      <c r="B97" t="s">
        <v>97</v>
      </c>
      <c r="C97" t="s">
        <v>15</v>
      </c>
      <c r="D97" t="s">
        <v>21</v>
      </c>
      <c r="E97">
        <v>82</v>
      </c>
      <c r="F97">
        <v>81</v>
      </c>
      <c r="G97">
        <v>62.5</v>
      </c>
      <c r="H97">
        <v>60.5</v>
      </c>
      <c r="I97">
        <v>92</v>
      </c>
      <c r="J97">
        <v>378</v>
      </c>
      <c r="K97">
        <v>75.6</v>
      </c>
      <c r="L97">
        <v>59</v>
      </c>
    </row>
    <row r="98" spans="1:12">
      <c r="A98">
        <v>10082</v>
      </c>
      <c r="B98" t="s">
        <v>106</v>
      </c>
      <c r="C98" t="s">
        <v>18</v>
      </c>
      <c r="D98" t="s">
        <v>21</v>
      </c>
      <c r="E98">
        <v>81</v>
      </c>
      <c r="F98">
        <v>91.5</v>
      </c>
      <c r="G98">
        <v>97</v>
      </c>
      <c r="H98">
        <v>95</v>
      </c>
      <c r="I98">
        <v>92</v>
      </c>
      <c r="J98">
        <v>456.5</v>
      </c>
      <c r="K98">
        <v>91.3</v>
      </c>
      <c r="L98">
        <v>7</v>
      </c>
    </row>
    <row r="99" spans="1:12">
      <c r="A99">
        <v>10086</v>
      </c>
      <c r="B99" t="s">
        <v>110</v>
      </c>
      <c r="C99" t="s">
        <v>15</v>
      </c>
      <c r="D99" t="s">
        <v>21</v>
      </c>
      <c r="E99">
        <v>93</v>
      </c>
      <c r="F99">
        <v>88</v>
      </c>
      <c r="G99">
        <v>98</v>
      </c>
      <c r="H99">
        <v>85</v>
      </c>
      <c r="I99">
        <v>94</v>
      </c>
      <c r="J99">
        <v>458</v>
      </c>
      <c r="K99">
        <v>91.6</v>
      </c>
      <c r="L99">
        <v>3</v>
      </c>
    </row>
    <row r="100" spans="1:12">
      <c r="A100">
        <v>10091</v>
      </c>
      <c r="B100" t="s">
        <v>115</v>
      </c>
      <c r="C100" t="s">
        <v>18</v>
      </c>
      <c r="D100" t="s">
        <v>21</v>
      </c>
      <c r="E100">
        <v>66</v>
      </c>
      <c r="F100">
        <v>69.5</v>
      </c>
      <c r="G100">
        <v>79.5</v>
      </c>
      <c r="H100">
        <v>77.5</v>
      </c>
      <c r="I100">
        <v>83</v>
      </c>
      <c r="J100">
        <v>375.5</v>
      </c>
      <c r="K100">
        <v>75.1</v>
      </c>
      <c r="L100">
        <v>61</v>
      </c>
    </row>
    <row r="101" spans="1:12">
      <c r="A101">
        <v>10095</v>
      </c>
      <c r="B101" t="s">
        <v>119</v>
      </c>
      <c r="C101" t="s">
        <v>18</v>
      </c>
      <c r="D101" t="s">
        <v>21</v>
      </c>
      <c r="E101">
        <v>76.5</v>
      </c>
      <c r="F101">
        <v>62.5</v>
      </c>
      <c r="G101">
        <v>79.5</v>
      </c>
      <c r="H101">
        <v>77.5</v>
      </c>
      <c r="I101">
        <v>83</v>
      </c>
      <c r="J101">
        <v>379</v>
      </c>
      <c r="K101">
        <v>75.8</v>
      </c>
      <c r="L101">
        <v>57</v>
      </c>
    </row>
  </sheetData>
  <sortState ref="A3:L101">
    <sortCondition ref="D3:D101" customList="一班,二班,三班,四班,五班,六班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04"/>
  <sheetViews>
    <sheetView zoomScale="70" zoomScaleNormal="70" workbookViewId="0">
      <selection activeCell="N130" sqref="N130"/>
    </sheetView>
  </sheetViews>
  <sheetFormatPr defaultColWidth="9" defaultRowHeight="13.5"/>
  <sheetData>
    <row r="1" spans="1:2">
      <c r="A1" t="s">
        <v>4</v>
      </c>
      <c r="B1" t="s">
        <v>5</v>
      </c>
    </row>
    <row r="2" spans="1:2">
      <c r="A2" t="s">
        <v>16</v>
      </c>
      <c r="B2" t="s">
        <v>124</v>
      </c>
    </row>
    <row r="3" ht="14.25" spans="1:2">
      <c r="A3" t="s">
        <v>21</v>
      </c>
      <c r="B3" t="s">
        <v>124</v>
      </c>
    </row>
    <row r="4" ht="15" spans="1:12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6" t="s">
        <v>12</v>
      </c>
    </row>
    <row r="5" ht="14.25" hidden="1" spans="1:12">
      <c r="A5">
        <v>10002</v>
      </c>
      <c r="B5" t="s">
        <v>17</v>
      </c>
      <c r="C5" t="s">
        <v>18</v>
      </c>
      <c r="D5" t="s">
        <v>19</v>
      </c>
      <c r="E5">
        <v>87</v>
      </c>
      <c r="F5">
        <v>90</v>
      </c>
      <c r="G5">
        <v>97</v>
      </c>
      <c r="H5">
        <v>69.5</v>
      </c>
      <c r="I5">
        <v>88.5</v>
      </c>
      <c r="J5">
        <v>432</v>
      </c>
      <c r="K5">
        <v>86.4</v>
      </c>
      <c r="L5">
        <v>13</v>
      </c>
    </row>
    <row r="6" hidden="1" spans="1:12">
      <c r="A6">
        <v>10016</v>
      </c>
      <c r="B6" t="s">
        <v>40</v>
      </c>
      <c r="C6" t="s">
        <v>18</v>
      </c>
      <c r="D6" t="s">
        <v>19</v>
      </c>
      <c r="E6">
        <v>89</v>
      </c>
      <c r="F6">
        <v>72</v>
      </c>
      <c r="G6">
        <v>79</v>
      </c>
      <c r="H6">
        <v>87</v>
      </c>
      <c r="I6">
        <v>97</v>
      </c>
      <c r="J6">
        <v>424</v>
      </c>
      <c r="K6">
        <v>84.8</v>
      </c>
      <c r="L6">
        <v>14</v>
      </c>
    </row>
    <row r="7" hidden="1" spans="1:12">
      <c r="A7">
        <v>10023</v>
      </c>
      <c r="B7" t="s">
        <v>47</v>
      </c>
      <c r="C7" t="s">
        <v>18</v>
      </c>
      <c r="D7" t="s">
        <v>19</v>
      </c>
      <c r="E7">
        <v>72.5</v>
      </c>
      <c r="F7">
        <v>74.5</v>
      </c>
      <c r="G7">
        <v>72.5</v>
      </c>
      <c r="H7">
        <v>70.5</v>
      </c>
      <c r="I7">
        <v>67</v>
      </c>
      <c r="J7">
        <v>357</v>
      </c>
      <c r="K7">
        <v>71.4</v>
      </c>
      <c r="L7">
        <v>86</v>
      </c>
    </row>
    <row r="8" hidden="1" spans="1:12">
      <c r="A8">
        <v>10040</v>
      </c>
      <c r="B8" t="s">
        <v>64</v>
      </c>
      <c r="C8" t="s">
        <v>15</v>
      </c>
      <c r="D8" t="s">
        <v>19</v>
      </c>
      <c r="E8">
        <v>85.5</v>
      </c>
      <c r="F8">
        <v>66</v>
      </c>
      <c r="G8">
        <v>74</v>
      </c>
      <c r="H8">
        <v>72</v>
      </c>
      <c r="I8">
        <v>65.5</v>
      </c>
      <c r="J8">
        <v>363</v>
      </c>
      <c r="K8">
        <v>72.6</v>
      </c>
      <c r="L8">
        <v>76</v>
      </c>
    </row>
    <row r="9" hidden="1" spans="1:12">
      <c r="A9">
        <v>10042</v>
      </c>
      <c r="B9" t="s">
        <v>66</v>
      </c>
      <c r="C9" t="s">
        <v>15</v>
      </c>
      <c r="D9" t="s">
        <v>19</v>
      </c>
      <c r="E9">
        <v>79.5</v>
      </c>
      <c r="F9">
        <v>81.5</v>
      </c>
      <c r="G9">
        <v>71.5</v>
      </c>
      <c r="H9">
        <v>69.5</v>
      </c>
      <c r="I9">
        <v>62</v>
      </c>
      <c r="J9">
        <v>364</v>
      </c>
      <c r="K9">
        <v>72.8</v>
      </c>
      <c r="L9">
        <v>75</v>
      </c>
    </row>
    <row r="10" hidden="1" spans="1:12">
      <c r="A10">
        <v>10048</v>
      </c>
      <c r="B10" t="s">
        <v>72</v>
      </c>
      <c r="C10" t="s">
        <v>15</v>
      </c>
      <c r="D10" t="s">
        <v>19</v>
      </c>
      <c r="E10">
        <v>65.5</v>
      </c>
      <c r="F10">
        <v>74</v>
      </c>
      <c r="G10">
        <v>69</v>
      </c>
      <c r="H10">
        <v>67</v>
      </c>
      <c r="I10">
        <v>70</v>
      </c>
      <c r="J10">
        <v>345.5</v>
      </c>
      <c r="K10">
        <v>69.1</v>
      </c>
      <c r="L10">
        <v>89</v>
      </c>
    </row>
    <row r="11" hidden="1" spans="1:12">
      <c r="A11">
        <v>10050</v>
      </c>
      <c r="B11" t="s">
        <v>74</v>
      </c>
      <c r="C11" t="s">
        <v>18</v>
      </c>
      <c r="D11" t="s">
        <v>19</v>
      </c>
      <c r="E11">
        <v>78</v>
      </c>
      <c r="F11">
        <v>74</v>
      </c>
      <c r="G11">
        <v>78</v>
      </c>
      <c r="H11">
        <v>76</v>
      </c>
      <c r="I11">
        <v>74</v>
      </c>
      <c r="J11">
        <v>380</v>
      </c>
      <c r="K11">
        <v>76</v>
      </c>
      <c r="L11">
        <v>55</v>
      </c>
    </row>
    <row r="12" hidden="1" spans="1:12">
      <c r="A12">
        <v>10051</v>
      </c>
      <c r="B12" t="s">
        <v>75</v>
      </c>
      <c r="C12" t="s">
        <v>15</v>
      </c>
      <c r="D12" t="s">
        <v>19</v>
      </c>
      <c r="E12">
        <v>91</v>
      </c>
      <c r="F12">
        <v>86</v>
      </c>
      <c r="G12">
        <v>73</v>
      </c>
      <c r="H12">
        <v>71</v>
      </c>
      <c r="I12">
        <v>67.5</v>
      </c>
      <c r="J12">
        <v>388.5</v>
      </c>
      <c r="K12">
        <v>77.7</v>
      </c>
      <c r="L12">
        <v>47</v>
      </c>
    </row>
    <row r="13" hidden="1" spans="1:12">
      <c r="A13">
        <v>10059</v>
      </c>
      <c r="B13" t="s">
        <v>83</v>
      </c>
      <c r="C13" t="s">
        <v>18</v>
      </c>
      <c r="D13" t="s">
        <v>19</v>
      </c>
      <c r="E13">
        <v>62</v>
      </c>
      <c r="F13">
        <v>75</v>
      </c>
      <c r="G13">
        <v>84.5</v>
      </c>
      <c r="H13">
        <v>82.5</v>
      </c>
      <c r="I13">
        <v>67.5</v>
      </c>
      <c r="J13">
        <v>371.5</v>
      </c>
      <c r="K13">
        <v>74.3</v>
      </c>
      <c r="L13">
        <v>67</v>
      </c>
    </row>
    <row r="14" hidden="1" spans="1:12">
      <c r="A14">
        <v>10065</v>
      </c>
      <c r="B14" t="s">
        <v>89</v>
      </c>
      <c r="C14" t="s">
        <v>18</v>
      </c>
      <c r="D14" t="s">
        <v>19</v>
      </c>
      <c r="E14">
        <v>82.5</v>
      </c>
      <c r="F14">
        <v>80</v>
      </c>
      <c r="G14">
        <v>92.5</v>
      </c>
      <c r="H14">
        <v>90.5</v>
      </c>
      <c r="I14">
        <v>73.5</v>
      </c>
      <c r="J14">
        <v>419</v>
      </c>
      <c r="K14">
        <v>83.8</v>
      </c>
      <c r="L14">
        <v>16</v>
      </c>
    </row>
    <row r="15" hidden="1" spans="1:12">
      <c r="A15">
        <v>10068</v>
      </c>
      <c r="B15" t="s">
        <v>92</v>
      </c>
      <c r="C15" t="s">
        <v>15</v>
      </c>
      <c r="D15" t="s">
        <v>19</v>
      </c>
      <c r="E15">
        <v>75.5</v>
      </c>
      <c r="F15">
        <v>65.5</v>
      </c>
      <c r="G15">
        <v>73.5</v>
      </c>
      <c r="H15">
        <v>71.5</v>
      </c>
      <c r="I15">
        <v>71.5</v>
      </c>
      <c r="J15">
        <v>357.5</v>
      </c>
      <c r="K15">
        <v>71.5</v>
      </c>
      <c r="L15">
        <v>85</v>
      </c>
    </row>
    <row r="16" hidden="1" spans="1:12">
      <c r="A16">
        <v>10083</v>
      </c>
      <c r="B16" t="s">
        <v>107</v>
      </c>
      <c r="C16" t="s">
        <v>18</v>
      </c>
      <c r="D16" t="s">
        <v>19</v>
      </c>
      <c r="E16">
        <v>83</v>
      </c>
      <c r="F16">
        <v>80</v>
      </c>
      <c r="G16">
        <v>72.5</v>
      </c>
      <c r="H16">
        <v>82</v>
      </c>
      <c r="I16">
        <v>93.5</v>
      </c>
      <c r="J16">
        <v>411</v>
      </c>
      <c r="K16">
        <v>82.2</v>
      </c>
      <c r="L16">
        <v>24</v>
      </c>
    </row>
    <row r="17" hidden="1" spans="1:12">
      <c r="A17">
        <v>10092</v>
      </c>
      <c r="B17" t="s">
        <v>116</v>
      </c>
      <c r="C17" t="s">
        <v>15</v>
      </c>
      <c r="D17" t="s">
        <v>19</v>
      </c>
      <c r="E17">
        <v>91</v>
      </c>
      <c r="F17">
        <v>83.5</v>
      </c>
      <c r="G17">
        <v>82.5</v>
      </c>
      <c r="H17">
        <v>80.5</v>
      </c>
      <c r="I17">
        <v>84</v>
      </c>
      <c r="J17">
        <v>421.5</v>
      </c>
      <c r="K17">
        <v>84.3</v>
      </c>
      <c r="L17">
        <v>15</v>
      </c>
    </row>
    <row r="18" hidden="1" spans="1:12">
      <c r="A18">
        <v>10097</v>
      </c>
      <c r="B18" t="s">
        <v>121</v>
      </c>
      <c r="C18" t="s">
        <v>15</v>
      </c>
      <c r="D18" t="s">
        <v>19</v>
      </c>
      <c r="E18">
        <v>75.5</v>
      </c>
      <c r="F18">
        <v>74</v>
      </c>
      <c r="G18">
        <v>76</v>
      </c>
      <c r="H18">
        <v>74</v>
      </c>
      <c r="I18">
        <v>73.5</v>
      </c>
      <c r="J18">
        <v>373</v>
      </c>
      <c r="K18">
        <v>74.6</v>
      </c>
      <c r="L18">
        <v>65</v>
      </c>
    </row>
    <row r="19" hidden="1" spans="1:12">
      <c r="A19">
        <v>10001</v>
      </c>
      <c r="B19" t="s">
        <v>14</v>
      </c>
      <c r="C19" t="s">
        <v>15</v>
      </c>
      <c r="D19" t="s">
        <v>16</v>
      </c>
      <c r="E19">
        <v>91</v>
      </c>
      <c r="F19">
        <v>98</v>
      </c>
      <c r="G19">
        <v>94</v>
      </c>
      <c r="H19">
        <v>92</v>
      </c>
      <c r="I19">
        <v>82</v>
      </c>
      <c r="J19">
        <v>457</v>
      </c>
      <c r="K19">
        <v>91.4</v>
      </c>
      <c r="L19">
        <v>5</v>
      </c>
    </row>
    <row r="20" hidden="1" spans="1:12">
      <c r="A20">
        <v>10005</v>
      </c>
      <c r="B20" t="s">
        <v>25</v>
      </c>
      <c r="C20" t="s">
        <v>15</v>
      </c>
      <c r="D20" t="s">
        <v>16</v>
      </c>
      <c r="E20">
        <v>73.5</v>
      </c>
      <c r="F20">
        <v>78</v>
      </c>
      <c r="G20">
        <v>73</v>
      </c>
      <c r="H20">
        <v>71</v>
      </c>
      <c r="I20">
        <v>77.5</v>
      </c>
      <c r="J20">
        <v>373</v>
      </c>
      <c r="K20">
        <v>74.6</v>
      </c>
      <c r="L20">
        <v>65</v>
      </c>
    </row>
    <row r="21" hidden="1" spans="1:12">
      <c r="A21">
        <v>10006</v>
      </c>
      <c r="B21" t="s">
        <v>27</v>
      </c>
      <c r="C21" t="s">
        <v>18</v>
      </c>
      <c r="D21" t="s">
        <v>16</v>
      </c>
      <c r="E21">
        <v>78</v>
      </c>
      <c r="F21">
        <v>86.5</v>
      </c>
      <c r="G21">
        <v>67</v>
      </c>
      <c r="H21">
        <v>65</v>
      </c>
      <c r="I21">
        <v>68</v>
      </c>
      <c r="J21">
        <v>364.5</v>
      </c>
      <c r="K21">
        <v>72.9</v>
      </c>
      <c r="L21">
        <v>73</v>
      </c>
    </row>
    <row r="22" hidden="1" spans="1:12">
      <c r="A22">
        <v>10010</v>
      </c>
      <c r="B22" t="s">
        <v>33</v>
      </c>
      <c r="C22" t="s">
        <v>15</v>
      </c>
      <c r="D22" t="s">
        <v>16</v>
      </c>
      <c r="E22">
        <v>77</v>
      </c>
      <c r="F22">
        <v>90</v>
      </c>
      <c r="G22">
        <v>74.5</v>
      </c>
      <c r="H22">
        <v>72.5</v>
      </c>
      <c r="I22">
        <v>77.5</v>
      </c>
      <c r="J22">
        <v>391.5</v>
      </c>
      <c r="K22">
        <v>78.3</v>
      </c>
      <c r="L22">
        <v>38</v>
      </c>
    </row>
    <row r="23" hidden="1" spans="1:12">
      <c r="A23">
        <v>10015</v>
      </c>
      <c r="B23" t="s">
        <v>39</v>
      </c>
      <c r="C23" t="s">
        <v>15</v>
      </c>
      <c r="D23" t="s">
        <v>16</v>
      </c>
      <c r="E23">
        <v>82.5</v>
      </c>
      <c r="F23">
        <v>72</v>
      </c>
      <c r="G23">
        <v>67.5</v>
      </c>
      <c r="H23">
        <v>65.5</v>
      </c>
      <c r="I23">
        <v>77.5</v>
      </c>
      <c r="J23">
        <v>365</v>
      </c>
      <c r="K23">
        <v>73</v>
      </c>
      <c r="L23">
        <v>72</v>
      </c>
    </row>
    <row r="24" hidden="1" spans="1:12">
      <c r="A24">
        <v>10022</v>
      </c>
      <c r="B24" t="s">
        <v>46</v>
      </c>
      <c r="C24" t="s">
        <v>18</v>
      </c>
      <c r="D24" t="s">
        <v>16</v>
      </c>
      <c r="E24">
        <v>78.5</v>
      </c>
      <c r="F24">
        <v>73</v>
      </c>
      <c r="G24">
        <v>83</v>
      </c>
      <c r="H24">
        <v>81</v>
      </c>
      <c r="I24">
        <v>73</v>
      </c>
      <c r="J24">
        <v>388.5</v>
      </c>
      <c r="K24">
        <v>77.7</v>
      </c>
      <c r="L24">
        <v>47</v>
      </c>
    </row>
    <row r="25" hidden="1" spans="1:12">
      <c r="A25">
        <v>10027</v>
      </c>
      <c r="B25" t="s">
        <v>51</v>
      </c>
      <c r="C25" t="s">
        <v>18</v>
      </c>
      <c r="D25" t="s">
        <v>16</v>
      </c>
      <c r="E25">
        <v>63.5</v>
      </c>
      <c r="F25">
        <v>77.5</v>
      </c>
      <c r="G25">
        <v>84.5</v>
      </c>
      <c r="H25">
        <v>82.5</v>
      </c>
      <c r="I25">
        <v>80</v>
      </c>
      <c r="J25">
        <v>388</v>
      </c>
      <c r="K25">
        <v>77.6</v>
      </c>
      <c r="L25">
        <v>49</v>
      </c>
    </row>
    <row r="26" hidden="1" spans="1:12">
      <c r="A26">
        <v>10029</v>
      </c>
      <c r="B26" t="s">
        <v>53</v>
      </c>
      <c r="C26" t="s">
        <v>18</v>
      </c>
      <c r="D26" t="s">
        <v>16</v>
      </c>
      <c r="E26">
        <v>52.5</v>
      </c>
      <c r="F26">
        <v>50</v>
      </c>
      <c r="G26">
        <v>64</v>
      </c>
      <c r="H26">
        <v>62</v>
      </c>
      <c r="I26">
        <v>60</v>
      </c>
      <c r="J26">
        <v>288.5</v>
      </c>
      <c r="K26">
        <v>57.7</v>
      </c>
      <c r="L26">
        <v>99</v>
      </c>
    </row>
    <row r="27" hidden="1" spans="1:12">
      <c r="A27">
        <v>10036</v>
      </c>
      <c r="B27" t="s">
        <v>60</v>
      </c>
      <c r="C27" t="s">
        <v>18</v>
      </c>
      <c r="D27" t="s">
        <v>16</v>
      </c>
      <c r="E27">
        <v>93</v>
      </c>
      <c r="F27">
        <v>82</v>
      </c>
      <c r="G27">
        <v>97</v>
      </c>
      <c r="H27">
        <v>97</v>
      </c>
      <c r="I27">
        <v>92</v>
      </c>
      <c r="J27">
        <v>461</v>
      </c>
      <c r="K27">
        <v>92.2</v>
      </c>
      <c r="L27">
        <v>1</v>
      </c>
    </row>
    <row r="28" hidden="1" spans="1:12">
      <c r="A28">
        <v>10041</v>
      </c>
      <c r="B28" t="s">
        <v>65</v>
      </c>
      <c r="C28" t="s">
        <v>15</v>
      </c>
      <c r="D28" t="s">
        <v>16</v>
      </c>
      <c r="E28">
        <v>73.5</v>
      </c>
      <c r="F28">
        <v>69</v>
      </c>
      <c r="G28">
        <v>88.5</v>
      </c>
      <c r="H28">
        <v>86.5</v>
      </c>
      <c r="I28">
        <v>74</v>
      </c>
      <c r="J28">
        <v>391.5</v>
      </c>
      <c r="K28">
        <v>78.3</v>
      </c>
      <c r="L28">
        <v>38</v>
      </c>
    </row>
    <row r="29" hidden="1" spans="1:12">
      <c r="A29">
        <v>10053</v>
      </c>
      <c r="B29" t="s">
        <v>77</v>
      </c>
      <c r="C29" t="s">
        <v>18</v>
      </c>
      <c r="D29" t="s">
        <v>16</v>
      </c>
      <c r="E29">
        <v>76</v>
      </c>
      <c r="F29">
        <v>71.5</v>
      </c>
      <c r="G29">
        <v>76</v>
      </c>
      <c r="H29">
        <v>74</v>
      </c>
      <c r="I29">
        <v>72</v>
      </c>
      <c r="J29">
        <v>369.5</v>
      </c>
      <c r="K29">
        <v>73.9</v>
      </c>
      <c r="L29">
        <v>70</v>
      </c>
    </row>
    <row r="30" hidden="1" spans="1:12">
      <c r="A30">
        <v>10057</v>
      </c>
      <c r="B30" t="s">
        <v>81</v>
      </c>
      <c r="C30" t="s">
        <v>15</v>
      </c>
      <c r="D30" t="s">
        <v>16</v>
      </c>
      <c r="E30">
        <v>92.5</v>
      </c>
      <c r="F30">
        <v>82</v>
      </c>
      <c r="G30">
        <v>75</v>
      </c>
      <c r="H30">
        <v>73</v>
      </c>
      <c r="I30">
        <v>82</v>
      </c>
      <c r="J30">
        <v>404.5</v>
      </c>
      <c r="K30">
        <v>80.9</v>
      </c>
      <c r="L30">
        <v>35</v>
      </c>
    </row>
    <row r="31" hidden="1" spans="1:12">
      <c r="A31">
        <v>10058</v>
      </c>
      <c r="B31" t="s">
        <v>82</v>
      </c>
      <c r="C31" t="s">
        <v>18</v>
      </c>
      <c r="D31" t="s">
        <v>16</v>
      </c>
      <c r="E31">
        <v>93.5</v>
      </c>
      <c r="F31">
        <v>83</v>
      </c>
      <c r="G31">
        <v>73.5</v>
      </c>
      <c r="H31">
        <v>71.5</v>
      </c>
      <c r="I31">
        <v>91</v>
      </c>
      <c r="J31">
        <v>412.5</v>
      </c>
      <c r="K31">
        <v>82.5</v>
      </c>
      <c r="L31">
        <v>22</v>
      </c>
    </row>
    <row r="32" hidden="1" spans="1:12">
      <c r="A32">
        <v>10061</v>
      </c>
      <c r="B32" t="s">
        <v>85</v>
      </c>
      <c r="C32" t="s">
        <v>15</v>
      </c>
      <c r="D32" t="s">
        <v>16</v>
      </c>
      <c r="E32">
        <v>79.5</v>
      </c>
      <c r="F32">
        <v>73</v>
      </c>
      <c r="G32">
        <v>79.5</v>
      </c>
      <c r="H32">
        <v>77.5</v>
      </c>
      <c r="I32">
        <v>70.5</v>
      </c>
      <c r="J32">
        <v>380</v>
      </c>
      <c r="K32">
        <v>76</v>
      </c>
      <c r="L32">
        <v>55</v>
      </c>
    </row>
    <row r="33" hidden="1" spans="1:12">
      <c r="A33">
        <v>10063</v>
      </c>
      <c r="B33" t="s">
        <v>87</v>
      </c>
      <c r="C33" t="s">
        <v>15</v>
      </c>
      <c r="D33" t="s">
        <v>16</v>
      </c>
      <c r="E33">
        <v>64</v>
      </c>
      <c r="F33">
        <v>70.5</v>
      </c>
      <c r="G33">
        <v>62</v>
      </c>
      <c r="H33">
        <v>85</v>
      </c>
      <c r="I33">
        <v>60</v>
      </c>
      <c r="J33">
        <v>341.5</v>
      </c>
      <c r="K33">
        <v>68.3</v>
      </c>
      <c r="L33">
        <v>90</v>
      </c>
    </row>
    <row r="34" hidden="1" spans="1:12">
      <c r="A34">
        <v>10071</v>
      </c>
      <c r="B34" t="s">
        <v>95</v>
      </c>
      <c r="C34" t="s">
        <v>18</v>
      </c>
      <c r="D34" t="s">
        <v>16</v>
      </c>
      <c r="E34">
        <v>56</v>
      </c>
      <c r="F34">
        <v>60.5</v>
      </c>
      <c r="G34">
        <v>54</v>
      </c>
      <c r="H34">
        <v>79</v>
      </c>
      <c r="I34">
        <v>76.5</v>
      </c>
      <c r="J34">
        <v>326</v>
      </c>
      <c r="K34">
        <v>65.2</v>
      </c>
      <c r="L34">
        <v>96</v>
      </c>
    </row>
    <row r="35" hidden="1" spans="1:12">
      <c r="A35">
        <v>10079</v>
      </c>
      <c r="B35" t="s">
        <v>103</v>
      </c>
      <c r="C35" t="s">
        <v>18</v>
      </c>
      <c r="D35" t="s">
        <v>16</v>
      </c>
      <c r="E35">
        <v>74</v>
      </c>
      <c r="F35">
        <v>85</v>
      </c>
      <c r="G35">
        <v>73</v>
      </c>
      <c r="H35">
        <v>71</v>
      </c>
      <c r="I35">
        <v>88</v>
      </c>
      <c r="J35">
        <v>391</v>
      </c>
      <c r="K35">
        <v>78.2</v>
      </c>
      <c r="L35">
        <v>40</v>
      </c>
    </row>
    <row r="36" hidden="1" spans="1:12">
      <c r="A36">
        <v>10084</v>
      </c>
      <c r="B36" t="s">
        <v>108</v>
      </c>
      <c r="C36" t="s">
        <v>18</v>
      </c>
      <c r="D36" t="s">
        <v>16</v>
      </c>
      <c r="E36">
        <v>58.5</v>
      </c>
      <c r="F36">
        <v>82</v>
      </c>
      <c r="G36">
        <v>70</v>
      </c>
      <c r="H36">
        <v>60</v>
      </c>
      <c r="I36">
        <v>64.5</v>
      </c>
      <c r="J36">
        <v>335</v>
      </c>
      <c r="K36">
        <v>67</v>
      </c>
      <c r="L36">
        <v>93</v>
      </c>
    </row>
    <row r="37" hidden="1" spans="1:12">
      <c r="A37">
        <v>10088</v>
      </c>
      <c r="B37" t="s">
        <v>112</v>
      </c>
      <c r="C37" t="s">
        <v>15</v>
      </c>
      <c r="D37" t="s">
        <v>16</v>
      </c>
      <c r="E37">
        <v>81.5</v>
      </c>
      <c r="F37">
        <v>76.5</v>
      </c>
      <c r="G37">
        <v>72</v>
      </c>
      <c r="H37">
        <v>70</v>
      </c>
      <c r="I37">
        <v>82.5</v>
      </c>
      <c r="J37">
        <v>382.5</v>
      </c>
      <c r="K37">
        <v>76.5</v>
      </c>
      <c r="L37">
        <v>54</v>
      </c>
    </row>
    <row r="38" hidden="1" spans="1:12">
      <c r="A38">
        <v>10089</v>
      </c>
      <c r="B38" t="s">
        <v>113</v>
      </c>
      <c r="C38" t="s">
        <v>18</v>
      </c>
      <c r="D38" t="s">
        <v>16</v>
      </c>
      <c r="E38">
        <v>80</v>
      </c>
      <c r="F38">
        <v>85</v>
      </c>
      <c r="G38">
        <v>97</v>
      </c>
      <c r="H38">
        <v>98</v>
      </c>
      <c r="I38">
        <v>95</v>
      </c>
      <c r="J38">
        <v>455</v>
      </c>
      <c r="K38">
        <v>91</v>
      </c>
      <c r="L38">
        <v>9</v>
      </c>
    </row>
    <row r="39" hidden="1" spans="1:12">
      <c r="A39">
        <v>10094</v>
      </c>
      <c r="B39" t="s">
        <v>118</v>
      </c>
      <c r="C39" t="s">
        <v>18</v>
      </c>
      <c r="D39" t="s">
        <v>16</v>
      </c>
      <c r="E39">
        <v>74.5</v>
      </c>
      <c r="F39">
        <v>80.5</v>
      </c>
      <c r="G39">
        <v>81</v>
      </c>
      <c r="H39">
        <v>79</v>
      </c>
      <c r="I39">
        <v>75</v>
      </c>
      <c r="J39">
        <v>390</v>
      </c>
      <c r="K39">
        <v>78</v>
      </c>
      <c r="L39">
        <v>42</v>
      </c>
    </row>
    <row r="40" hidden="1" spans="1:12">
      <c r="A40">
        <v>10008</v>
      </c>
      <c r="B40" t="s">
        <v>30</v>
      </c>
      <c r="C40" t="s">
        <v>18</v>
      </c>
      <c r="D40" t="s">
        <v>31</v>
      </c>
      <c r="E40">
        <v>86.5</v>
      </c>
      <c r="F40">
        <v>65</v>
      </c>
      <c r="G40">
        <v>62.5</v>
      </c>
      <c r="H40">
        <v>60.5</v>
      </c>
      <c r="I40">
        <v>58.5</v>
      </c>
      <c r="J40">
        <v>333</v>
      </c>
      <c r="K40">
        <v>66.6</v>
      </c>
      <c r="L40">
        <v>94</v>
      </c>
    </row>
    <row r="41" hidden="1" spans="1:12">
      <c r="A41">
        <v>10011</v>
      </c>
      <c r="B41" t="s">
        <v>34</v>
      </c>
      <c r="C41" t="s">
        <v>15</v>
      </c>
      <c r="D41" t="s">
        <v>31</v>
      </c>
      <c r="E41">
        <v>73.5</v>
      </c>
      <c r="F41">
        <v>70</v>
      </c>
      <c r="G41">
        <v>80</v>
      </c>
      <c r="H41">
        <v>82.5</v>
      </c>
      <c r="I41">
        <v>84</v>
      </c>
      <c r="J41">
        <v>390</v>
      </c>
      <c r="K41">
        <v>78</v>
      </c>
      <c r="L41">
        <v>42</v>
      </c>
    </row>
    <row r="42" hidden="1" spans="1:12">
      <c r="A42">
        <v>10017</v>
      </c>
      <c r="B42" t="s">
        <v>41</v>
      </c>
      <c r="C42" t="s">
        <v>18</v>
      </c>
      <c r="D42" t="s">
        <v>31</v>
      </c>
      <c r="E42">
        <v>80</v>
      </c>
      <c r="F42">
        <v>90</v>
      </c>
      <c r="G42">
        <v>83</v>
      </c>
      <c r="H42">
        <v>81</v>
      </c>
      <c r="I42">
        <v>84</v>
      </c>
      <c r="J42">
        <v>418</v>
      </c>
      <c r="K42">
        <v>83.6</v>
      </c>
      <c r="L42">
        <v>18</v>
      </c>
    </row>
    <row r="43" hidden="1" spans="1:12">
      <c r="A43">
        <v>10019</v>
      </c>
      <c r="B43" t="s">
        <v>43</v>
      </c>
      <c r="C43" t="s">
        <v>15</v>
      </c>
      <c r="D43" t="s">
        <v>31</v>
      </c>
      <c r="E43">
        <v>84</v>
      </c>
      <c r="F43">
        <v>73</v>
      </c>
      <c r="G43">
        <v>70</v>
      </c>
      <c r="H43">
        <v>76</v>
      </c>
      <c r="I43">
        <v>88</v>
      </c>
      <c r="J43">
        <v>391</v>
      </c>
      <c r="K43">
        <v>78.2</v>
      </c>
      <c r="L43">
        <v>40</v>
      </c>
    </row>
    <row r="44" hidden="1" spans="1:12">
      <c r="A44">
        <v>10020</v>
      </c>
      <c r="B44" t="s">
        <v>44</v>
      </c>
      <c r="C44" t="s">
        <v>18</v>
      </c>
      <c r="D44" t="s">
        <v>31</v>
      </c>
      <c r="E44">
        <v>71</v>
      </c>
      <c r="F44">
        <v>82.5</v>
      </c>
      <c r="G44">
        <v>89</v>
      </c>
      <c r="H44">
        <v>87</v>
      </c>
      <c r="I44">
        <v>79</v>
      </c>
      <c r="J44">
        <v>408.5</v>
      </c>
      <c r="K44">
        <v>81.7</v>
      </c>
      <c r="L44">
        <v>26</v>
      </c>
    </row>
    <row r="45" hidden="1" spans="1:12">
      <c r="A45">
        <v>10025</v>
      </c>
      <c r="B45" t="s">
        <v>49</v>
      </c>
      <c r="C45" t="s">
        <v>18</v>
      </c>
      <c r="D45" t="s">
        <v>31</v>
      </c>
      <c r="E45">
        <v>93</v>
      </c>
      <c r="F45">
        <v>86</v>
      </c>
      <c r="G45">
        <v>94.5</v>
      </c>
      <c r="H45">
        <v>92.5</v>
      </c>
      <c r="I45">
        <v>93</v>
      </c>
      <c r="J45">
        <v>459</v>
      </c>
      <c r="K45">
        <v>91.8</v>
      </c>
      <c r="L45">
        <v>2</v>
      </c>
    </row>
    <row r="46" hidden="1" spans="1:12">
      <c r="A46">
        <v>10037</v>
      </c>
      <c r="B46" t="s">
        <v>61</v>
      </c>
      <c r="C46" t="s">
        <v>18</v>
      </c>
      <c r="D46" t="s">
        <v>31</v>
      </c>
      <c r="E46">
        <v>76.5</v>
      </c>
      <c r="F46">
        <v>79.5</v>
      </c>
      <c r="G46">
        <v>68</v>
      </c>
      <c r="H46">
        <v>66</v>
      </c>
      <c r="I46">
        <v>71.5</v>
      </c>
      <c r="J46">
        <v>361.5</v>
      </c>
      <c r="K46">
        <v>72.3</v>
      </c>
      <c r="L46">
        <v>78</v>
      </c>
    </row>
    <row r="47" hidden="1" spans="1:12">
      <c r="A47">
        <v>10038</v>
      </c>
      <c r="B47" t="s">
        <v>62</v>
      </c>
      <c r="C47" t="s">
        <v>15</v>
      </c>
      <c r="D47" t="s">
        <v>31</v>
      </c>
      <c r="E47">
        <v>77</v>
      </c>
      <c r="F47">
        <v>77</v>
      </c>
      <c r="G47">
        <v>73</v>
      </c>
      <c r="H47">
        <v>71</v>
      </c>
      <c r="I47">
        <v>73</v>
      </c>
      <c r="J47">
        <v>371</v>
      </c>
      <c r="K47">
        <v>74.2</v>
      </c>
      <c r="L47">
        <v>68</v>
      </c>
    </row>
    <row r="48" hidden="1" spans="1:12">
      <c r="A48">
        <v>10075</v>
      </c>
      <c r="B48" t="s">
        <v>99</v>
      </c>
      <c r="C48" t="s">
        <v>18</v>
      </c>
      <c r="D48" t="s">
        <v>31</v>
      </c>
      <c r="E48">
        <v>70.5</v>
      </c>
      <c r="F48">
        <v>74</v>
      </c>
      <c r="G48">
        <v>74</v>
      </c>
      <c r="H48">
        <v>72</v>
      </c>
      <c r="I48">
        <v>77</v>
      </c>
      <c r="J48">
        <v>367.5</v>
      </c>
      <c r="K48">
        <v>73.5</v>
      </c>
      <c r="L48">
        <v>71</v>
      </c>
    </row>
    <row r="49" hidden="1" spans="1:12">
      <c r="A49">
        <v>10078</v>
      </c>
      <c r="B49" t="s">
        <v>102</v>
      </c>
      <c r="C49" t="s">
        <v>15</v>
      </c>
      <c r="D49" t="s">
        <v>31</v>
      </c>
      <c r="E49">
        <v>89</v>
      </c>
      <c r="F49">
        <v>75</v>
      </c>
      <c r="G49">
        <v>61</v>
      </c>
      <c r="H49">
        <v>59</v>
      </c>
      <c r="I49">
        <v>76.5</v>
      </c>
      <c r="J49">
        <v>360.5</v>
      </c>
      <c r="K49">
        <v>72.1</v>
      </c>
      <c r="L49">
        <v>81</v>
      </c>
    </row>
    <row r="50" hidden="1" spans="1:12">
      <c r="A50">
        <v>10080</v>
      </c>
      <c r="B50" t="s">
        <v>104</v>
      </c>
      <c r="C50" t="s">
        <v>18</v>
      </c>
      <c r="D50" t="s">
        <v>31</v>
      </c>
      <c r="E50">
        <v>87</v>
      </c>
      <c r="F50">
        <v>80</v>
      </c>
      <c r="G50">
        <v>82</v>
      </c>
      <c r="H50">
        <v>72</v>
      </c>
      <c r="I50">
        <v>84</v>
      </c>
      <c r="J50">
        <v>405</v>
      </c>
      <c r="K50">
        <v>81</v>
      </c>
      <c r="L50">
        <v>34</v>
      </c>
    </row>
    <row r="51" hidden="1" spans="1:12">
      <c r="A51">
        <v>10085</v>
      </c>
      <c r="B51" t="s">
        <v>109</v>
      </c>
      <c r="C51" t="s">
        <v>15</v>
      </c>
      <c r="D51" t="s">
        <v>31</v>
      </c>
      <c r="E51">
        <v>81</v>
      </c>
      <c r="F51">
        <v>74.5</v>
      </c>
      <c r="G51">
        <v>75</v>
      </c>
      <c r="H51">
        <v>88</v>
      </c>
      <c r="I51">
        <v>90</v>
      </c>
      <c r="J51">
        <v>408.5</v>
      </c>
      <c r="K51">
        <v>81.7</v>
      </c>
      <c r="L51">
        <v>26</v>
      </c>
    </row>
    <row r="52" hidden="1" spans="1:12">
      <c r="A52">
        <v>10093</v>
      </c>
      <c r="B52" t="s">
        <v>117</v>
      </c>
      <c r="C52" t="s">
        <v>15</v>
      </c>
      <c r="D52" t="s">
        <v>31</v>
      </c>
      <c r="E52">
        <v>72</v>
      </c>
      <c r="F52">
        <v>94.5</v>
      </c>
      <c r="G52">
        <v>70.5</v>
      </c>
      <c r="H52">
        <v>68.5</v>
      </c>
      <c r="I52">
        <v>84.5</v>
      </c>
      <c r="J52">
        <v>390</v>
      </c>
      <c r="K52">
        <v>78</v>
      </c>
      <c r="L52">
        <v>42</v>
      </c>
    </row>
    <row r="53" hidden="1" spans="1:12">
      <c r="A53">
        <v>10004</v>
      </c>
      <c r="B53" t="s">
        <v>22</v>
      </c>
      <c r="C53" t="s">
        <v>15</v>
      </c>
      <c r="D53" t="s">
        <v>23</v>
      </c>
      <c r="E53">
        <v>90.5</v>
      </c>
      <c r="F53">
        <v>50</v>
      </c>
      <c r="G53">
        <v>88</v>
      </c>
      <c r="H53">
        <v>72</v>
      </c>
      <c r="I53">
        <v>91.5</v>
      </c>
      <c r="J53">
        <v>392</v>
      </c>
      <c r="K53">
        <v>78.4</v>
      </c>
      <c r="L53">
        <v>37</v>
      </c>
    </row>
    <row r="54" hidden="1" spans="1:12">
      <c r="A54">
        <v>10009</v>
      </c>
      <c r="B54" t="s">
        <v>32</v>
      </c>
      <c r="C54" t="s">
        <v>18</v>
      </c>
      <c r="D54" t="s">
        <v>23</v>
      </c>
      <c r="E54">
        <v>90.5</v>
      </c>
      <c r="F54">
        <v>88</v>
      </c>
      <c r="G54">
        <v>95</v>
      </c>
      <c r="H54">
        <v>90</v>
      </c>
      <c r="I54">
        <v>94.5</v>
      </c>
      <c r="J54">
        <v>458</v>
      </c>
      <c r="K54">
        <v>91.6</v>
      </c>
      <c r="L54">
        <v>3</v>
      </c>
    </row>
    <row r="55" hidden="1" spans="1:12">
      <c r="A55">
        <v>10012</v>
      </c>
      <c r="B55" t="s">
        <v>35</v>
      </c>
      <c r="C55" t="s">
        <v>18</v>
      </c>
      <c r="D55" t="s">
        <v>23</v>
      </c>
      <c r="E55">
        <v>94</v>
      </c>
      <c r="F55">
        <v>90</v>
      </c>
      <c r="G55">
        <v>96</v>
      </c>
      <c r="H55">
        <v>83.5</v>
      </c>
      <c r="I55">
        <v>93</v>
      </c>
      <c r="J55">
        <v>456.5</v>
      </c>
      <c r="K55">
        <v>91.3</v>
      </c>
      <c r="L55">
        <v>7</v>
      </c>
    </row>
    <row r="56" hidden="1" spans="1:12">
      <c r="A56">
        <v>10018</v>
      </c>
      <c r="B56" t="s">
        <v>42</v>
      </c>
      <c r="C56" t="s">
        <v>15</v>
      </c>
      <c r="D56" t="s">
        <v>23</v>
      </c>
      <c r="E56">
        <v>73</v>
      </c>
      <c r="F56">
        <v>76</v>
      </c>
      <c r="G56">
        <v>56</v>
      </c>
      <c r="H56">
        <v>54</v>
      </c>
      <c r="I56">
        <v>73</v>
      </c>
      <c r="J56">
        <v>332</v>
      </c>
      <c r="K56">
        <v>66.4</v>
      </c>
      <c r="L56">
        <v>95</v>
      </c>
    </row>
    <row r="57" hidden="1" spans="1:12">
      <c r="A57">
        <v>10024</v>
      </c>
      <c r="B57" t="s">
        <v>48</v>
      </c>
      <c r="C57" t="s">
        <v>18</v>
      </c>
      <c r="D57" t="s">
        <v>23</v>
      </c>
      <c r="E57">
        <v>78</v>
      </c>
      <c r="F57">
        <v>61.5</v>
      </c>
      <c r="G57">
        <v>66</v>
      </c>
      <c r="H57">
        <v>64</v>
      </c>
      <c r="I57">
        <v>69</v>
      </c>
      <c r="J57">
        <v>338.5</v>
      </c>
      <c r="K57">
        <v>67.7</v>
      </c>
      <c r="L57">
        <v>92</v>
      </c>
    </row>
    <row r="58" hidden="1" spans="1:12">
      <c r="A58">
        <v>10026</v>
      </c>
      <c r="B58" t="s">
        <v>50</v>
      </c>
      <c r="C58" t="s">
        <v>15</v>
      </c>
      <c r="D58" t="s">
        <v>23</v>
      </c>
      <c r="E58">
        <v>71.5</v>
      </c>
      <c r="F58">
        <v>88</v>
      </c>
      <c r="G58">
        <v>81</v>
      </c>
      <c r="H58">
        <v>85</v>
      </c>
      <c r="I58">
        <v>82.5</v>
      </c>
      <c r="J58">
        <v>408</v>
      </c>
      <c r="K58">
        <v>81.6</v>
      </c>
      <c r="L58">
        <v>29</v>
      </c>
    </row>
    <row r="59" hidden="1" spans="1:12">
      <c r="A59">
        <v>10043</v>
      </c>
      <c r="B59" t="s">
        <v>67</v>
      </c>
      <c r="C59" t="s">
        <v>15</v>
      </c>
      <c r="D59" t="s">
        <v>23</v>
      </c>
      <c r="E59">
        <v>80.5</v>
      </c>
      <c r="F59">
        <v>90</v>
      </c>
      <c r="G59">
        <v>63.5</v>
      </c>
      <c r="H59">
        <v>85</v>
      </c>
      <c r="I59">
        <v>92.5</v>
      </c>
      <c r="J59">
        <v>411.5</v>
      </c>
      <c r="K59">
        <v>82.3</v>
      </c>
      <c r="L59">
        <v>23</v>
      </c>
    </row>
    <row r="60" hidden="1" spans="1:12">
      <c r="A60">
        <v>10047</v>
      </c>
      <c r="B60" t="s">
        <v>71</v>
      </c>
      <c r="C60" t="s">
        <v>18</v>
      </c>
      <c r="D60" t="s">
        <v>23</v>
      </c>
      <c r="E60">
        <v>64.5</v>
      </c>
      <c r="F60">
        <v>66.5</v>
      </c>
      <c r="G60">
        <v>75.5</v>
      </c>
      <c r="H60">
        <v>73.5</v>
      </c>
      <c r="I60">
        <v>90</v>
      </c>
      <c r="J60">
        <v>370</v>
      </c>
      <c r="K60">
        <v>74</v>
      </c>
      <c r="L60">
        <v>69</v>
      </c>
    </row>
    <row r="61" hidden="1" spans="1:12">
      <c r="A61">
        <v>10052</v>
      </c>
      <c r="B61" t="s">
        <v>76</v>
      </c>
      <c r="C61" t="s">
        <v>18</v>
      </c>
      <c r="D61" t="s">
        <v>23</v>
      </c>
      <c r="E61">
        <v>77.5</v>
      </c>
      <c r="F61">
        <v>72.5</v>
      </c>
      <c r="G61">
        <v>73.5</v>
      </c>
      <c r="H61">
        <v>71.5</v>
      </c>
      <c r="I61">
        <v>65</v>
      </c>
      <c r="J61">
        <v>360</v>
      </c>
      <c r="K61">
        <v>72</v>
      </c>
      <c r="L61">
        <v>82</v>
      </c>
    </row>
    <row r="62" hidden="1" spans="1:12">
      <c r="A62">
        <v>10062</v>
      </c>
      <c r="B62" t="s">
        <v>86</v>
      </c>
      <c r="C62" t="s">
        <v>15</v>
      </c>
      <c r="D62" t="s">
        <v>23</v>
      </c>
      <c r="E62">
        <v>71</v>
      </c>
      <c r="F62">
        <v>60</v>
      </c>
      <c r="G62">
        <v>66.5</v>
      </c>
      <c r="H62">
        <v>64.5</v>
      </c>
      <c r="I62">
        <v>85</v>
      </c>
      <c r="J62">
        <v>347</v>
      </c>
      <c r="K62">
        <v>69.4</v>
      </c>
      <c r="L62">
        <v>88</v>
      </c>
    </row>
    <row r="63" hidden="1" spans="1:12">
      <c r="A63">
        <v>10064</v>
      </c>
      <c r="B63" t="s">
        <v>88</v>
      </c>
      <c r="C63" t="s">
        <v>18</v>
      </c>
      <c r="D63" t="s">
        <v>23</v>
      </c>
      <c r="E63">
        <v>74</v>
      </c>
      <c r="F63">
        <v>85.5</v>
      </c>
      <c r="G63">
        <v>73.5</v>
      </c>
      <c r="H63">
        <v>71.5</v>
      </c>
      <c r="I63">
        <v>79</v>
      </c>
      <c r="J63">
        <v>383.5</v>
      </c>
      <c r="K63">
        <v>76.7</v>
      </c>
      <c r="L63">
        <v>52</v>
      </c>
    </row>
    <row r="64" hidden="1" spans="1:12">
      <c r="A64">
        <v>10069</v>
      </c>
      <c r="B64" t="s">
        <v>93</v>
      </c>
      <c r="C64" t="s">
        <v>18</v>
      </c>
      <c r="D64" t="s">
        <v>23</v>
      </c>
      <c r="E64">
        <v>79.5</v>
      </c>
      <c r="F64">
        <v>86</v>
      </c>
      <c r="G64">
        <v>85</v>
      </c>
      <c r="H64">
        <v>83</v>
      </c>
      <c r="I64">
        <v>61</v>
      </c>
      <c r="J64">
        <v>394.5</v>
      </c>
      <c r="K64">
        <v>78.9</v>
      </c>
      <c r="L64">
        <v>36</v>
      </c>
    </row>
    <row r="65" hidden="1" spans="1:12">
      <c r="A65">
        <v>10072</v>
      </c>
      <c r="B65" t="s">
        <v>96</v>
      </c>
      <c r="C65" t="s">
        <v>18</v>
      </c>
      <c r="D65" t="s">
        <v>23</v>
      </c>
      <c r="E65">
        <v>85.5</v>
      </c>
      <c r="F65">
        <v>94</v>
      </c>
      <c r="G65">
        <v>94</v>
      </c>
      <c r="H65">
        <v>75.5</v>
      </c>
      <c r="I65">
        <v>70</v>
      </c>
      <c r="J65">
        <v>419</v>
      </c>
      <c r="K65">
        <v>83.8</v>
      </c>
      <c r="L65">
        <v>16</v>
      </c>
    </row>
    <row r="66" hidden="1" spans="1:12">
      <c r="A66">
        <v>10074</v>
      </c>
      <c r="B66" t="s">
        <v>98</v>
      </c>
      <c r="C66" t="s">
        <v>15</v>
      </c>
      <c r="D66" t="s">
        <v>23</v>
      </c>
      <c r="E66">
        <v>89</v>
      </c>
      <c r="F66">
        <v>72.5</v>
      </c>
      <c r="G66">
        <v>82.5</v>
      </c>
      <c r="H66">
        <v>80.5</v>
      </c>
      <c r="I66">
        <v>82</v>
      </c>
      <c r="J66">
        <v>406.5</v>
      </c>
      <c r="K66">
        <v>81.3</v>
      </c>
      <c r="L66">
        <v>31</v>
      </c>
    </row>
    <row r="67" hidden="1" spans="1:12">
      <c r="A67">
        <v>10090</v>
      </c>
      <c r="B67" t="s">
        <v>114</v>
      </c>
      <c r="C67" t="s">
        <v>15</v>
      </c>
      <c r="D67" t="s">
        <v>23</v>
      </c>
      <c r="E67">
        <v>76.5</v>
      </c>
      <c r="F67">
        <v>76</v>
      </c>
      <c r="G67">
        <v>87</v>
      </c>
      <c r="H67">
        <v>87</v>
      </c>
      <c r="I67">
        <v>82</v>
      </c>
      <c r="J67">
        <v>408.5</v>
      </c>
      <c r="K67">
        <v>81.7</v>
      </c>
      <c r="L67">
        <v>26</v>
      </c>
    </row>
    <row r="68" hidden="1" spans="1:12">
      <c r="A68">
        <v>10098</v>
      </c>
      <c r="B68" t="s">
        <v>122</v>
      </c>
      <c r="C68" t="s">
        <v>15</v>
      </c>
      <c r="D68" t="s">
        <v>23</v>
      </c>
      <c r="E68">
        <v>67.5</v>
      </c>
      <c r="F68">
        <v>82</v>
      </c>
      <c r="G68">
        <v>95.5</v>
      </c>
      <c r="H68">
        <v>93.5</v>
      </c>
      <c r="I68">
        <v>75</v>
      </c>
      <c r="J68">
        <v>413.5</v>
      </c>
      <c r="K68">
        <v>82.7</v>
      </c>
      <c r="L68">
        <v>20</v>
      </c>
    </row>
    <row r="69" hidden="1" spans="1:12">
      <c r="A69">
        <v>10014</v>
      </c>
      <c r="B69" t="s">
        <v>37</v>
      </c>
      <c r="C69" t="s">
        <v>18</v>
      </c>
      <c r="D69" t="s">
        <v>38</v>
      </c>
      <c r="E69">
        <v>67</v>
      </c>
      <c r="F69">
        <v>86</v>
      </c>
      <c r="G69">
        <v>70.5</v>
      </c>
      <c r="H69">
        <v>68.5</v>
      </c>
      <c r="I69">
        <v>62.5</v>
      </c>
      <c r="J69">
        <v>354.5</v>
      </c>
      <c r="K69">
        <v>70.9</v>
      </c>
      <c r="L69">
        <v>87</v>
      </c>
    </row>
    <row r="70" hidden="1" spans="1:12">
      <c r="A70">
        <v>10031</v>
      </c>
      <c r="B70" t="s">
        <v>55</v>
      </c>
      <c r="C70" t="s">
        <v>18</v>
      </c>
      <c r="D70" t="s">
        <v>38</v>
      </c>
      <c r="E70">
        <v>77.5</v>
      </c>
      <c r="F70">
        <v>75.5</v>
      </c>
      <c r="G70">
        <v>79</v>
      </c>
      <c r="H70">
        <v>77</v>
      </c>
      <c r="I70">
        <v>80</v>
      </c>
      <c r="J70">
        <v>389</v>
      </c>
      <c r="K70">
        <v>77.8</v>
      </c>
      <c r="L70">
        <v>45</v>
      </c>
    </row>
    <row r="71" hidden="1" spans="1:12">
      <c r="A71">
        <v>10045</v>
      </c>
      <c r="B71" t="s">
        <v>69</v>
      </c>
      <c r="C71" t="s">
        <v>15</v>
      </c>
      <c r="D71" t="s">
        <v>38</v>
      </c>
      <c r="E71">
        <v>60.5</v>
      </c>
      <c r="F71">
        <v>80</v>
      </c>
      <c r="G71">
        <v>80.5</v>
      </c>
      <c r="H71">
        <v>78.5</v>
      </c>
      <c r="I71">
        <v>76</v>
      </c>
      <c r="J71">
        <v>375.5</v>
      </c>
      <c r="K71">
        <v>75.1</v>
      </c>
      <c r="L71">
        <v>61</v>
      </c>
    </row>
    <row r="72" hidden="1" spans="1:12">
      <c r="A72">
        <v>10046</v>
      </c>
      <c r="B72" t="s">
        <v>70</v>
      </c>
      <c r="C72" t="s">
        <v>18</v>
      </c>
      <c r="D72" t="s">
        <v>38</v>
      </c>
      <c r="E72">
        <v>92</v>
      </c>
      <c r="F72">
        <v>93</v>
      </c>
      <c r="G72">
        <v>92</v>
      </c>
      <c r="H72">
        <v>63.5</v>
      </c>
      <c r="I72">
        <v>65</v>
      </c>
      <c r="J72">
        <v>405.5</v>
      </c>
      <c r="K72">
        <v>81.1</v>
      </c>
      <c r="L72">
        <v>33</v>
      </c>
    </row>
    <row r="73" hidden="1" spans="1:12">
      <c r="A73">
        <v>10049</v>
      </c>
      <c r="B73" t="s">
        <v>73</v>
      </c>
      <c r="C73" t="s">
        <v>15</v>
      </c>
      <c r="D73" t="s">
        <v>38</v>
      </c>
      <c r="E73">
        <v>63.5</v>
      </c>
      <c r="F73">
        <v>83</v>
      </c>
      <c r="G73">
        <v>63.5</v>
      </c>
      <c r="H73">
        <v>61.5</v>
      </c>
      <c r="I73">
        <v>70</v>
      </c>
      <c r="J73">
        <v>341.5</v>
      </c>
      <c r="K73">
        <v>68.3</v>
      </c>
      <c r="L73">
        <v>90</v>
      </c>
    </row>
    <row r="74" hidden="1" spans="1:12">
      <c r="A74">
        <v>10054</v>
      </c>
      <c r="B74" t="s">
        <v>78</v>
      </c>
      <c r="C74" t="s">
        <v>18</v>
      </c>
      <c r="D74" t="s">
        <v>38</v>
      </c>
      <c r="E74">
        <v>96</v>
      </c>
      <c r="F74">
        <v>88</v>
      </c>
      <c r="G74">
        <v>93</v>
      </c>
      <c r="H74">
        <v>88</v>
      </c>
      <c r="I74">
        <v>92</v>
      </c>
      <c r="J74">
        <v>457</v>
      </c>
      <c r="K74">
        <v>91.4</v>
      </c>
      <c r="L74">
        <v>5</v>
      </c>
    </row>
    <row r="75" hidden="1" spans="1:12">
      <c r="A75">
        <v>10056</v>
      </c>
      <c r="B75" t="s">
        <v>80</v>
      </c>
      <c r="C75" t="s">
        <v>18</v>
      </c>
      <c r="D75" t="s">
        <v>38</v>
      </c>
      <c r="E75">
        <v>79.5</v>
      </c>
      <c r="F75">
        <v>87.5</v>
      </c>
      <c r="G75">
        <v>74.5</v>
      </c>
      <c r="H75">
        <v>72.5</v>
      </c>
      <c r="I75">
        <v>75</v>
      </c>
      <c r="J75">
        <v>389</v>
      </c>
      <c r="K75">
        <v>77.8</v>
      </c>
      <c r="L75">
        <v>45</v>
      </c>
    </row>
    <row r="76" hidden="1" spans="1:12">
      <c r="A76">
        <v>10066</v>
      </c>
      <c r="B76" t="s">
        <v>90</v>
      </c>
      <c r="C76" t="s">
        <v>15</v>
      </c>
      <c r="D76" t="s">
        <v>38</v>
      </c>
      <c r="E76">
        <v>68</v>
      </c>
      <c r="F76">
        <v>81</v>
      </c>
      <c r="G76">
        <v>85.5</v>
      </c>
      <c r="H76">
        <v>83.5</v>
      </c>
      <c r="I76">
        <v>65.5</v>
      </c>
      <c r="J76">
        <v>383.5</v>
      </c>
      <c r="K76">
        <v>76.7</v>
      </c>
      <c r="L76">
        <v>52</v>
      </c>
    </row>
    <row r="77" hidden="1" spans="1:12">
      <c r="A77">
        <v>10076</v>
      </c>
      <c r="B77" t="s">
        <v>100</v>
      </c>
      <c r="C77" t="s">
        <v>15</v>
      </c>
      <c r="D77" t="s">
        <v>38</v>
      </c>
      <c r="E77">
        <v>81</v>
      </c>
      <c r="F77">
        <v>83</v>
      </c>
      <c r="G77">
        <v>75.5</v>
      </c>
      <c r="H77">
        <v>73.5</v>
      </c>
      <c r="I77">
        <v>62.5</v>
      </c>
      <c r="J77">
        <v>375.5</v>
      </c>
      <c r="K77">
        <v>75.1</v>
      </c>
      <c r="L77">
        <v>61</v>
      </c>
    </row>
    <row r="78" hidden="1" spans="1:12">
      <c r="A78">
        <v>10077</v>
      </c>
      <c r="B78" t="s">
        <v>101</v>
      </c>
      <c r="C78" t="s">
        <v>18</v>
      </c>
      <c r="D78" t="s">
        <v>38</v>
      </c>
      <c r="E78">
        <v>71.5</v>
      </c>
      <c r="F78">
        <v>79.5</v>
      </c>
      <c r="G78">
        <v>75.5</v>
      </c>
      <c r="H78">
        <v>73.5</v>
      </c>
      <c r="I78">
        <v>87.5</v>
      </c>
      <c r="J78">
        <v>387.5</v>
      </c>
      <c r="K78">
        <v>77.5</v>
      </c>
      <c r="L78">
        <v>51</v>
      </c>
    </row>
    <row r="79" hidden="1" spans="1:12">
      <c r="A79">
        <v>10081</v>
      </c>
      <c r="B79" t="s">
        <v>105</v>
      </c>
      <c r="C79" t="s">
        <v>18</v>
      </c>
      <c r="D79" t="s">
        <v>38</v>
      </c>
      <c r="E79">
        <v>87.5</v>
      </c>
      <c r="F79">
        <v>73</v>
      </c>
      <c r="G79">
        <v>91</v>
      </c>
      <c r="H79">
        <v>89</v>
      </c>
      <c r="I79">
        <v>69.5</v>
      </c>
      <c r="J79">
        <v>410</v>
      </c>
      <c r="K79">
        <v>82</v>
      </c>
      <c r="L79">
        <v>25</v>
      </c>
    </row>
    <row r="80" hidden="1" spans="1:12">
      <c r="A80">
        <v>10087</v>
      </c>
      <c r="B80" t="s">
        <v>111</v>
      </c>
      <c r="C80" t="s">
        <v>18</v>
      </c>
      <c r="D80" t="s">
        <v>38</v>
      </c>
      <c r="E80">
        <v>88</v>
      </c>
      <c r="F80">
        <v>81.5</v>
      </c>
      <c r="G80">
        <v>83</v>
      </c>
      <c r="H80">
        <v>81</v>
      </c>
      <c r="I80">
        <v>73.5</v>
      </c>
      <c r="J80">
        <v>407</v>
      </c>
      <c r="K80">
        <v>81.4</v>
      </c>
      <c r="L80">
        <v>30</v>
      </c>
    </row>
    <row r="81" hidden="1" spans="1:12">
      <c r="A81">
        <v>10096</v>
      </c>
      <c r="B81" t="s">
        <v>120</v>
      </c>
      <c r="C81" t="s">
        <v>15</v>
      </c>
      <c r="D81" t="s">
        <v>38</v>
      </c>
      <c r="E81">
        <v>81.5</v>
      </c>
      <c r="F81">
        <v>74</v>
      </c>
      <c r="G81">
        <v>71</v>
      </c>
      <c r="H81">
        <v>69</v>
      </c>
      <c r="I81">
        <v>64</v>
      </c>
      <c r="J81">
        <v>359.5</v>
      </c>
      <c r="K81">
        <v>71.9</v>
      </c>
      <c r="L81">
        <v>83</v>
      </c>
    </row>
    <row r="82" hidden="1" spans="1:12">
      <c r="A82">
        <v>10099</v>
      </c>
      <c r="B82" t="s">
        <v>123</v>
      </c>
      <c r="C82" t="s">
        <v>18</v>
      </c>
      <c r="D82" t="s">
        <v>38</v>
      </c>
      <c r="E82">
        <v>81</v>
      </c>
      <c r="F82">
        <v>85</v>
      </c>
      <c r="G82">
        <v>79.5</v>
      </c>
      <c r="H82">
        <v>77.5</v>
      </c>
      <c r="I82">
        <v>83</v>
      </c>
      <c r="J82">
        <v>406</v>
      </c>
      <c r="K82">
        <v>81.2</v>
      </c>
      <c r="L82">
        <v>32</v>
      </c>
    </row>
    <row r="83" hidden="1" spans="1:12">
      <c r="A83">
        <v>10003</v>
      </c>
      <c r="B83" t="s">
        <v>20</v>
      </c>
      <c r="C83" t="s">
        <v>15</v>
      </c>
      <c r="D83" t="s">
        <v>21</v>
      </c>
      <c r="E83">
        <v>66</v>
      </c>
      <c r="F83">
        <v>66</v>
      </c>
      <c r="G83">
        <v>74</v>
      </c>
      <c r="H83">
        <v>72</v>
      </c>
      <c r="I83">
        <v>83</v>
      </c>
      <c r="J83">
        <v>361</v>
      </c>
      <c r="K83">
        <v>72.2</v>
      </c>
      <c r="L83">
        <v>80</v>
      </c>
    </row>
    <row r="84" hidden="1" spans="1:12">
      <c r="A84">
        <v>10007</v>
      </c>
      <c r="B84" t="s">
        <v>29</v>
      </c>
      <c r="C84" t="s">
        <v>18</v>
      </c>
      <c r="D84" t="s">
        <v>21</v>
      </c>
      <c r="E84">
        <v>84</v>
      </c>
      <c r="F84">
        <v>70.5</v>
      </c>
      <c r="G84">
        <v>75</v>
      </c>
      <c r="H84">
        <v>73</v>
      </c>
      <c r="I84">
        <v>75</v>
      </c>
      <c r="J84">
        <v>377.5</v>
      </c>
      <c r="K84">
        <v>75.5</v>
      </c>
      <c r="L84">
        <v>60</v>
      </c>
    </row>
    <row r="85" hidden="1" spans="1:12">
      <c r="A85">
        <v>10013</v>
      </c>
      <c r="B85" t="s">
        <v>36</v>
      </c>
      <c r="C85" t="s">
        <v>18</v>
      </c>
      <c r="D85" t="s">
        <v>21</v>
      </c>
      <c r="E85">
        <v>65</v>
      </c>
      <c r="F85">
        <v>64</v>
      </c>
      <c r="G85">
        <v>75.5</v>
      </c>
      <c r="H85">
        <v>73.5</v>
      </c>
      <c r="I85">
        <v>83.5</v>
      </c>
      <c r="J85">
        <v>361.5</v>
      </c>
      <c r="K85">
        <v>72.3</v>
      </c>
      <c r="L85">
        <v>78</v>
      </c>
    </row>
    <row r="86" hidden="1" spans="1:12">
      <c r="A86">
        <v>10021</v>
      </c>
      <c r="B86" t="s">
        <v>45</v>
      </c>
      <c r="C86" t="s">
        <v>18</v>
      </c>
      <c r="D86" t="s">
        <v>21</v>
      </c>
      <c r="E86">
        <v>91</v>
      </c>
      <c r="F86">
        <v>68.5</v>
      </c>
      <c r="G86">
        <v>64.5</v>
      </c>
      <c r="H86">
        <v>62.5</v>
      </c>
      <c r="I86">
        <v>76.5</v>
      </c>
      <c r="J86">
        <v>363</v>
      </c>
      <c r="K86">
        <v>72.6</v>
      </c>
      <c r="L86">
        <v>76</v>
      </c>
    </row>
    <row r="87" hidden="1" spans="1:12">
      <c r="A87">
        <v>10028</v>
      </c>
      <c r="B87" t="s">
        <v>52</v>
      </c>
      <c r="C87" t="s">
        <v>15</v>
      </c>
      <c r="D87" t="s">
        <v>21</v>
      </c>
      <c r="E87">
        <v>69</v>
      </c>
      <c r="F87">
        <v>68.5</v>
      </c>
      <c r="G87">
        <v>92</v>
      </c>
      <c r="H87">
        <v>90</v>
      </c>
      <c r="I87">
        <v>94.5</v>
      </c>
      <c r="J87">
        <v>414</v>
      </c>
      <c r="K87">
        <v>82.8</v>
      </c>
      <c r="L87">
        <v>19</v>
      </c>
    </row>
    <row r="88" hidden="1" spans="1:12">
      <c r="A88">
        <v>10030</v>
      </c>
      <c r="B88" t="s">
        <v>54</v>
      </c>
      <c r="C88" t="s">
        <v>15</v>
      </c>
      <c r="D88" t="s">
        <v>21</v>
      </c>
      <c r="E88">
        <v>69</v>
      </c>
      <c r="F88">
        <v>75</v>
      </c>
      <c r="G88">
        <v>89</v>
      </c>
      <c r="H88">
        <v>80</v>
      </c>
      <c r="I88">
        <v>75</v>
      </c>
      <c r="J88">
        <v>388</v>
      </c>
      <c r="K88">
        <v>77.6</v>
      </c>
      <c r="L88">
        <v>49</v>
      </c>
    </row>
    <row r="89" hidden="1" spans="1:12">
      <c r="A89">
        <v>10032</v>
      </c>
      <c r="B89" t="s">
        <v>56</v>
      </c>
      <c r="C89" t="s">
        <v>18</v>
      </c>
      <c r="D89" t="s">
        <v>21</v>
      </c>
      <c r="E89">
        <v>77</v>
      </c>
      <c r="F89">
        <v>85.5</v>
      </c>
      <c r="G89">
        <v>63.5</v>
      </c>
      <c r="H89">
        <v>61.5</v>
      </c>
      <c r="I89">
        <v>72</v>
      </c>
      <c r="J89">
        <v>359.5</v>
      </c>
      <c r="K89">
        <v>71.9</v>
      </c>
      <c r="L89">
        <v>83</v>
      </c>
    </row>
    <row r="90" hidden="1" spans="1:12">
      <c r="A90">
        <v>10033</v>
      </c>
      <c r="B90" t="s">
        <v>57</v>
      </c>
      <c r="C90" t="s">
        <v>15</v>
      </c>
      <c r="D90" t="s">
        <v>21</v>
      </c>
      <c r="E90">
        <v>85</v>
      </c>
      <c r="F90">
        <v>95</v>
      </c>
      <c r="G90">
        <v>94</v>
      </c>
      <c r="H90">
        <v>86.5</v>
      </c>
      <c r="I90">
        <v>92</v>
      </c>
      <c r="J90">
        <v>452.5</v>
      </c>
      <c r="K90">
        <v>90.5</v>
      </c>
      <c r="L90">
        <v>11</v>
      </c>
    </row>
    <row r="91" hidden="1" spans="1:12">
      <c r="A91">
        <v>10034</v>
      </c>
      <c r="B91" t="s">
        <v>58</v>
      </c>
      <c r="C91" t="s">
        <v>18</v>
      </c>
      <c r="D91" t="s">
        <v>21</v>
      </c>
      <c r="E91">
        <v>80</v>
      </c>
      <c r="F91">
        <v>76.5</v>
      </c>
      <c r="G91">
        <v>89.5</v>
      </c>
      <c r="H91">
        <v>87.5</v>
      </c>
      <c r="I91">
        <v>80</v>
      </c>
      <c r="J91">
        <v>413.5</v>
      </c>
      <c r="K91">
        <v>82.7</v>
      </c>
      <c r="L91">
        <v>20</v>
      </c>
    </row>
    <row r="92" hidden="1" spans="1:12">
      <c r="A92">
        <v>10035</v>
      </c>
      <c r="B92" t="s">
        <v>59</v>
      </c>
      <c r="C92" t="s">
        <v>18</v>
      </c>
      <c r="D92" t="s">
        <v>21</v>
      </c>
      <c r="E92">
        <v>65</v>
      </c>
      <c r="F92">
        <v>60</v>
      </c>
      <c r="G92">
        <v>50</v>
      </c>
      <c r="H92">
        <v>52.5</v>
      </c>
      <c r="I92">
        <v>62</v>
      </c>
      <c r="J92">
        <v>289.5</v>
      </c>
      <c r="K92">
        <v>57.9</v>
      </c>
      <c r="L92">
        <v>98</v>
      </c>
    </row>
    <row r="93" hidden="1" spans="1:12">
      <c r="A93">
        <v>10039</v>
      </c>
      <c r="B93" t="s">
        <v>63</v>
      </c>
      <c r="C93" t="s">
        <v>18</v>
      </c>
      <c r="D93" t="s">
        <v>21</v>
      </c>
      <c r="E93">
        <v>85.5</v>
      </c>
      <c r="F93">
        <v>91.5</v>
      </c>
      <c r="G93">
        <v>56.5</v>
      </c>
      <c r="H93">
        <v>54.5</v>
      </c>
      <c r="I93">
        <v>76.5</v>
      </c>
      <c r="J93">
        <v>364.5</v>
      </c>
      <c r="K93">
        <v>72.9</v>
      </c>
      <c r="L93">
        <v>73</v>
      </c>
    </row>
    <row r="94" hidden="1" spans="1:12">
      <c r="A94">
        <v>10044</v>
      </c>
      <c r="B94" t="s">
        <v>68</v>
      </c>
      <c r="C94" t="s">
        <v>15</v>
      </c>
      <c r="D94" t="s">
        <v>21</v>
      </c>
      <c r="E94">
        <v>71.5</v>
      </c>
      <c r="F94">
        <v>60</v>
      </c>
      <c r="G94">
        <v>52</v>
      </c>
      <c r="H94">
        <v>50</v>
      </c>
      <c r="I94">
        <v>58</v>
      </c>
      <c r="J94">
        <v>291.5</v>
      </c>
      <c r="K94">
        <v>58.3</v>
      </c>
      <c r="L94">
        <v>97</v>
      </c>
    </row>
    <row r="95" ht="14.25" hidden="1" spans="1:12">
      <c r="A95">
        <v>10055</v>
      </c>
      <c r="B95" t="s">
        <v>79</v>
      </c>
      <c r="C95" t="s">
        <v>15</v>
      </c>
      <c r="D95" t="s">
        <v>21</v>
      </c>
      <c r="E95">
        <v>81.5</v>
      </c>
      <c r="F95">
        <v>94</v>
      </c>
      <c r="G95">
        <v>94</v>
      </c>
      <c r="H95">
        <v>90</v>
      </c>
      <c r="I95">
        <v>95</v>
      </c>
      <c r="J95">
        <v>454.5</v>
      </c>
      <c r="K95">
        <v>90.9</v>
      </c>
      <c r="L95">
        <v>10</v>
      </c>
    </row>
    <row r="96" ht="15" spans="1:12">
      <c r="A96" s="4">
        <v>10060</v>
      </c>
      <c r="B96" s="5" t="s">
        <v>84</v>
      </c>
      <c r="C96" s="5" t="s">
        <v>18</v>
      </c>
      <c r="D96" s="5" t="s">
        <v>21</v>
      </c>
      <c r="E96" s="5">
        <v>96</v>
      </c>
      <c r="F96" s="5">
        <v>84</v>
      </c>
      <c r="G96" s="5">
        <v>98</v>
      </c>
      <c r="H96" s="5">
        <v>96</v>
      </c>
      <c r="I96" s="5">
        <v>69.5</v>
      </c>
      <c r="J96" s="5">
        <v>443.5</v>
      </c>
      <c r="K96" s="5">
        <v>88.7</v>
      </c>
      <c r="L96" s="6">
        <v>12</v>
      </c>
    </row>
    <row r="97" ht="14.25" hidden="1" spans="1:12">
      <c r="A97">
        <v>10067</v>
      </c>
      <c r="B97" t="s">
        <v>91</v>
      </c>
      <c r="C97" t="s">
        <v>18</v>
      </c>
      <c r="D97" t="s">
        <v>21</v>
      </c>
      <c r="E97">
        <v>71.5</v>
      </c>
      <c r="F97">
        <v>73</v>
      </c>
      <c r="G97">
        <v>77</v>
      </c>
      <c r="H97">
        <v>75</v>
      </c>
      <c r="I97">
        <v>78.5</v>
      </c>
      <c r="J97">
        <v>375</v>
      </c>
      <c r="K97">
        <v>75</v>
      </c>
      <c r="L97">
        <v>64</v>
      </c>
    </row>
    <row r="98" hidden="1" spans="1:12">
      <c r="A98">
        <v>10070</v>
      </c>
      <c r="B98" t="s">
        <v>94</v>
      </c>
      <c r="C98" t="s">
        <v>15</v>
      </c>
      <c r="D98" t="s">
        <v>21</v>
      </c>
      <c r="E98">
        <v>68.5</v>
      </c>
      <c r="F98">
        <v>63</v>
      </c>
      <c r="G98">
        <v>88</v>
      </c>
      <c r="H98">
        <v>86</v>
      </c>
      <c r="I98">
        <v>73</v>
      </c>
      <c r="J98">
        <v>378.5</v>
      </c>
      <c r="K98">
        <v>75.7</v>
      </c>
      <c r="L98">
        <v>58</v>
      </c>
    </row>
    <row r="99" hidden="1" spans="1:12">
      <c r="A99">
        <v>10073</v>
      </c>
      <c r="B99" t="s">
        <v>97</v>
      </c>
      <c r="C99" t="s">
        <v>15</v>
      </c>
      <c r="D99" t="s">
        <v>21</v>
      </c>
      <c r="E99">
        <v>82</v>
      </c>
      <c r="F99">
        <v>81</v>
      </c>
      <c r="G99">
        <v>62.5</v>
      </c>
      <c r="H99">
        <v>60.5</v>
      </c>
      <c r="I99">
        <v>92</v>
      </c>
      <c r="J99">
        <v>378</v>
      </c>
      <c r="K99">
        <v>75.6</v>
      </c>
      <c r="L99">
        <v>59</v>
      </c>
    </row>
    <row r="100" hidden="1" spans="1:12">
      <c r="A100">
        <v>10082</v>
      </c>
      <c r="B100" t="s">
        <v>106</v>
      </c>
      <c r="C100" t="s">
        <v>18</v>
      </c>
      <c r="D100" t="s">
        <v>21</v>
      </c>
      <c r="E100">
        <v>81</v>
      </c>
      <c r="F100">
        <v>91.5</v>
      </c>
      <c r="G100">
        <v>97</v>
      </c>
      <c r="H100">
        <v>95</v>
      </c>
      <c r="I100">
        <v>92</v>
      </c>
      <c r="J100">
        <v>456.5</v>
      </c>
      <c r="K100">
        <v>91.3</v>
      </c>
      <c r="L100">
        <v>7</v>
      </c>
    </row>
    <row r="101" hidden="1" spans="1:12">
      <c r="A101">
        <v>10086</v>
      </c>
      <c r="B101" t="s">
        <v>110</v>
      </c>
      <c r="C101" t="s">
        <v>15</v>
      </c>
      <c r="D101" t="s">
        <v>21</v>
      </c>
      <c r="E101">
        <v>93</v>
      </c>
      <c r="F101">
        <v>88</v>
      </c>
      <c r="G101">
        <v>98</v>
      </c>
      <c r="H101">
        <v>85</v>
      </c>
      <c r="I101">
        <v>94</v>
      </c>
      <c r="J101">
        <v>458</v>
      </c>
      <c r="K101">
        <v>91.6</v>
      </c>
      <c r="L101">
        <v>3</v>
      </c>
    </row>
    <row r="102" hidden="1" spans="1:12">
      <c r="A102">
        <v>10091</v>
      </c>
      <c r="B102" t="s">
        <v>115</v>
      </c>
      <c r="C102" t="s">
        <v>18</v>
      </c>
      <c r="D102" t="s">
        <v>21</v>
      </c>
      <c r="E102">
        <v>66</v>
      </c>
      <c r="F102">
        <v>69.5</v>
      </c>
      <c r="G102">
        <v>79.5</v>
      </c>
      <c r="H102">
        <v>77.5</v>
      </c>
      <c r="I102">
        <v>83</v>
      </c>
      <c r="J102">
        <v>375.5</v>
      </c>
      <c r="K102">
        <v>75.1</v>
      </c>
      <c r="L102">
        <v>61</v>
      </c>
    </row>
    <row r="103" hidden="1" spans="1:12">
      <c r="A103">
        <v>10095</v>
      </c>
      <c r="B103" t="s">
        <v>119</v>
      </c>
      <c r="C103" t="s">
        <v>18</v>
      </c>
      <c r="D103" t="s">
        <v>21</v>
      </c>
      <c r="E103">
        <v>76.5</v>
      </c>
      <c r="F103">
        <v>62.5</v>
      </c>
      <c r="G103">
        <v>79.5</v>
      </c>
      <c r="H103">
        <v>77.5</v>
      </c>
      <c r="I103">
        <v>83</v>
      </c>
      <c r="J103">
        <v>379</v>
      </c>
      <c r="K103">
        <v>75.8</v>
      </c>
      <c r="L103">
        <v>57</v>
      </c>
    </row>
    <row r="104" ht="14.25"/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7"/>
  <sheetViews>
    <sheetView zoomScale="85" zoomScaleNormal="85" workbookViewId="0">
      <selection activeCell="G124" sqref="G124"/>
    </sheetView>
  </sheetViews>
  <sheetFormatPr defaultColWidth="9" defaultRowHeight="13.5"/>
  <cols>
    <col min="4" max="4" width="13.125" customWidth="1"/>
    <col min="5" max="7" width="12.625"/>
    <col min="10" max="11" width="12.625"/>
  </cols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hidden="1" outlineLevel="2" spans="1:11">
      <c r="A2">
        <v>10003</v>
      </c>
      <c r="B2" t="s">
        <v>20</v>
      </c>
      <c r="C2" t="s">
        <v>15</v>
      </c>
      <c r="D2" t="s">
        <v>21</v>
      </c>
      <c r="E2">
        <v>66</v>
      </c>
      <c r="F2">
        <v>66</v>
      </c>
      <c r="G2">
        <v>74</v>
      </c>
      <c r="H2">
        <v>72</v>
      </c>
      <c r="I2">
        <v>83</v>
      </c>
      <c r="J2">
        <v>361</v>
      </c>
      <c r="K2">
        <v>72.2</v>
      </c>
    </row>
    <row r="3" hidden="1" outlineLevel="2" spans="1:11">
      <c r="A3">
        <v>10007</v>
      </c>
      <c r="B3" t="s">
        <v>29</v>
      </c>
      <c r="C3" t="s">
        <v>18</v>
      </c>
      <c r="D3" t="s">
        <v>21</v>
      </c>
      <c r="E3">
        <v>84</v>
      </c>
      <c r="F3">
        <v>70.5</v>
      </c>
      <c r="G3">
        <v>75</v>
      </c>
      <c r="H3">
        <v>73</v>
      </c>
      <c r="I3">
        <v>75</v>
      </c>
      <c r="J3">
        <v>377.5</v>
      </c>
      <c r="K3">
        <v>75.5</v>
      </c>
    </row>
    <row r="4" hidden="1" outlineLevel="2" spans="1:11">
      <c r="A4">
        <v>10013</v>
      </c>
      <c r="B4" t="s">
        <v>36</v>
      </c>
      <c r="C4" t="s">
        <v>18</v>
      </c>
      <c r="D4" t="s">
        <v>21</v>
      </c>
      <c r="E4">
        <v>65</v>
      </c>
      <c r="F4">
        <v>64</v>
      </c>
      <c r="G4">
        <v>75.5</v>
      </c>
      <c r="H4">
        <v>73.5</v>
      </c>
      <c r="I4">
        <v>83.5</v>
      </c>
      <c r="J4">
        <v>361.5</v>
      </c>
      <c r="K4">
        <v>72.3</v>
      </c>
    </row>
    <row r="5" hidden="1" outlineLevel="2" spans="1:11">
      <c r="A5">
        <v>10021</v>
      </c>
      <c r="B5" t="s">
        <v>45</v>
      </c>
      <c r="C5" t="s">
        <v>18</v>
      </c>
      <c r="D5" t="s">
        <v>21</v>
      </c>
      <c r="E5">
        <v>91</v>
      </c>
      <c r="F5">
        <v>68.5</v>
      </c>
      <c r="G5">
        <v>64.5</v>
      </c>
      <c r="H5">
        <v>62.5</v>
      </c>
      <c r="I5">
        <v>76.5</v>
      </c>
      <c r="J5">
        <v>363</v>
      </c>
      <c r="K5">
        <v>72.6</v>
      </c>
    </row>
    <row r="6" hidden="1" outlineLevel="2" spans="1:11">
      <c r="A6">
        <v>10028</v>
      </c>
      <c r="B6" t="s">
        <v>52</v>
      </c>
      <c r="C6" t="s">
        <v>15</v>
      </c>
      <c r="D6" t="s">
        <v>21</v>
      </c>
      <c r="E6">
        <v>69</v>
      </c>
      <c r="F6">
        <v>68.5</v>
      </c>
      <c r="G6">
        <v>92</v>
      </c>
      <c r="H6">
        <v>90</v>
      </c>
      <c r="I6">
        <v>94.5</v>
      </c>
      <c r="J6">
        <v>414</v>
      </c>
      <c r="K6">
        <v>82.8</v>
      </c>
    </row>
    <row r="7" hidden="1" outlineLevel="2" spans="1:11">
      <c r="A7">
        <v>10030</v>
      </c>
      <c r="B7" t="s">
        <v>54</v>
      </c>
      <c r="C7" t="s">
        <v>15</v>
      </c>
      <c r="D7" t="s">
        <v>21</v>
      </c>
      <c r="E7">
        <v>69</v>
      </c>
      <c r="F7">
        <v>75</v>
      </c>
      <c r="G7">
        <v>89</v>
      </c>
      <c r="H7">
        <v>80</v>
      </c>
      <c r="I7">
        <v>75</v>
      </c>
      <c r="J7">
        <v>388</v>
      </c>
      <c r="K7">
        <v>77.6</v>
      </c>
    </row>
    <row r="8" hidden="1" outlineLevel="2" spans="1:11">
      <c r="A8">
        <v>10032</v>
      </c>
      <c r="B8" t="s">
        <v>56</v>
      </c>
      <c r="C8" t="s">
        <v>18</v>
      </c>
      <c r="D8" t="s">
        <v>21</v>
      </c>
      <c r="E8">
        <v>77</v>
      </c>
      <c r="F8">
        <v>85.5</v>
      </c>
      <c r="G8">
        <v>63.5</v>
      </c>
      <c r="H8">
        <v>61.5</v>
      </c>
      <c r="I8">
        <v>72</v>
      </c>
      <c r="J8">
        <v>359.5</v>
      </c>
      <c r="K8">
        <v>71.9</v>
      </c>
    </row>
    <row r="9" hidden="1" outlineLevel="2" spans="1:11">
      <c r="A9">
        <v>10033</v>
      </c>
      <c r="B9" t="s">
        <v>57</v>
      </c>
      <c r="C9" t="s">
        <v>15</v>
      </c>
      <c r="D9" t="s">
        <v>21</v>
      </c>
      <c r="E9">
        <v>85</v>
      </c>
      <c r="F9">
        <v>95</v>
      </c>
      <c r="G9">
        <v>94</v>
      </c>
      <c r="H9">
        <v>86.5</v>
      </c>
      <c r="I9">
        <v>92</v>
      </c>
      <c r="J9">
        <v>452.5</v>
      </c>
      <c r="K9">
        <v>90.5</v>
      </c>
    </row>
    <row r="10" hidden="1" outlineLevel="2" spans="1:11">
      <c r="A10">
        <v>10034</v>
      </c>
      <c r="B10" t="s">
        <v>58</v>
      </c>
      <c r="C10" t="s">
        <v>18</v>
      </c>
      <c r="D10" t="s">
        <v>21</v>
      </c>
      <c r="E10">
        <v>80</v>
      </c>
      <c r="F10">
        <v>76.5</v>
      </c>
      <c r="G10">
        <v>89.5</v>
      </c>
      <c r="H10">
        <v>87.5</v>
      </c>
      <c r="I10">
        <v>80</v>
      </c>
      <c r="J10">
        <v>413.5</v>
      </c>
      <c r="K10">
        <v>82.7</v>
      </c>
    </row>
    <row r="11" hidden="1" outlineLevel="2" spans="1:11">
      <c r="A11">
        <v>10035</v>
      </c>
      <c r="B11" t="s">
        <v>59</v>
      </c>
      <c r="C11" t="s">
        <v>18</v>
      </c>
      <c r="D11" t="s">
        <v>21</v>
      </c>
      <c r="E11">
        <v>65</v>
      </c>
      <c r="F11">
        <v>60</v>
      </c>
      <c r="G11">
        <v>50</v>
      </c>
      <c r="H11">
        <v>52.5</v>
      </c>
      <c r="I11">
        <v>62</v>
      </c>
      <c r="J11">
        <v>289.5</v>
      </c>
      <c r="K11">
        <v>57.9</v>
      </c>
    </row>
    <row r="12" hidden="1" outlineLevel="2" spans="1:11">
      <c r="A12">
        <v>10039</v>
      </c>
      <c r="B12" t="s">
        <v>63</v>
      </c>
      <c r="C12" t="s">
        <v>18</v>
      </c>
      <c r="D12" t="s">
        <v>21</v>
      </c>
      <c r="E12">
        <v>85.5</v>
      </c>
      <c r="F12">
        <v>91.5</v>
      </c>
      <c r="G12">
        <v>56.5</v>
      </c>
      <c r="H12">
        <v>54.5</v>
      </c>
      <c r="I12">
        <v>76.5</v>
      </c>
      <c r="J12">
        <v>364.5</v>
      </c>
      <c r="K12">
        <v>72.9</v>
      </c>
    </row>
    <row r="13" hidden="1" outlineLevel="2" spans="1:11">
      <c r="A13">
        <v>10044</v>
      </c>
      <c r="B13" t="s">
        <v>68</v>
      </c>
      <c r="C13" t="s">
        <v>15</v>
      </c>
      <c r="D13" t="s">
        <v>21</v>
      </c>
      <c r="E13">
        <v>71.5</v>
      </c>
      <c r="F13">
        <v>60</v>
      </c>
      <c r="G13">
        <v>52</v>
      </c>
      <c r="H13">
        <v>50</v>
      </c>
      <c r="I13">
        <v>58</v>
      </c>
      <c r="J13">
        <v>291.5</v>
      </c>
      <c r="K13">
        <v>58.3</v>
      </c>
    </row>
    <row r="14" hidden="1" outlineLevel="2" spans="1:11">
      <c r="A14">
        <v>10055</v>
      </c>
      <c r="B14" t="s">
        <v>79</v>
      </c>
      <c r="C14" t="s">
        <v>15</v>
      </c>
      <c r="D14" t="s">
        <v>21</v>
      </c>
      <c r="E14">
        <v>81.5</v>
      </c>
      <c r="F14">
        <v>94</v>
      </c>
      <c r="G14">
        <v>94</v>
      </c>
      <c r="H14">
        <v>90</v>
      </c>
      <c r="I14">
        <v>95</v>
      </c>
      <c r="J14">
        <v>454.5</v>
      </c>
      <c r="K14">
        <v>90.9</v>
      </c>
    </row>
    <row r="15" hidden="1" outlineLevel="2" spans="1:11">
      <c r="A15">
        <v>10060</v>
      </c>
      <c r="B15" t="s">
        <v>84</v>
      </c>
      <c r="C15" t="s">
        <v>18</v>
      </c>
      <c r="D15" t="s">
        <v>21</v>
      </c>
      <c r="E15">
        <v>96</v>
      </c>
      <c r="F15">
        <v>84</v>
      </c>
      <c r="G15">
        <v>98</v>
      </c>
      <c r="H15">
        <v>96</v>
      </c>
      <c r="I15">
        <v>69.5</v>
      </c>
      <c r="J15">
        <v>443.5</v>
      </c>
      <c r="K15">
        <v>88.7</v>
      </c>
    </row>
    <row r="16" hidden="1" outlineLevel="2" spans="1:11">
      <c r="A16">
        <v>10067</v>
      </c>
      <c r="B16" t="s">
        <v>91</v>
      </c>
      <c r="C16" t="s">
        <v>18</v>
      </c>
      <c r="D16" t="s">
        <v>21</v>
      </c>
      <c r="E16">
        <v>71.5</v>
      </c>
      <c r="F16">
        <v>73</v>
      </c>
      <c r="G16">
        <v>77</v>
      </c>
      <c r="H16">
        <v>75</v>
      </c>
      <c r="I16">
        <v>78.5</v>
      </c>
      <c r="J16">
        <v>375</v>
      </c>
      <c r="K16">
        <v>75</v>
      </c>
    </row>
    <row r="17" hidden="1" outlineLevel="2" spans="1:11">
      <c r="A17">
        <v>10070</v>
      </c>
      <c r="B17" t="s">
        <v>94</v>
      </c>
      <c r="C17" t="s">
        <v>15</v>
      </c>
      <c r="D17" t="s">
        <v>21</v>
      </c>
      <c r="E17">
        <v>68.5</v>
      </c>
      <c r="F17">
        <v>63</v>
      </c>
      <c r="G17">
        <v>88</v>
      </c>
      <c r="H17">
        <v>86</v>
      </c>
      <c r="I17">
        <v>73</v>
      </c>
      <c r="J17">
        <v>378.5</v>
      </c>
      <c r="K17">
        <v>75.7</v>
      </c>
    </row>
    <row r="18" hidden="1" outlineLevel="2" spans="1:11">
      <c r="A18">
        <v>10073</v>
      </c>
      <c r="B18" t="s">
        <v>97</v>
      </c>
      <c r="C18" t="s">
        <v>15</v>
      </c>
      <c r="D18" t="s">
        <v>21</v>
      </c>
      <c r="E18">
        <v>82</v>
      </c>
      <c r="F18">
        <v>81</v>
      </c>
      <c r="G18">
        <v>62.5</v>
      </c>
      <c r="H18">
        <v>60.5</v>
      </c>
      <c r="I18">
        <v>92</v>
      </c>
      <c r="J18">
        <v>378</v>
      </c>
      <c r="K18">
        <v>75.6</v>
      </c>
    </row>
    <row r="19" hidden="1" outlineLevel="2" spans="1:11">
      <c r="A19">
        <v>10082</v>
      </c>
      <c r="B19" t="s">
        <v>106</v>
      </c>
      <c r="C19" t="s">
        <v>18</v>
      </c>
      <c r="D19" t="s">
        <v>21</v>
      </c>
      <c r="E19">
        <v>81</v>
      </c>
      <c r="F19">
        <v>91.5</v>
      </c>
      <c r="G19">
        <v>97</v>
      </c>
      <c r="H19">
        <v>95</v>
      </c>
      <c r="I19">
        <v>92</v>
      </c>
      <c r="J19">
        <v>456.5</v>
      </c>
      <c r="K19">
        <v>91.3</v>
      </c>
    </row>
    <row r="20" hidden="1" outlineLevel="2" spans="1:11">
      <c r="A20">
        <v>10086</v>
      </c>
      <c r="B20" t="s">
        <v>110</v>
      </c>
      <c r="C20" t="s">
        <v>15</v>
      </c>
      <c r="D20" t="s">
        <v>21</v>
      </c>
      <c r="E20">
        <v>93</v>
      </c>
      <c r="F20">
        <v>88</v>
      </c>
      <c r="G20">
        <v>98</v>
      </c>
      <c r="H20">
        <v>85</v>
      </c>
      <c r="I20">
        <v>94</v>
      </c>
      <c r="J20">
        <v>458</v>
      </c>
      <c r="K20">
        <v>91.6</v>
      </c>
    </row>
    <row r="21" hidden="1" outlineLevel="2" spans="1:11">
      <c r="A21">
        <v>10091</v>
      </c>
      <c r="B21" t="s">
        <v>115</v>
      </c>
      <c r="C21" t="s">
        <v>18</v>
      </c>
      <c r="D21" t="s">
        <v>21</v>
      </c>
      <c r="E21">
        <v>66</v>
      </c>
      <c r="F21">
        <v>69.5</v>
      </c>
      <c r="G21">
        <v>79.5</v>
      </c>
      <c r="H21">
        <v>77.5</v>
      </c>
      <c r="I21">
        <v>83</v>
      </c>
      <c r="J21">
        <v>375.5</v>
      </c>
      <c r="K21">
        <v>75.1</v>
      </c>
    </row>
    <row r="22" hidden="1" outlineLevel="2" spans="1:11">
      <c r="A22">
        <v>10095</v>
      </c>
      <c r="B22" t="s">
        <v>119</v>
      </c>
      <c r="C22" t="s">
        <v>18</v>
      </c>
      <c r="D22" t="s">
        <v>21</v>
      </c>
      <c r="E22">
        <v>76.5</v>
      </c>
      <c r="F22">
        <v>62.5</v>
      </c>
      <c r="G22">
        <v>79.5</v>
      </c>
      <c r="H22">
        <v>77.5</v>
      </c>
      <c r="I22">
        <v>83</v>
      </c>
      <c r="J22">
        <v>379</v>
      </c>
      <c r="K22">
        <v>75.8</v>
      </c>
    </row>
    <row r="23" outlineLevel="1" collapsed="1" spans="4:11">
      <c r="D23" s="1" t="s">
        <v>125</v>
      </c>
      <c r="E23" s="2">
        <f>SUBTOTAL(1,E2:E22)</f>
        <v>77.3333333333333</v>
      </c>
      <c r="F23" s="2">
        <f>SUBTOTAL(1,F2:F22)</f>
        <v>75.5952380952381</v>
      </c>
      <c r="G23" s="2">
        <f>SUBTOTAL(1,G2:G22)</f>
        <v>78.5238095238095</v>
      </c>
      <c r="H23" s="2"/>
      <c r="I23" s="2"/>
      <c r="J23" s="2">
        <f>SUBTOTAL(1,J2:J22)</f>
        <v>387.357142857143</v>
      </c>
      <c r="K23">
        <f>SUBTOTAL(1,K2:K22)</f>
        <v>77.4714285714286</v>
      </c>
    </row>
    <row r="24" hidden="1" outlineLevel="2" spans="1:11">
      <c r="A24">
        <v>10014</v>
      </c>
      <c r="B24" t="s">
        <v>37</v>
      </c>
      <c r="C24" t="s">
        <v>18</v>
      </c>
      <c r="D24" t="s">
        <v>38</v>
      </c>
      <c r="E24" s="2">
        <v>67</v>
      </c>
      <c r="F24" s="2">
        <v>86</v>
      </c>
      <c r="G24" s="2">
        <v>70.5</v>
      </c>
      <c r="H24" s="2">
        <v>68.5</v>
      </c>
      <c r="I24" s="2">
        <v>62.5</v>
      </c>
      <c r="J24" s="2">
        <v>354.5</v>
      </c>
      <c r="K24">
        <v>70.9</v>
      </c>
    </row>
    <row r="25" hidden="1" outlineLevel="2" spans="1:11">
      <c r="A25">
        <v>10031</v>
      </c>
      <c r="B25" t="s">
        <v>55</v>
      </c>
      <c r="C25" t="s">
        <v>18</v>
      </c>
      <c r="D25" t="s">
        <v>38</v>
      </c>
      <c r="E25" s="2">
        <v>77.5</v>
      </c>
      <c r="F25" s="2">
        <v>75.5</v>
      </c>
      <c r="G25" s="2">
        <v>79</v>
      </c>
      <c r="H25" s="2">
        <v>77</v>
      </c>
      <c r="I25" s="2">
        <v>80</v>
      </c>
      <c r="J25" s="2">
        <v>389</v>
      </c>
      <c r="K25">
        <v>77.8</v>
      </c>
    </row>
    <row r="26" hidden="1" outlineLevel="2" spans="1:11">
      <c r="A26">
        <v>10045</v>
      </c>
      <c r="B26" t="s">
        <v>69</v>
      </c>
      <c r="C26" t="s">
        <v>15</v>
      </c>
      <c r="D26" t="s">
        <v>38</v>
      </c>
      <c r="E26" s="2">
        <v>60.5</v>
      </c>
      <c r="F26" s="2">
        <v>80</v>
      </c>
      <c r="G26" s="2">
        <v>80.5</v>
      </c>
      <c r="H26" s="2">
        <v>78.5</v>
      </c>
      <c r="I26" s="2">
        <v>76</v>
      </c>
      <c r="J26" s="2">
        <v>375.5</v>
      </c>
      <c r="K26">
        <v>75.1</v>
      </c>
    </row>
    <row r="27" hidden="1" outlineLevel="2" spans="1:11">
      <c r="A27">
        <v>10046</v>
      </c>
      <c r="B27" t="s">
        <v>70</v>
      </c>
      <c r="C27" t="s">
        <v>18</v>
      </c>
      <c r="D27" t="s">
        <v>38</v>
      </c>
      <c r="E27" s="2">
        <v>92</v>
      </c>
      <c r="F27" s="2">
        <v>93</v>
      </c>
      <c r="G27" s="2">
        <v>92</v>
      </c>
      <c r="H27" s="2">
        <v>63.5</v>
      </c>
      <c r="I27" s="2">
        <v>65</v>
      </c>
      <c r="J27" s="2">
        <v>405.5</v>
      </c>
      <c r="K27">
        <v>81.1</v>
      </c>
    </row>
    <row r="28" hidden="1" outlineLevel="2" spans="1:11">
      <c r="A28">
        <v>10049</v>
      </c>
      <c r="B28" t="s">
        <v>73</v>
      </c>
      <c r="C28" t="s">
        <v>15</v>
      </c>
      <c r="D28" t="s">
        <v>38</v>
      </c>
      <c r="E28" s="2">
        <v>63.5</v>
      </c>
      <c r="F28" s="2">
        <v>83</v>
      </c>
      <c r="G28" s="2">
        <v>63.5</v>
      </c>
      <c r="H28" s="2">
        <v>61.5</v>
      </c>
      <c r="I28" s="2">
        <v>70</v>
      </c>
      <c r="J28" s="2">
        <v>341.5</v>
      </c>
      <c r="K28">
        <v>68.3</v>
      </c>
    </row>
    <row r="29" hidden="1" outlineLevel="2" spans="1:11">
      <c r="A29">
        <v>10054</v>
      </c>
      <c r="B29" t="s">
        <v>78</v>
      </c>
      <c r="C29" t="s">
        <v>18</v>
      </c>
      <c r="D29" t="s">
        <v>38</v>
      </c>
      <c r="E29" s="2">
        <v>96</v>
      </c>
      <c r="F29" s="2">
        <v>88</v>
      </c>
      <c r="G29" s="2">
        <v>93</v>
      </c>
      <c r="H29" s="2">
        <v>88</v>
      </c>
      <c r="I29" s="2">
        <v>92</v>
      </c>
      <c r="J29" s="2">
        <v>457</v>
      </c>
      <c r="K29">
        <v>91.4</v>
      </c>
    </row>
    <row r="30" hidden="1" outlineLevel="2" spans="1:11">
      <c r="A30">
        <v>10056</v>
      </c>
      <c r="B30" t="s">
        <v>80</v>
      </c>
      <c r="C30" t="s">
        <v>18</v>
      </c>
      <c r="D30" t="s">
        <v>38</v>
      </c>
      <c r="E30" s="2">
        <v>79.5</v>
      </c>
      <c r="F30" s="2">
        <v>87.5</v>
      </c>
      <c r="G30" s="2">
        <v>74.5</v>
      </c>
      <c r="H30" s="2">
        <v>72.5</v>
      </c>
      <c r="I30" s="2">
        <v>75</v>
      </c>
      <c r="J30" s="2">
        <v>389</v>
      </c>
      <c r="K30">
        <v>77.8</v>
      </c>
    </row>
    <row r="31" hidden="1" outlineLevel="2" spans="1:11">
      <c r="A31">
        <v>10066</v>
      </c>
      <c r="B31" t="s">
        <v>90</v>
      </c>
      <c r="C31" t="s">
        <v>15</v>
      </c>
      <c r="D31" t="s">
        <v>38</v>
      </c>
      <c r="E31" s="2">
        <v>68</v>
      </c>
      <c r="F31" s="2">
        <v>81</v>
      </c>
      <c r="G31" s="2">
        <v>85.5</v>
      </c>
      <c r="H31" s="2">
        <v>83.5</v>
      </c>
      <c r="I31" s="2">
        <v>65.5</v>
      </c>
      <c r="J31" s="2">
        <v>383.5</v>
      </c>
      <c r="K31">
        <v>76.7</v>
      </c>
    </row>
    <row r="32" hidden="1" outlineLevel="2" spans="1:11">
      <c r="A32">
        <v>10076</v>
      </c>
      <c r="B32" t="s">
        <v>100</v>
      </c>
      <c r="C32" t="s">
        <v>15</v>
      </c>
      <c r="D32" t="s">
        <v>38</v>
      </c>
      <c r="E32" s="2">
        <v>81</v>
      </c>
      <c r="F32" s="2">
        <v>83</v>
      </c>
      <c r="G32" s="2">
        <v>75.5</v>
      </c>
      <c r="H32" s="2">
        <v>73.5</v>
      </c>
      <c r="I32" s="2">
        <v>62.5</v>
      </c>
      <c r="J32" s="2">
        <v>375.5</v>
      </c>
      <c r="K32">
        <v>75.1</v>
      </c>
    </row>
    <row r="33" hidden="1" outlineLevel="2" spans="1:11">
      <c r="A33">
        <v>10077</v>
      </c>
      <c r="B33" t="s">
        <v>101</v>
      </c>
      <c r="C33" t="s">
        <v>18</v>
      </c>
      <c r="D33" t="s">
        <v>38</v>
      </c>
      <c r="E33" s="2">
        <v>71.5</v>
      </c>
      <c r="F33" s="2">
        <v>79.5</v>
      </c>
      <c r="G33" s="2">
        <v>75.5</v>
      </c>
      <c r="H33" s="2">
        <v>73.5</v>
      </c>
      <c r="I33" s="2">
        <v>87.5</v>
      </c>
      <c r="J33" s="2">
        <v>387.5</v>
      </c>
      <c r="K33">
        <v>77.5</v>
      </c>
    </row>
    <row r="34" hidden="1" outlineLevel="2" spans="1:11">
      <c r="A34">
        <v>10081</v>
      </c>
      <c r="B34" t="s">
        <v>105</v>
      </c>
      <c r="C34" t="s">
        <v>18</v>
      </c>
      <c r="D34" t="s">
        <v>38</v>
      </c>
      <c r="E34" s="2">
        <v>87.5</v>
      </c>
      <c r="F34" s="2">
        <v>73</v>
      </c>
      <c r="G34" s="2">
        <v>91</v>
      </c>
      <c r="H34" s="2">
        <v>89</v>
      </c>
      <c r="I34" s="2">
        <v>69.5</v>
      </c>
      <c r="J34" s="2">
        <v>410</v>
      </c>
      <c r="K34">
        <v>82</v>
      </c>
    </row>
    <row r="35" hidden="1" outlineLevel="2" spans="1:11">
      <c r="A35">
        <v>10087</v>
      </c>
      <c r="B35" t="s">
        <v>111</v>
      </c>
      <c r="C35" t="s">
        <v>18</v>
      </c>
      <c r="D35" t="s">
        <v>38</v>
      </c>
      <c r="E35" s="2">
        <v>88</v>
      </c>
      <c r="F35" s="2">
        <v>81.5</v>
      </c>
      <c r="G35" s="2">
        <v>83</v>
      </c>
      <c r="H35" s="2">
        <v>81</v>
      </c>
      <c r="I35" s="2">
        <v>73.5</v>
      </c>
      <c r="J35" s="2">
        <v>407</v>
      </c>
      <c r="K35">
        <v>81.4</v>
      </c>
    </row>
    <row r="36" hidden="1" outlineLevel="2" spans="1:11">
      <c r="A36">
        <v>10096</v>
      </c>
      <c r="B36" t="s">
        <v>120</v>
      </c>
      <c r="C36" t="s">
        <v>15</v>
      </c>
      <c r="D36" t="s">
        <v>38</v>
      </c>
      <c r="E36" s="2">
        <v>81.5</v>
      </c>
      <c r="F36" s="2">
        <v>74</v>
      </c>
      <c r="G36" s="2">
        <v>71</v>
      </c>
      <c r="H36" s="2">
        <v>69</v>
      </c>
      <c r="I36" s="2">
        <v>64</v>
      </c>
      <c r="J36" s="2">
        <v>359.5</v>
      </c>
      <c r="K36">
        <v>71.9</v>
      </c>
    </row>
    <row r="37" hidden="1" outlineLevel="2" spans="1:11">
      <c r="A37">
        <v>10099</v>
      </c>
      <c r="B37" t="s">
        <v>123</v>
      </c>
      <c r="C37" t="s">
        <v>18</v>
      </c>
      <c r="D37" t="s">
        <v>38</v>
      </c>
      <c r="E37" s="2">
        <v>81</v>
      </c>
      <c r="F37" s="2">
        <v>85</v>
      </c>
      <c r="G37" s="2">
        <v>79.5</v>
      </c>
      <c r="H37" s="2">
        <v>77.5</v>
      </c>
      <c r="I37" s="2">
        <v>83</v>
      </c>
      <c r="J37" s="2">
        <v>406</v>
      </c>
      <c r="K37">
        <v>81.2</v>
      </c>
    </row>
    <row r="38" outlineLevel="1" collapsed="1" spans="4:11">
      <c r="D38" s="1" t="s">
        <v>126</v>
      </c>
      <c r="E38" s="2">
        <f>SUBTOTAL(1,E24:E37)</f>
        <v>78.1785714285714</v>
      </c>
      <c r="F38" s="2">
        <f>SUBTOTAL(1,F24:F37)</f>
        <v>82.1428571428571</v>
      </c>
      <c r="G38" s="2">
        <f>SUBTOTAL(1,G24:G37)</f>
        <v>79.5714285714286</v>
      </c>
      <c r="H38" s="2"/>
      <c r="I38" s="2"/>
      <c r="J38" s="2">
        <f>SUBTOTAL(1,J24:J37)</f>
        <v>388.642857142857</v>
      </c>
      <c r="K38">
        <f>SUBTOTAL(1,K24:K37)</f>
        <v>77.7285714285714</v>
      </c>
    </row>
    <row r="39" hidden="1" outlineLevel="2" spans="1:11">
      <c r="A39">
        <v>10004</v>
      </c>
      <c r="B39" t="s">
        <v>22</v>
      </c>
      <c r="C39" t="s">
        <v>15</v>
      </c>
      <c r="D39" t="s">
        <v>23</v>
      </c>
      <c r="E39" s="2">
        <v>90.5</v>
      </c>
      <c r="F39" s="2">
        <v>50</v>
      </c>
      <c r="G39" s="2">
        <v>88</v>
      </c>
      <c r="H39" s="2">
        <v>72</v>
      </c>
      <c r="I39" s="2">
        <v>91.5</v>
      </c>
      <c r="J39" s="2">
        <v>392</v>
      </c>
      <c r="K39">
        <v>78.4</v>
      </c>
    </row>
    <row r="40" hidden="1" outlineLevel="2" spans="1:11">
      <c r="A40">
        <v>10009</v>
      </c>
      <c r="B40" t="s">
        <v>32</v>
      </c>
      <c r="C40" t="s">
        <v>18</v>
      </c>
      <c r="D40" t="s">
        <v>23</v>
      </c>
      <c r="E40" s="2">
        <v>90.5</v>
      </c>
      <c r="F40" s="2">
        <v>88</v>
      </c>
      <c r="G40" s="2">
        <v>95</v>
      </c>
      <c r="H40" s="2">
        <v>90</v>
      </c>
      <c r="I40" s="2">
        <v>94.5</v>
      </c>
      <c r="J40" s="2">
        <v>458</v>
      </c>
      <c r="K40">
        <v>91.6</v>
      </c>
    </row>
    <row r="41" hidden="1" outlineLevel="2" spans="1:11">
      <c r="A41">
        <v>10012</v>
      </c>
      <c r="B41" t="s">
        <v>35</v>
      </c>
      <c r="C41" t="s">
        <v>18</v>
      </c>
      <c r="D41" t="s">
        <v>23</v>
      </c>
      <c r="E41" s="2">
        <v>94</v>
      </c>
      <c r="F41" s="2">
        <v>90</v>
      </c>
      <c r="G41" s="2">
        <v>96</v>
      </c>
      <c r="H41" s="2">
        <v>83.5</v>
      </c>
      <c r="I41" s="2">
        <v>93</v>
      </c>
      <c r="J41" s="2">
        <v>456.5</v>
      </c>
      <c r="K41">
        <v>91.3</v>
      </c>
    </row>
    <row r="42" hidden="1" outlineLevel="2" spans="1:11">
      <c r="A42">
        <v>10018</v>
      </c>
      <c r="B42" t="s">
        <v>42</v>
      </c>
      <c r="C42" t="s">
        <v>15</v>
      </c>
      <c r="D42" t="s">
        <v>23</v>
      </c>
      <c r="E42" s="2">
        <v>73</v>
      </c>
      <c r="F42" s="2">
        <v>76</v>
      </c>
      <c r="G42" s="2">
        <v>56</v>
      </c>
      <c r="H42" s="2">
        <v>54</v>
      </c>
      <c r="I42" s="2">
        <v>73</v>
      </c>
      <c r="J42" s="2">
        <v>332</v>
      </c>
      <c r="K42">
        <v>66.4</v>
      </c>
    </row>
    <row r="43" hidden="1" outlineLevel="2" spans="1:11">
      <c r="A43">
        <v>10024</v>
      </c>
      <c r="B43" t="s">
        <v>48</v>
      </c>
      <c r="C43" t="s">
        <v>18</v>
      </c>
      <c r="D43" t="s">
        <v>23</v>
      </c>
      <c r="E43" s="2">
        <v>78</v>
      </c>
      <c r="F43" s="2">
        <v>61.5</v>
      </c>
      <c r="G43" s="2">
        <v>66</v>
      </c>
      <c r="H43" s="2">
        <v>64</v>
      </c>
      <c r="I43" s="2">
        <v>69</v>
      </c>
      <c r="J43" s="2">
        <v>338.5</v>
      </c>
      <c r="K43">
        <v>67.7</v>
      </c>
    </row>
    <row r="44" hidden="1" outlineLevel="2" spans="1:11">
      <c r="A44">
        <v>10026</v>
      </c>
      <c r="B44" t="s">
        <v>50</v>
      </c>
      <c r="C44" t="s">
        <v>15</v>
      </c>
      <c r="D44" t="s">
        <v>23</v>
      </c>
      <c r="E44" s="2">
        <v>71.5</v>
      </c>
      <c r="F44" s="2">
        <v>88</v>
      </c>
      <c r="G44" s="2">
        <v>81</v>
      </c>
      <c r="H44" s="2">
        <v>85</v>
      </c>
      <c r="I44" s="2">
        <v>82.5</v>
      </c>
      <c r="J44" s="2">
        <v>408</v>
      </c>
      <c r="K44">
        <v>81.6</v>
      </c>
    </row>
    <row r="45" hidden="1" outlineLevel="2" spans="1:11">
      <c r="A45">
        <v>10043</v>
      </c>
      <c r="B45" t="s">
        <v>67</v>
      </c>
      <c r="C45" t="s">
        <v>15</v>
      </c>
      <c r="D45" t="s">
        <v>23</v>
      </c>
      <c r="E45" s="2">
        <v>80.5</v>
      </c>
      <c r="F45" s="2">
        <v>90</v>
      </c>
      <c r="G45" s="2">
        <v>63.5</v>
      </c>
      <c r="H45" s="2">
        <v>85</v>
      </c>
      <c r="I45" s="2">
        <v>92.5</v>
      </c>
      <c r="J45" s="2">
        <v>411.5</v>
      </c>
      <c r="K45">
        <v>82.3</v>
      </c>
    </row>
    <row r="46" hidden="1" outlineLevel="2" spans="1:11">
      <c r="A46">
        <v>10047</v>
      </c>
      <c r="B46" t="s">
        <v>71</v>
      </c>
      <c r="C46" t="s">
        <v>18</v>
      </c>
      <c r="D46" t="s">
        <v>23</v>
      </c>
      <c r="E46" s="2">
        <v>64.5</v>
      </c>
      <c r="F46" s="2">
        <v>66.5</v>
      </c>
      <c r="G46" s="2">
        <v>75.5</v>
      </c>
      <c r="H46" s="2">
        <v>73.5</v>
      </c>
      <c r="I46" s="2">
        <v>90</v>
      </c>
      <c r="J46" s="2">
        <v>370</v>
      </c>
      <c r="K46">
        <v>74</v>
      </c>
    </row>
    <row r="47" hidden="1" outlineLevel="2" spans="1:11">
      <c r="A47">
        <v>10052</v>
      </c>
      <c r="B47" t="s">
        <v>76</v>
      </c>
      <c r="C47" t="s">
        <v>18</v>
      </c>
      <c r="D47" t="s">
        <v>23</v>
      </c>
      <c r="E47" s="2">
        <v>77.5</v>
      </c>
      <c r="F47" s="2">
        <v>72.5</v>
      </c>
      <c r="G47" s="2">
        <v>73.5</v>
      </c>
      <c r="H47" s="2">
        <v>71.5</v>
      </c>
      <c r="I47" s="2">
        <v>65</v>
      </c>
      <c r="J47" s="2">
        <v>360</v>
      </c>
      <c r="K47">
        <v>72</v>
      </c>
    </row>
    <row r="48" hidden="1" outlineLevel="2" spans="1:11">
      <c r="A48">
        <v>10062</v>
      </c>
      <c r="B48" t="s">
        <v>86</v>
      </c>
      <c r="C48" t="s">
        <v>15</v>
      </c>
      <c r="D48" t="s">
        <v>23</v>
      </c>
      <c r="E48" s="2">
        <v>71</v>
      </c>
      <c r="F48" s="2">
        <v>60</v>
      </c>
      <c r="G48" s="2">
        <v>66.5</v>
      </c>
      <c r="H48" s="2">
        <v>64.5</v>
      </c>
      <c r="I48" s="2">
        <v>85</v>
      </c>
      <c r="J48" s="2">
        <v>347</v>
      </c>
      <c r="K48">
        <v>69.4</v>
      </c>
    </row>
    <row r="49" hidden="1" outlineLevel="2" spans="1:11">
      <c r="A49">
        <v>10064</v>
      </c>
      <c r="B49" t="s">
        <v>88</v>
      </c>
      <c r="C49" t="s">
        <v>18</v>
      </c>
      <c r="D49" t="s">
        <v>23</v>
      </c>
      <c r="E49" s="2">
        <v>74</v>
      </c>
      <c r="F49" s="2">
        <v>85.5</v>
      </c>
      <c r="G49" s="2">
        <v>73.5</v>
      </c>
      <c r="H49" s="2">
        <v>71.5</v>
      </c>
      <c r="I49" s="2">
        <v>79</v>
      </c>
      <c r="J49" s="2">
        <v>383.5</v>
      </c>
      <c r="K49">
        <v>76.7</v>
      </c>
    </row>
    <row r="50" hidden="1" outlineLevel="2" spans="1:11">
      <c r="A50">
        <v>10069</v>
      </c>
      <c r="B50" t="s">
        <v>93</v>
      </c>
      <c r="C50" t="s">
        <v>18</v>
      </c>
      <c r="D50" t="s">
        <v>23</v>
      </c>
      <c r="E50" s="2">
        <v>79.5</v>
      </c>
      <c r="F50" s="2">
        <v>86</v>
      </c>
      <c r="G50" s="2">
        <v>85</v>
      </c>
      <c r="H50" s="2">
        <v>83</v>
      </c>
      <c r="I50" s="2">
        <v>61</v>
      </c>
      <c r="J50" s="2">
        <v>394.5</v>
      </c>
      <c r="K50">
        <v>78.9</v>
      </c>
    </row>
    <row r="51" hidden="1" outlineLevel="2" spans="1:11">
      <c r="A51">
        <v>10072</v>
      </c>
      <c r="B51" t="s">
        <v>96</v>
      </c>
      <c r="C51" t="s">
        <v>18</v>
      </c>
      <c r="D51" t="s">
        <v>23</v>
      </c>
      <c r="E51" s="2">
        <v>85.5</v>
      </c>
      <c r="F51" s="2">
        <v>94</v>
      </c>
      <c r="G51" s="2">
        <v>94</v>
      </c>
      <c r="H51" s="2">
        <v>75.5</v>
      </c>
      <c r="I51" s="2">
        <v>70</v>
      </c>
      <c r="J51" s="2">
        <v>419</v>
      </c>
      <c r="K51">
        <v>83.8</v>
      </c>
    </row>
    <row r="52" hidden="1" outlineLevel="2" spans="1:11">
      <c r="A52">
        <v>10074</v>
      </c>
      <c r="B52" t="s">
        <v>98</v>
      </c>
      <c r="C52" t="s">
        <v>15</v>
      </c>
      <c r="D52" t="s">
        <v>23</v>
      </c>
      <c r="E52" s="2">
        <v>89</v>
      </c>
      <c r="F52" s="2">
        <v>72.5</v>
      </c>
      <c r="G52" s="2">
        <v>82.5</v>
      </c>
      <c r="H52" s="2">
        <v>80.5</v>
      </c>
      <c r="I52" s="2">
        <v>82</v>
      </c>
      <c r="J52" s="2">
        <v>406.5</v>
      </c>
      <c r="K52">
        <v>81.3</v>
      </c>
    </row>
    <row r="53" hidden="1" outlineLevel="2" spans="1:11">
      <c r="A53">
        <v>10090</v>
      </c>
      <c r="B53" t="s">
        <v>114</v>
      </c>
      <c r="C53" t="s">
        <v>15</v>
      </c>
      <c r="D53" t="s">
        <v>23</v>
      </c>
      <c r="E53" s="2">
        <v>76.5</v>
      </c>
      <c r="F53" s="2">
        <v>76</v>
      </c>
      <c r="G53" s="2">
        <v>87</v>
      </c>
      <c r="H53" s="2">
        <v>87</v>
      </c>
      <c r="I53" s="2">
        <v>82</v>
      </c>
      <c r="J53" s="2">
        <v>408.5</v>
      </c>
      <c r="K53">
        <v>81.7</v>
      </c>
    </row>
    <row r="54" hidden="1" outlineLevel="2" spans="1:11">
      <c r="A54">
        <v>10098</v>
      </c>
      <c r="B54" t="s">
        <v>122</v>
      </c>
      <c r="C54" t="s">
        <v>15</v>
      </c>
      <c r="D54" t="s">
        <v>23</v>
      </c>
      <c r="E54" s="2">
        <v>67.5</v>
      </c>
      <c r="F54" s="2">
        <v>82</v>
      </c>
      <c r="G54" s="2">
        <v>95.5</v>
      </c>
      <c r="H54" s="2">
        <v>93.5</v>
      </c>
      <c r="I54" s="2">
        <v>75</v>
      </c>
      <c r="J54" s="2">
        <v>413.5</v>
      </c>
      <c r="K54">
        <v>82.7</v>
      </c>
    </row>
    <row r="55" outlineLevel="1" collapsed="1" spans="4:11">
      <c r="D55" s="1" t="s">
        <v>127</v>
      </c>
      <c r="E55" s="2">
        <f>SUBTOTAL(1,E39:E54)</f>
        <v>78.9375</v>
      </c>
      <c r="F55" s="2">
        <f>SUBTOTAL(1,F39:F54)</f>
        <v>77.40625</v>
      </c>
      <c r="G55" s="2">
        <f>SUBTOTAL(1,G39:G54)</f>
        <v>79.90625</v>
      </c>
      <c r="H55" s="2"/>
      <c r="I55" s="2"/>
      <c r="J55" s="2">
        <f>SUBTOTAL(1,J39:J54)</f>
        <v>393.6875</v>
      </c>
      <c r="K55">
        <f>SUBTOTAL(1,K39:K54)</f>
        <v>78.7375</v>
      </c>
    </row>
    <row r="56" hidden="1" outlineLevel="2" spans="1:11">
      <c r="A56">
        <v>10008</v>
      </c>
      <c r="B56" t="s">
        <v>30</v>
      </c>
      <c r="C56" t="s">
        <v>18</v>
      </c>
      <c r="D56" t="s">
        <v>31</v>
      </c>
      <c r="E56" s="2">
        <v>86.5</v>
      </c>
      <c r="F56" s="2">
        <v>65</v>
      </c>
      <c r="G56" s="2">
        <v>62.5</v>
      </c>
      <c r="H56" s="2">
        <v>60.5</v>
      </c>
      <c r="I56" s="2">
        <v>58.5</v>
      </c>
      <c r="J56" s="2">
        <v>333</v>
      </c>
      <c r="K56">
        <v>66.6</v>
      </c>
    </row>
    <row r="57" hidden="1" outlineLevel="2" spans="1:11">
      <c r="A57">
        <v>10011</v>
      </c>
      <c r="B57" t="s">
        <v>34</v>
      </c>
      <c r="C57" t="s">
        <v>15</v>
      </c>
      <c r="D57" t="s">
        <v>31</v>
      </c>
      <c r="E57" s="2">
        <v>73.5</v>
      </c>
      <c r="F57" s="2">
        <v>70</v>
      </c>
      <c r="G57" s="2">
        <v>80</v>
      </c>
      <c r="H57" s="2">
        <v>82.5</v>
      </c>
      <c r="I57" s="2">
        <v>84</v>
      </c>
      <c r="J57" s="2">
        <v>390</v>
      </c>
      <c r="K57">
        <v>78</v>
      </c>
    </row>
    <row r="58" hidden="1" outlineLevel="2" spans="1:11">
      <c r="A58">
        <v>10017</v>
      </c>
      <c r="B58" t="s">
        <v>41</v>
      </c>
      <c r="C58" t="s">
        <v>18</v>
      </c>
      <c r="D58" t="s">
        <v>31</v>
      </c>
      <c r="E58" s="2">
        <v>80</v>
      </c>
      <c r="F58" s="2">
        <v>90</v>
      </c>
      <c r="G58" s="2">
        <v>83</v>
      </c>
      <c r="H58" s="2">
        <v>81</v>
      </c>
      <c r="I58" s="2">
        <v>84</v>
      </c>
      <c r="J58" s="2">
        <v>418</v>
      </c>
      <c r="K58">
        <v>83.6</v>
      </c>
    </row>
    <row r="59" hidden="1" outlineLevel="2" spans="1:11">
      <c r="A59">
        <v>10019</v>
      </c>
      <c r="B59" t="s">
        <v>43</v>
      </c>
      <c r="C59" t="s">
        <v>15</v>
      </c>
      <c r="D59" t="s">
        <v>31</v>
      </c>
      <c r="E59" s="2">
        <v>84</v>
      </c>
      <c r="F59" s="2">
        <v>73</v>
      </c>
      <c r="G59" s="2">
        <v>70</v>
      </c>
      <c r="H59" s="2">
        <v>76</v>
      </c>
      <c r="I59" s="2">
        <v>88</v>
      </c>
      <c r="J59" s="2">
        <v>391</v>
      </c>
      <c r="K59">
        <v>78.2</v>
      </c>
    </row>
    <row r="60" hidden="1" outlineLevel="2" spans="1:11">
      <c r="A60">
        <v>10020</v>
      </c>
      <c r="B60" t="s">
        <v>44</v>
      </c>
      <c r="C60" t="s">
        <v>18</v>
      </c>
      <c r="D60" t="s">
        <v>31</v>
      </c>
      <c r="E60" s="2">
        <v>71</v>
      </c>
      <c r="F60" s="2">
        <v>82.5</v>
      </c>
      <c r="G60" s="2">
        <v>89</v>
      </c>
      <c r="H60" s="2">
        <v>87</v>
      </c>
      <c r="I60" s="2">
        <v>79</v>
      </c>
      <c r="J60" s="2">
        <v>408.5</v>
      </c>
      <c r="K60">
        <v>81.7</v>
      </c>
    </row>
    <row r="61" hidden="1" outlineLevel="2" spans="1:11">
      <c r="A61">
        <v>10025</v>
      </c>
      <c r="B61" t="s">
        <v>49</v>
      </c>
      <c r="C61" t="s">
        <v>18</v>
      </c>
      <c r="D61" t="s">
        <v>31</v>
      </c>
      <c r="E61" s="2">
        <v>93</v>
      </c>
      <c r="F61" s="2">
        <v>86</v>
      </c>
      <c r="G61" s="2">
        <v>94.5</v>
      </c>
      <c r="H61" s="2">
        <v>92.5</v>
      </c>
      <c r="I61" s="2">
        <v>93</v>
      </c>
      <c r="J61" s="2">
        <v>459</v>
      </c>
      <c r="K61">
        <v>91.8</v>
      </c>
    </row>
    <row r="62" hidden="1" outlineLevel="2" spans="1:11">
      <c r="A62">
        <v>10037</v>
      </c>
      <c r="B62" t="s">
        <v>61</v>
      </c>
      <c r="C62" t="s">
        <v>18</v>
      </c>
      <c r="D62" t="s">
        <v>31</v>
      </c>
      <c r="E62" s="2">
        <v>76.5</v>
      </c>
      <c r="F62" s="2">
        <v>79.5</v>
      </c>
      <c r="G62" s="2">
        <v>68</v>
      </c>
      <c r="H62" s="2">
        <v>66</v>
      </c>
      <c r="I62" s="2">
        <v>71.5</v>
      </c>
      <c r="J62" s="2">
        <v>361.5</v>
      </c>
      <c r="K62">
        <v>72.3</v>
      </c>
    </row>
    <row r="63" hidden="1" outlineLevel="2" spans="1:11">
      <c r="A63">
        <v>10038</v>
      </c>
      <c r="B63" t="s">
        <v>62</v>
      </c>
      <c r="C63" t="s">
        <v>15</v>
      </c>
      <c r="D63" t="s">
        <v>31</v>
      </c>
      <c r="E63" s="2">
        <v>77</v>
      </c>
      <c r="F63" s="2">
        <v>77</v>
      </c>
      <c r="G63" s="2">
        <v>73</v>
      </c>
      <c r="H63" s="2">
        <v>71</v>
      </c>
      <c r="I63" s="2">
        <v>73</v>
      </c>
      <c r="J63" s="2">
        <v>371</v>
      </c>
      <c r="K63">
        <v>74.2</v>
      </c>
    </row>
    <row r="64" hidden="1" outlineLevel="2" spans="1:11">
      <c r="A64">
        <v>10075</v>
      </c>
      <c r="B64" t="s">
        <v>99</v>
      </c>
      <c r="C64" t="s">
        <v>18</v>
      </c>
      <c r="D64" t="s">
        <v>31</v>
      </c>
      <c r="E64" s="2">
        <v>70.5</v>
      </c>
      <c r="F64" s="2">
        <v>74</v>
      </c>
      <c r="G64" s="2">
        <v>74</v>
      </c>
      <c r="H64" s="2">
        <v>72</v>
      </c>
      <c r="I64" s="2">
        <v>77</v>
      </c>
      <c r="J64" s="2">
        <v>367.5</v>
      </c>
      <c r="K64">
        <v>73.5</v>
      </c>
    </row>
    <row r="65" hidden="1" outlineLevel="2" spans="1:11">
      <c r="A65">
        <v>10078</v>
      </c>
      <c r="B65" t="s">
        <v>102</v>
      </c>
      <c r="C65" t="s">
        <v>15</v>
      </c>
      <c r="D65" t="s">
        <v>31</v>
      </c>
      <c r="E65" s="2">
        <v>89</v>
      </c>
      <c r="F65" s="2">
        <v>75</v>
      </c>
      <c r="G65" s="2">
        <v>61</v>
      </c>
      <c r="H65" s="2">
        <v>59</v>
      </c>
      <c r="I65" s="2">
        <v>76.5</v>
      </c>
      <c r="J65" s="2">
        <v>360.5</v>
      </c>
      <c r="K65">
        <v>72.1</v>
      </c>
    </row>
    <row r="66" hidden="1" outlineLevel="2" spans="1:11">
      <c r="A66">
        <v>10080</v>
      </c>
      <c r="B66" t="s">
        <v>104</v>
      </c>
      <c r="C66" t="s">
        <v>18</v>
      </c>
      <c r="D66" t="s">
        <v>31</v>
      </c>
      <c r="E66" s="2">
        <v>87</v>
      </c>
      <c r="F66" s="2">
        <v>80</v>
      </c>
      <c r="G66" s="2">
        <v>82</v>
      </c>
      <c r="H66" s="2">
        <v>72</v>
      </c>
      <c r="I66" s="2">
        <v>84</v>
      </c>
      <c r="J66" s="2">
        <v>405</v>
      </c>
      <c r="K66">
        <v>81</v>
      </c>
    </row>
    <row r="67" hidden="1" outlineLevel="2" spans="1:11">
      <c r="A67">
        <v>10085</v>
      </c>
      <c r="B67" t="s">
        <v>109</v>
      </c>
      <c r="C67" t="s">
        <v>15</v>
      </c>
      <c r="D67" t="s">
        <v>31</v>
      </c>
      <c r="E67" s="2">
        <v>81</v>
      </c>
      <c r="F67" s="2">
        <v>74.5</v>
      </c>
      <c r="G67" s="2">
        <v>75</v>
      </c>
      <c r="H67" s="2">
        <v>88</v>
      </c>
      <c r="I67" s="2">
        <v>90</v>
      </c>
      <c r="J67" s="2">
        <v>408.5</v>
      </c>
      <c r="K67">
        <v>81.7</v>
      </c>
    </row>
    <row r="68" hidden="1" outlineLevel="2" spans="1:11">
      <c r="A68">
        <v>10093</v>
      </c>
      <c r="B68" t="s">
        <v>117</v>
      </c>
      <c r="C68" t="s">
        <v>15</v>
      </c>
      <c r="D68" t="s">
        <v>31</v>
      </c>
      <c r="E68" s="2">
        <v>72</v>
      </c>
      <c r="F68" s="2">
        <v>94.5</v>
      </c>
      <c r="G68" s="2">
        <v>70.5</v>
      </c>
      <c r="H68" s="2">
        <v>68.5</v>
      </c>
      <c r="I68" s="2">
        <v>84.5</v>
      </c>
      <c r="J68" s="2">
        <v>390</v>
      </c>
      <c r="K68">
        <v>78</v>
      </c>
    </row>
    <row r="69" outlineLevel="1" collapsed="1" spans="4:11">
      <c r="D69" s="1" t="s">
        <v>128</v>
      </c>
      <c r="E69" s="2">
        <f>SUBTOTAL(1,E56:E68)</f>
        <v>80.0769230769231</v>
      </c>
      <c r="F69" s="2">
        <f>SUBTOTAL(1,F56:F68)</f>
        <v>78.5384615384615</v>
      </c>
      <c r="G69" s="2">
        <f>SUBTOTAL(1,G56:G68)</f>
        <v>75.5769230769231</v>
      </c>
      <c r="H69" s="2"/>
      <c r="I69" s="2"/>
      <c r="J69" s="2">
        <f>SUBTOTAL(1,J56:J68)</f>
        <v>389.5</v>
      </c>
      <c r="K69">
        <f>SUBTOTAL(1,K56:K68)</f>
        <v>77.9</v>
      </c>
    </row>
    <row r="70" hidden="1" outlineLevel="2" spans="1:11">
      <c r="A70">
        <v>10001</v>
      </c>
      <c r="B70" t="s">
        <v>14</v>
      </c>
      <c r="C70" t="s">
        <v>15</v>
      </c>
      <c r="D70" t="s">
        <v>16</v>
      </c>
      <c r="E70" s="2">
        <v>91</v>
      </c>
      <c r="F70" s="2">
        <v>98</v>
      </c>
      <c r="G70" s="2">
        <v>94</v>
      </c>
      <c r="H70" s="2">
        <v>92</v>
      </c>
      <c r="I70" s="2">
        <v>82</v>
      </c>
      <c r="J70" s="2">
        <v>457</v>
      </c>
      <c r="K70">
        <v>91.4</v>
      </c>
    </row>
    <row r="71" hidden="1" outlineLevel="2" spans="1:11">
      <c r="A71">
        <v>10005</v>
      </c>
      <c r="B71" t="s">
        <v>25</v>
      </c>
      <c r="C71" t="s">
        <v>15</v>
      </c>
      <c r="D71" t="s">
        <v>16</v>
      </c>
      <c r="E71" s="2">
        <v>73.5</v>
      </c>
      <c r="F71" s="2">
        <v>78</v>
      </c>
      <c r="G71" s="2">
        <v>73</v>
      </c>
      <c r="H71" s="2">
        <v>71</v>
      </c>
      <c r="I71" s="2">
        <v>77.5</v>
      </c>
      <c r="J71" s="2">
        <v>373</v>
      </c>
      <c r="K71">
        <v>74.6</v>
      </c>
    </row>
    <row r="72" hidden="1" outlineLevel="2" spans="1:11">
      <c r="A72">
        <v>10006</v>
      </c>
      <c r="B72" t="s">
        <v>27</v>
      </c>
      <c r="C72" t="s">
        <v>18</v>
      </c>
      <c r="D72" t="s">
        <v>16</v>
      </c>
      <c r="E72" s="2">
        <v>78</v>
      </c>
      <c r="F72" s="2">
        <v>86.5</v>
      </c>
      <c r="G72" s="2">
        <v>67</v>
      </c>
      <c r="H72" s="2">
        <v>65</v>
      </c>
      <c r="I72" s="2">
        <v>68</v>
      </c>
      <c r="J72" s="2">
        <v>364.5</v>
      </c>
      <c r="K72">
        <v>72.9</v>
      </c>
    </row>
    <row r="73" hidden="1" outlineLevel="2" spans="1:11">
      <c r="A73">
        <v>10010</v>
      </c>
      <c r="B73" t="s">
        <v>33</v>
      </c>
      <c r="C73" t="s">
        <v>15</v>
      </c>
      <c r="D73" t="s">
        <v>16</v>
      </c>
      <c r="E73" s="2">
        <v>77</v>
      </c>
      <c r="F73" s="2">
        <v>90</v>
      </c>
      <c r="G73" s="2">
        <v>74.5</v>
      </c>
      <c r="H73" s="2">
        <v>72.5</v>
      </c>
      <c r="I73" s="2">
        <v>77.5</v>
      </c>
      <c r="J73" s="2">
        <v>391.5</v>
      </c>
      <c r="K73">
        <v>78.3</v>
      </c>
    </row>
    <row r="74" hidden="1" outlineLevel="2" spans="1:11">
      <c r="A74">
        <v>10015</v>
      </c>
      <c r="B74" t="s">
        <v>39</v>
      </c>
      <c r="C74" t="s">
        <v>15</v>
      </c>
      <c r="D74" t="s">
        <v>16</v>
      </c>
      <c r="E74" s="2">
        <v>82.5</v>
      </c>
      <c r="F74" s="2">
        <v>72</v>
      </c>
      <c r="G74" s="2">
        <v>67.5</v>
      </c>
      <c r="H74" s="2">
        <v>65.5</v>
      </c>
      <c r="I74" s="2">
        <v>77.5</v>
      </c>
      <c r="J74" s="2">
        <v>365</v>
      </c>
      <c r="K74">
        <v>73</v>
      </c>
    </row>
    <row r="75" hidden="1" outlineLevel="2" spans="1:11">
      <c r="A75">
        <v>10022</v>
      </c>
      <c r="B75" t="s">
        <v>46</v>
      </c>
      <c r="C75" t="s">
        <v>18</v>
      </c>
      <c r="D75" t="s">
        <v>16</v>
      </c>
      <c r="E75" s="2">
        <v>78.5</v>
      </c>
      <c r="F75" s="2">
        <v>73</v>
      </c>
      <c r="G75" s="2">
        <v>83</v>
      </c>
      <c r="H75" s="2">
        <v>81</v>
      </c>
      <c r="I75" s="2">
        <v>73</v>
      </c>
      <c r="J75" s="2">
        <v>388.5</v>
      </c>
      <c r="K75">
        <v>77.7</v>
      </c>
    </row>
    <row r="76" hidden="1" outlineLevel="2" spans="1:11">
      <c r="A76">
        <v>10027</v>
      </c>
      <c r="B76" t="s">
        <v>51</v>
      </c>
      <c r="C76" t="s">
        <v>18</v>
      </c>
      <c r="D76" t="s">
        <v>16</v>
      </c>
      <c r="E76" s="2">
        <v>63.5</v>
      </c>
      <c r="F76" s="2">
        <v>77.5</v>
      </c>
      <c r="G76" s="2">
        <v>84.5</v>
      </c>
      <c r="H76" s="2">
        <v>82.5</v>
      </c>
      <c r="I76" s="2">
        <v>80</v>
      </c>
      <c r="J76" s="2">
        <v>388</v>
      </c>
      <c r="K76">
        <v>77.6</v>
      </c>
    </row>
    <row r="77" hidden="1" outlineLevel="2" spans="1:11">
      <c r="A77">
        <v>10029</v>
      </c>
      <c r="B77" t="s">
        <v>53</v>
      </c>
      <c r="C77" t="s">
        <v>18</v>
      </c>
      <c r="D77" t="s">
        <v>16</v>
      </c>
      <c r="E77" s="2">
        <v>52.5</v>
      </c>
      <c r="F77" s="2">
        <v>50</v>
      </c>
      <c r="G77" s="2">
        <v>64</v>
      </c>
      <c r="H77" s="2">
        <v>62</v>
      </c>
      <c r="I77" s="2">
        <v>60</v>
      </c>
      <c r="J77" s="2">
        <v>288.5</v>
      </c>
      <c r="K77">
        <v>57.7</v>
      </c>
    </row>
    <row r="78" hidden="1" outlineLevel="2" spans="1:11">
      <c r="A78">
        <v>10036</v>
      </c>
      <c r="B78" t="s">
        <v>60</v>
      </c>
      <c r="C78" t="s">
        <v>18</v>
      </c>
      <c r="D78" t="s">
        <v>16</v>
      </c>
      <c r="E78" s="2">
        <v>93</v>
      </c>
      <c r="F78" s="2">
        <v>82</v>
      </c>
      <c r="G78" s="2">
        <v>97</v>
      </c>
      <c r="H78" s="2">
        <v>97</v>
      </c>
      <c r="I78" s="2">
        <v>92</v>
      </c>
      <c r="J78" s="2">
        <v>461</v>
      </c>
      <c r="K78">
        <v>92.2</v>
      </c>
    </row>
    <row r="79" hidden="1" outlineLevel="2" spans="1:11">
      <c r="A79">
        <v>10041</v>
      </c>
      <c r="B79" t="s">
        <v>65</v>
      </c>
      <c r="C79" t="s">
        <v>15</v>
      </c>
      <c r="D79" t="s">
        <v>16</v>
      </c>
      <c r="E79" s="2">
        <v>73.5</v>
      </c>
      <c r="F79" s="2">
        <v>69</v>
      </c>
      <c r="G79" s="2">
        <v>88.5</v>
      </c>
      <c r="H79" s="2">
        <v>86.5</v>
      </c>
      <c r="I79" s="2">
        <v>74</v>
      </c>
      <c r="J79" s="2">
        <v>391.5</v>
      </c>
      <c r="K79">
        <v>78.3</v>
      </c>
    </row>
    <row r="80" hidden="1" outlineLevel="2" spans="1:11">
      <c r="A80">
        <v>10053</v>
      </c>
      <c r="B80" t="s">
        <v>77</v>
      </c>
      <c r="C80" t="s">
        <v>18</v>
      </c>
      <c r="D80" t="s">
        <v>16</v>
      </c>
      <c r="E80" s="2">
        <v>76</v>
      </c>
      <c r="F80" s="2">
        <v>71.5</v>
      </c>
      <c r="G80" s="2">
        <v>76</v>
      </c>
      <c r="H80" s="2">
        <v>74</v>
      </c>
      <c r="I80" s="2">
        <v>72</v>
      </c>
      <c r="J80" s="2">
        <v>369.5</v>
      </c>
      <c r="K80">
        <v>73.9</v>
      </c>
    </row>
    <row r="81" hidden="1" outlineLevel="2" spans="1:11">
      <c r="A81">
        <v>10057</v>
      </c>
      <c r="B81" t="s">
        <v>81</v>
      </c>
      <c r="C81" t="s">
        <v>15</v>
      </c>
      <c r="D81" t="s">
        <v>16</v>
      </c>
      <c r="E81" s="2">
        <v>92.5</v>
      </c>
      <c r="F81" s="2">
        <v>82</v>
      </c>
      <c r="G81" s="2">
        <v>75</v>
      </c>
      <c r="H81" s="2">
        <v>73</v>
      </c>
      <c r="I81" s="2">
        <v>82</v>
      </c>
      <c r="J81" s="2">
        <v>404.5</v>
      </c>
      <c r="K81">
        <v>80.9</v>
      </c>
    </row>
    <row r="82" hidden="1" outlineLevel="2" spans="1:11">
      <c r="A82">
        <v>10058</v>
      </c>
      <c r="B82" t="s">
        <v>82</v>
      </c>
      <c r="C82" t="s">
        <v>18</v>
      </c>
      <c r="D82" t="s">
        <v>16</v>
      </c>
      <c r="E82" s="2">
        <v>93.5</v>
      </c>
      <c r="F82" s="2">
        <v>83</v>
      </c>
      <c r="G82" s="2">
        <v>73.5</v>
      </c>
      <c r="H82" s="2">
        <v>71.5</v>
      </c>
      <c r="I82" s="2">
        <v>91</v>
      </c>
      <c r="J82" s="2">
        <v>412.5</v>
      </c>
      <c r="K82">
        <v>82.5</v>
      </c>
    </row>
    <row r="83" hidden="1" outlineLevel="2" spans="1:11">
      <c r="A83">
        <v>10061</v>
      </c>
      <c r="B83" t="s">
        <v>85</v>
      </c>
      <c r="C83" t="s">
        <v>15</v>
      </c>
      <c r="D83" t="s">
        <v>16</v>
      </c>
      <c r="E83" s="2">
        <v>79.5</v>
      </c>
      <c r="F83" s="2">
        <v>73</v>
      </c>
      <c r="G83" s="2">
        <v>79.5</v>
      </c>
      <c r="H83" s="2">
        <v>77.5</v>
      </c>
      <c r="I83" s="2">
        <v>70.5</v>
      </c>
      <c r="J83" s="2">
        <v>380</v>
      </c>
      <c r="K83">
        <v>76</v>
      </c>
    </row>
    <row r="84" hidden="1" outlineLevel="2" spans="1:11">
      <c r="A84">
        <v>10063</v>
      </c>
      <c r="B84" t="s">
        <v>87</v>
      </c>
      <c r="C84" t="s">
        <v>15</v>
      </c>
      <c r="D84" t="s">
        <v>16</v>
      </c>
      <c r="E84" s="2">
        <v>64</v>
      </c>
      <c r="F84" s="2">
        <v>70.5</v>
      </c>
      <c r="G84" s="2">
        <v>62</v>
      </c>
      <c r="H84" s="2">
        <v>85</v>
      </c>
      <c r="I84" s="2">
        <v>60</v>
      </c>
      <c r="J84" s="2">
        <v>341.5</v>
      </c>
      <c r="K84">
        <v>68.3</v>
      </c>
    </row>
    <row r="85" hidden="1" outlineLevel="2" spans="1:11">
      <c r="A85">
        <v>10071</v>
      </c>
      <c r="B85" t="s">
        <v>95</v>
      </c>
      <c r="C85" t="s">
        <v>18</v>
      </c>
      <c r="D85" t="s">
        <v>16</v>
      </c>
      <c r="E85" s="2">
        <v>56</v>
      </c>
      <c r="F85" s="2">
        <v>60.5</v>
      </c>
      <c r="G85" s="2">
        <v>54</v>
      </c>
      <c r="H85" s="2">
        <v>79</v>
      </c>
      <c r="I85" s="2">
        <v>76.5</v>
      </c>
      <c r="J85" s="2">
        <v>326</v>
      </c>
      <c r="K85">
        <v>65.2</v>
      </c>
    </row>
    <row r="86" hidden="1" outlineLevel="2" spans="1:11">
      <c r="A86">
        <v>10079</v>
      </c>
      <c r="B86" t="s">
        <v>103</v>
      </c>
      <c r="C86" t="s">
        <v>18</v>
      </c>
      <c r="D86" t="s">
        <v>16</v>
      </c>
      <c r="E86" s="2">
        <v>74</v>
      </c>
      <c r="F86" s="2">
        <v>85</v>
      </c>
      <c r="G86" s="2">
        <v>73</v>
      </c>
      <c r="H86" s="2">
        <v>71</v>
      </c>
      <c r="I86" s="2">
        <v>88</v>
      </c>
      <c r="J86" s="2">
        <v>391</v>
      </c>
      <c r="K86">
        <v>78.2</v>
      </c>
    </row>
    <row r="87" hidden="1" outlineLevel="2" spans="1:11">
      <c r="A87">
        <v>10084</v>
      </c>
      <c r="B87" t="s">
        <v>108</v>
      </c>
      <c r="C87" t="s">
        <v>18</v>
      </c>
      <c r="D87" t="s">
        <v>16</v>
      </c>
      <c r="E87" s="2">
        <v>58.5</v>
      </c>
      <c r="F87" s="2">
        <v>82</v>
      </c>
      <c r="G87" s="2">
        <v>70</v>
      </c>
      <c r="H87" s="2">
        <v>60</v>
      </c>
      <c r="I87" s="2">
        <v>64.5</v>
      </c>
      <c r="J87" s="2">
        <v>335</v>
      </c>
      <c r="K87">
        <v>67</v>
      </c>
    </row>
    <row r="88" hidden="1" outlineLevel="2" spans="1:11">
      <c r="A88">
        <v>10088</v>
      </c>
      <c r="B88" t="s">
        <v>112</v>
      </c>
      <c r="C88" t="s">
        <v>15</v>
      </c>
      <c r="D88" t="s">
        <v>16</v>
      </c>
      <c r="E88" s="2">
        <v>81.5</v>
      </c>
      <c r="F88" s="2">
        <v>76.5</v>
      </c>
      <c r="G88" s="2">
        <v>72</v>
      </c>
      <c r="H88" s="2">
        <v>70</v>
      </c>
      <c r="I88" s="2">
        <v>82.5</v>
      </c>
      <c r="J88" s="2">
        <v>382.5</v>
      </c>
      <c r="K88">
        <v>76.5</v>
      </c>
    </row>
    <row r="89" hidden="1" outlineLevel="2" spans="1:11">
      <c r="A89">
        <v>10089</v>
      </c>
      <c r="B89" t="s">
        <v>113</v>
      </c>
      <c r="C89" t="s">
        <v>18</v>
      </c>
      <c r="D89" t="s">
        <v>16</v>
      </c>
      <c r="E89" s="2">
        <v>80</v>
      </c>
      <c r="F89" s="2">
        <v>85</v>
      </c>
      <c r="G89" s="2">
        <v>97</v>
      </c>
      <c r="H89" s="2">
        <v>98</v>
      </c>
      <c r="I89" s="2">
        <v>95</v>
      </c>
      <c r="J89" s="2">
        <v>455</v>
      </c>
      <c r="K89">
        <v>91</v>
      </c>
    </row>
    <row r="90" hidden="1" outlineLevel="2" spans="1:11">
      <c r="A90">
        <v>10094</v>
      </c>
      <c r="B90" t="s">
        <v>118</v>
      </c>
      <c r="C90" t="s">
        <v>18</v>
      </c>
      <c r="D90" t="s">
        <v>16</v>
      </c>
      <c r="E90" s="2">
        <v>74.5</v>
      </c>
      <c r="F90" s="2">
        <v>80.5</v>
      </c>
      <c r="G90" s="2">
        <v>81</v>
      </c>
      <c r="H90" s="2">
        <v>79</v>
      </c>
      <c r="I90" s="2">
        <v>75</v>
      </c>
      <c r="J90" s="2">
        <v>390</v>
      </c>
      <c r="K90">
        <v>78</v>
      </c>
    </row>
    <row r="91" outlineLevel="1" collapsed="1" spans="4:11">
      <c r="D91" s="1" t="s">
        <v>129</v>
      </c>
      <c r="E91" s="2">
        <f>SUBTOTAL(1,E70:E90)</f>
        <v>75.8571428571429</v>
      </c>
      <c r="F91" s="2">
        <f>SUBTOTAL(1,F70:F90)</f>
        <v>77.4047619047619</v>
      </c>
      <c r="G91" s="2">
        <f>SUBTOTAL(1,G70:G90)</f>
        <v>76.4761904761905</v>
      </c>
      <c r="H91" s="2"/>
      <c r="I91" s="2"/>
      <c r="J91" s="2">
        <f>SUBTOTAL(1,J70:J90)</f>
        <v>383.619047619048</v>
      </c>
      <c r="K91">
        <f>SUBTOTAL(1,K70:K90)</f>
        <v>76.7238095238095</v>
      </c>
    </row>
    <row r="92" hidden="1" outlineLevel="2" spans="1:11">
      <c r="A92">
        <v>10002</v>
      </c>
      <c r="B92" t="s">
        <v>17</v>
      </c>
      <c r="C92" t="s">
        <v>18</v>
      </c>
      <c r="D92" t="s">
        <v>19</v>
      </c>
      <c r="E92" s="2">
        <v>87</v>
      </c>
      <c r="F92" s="2">
        <v>90</v>
      </c>
      <c r="G92" s="2">
        <v>97</v>
      </c>
      <c r="H92" s="2">
        <v>69.5</v>
      </c>
      <c r="I92" s="2">
        <v>88.5</v>
      </c>
      <c r="J92" s="2">
        <v>432</v>
      </c>
      <c r="K92">
        <v>86.4</v>
      </c>
    </row>
    <row r="93" hidden="1" outlineLevel="2" spans="1:11">
      <c r="A93">
        <v>10016</v>
      </c>
      <c r="B93" t="s">
        <v>40</v>
      </c>
      <c r="C93" t="s">
        <v>18</v>
      </c>
      <c r="D93" t="s">
        <v>19</v>
      </c>
      <c r="E93" s="2">
        <v>89</v>
      </c>
      <c r="F93" s="2">
        <v>72</v>
      </c>
      <c r="G93" s="2">
        <v>79</v>
      </c>
      <c r="H93" s="2">
        <v>87</v>
      </c>
      <c r="I93" s="2">
        <v>97</v>
      </c>
      <c r="J93" s="2">
        <v>424</v>
      </c>
      <c r="K93">
        <v>84.8</v>
      </c>
    </row>
    <row r="94" hidden="1" outlineLevel="2" spans="1:11">
      <c r="A94">
        <v>10023</v>
      </c>
      <c r="B94" t="s">
        <v>47</v>
      </c>
      <c r="C94" t="s">
        <v>18</v>
      </c>
      <c r="D94" t="s">
        <v>19</v>
      </c>
      <c r="E94" s="2">
        <v>72.5</v>
      </c>
      <c r="F94" s="2">
        <v>74.5</v>
      </c>
      <c r="G94" s="2">
        <v>72.5</v>
      </c>
      <c r="H94" s="2">
        <v>70.5</v>
      </c>
      <c r="I94" s="2">
        <v>67</v>
      </c>
      <c r="J94" s="2">
        <v>357</v>
      </c>
      <c r="K94">
        <v>71.4</v>
      </c>
    </row>
    <row r="95" hidden="1" outlineLevel="2" spans="1:11">
      <c r="A95">
        <v>10040</v>
      </c>
      <c r="B95" t="s">
        <v>64</v>
      </c>
      <c r="C95" t="s">
        <v>15</v>
      </c>
      <c r="D95" t="s">
        <v>19</v>
      </c>
      <c r="E95" s="2">
        <v>85.5</v>
      </c>
      <c r="F95" s="2">
        <v>66</v>
      </c>
      <c r="G95" s="2">
        <v>74</v>
      </c>
      <c r="H95" s="2">
        <v>72</v>
      </c>
      <c r="I95" s="2">
        <v>65.5</v>
      </c>
      <c r="J95" s="2">
        <v>363</v>
      </c>
      <c r="K95">
        <v>72.6</v>
      </c>
    </row>
    <row r="96" hidden="1" outlineLevel="2" spans="1:11">
      <c r="A96">
        <v>10042</v>
      </c>
      <c r="B96" t="s">
        <v>66</v>
      </c>
      <c r="C96" t="s">
        <v>15</v>
      </c>
      <c r="D96" t="s">
        <v>19</v>
      </c>
      <c r="E96" s="2">
        <v>79.5</v>
      </c>
      <c r="F96" s="2">
        <v>81.5</v>
      </c>
      <c r="G96" s="2">
        <v>71.5</v>
      </c>
      <c r="H96" s="2">
        <v>69.5</v>
      </c>
      <c r="I96" s="2">
        <v>62</v>
      </c>
      <c r="J96" s="2">
        <v>364</v>
      </c>
      <c r="K96">
        <v>72.8</v>
      </c>
    </row>
    <row r="97" hidden="1" outlineLevel="2" spans="1:11">
      <c r="A97">
        <v>10048</v>
      </c>
      <c r="B97" t="s">
        <v>72</v>
      </c>
      <c r="C97" t="s">
        <v>15</v>
      </c>
      <c r="D97" t="s">
        <v>19</v>
      </c>
      <c r="E97" s="2">
        <v>65.5</v>
      </c>
      <c r="F97" s="2">
        <v>74</v>
      </c>
      <c r="G97" s="2">
        <v>69</v>
      </c>
      <c r="H97" s="2">
        <v>67</v>
      </c>
      <c r="I97" s="2">
        <v>70</v>
      </c>
      <c r="J97" s="2">
        <v>345.5</v>
      </c>
      <c r="K97">
        <v>69.1</v>
      </c>
    </row>
    <row r="98" hidden="1" outlineLevel="2" spans="1:11">
      <c r="A98">
        <v>10050</v>
      </c>
      <c r="B98" t="s">
        <v>74</v>
      </c>
      <c r="C98" t="s">
        <v>18</v>
      </c>
      <c r="D98" t="s">
        <v>19</v>
      </c>
      <c r="E98" s="2">
        <v>78</v>
      </c>
      <c r="F98" s="2">
        <v>74</v>
      </c>
      <c r="G98" s="2">
        <v>78</v>
      </c>
      <c r="H98" s="2">
        <v>76</v>
      </c>
      <c r="I98" s="2">
        <v>74</v>
      </c>
      <c r="J98" s="2">
        <v>380</v>
      </c>
      <c r="K98">
        <v>76</v>
      </c>
    </row>
    <row r="99" hidden="1" outlineLevel="2" spans="1:11">
      <c r="A99">
        <v>10051</v>
      </c>
      <c r="B99" t="s">
        <v>75</v>
      </c>
      <c r="C99" t="s">
        <v>15</v>
      </c>
      <c r="D99" t="s">
        <v>19</v>
      </c>
      <c r="E99" s="2">
        <v>91</v>
      </c>
      <c r="F99" s="2">
        <v>86</v>
      </c>
      <c r="G99" s="2">
        <v>73</v>
      </c>
      <c r="H99" s="2">
        <v>71</v>
      </c>
      <c r="I99" s="2">
        <v>67.5</v>
      </c>
      <c r="J99" s="2">
        <v>388.5</v>
      </c>
      <c r="K99">
        <v>77.7</v>
      </c>
    </row>
    <row r="100" hidden="1" outlineLevel="2" spans="1:11">
      <c r="A100">
        <v>10059</v>
      </c>
      <c r="B100" t="s">
        <v>83</v>
      </c>
      <c r="C100" t="s">
        <v>18</v>
      </c>
      <c r="D100" t="s">
        <v>19</v>
      </c>
      <c r="E100" s="2">
        <v>62</v>
      </c>
      <c r="F100" s="2">
        <v>75</v>
      </c>
      <c r="G100" s="2">
        <v>84.5</v>
      </c>
      <c r="H100" s="2">
        <v>82.5</v>
      </c>
      <c r="I100" s="2">
        <v>67.5</v>
      </c>
      <c r="J100" s="2">
        <v>371.5</v>
      </c>
      <c r="K100">
        <v>74.3</v>
      </c>
    </row>
    <row r="101" hidden="1" outlineLevel="2" spans="1:11">
      <c r="A101">
        <v>10065</v>
      </c>
      <c r="B101" t="s">
        <v>89</v>
      </c>
      <c r="C101" t="s">
        <v>18</v>
      </c>
      <c r="D101" t="s">
        <v>19</v>
      </c>
      <c r="E101" s="2">
        <v>82.5</v>
      </c>
      <c r="F101" s="2">
        <v>80</v>
      </c>
      <c r="G101" s="2">
        <v>92.5</v>
      </c>
      <c r="H101" s="2">
        <v>90.5</v>
      </c>
      <c r="I101" s="2">
        <v>73.5</v>
      </c>
      <c r="J101" s="2">
        <v>419</v>
      </c>
      <c r="K101">
        <v>83.8</v>
      </c>
    </row>
    <row r="102" hidden="1" outlineLevel="2" spans="1:11">
      <c r="A102">
        <v>10068</v>
      </c>
      <c r="B102" t="s">
        <v>92</v>
      </c>
      <c r="C102" t="s">
        <v>15</v>
      </c>
      <c r="D102" t="s">
        <v>19</v>
      </c>
      <c r="E102" s="2">
        <v>75.5</v>
      </c>
      <c r="F102" s="2">
        <v>65.5</v>
      </c>
      <c r="G102" s="2">
        <v>73.5</v>
      </c>
      <c r="H102" s="2">
        <v>71.5</v>
      </c>
      <c r="I102" s="2">
        <v>71.5</v>
      </c>
      <c r="J102" s="2">
        <v>357.5</v>
      </c>
      <c r="K102">
        <v>71.5</v>
      </c>
    </row>
    <row r="103" hidden="1" outlineLevel="2" spans="1:11">
      <c r="A103">
        <v>10083</v>
      </c>
      <c r="B103" t="s">
        <v>107</v>
      </c>
      <c r="C103" t="s">
        <v>18</v>
      </c>
      <c r="D103" t="s">
        <v>19</v>
      </c>
      <c r="E103" s="2">
        <v>83</v>
      </c>
      <c r="F103" s="2">
        <v>80</v>
      </c>
      <c r="G103" s="2">
        <v>72.5</v>
      </c>
      <c r="H103" s="2">
        <v>82</v>
      </c>
      <c r="I103" s="2">
        <v>93.5</v>
      </c>
      <c r="J103" s="2">
        <v>411</v>
      </c>
      <c r="K103">
        <v>82.2</v>
      </c>
    </row>
    <row r="104" hidden="1" outlineLevel="2" spans="1:11">
      <c r="A104">
        <v>10092</v>
      </c>
      <c r="B104" t="s">
        <v>116</v>
      </c>
      <c r="C104" t="s">
        <v>15</v>
      </c>
      <c r="D104" t="s">
        <v>19</v>
      </c>
      <c r="E104" s="2">
        <v>91</v>
      </c>
      <c r="F104" s="2">
        <v>83.5</v>
      </c>
      <c r="G104" s="2">
        <v>82.5</v>
      </c>
      <c r="H104" s="2">
        <v>80.5</v>
      </c>
      <c r="I104" s="2">
        <v>84</v>
      </c>
      <c r="J104" s="2">
        <v>421.5</v>
      </c>
      <c r="K104">
        <v>84.3</v>
      </c>
    </row>
    <row r="105" hidden="1" outlineLevel="2" spans="1:11">
      <c r="A105">
        <v>10097</v>
      </c>
      <c r="B105" t="s">
        <v>121</v>
      </c>
      <c r="C105" t="s">
        <v>15</v>
      </c>
      <c r="D105" t="s">
        <v>19</v>
      </c>
      <c r="E105" s="2">
        <v>75.5</v>
      </c>
      <c r="F105" s="2">
        <v>74</v>
      </c>
      <c r="G105" s="2">
        <v>76</v>
      </c>
      <c r="H105" s="2">
        <v>74</v>
      </c>
      <c r="I105" s="2">
        <v>73.5</v>
      </c>
      <c r="J105" s="2">
        <v>373</v>
      </c>
      <c r="K105">
        <v>74.6</v>
      </c>
    </row>
    <row r="106" outlineLevel="1" collapsed="1" spans="4:11">
      <c r="D106" s="1" t="s">
        <v>130</v>
      </c>
      <c r="E106" s="2">
        <f>SUBTOTAL(1,E92:E105)</f>
        <v>79.8214285714286</v>
      </c>
      <c r="F106" s="2">
        <f>SUBTOTAL(1,F92:F105)</f>
        <v>76.8571428571429</v>
      </c>
      <c r="G106" s="2">
        <f>SUBTOTAL(1,G92:G105)</f>
        <v>78.25</v>
      </c>
      <c r="H106" s="2"/>
      <c r="I106" s="2"/>
      <c r="J106" s="2">
        <f>SUBTOTAL(1,J92:J105)</f>
        <v>386.25</v>
      </c>
      <c r="K106">
        <f>SUBTOTAL(1,K92:K105)</f>
        <v>77.25</v>
      </c>
    </row>
    <row r="107" spans="4:11">
      <c r="D107" s="1" t="s">
        <v>131</v>
      </c>
      <c r="E107" s="3">
        <f>SUBTOTAL(1,E2:E105)</f>
        <v>78.1111111111111</v>
      </c>
      <c r="F107" s="3">
        <f>SUBTOTAL(1,F2:F105)</f>
        <v>77.7626262626263</v>
      </c>
      <c r="G107" s="3">
        <f>SUBTOTAL(1,G2:G105)</f>
        <v>78.0353535353535</v>
      </c>
      <c r="H107" s="3"/>
      <c r="I107" s="3"/>
      <c r="J107" s="3">
        <f>SUBTOTAL(1,J2:J105)</f>
        <v>387.893939393939</v>
      </c>
      <c r="K107">
        <f>SUBTOTAL(1,K2:K105)</f>
        <v>77.5787878787879</v>
      </c>
    </row>
  </sheetData>
  <sortState ref="A2:K105">
    <sortCondition ref="D2:D105" customList="一班,二班,三班,四班,五班,六班" descending="1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85" zoomScaleNormal="85" workbookViewId="0">
      <selection activeCell="C17" sqref="C17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期末成绩表</vt:lpstr>
      <vt:lpstr>排序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2023-02-15T13:16:00Z</dcterms:created>
  <dcterms:modified xsi:type="dcterms:W3CDTF">2024-01-11T01:14:40Z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BD3D89A1D3C940D88197B157DE3C9E59_13</vt:lpwstr>
  </property>
  <property fmtid="{D5CDD505-2E9C-101B-9397-08002B2CF9AE}" pid="3" name="KSOProductBuildVer">
    <vt:lpwstr>2052-12.1.0.15712</vt:lpwstr>
  </property>
</Properties>
</file>
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6264" yWindow="1968" windowWidth="17280" windowHeight="8964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1" l="1"/>
  <c r="D13" i="1"/>
  <c r="B13" i="1"/>
  <c r="F6" i="1"/>
  <c r="F4" i="1"/>
  <c r="F7" i="1"/>
  <c r="E6" i="1"/>
  <c r="E12" i="1"/>
  <c r="F12" i="1" s="1"/>
  <c r="E10" i="1"/>
  <c r="F10" i="1" s="1"/>
  <c r="E9" i="1"/>
  <c r="F9" i="1" s="1"/>
  <c r="E4" i="1"/>
  <c r="E5" i="1"/>
  <c r="F5" i="1" s="1"/>
  <c r="E3" i="1"/>
  <c r="F3" i="1" s="1"/>
  <c r="E11" i="1"/>
  <c r="F11" i="1" s="1"/>
  <c r="E7" i="1"/>
  <c r="E8" i="1"/>
  <c r="F8" i="1" s="1"/>
</calcChain>
</file>

<file path=xl/sharedStrings.xml><?xml version="1.0" encoding="utf-8"?>
<sst xmlns="http://schemas.openxmlformats.org/spreadsheetml/2006/main" count="18" uniqueCount="18">
  <si>
    <t>备注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</si>
  <si>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</si>
  <si>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</si>
  <si>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</si>
  <si>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</si>
  <si>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平均成绩</t>
    <phoneticPr fontId="1" type="noConversion"/>
  </si>
  <si>
    <t>吴倩</t>
    <phoneticPr fontId="1" type="noConversion"/>
  </si>
  <si>
    <t>刘红</t>
    <phoneticPr fontId="1" type="noConversion"/>
  </si>
  <si>
    <t>吴杰</t>
    <phoneticPr fontId="1" type="noConversion"/>
  </si>
  <si>
    <t>李莉</t>
    <phoneticPr fontId="1" type="noConversion"/>
  </si>
  <si>
    <t>吴秀香</t>
    <phoneticPr fontId="1" type="noConversion"/>
  </si>
  <si>
    <t>杨素芳</t>
    <phoneticPr fontId="1" type="noConversion"/>
  </si>
  <si>
    <t>周彦飞</t>
    <phoneticPr fontId="1" type="noConversion"/>
  </si>
  <si>
    <t>李露露</t>
    <phoneticPr fontId="1" type="noConversion"/>
  </si>
  <si>
    <t>张斌</t>
    <phoneticPr fontId="1" type="noConversion"/>
  </si>
  <si>
    <t>冯婷</t>
    <phoneticPr fontId="1" type="noConversion"/>
  </si>
  <si>
    <t>学生成绩统计表</t>
    <phoneticPr fontId="1" type="noConversion"/>
  </si>
  <si>
    <t>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</si>
</sst>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double">
        <color rgb="FFFFC000"/>
      </left>
      <right/>
      <top style="double">
        <color rgb="FFFFC000"/>
      </top>
      <bottom/>
      <diagonal/>
    </border>
    <border>
      <left/>
      <right/>
      <top style="double">
        <color rgb="FFFFC000"/>
      </top>
      <bottom/>
      <diagonal/>
    </border>
    <border>
      <left/>
      <right style="double">
        <color rgb="FFFFC000"/>
      </right>
      <top style="double">
        <color rgb="FFFFC000"/>
      </top>
      <bottom/>
      <diagonal/>
    </border>
    <border>
      <left style="double">
        <color rgb="FFFFC000"/>
      </left>
      <right/>
      <top/>
      <bottom/>
      <diagonal/>
    </border>
    <border>
      <left/>
      <right style="double">
        <color rgb="FFFFC000"/>
      </right>
      <top/>
      <bottom/>
      <diagonal/>
    </border>
    <border>
      <left style="double">
        <color rgb="FFFFC000"/>
      </left>
      <right/>
      <top/>
      <bottom style="double">
        <color rgb="FFFFC000"/>
      </bottom>
      <diagonal/>
    </border>
    <border>
      <left/>
      <right/>
      <top/>
      <bottom style="double">
        <color rgb="FFFFC000"/>
      </bottom>
      <diagonal/>
    </border>
    <border>
      <left/>
      <right style="double">
        <color rgb="FFFFC000"/>
      </right>
      <top/>
      <bottom style="double">
        <color rgb="FFFFC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176" fontId="0" fillId="0" borderId="0" xfId="0" applyNumberFormat="1" applyBorder="1"/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学生汇总成绩统计图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汇总</c:v>
                </c:pt>
              </c:strCache>
            </c:strRef>
          </c:tx>
          <c:invertIfNegative val="0"/>
          <c:cat>
            <c:strRef>
              <c:f>Sheet1!$B$2:$D$2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Sheet1!$B$13:$D$13</c:f>
              <c:numCache>
                <c:formatCode>General</c:formatCode>
                <c:ptCount val="3"/>
                <c:pt idx="0">
                  <c:v>686</c:v>
                </c:pt>
                <c:pt idx="1">
                  <c:v>542</c:v>
                </c:pt>
                <c:pt idx="2">
                  <c:v>683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378944"/>
        <c:axId val="192614400"/>
        <c:axId val="0"/>
      </c:bar3DChart>
      <c:catAx>
        <c:axId val="21337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2614400"/>
        <c:crosses val="autoZero"/>
        <c:auto val="1"/>
        <c:lblAlgn val="ctr"/>
        <c:lblOffset val="100"/>
        <c:noMultiLvlLbl val="0"/>
      </c:catAx>
      <c:valAx>
        <c:axId val="19261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378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13</xdr:row>
      <xdr:rowOff>163830</xdr:rowOff>
    </xdr:from>
    <xdr:to>
      <xdr:col>7</xdr:col>
      <xdr:colOff>312420</xdr:colOff>
      <xdr:row>29</xdr:row>
      <xdr:rowOff>102870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J17" sqref="J17"/>
    </sheetView>
  </sheetViews>
  <sheetFormatPr defaultRowHeight="13.8" x14ac:dyDescent="0.25"/>
  <cols>
    <col min="3" max="3" width="8.88671875" customWidth="1"/>
    <col min="5" max="5" width="9.5546875" bestFit="1" customWidth="1"/>
  </cols>
  <sheetData>
    <row r="1" spans="1:6" ht="26.4" thickBot="1" x14ac:dyDescent="0.3">
      <c r="A1" s="3" t="s">
        <v>16</v>
      </c>
      <c r="B1" s="3"/>
      <c r="C1" s="3"/>
      <c r="D1" s="3"/>
      <c r="E1" s="3"/>
      <c r="F1" s="3"/>
    </row>
    <row r="2" spans="1:6" ht="14.4" thickTop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0</v>
      </c>
    </row>
    <row r="3" spans="1:6" x14ac:dyDescent="0.25">
      <c r="A3" s="7" t="s">
        <v>13</v>
      </c>
      <c r="B3" s="1">
        <v>86</v>
      </c>
      <c r="C3" s="1">
        <v>80</v>
      </c>
      <c r="D3" s="1">
        <v>88</v>
      </c>
      <c r="E3" s="2">
        <f t="shared" ref="E3:E12" si="0">AVERAGE(B3:D3)</f>
        <v>84.666666666666671</v>
      </c>
      <c r="F3" s="8" t="str">
        <f t="shared" ref="F3:F12" si="1">IF(E3&gt;80,"优秀","一般")</f>
        <v>优秀</v>
      </c>
    </row>
    <row r="4" spans="1:6" x14ac:dyDescent="0.25">
      <c r="A4" s="7" t="s">
        <v>11</v>
      </c>
      <c r="B4" s="1">
        <v>75</v>
      </c>
      <c r="C4" s="1">
        <v>80</v>
      </c>
      <c r="D4" s="1">
        <v>87</v>
      </c>
      <c r="E4" s="2">
        <f t="shared" si="0"/>
        <v>80.666666666666671</v>
      </c>
      <c r="F4" s="8" t="str">
        <f t="shared" si="1"/>
        <v>优秀</v>
      </c>
    </row>
    <row r="5" spans="1:6" x14ac:dyDescent="0.25">
      <c r="A5" s="7" t="s">
        <v>12</v>
      </c>
      <c r="B5" s="1">
        <v>80</v>
      </c>
      <c r="C5" s="1">
        <v>60</v>
      </c>
      <c r="D5" s="1">
        <v>70</v>
      </c>
      <c r="E5" s="2">
        <f t="shared" si="0"/>
        <v>70</v>
      </c>
      <c r="F5" s="8" t="str">
        <f t="shared" si="1"/>
        <v>一般</v>
      </c>
    </row>
    <row r="6" spans="1:6" x14ac:dyDescent="0.25">
      <c r="A6" s="7" t="s">
        <v>7</v>
      </c>
      <c r="B6" s="1">
        <v>80</v>
      </c>
      <c r="C6" s="1">
        <v>43</v>
      </c>
      <c r="D6" s="1">
        <v>66</v>
      </c>
      <c r="E6" s="2">
        <f t="shared" si="0"/>
        <v>63</v>
      </c>
      <c r="F6" s="8" t="str">
        <f t="shared" si="1"/>
        <v>一般</v>
      </c>
    </row>
    <row r="7" spans="1:6" x14ac:dyDescent="0.25">
      <c r="A7" s="7" t="s">
        <v>15</v>
      </c>
      <c r="B7" s="1">
        <v>65</v>
      </c>
      <c r="C7" s="1">
        <v>73</v>
      </c>
      <c r="D7" s="1">
        <v>50</v>
      </c>
      <c r="E7" s="2">
        <f t="shared" si="0"/>
        <v>62.666666666666664</v>
      </c>
      <c r="F7" s="8" t="str">
        <f t="shared" si="1"/>
        <v>一般</v>
      </c>
    </row>
    <row r="8" spans="1:6" x14ac:dyDescent="0.25">
      <c r="A8" s="7" t="s">
        <v>6</v>
      </c>
      <c r="B8" s="1">
        <v>74</v>
      </c>
      <c r="C8" s="1">
        <v>50</v>
      </c>
      <c r="D8" s="1">
        <v>63</v>
      </c>
      <c r="E8" s="2">
        <f t="shared" si="0"/>
        <v>62.333333333333336</v>
      </c>
      <c r="F8" s="8" t="str">
        <f t="shared" si="1"/>
        <v>一般</v>
      </c>
    </row>
    <row r="9" spans="1:6" x14ac:dyDescent="0.25">
      <c r="A9" s="7" t="s">
        <v>10</v>
      </c>
      <c r="B9" s="1">
        <v>63</v>
      </c>
      <c r="C9" s="1">
        <v>45</v>
      </c>
      <c r="D9" s="1">
        <v>69</v>
      </c>
      <c r="E9" s="2">
        <f t="shared" si="0"/>
        <v>59</v>
      </c>
      <c r="F9" s="8" t="str">
        <f t="shared" si="1"/>
        <v>一般</v>
      </c>
    </row>
    <row r="10" spans="1:6" x14ac:dyDescent="0.25">
      <c r="A10" s="7" t="s">
        <v>9</v>
      </c>
      <c r="B10" s="1">
        <v>61</v>
      </c>
      <c r="C10" s="1">
        <v>32</v>
      </c>
      <c r="D10" s="1">
        <v>70</v>
      </c>
      <c r="E10" s="2">
        <f t="shared" si="0"/>
        <v>54.333333333333336</v>
      </c>
      <c r="F10" s="8" t="str">
        <f t="shared" si="1"/>
        <v>一般</v>
      </c>
    </row>
    <row r="11" spans="1:6" x14ac:dyDescent="0.25">
      <c r="A11" s="7" t="s">
        <v>14</v>
      </c>
      <c r="B11" s="1">
        <v>50</v>
      </c>
      <c r="C11" s="1">
        <v>45</v>
      </c>
      <c r="D11" s="1">
        <v>60</v>
      </c>
      <c r="E11" s="2">
        <f t="shared" si="0"/>
        <v>51.666666666666664</v>
      </c>
      <c r="F11" s="8" t="str">
        <f t="shared" si="1"/>
        <v>一般</v>
      </c>
    </row>
    <row r="12" spans="1:6" x14ac:dyDescent="0.25">
      <c r="A12" s="7" t="s">
        <v>8</v>
      </c>
      <c r="B12" s="1">
        <v>52</v>
      </c>
      <c r="C12" s="1">
        <v>34</v>
      </c>
      <c r="D12" s="1">
        <v>60</v>
      </c>
      <c r="E12" s="2">
        <f t="shared" si="0"/>
        <v>48.666666666666664</v>
      </c>
      <c r="F12" s="8" t="str">
        <f t="shared" si="1"/>
        <v>一般</v>
      </c>
    </row>
    <row r="13" spans="1:6" ht="14.4" thickBot="1" x14ac:dyDescent="0.3">
      <c r="A13" s="9" t="s">
        <v>17</v>
      </c>
      <c r="B13" s="10">
        <f>SUM(B3:B12)</f>
        <v>686</v>
      </c>
      <c r="C13" s="10">
        <f t="shared" ref="C13:D13" si="2">SUM(C3:C12)</f>
        <v>542</v>
      </c>
      <c r="D13" s="10">
        <f t="shared" si="2"/>
        <v>683</v>
      </c>
      <c r="E13" s="10"/>
      <c r="F13" s="11"/>
    </row>
    <row r="14" spans="1:6" ht="14.4" thickTop="1" x14ac:dyDescent="0.25"/>
  </sheetData>
  <sortState ref="A3:F12">
    <sortCondition descending="1" ref="E3:E12"/>
  </sortState>
  <mergeCells count="1">
    <mergeCell ref="A1:F1"/>
  </mergeCells>
  <phoneticPr fontId="1" type="noConversion"/>
  <pageMargins left="0.7" right="0.7" top="0.75" bottom="0.75" header="0.3" footer="0.3"/>
  <pageSetup paperSize="9" orientation="portrait" horizontalDpi="100" verticalDpi="1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2021-04-23T06:42:32Z</dcterms:modified>
</cp:coreProperties>
</file>
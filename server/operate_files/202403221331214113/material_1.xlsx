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70" windowHeight="9810"/>
  </bookViews>
  <sheets>
    <sheet name="Sheet1" sheetId="1" r:id="rId1"/>
    <sheet name="Sheet2" sheetId="2" r:id="rId2"/>
    <sheet name="员工信息表" sheetId="3" r:id="rId3"/>
    <sheet name="Sheet3" sheetId="4" r:id="rId4"/>
  </sheets>
  <definedNames>
    <definedName name="入职日期">员工信息表!$D$2:$D$11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<sst xmlns="http://schemas.openxmlformats.org/spreadsheetml/2006/main" count="92" uniqueCount="45">
  <si>
    <t>姓名</t>
  </si>
  <si>
    <t>学历</t>
  </si>
  <si>
    <t>部门</t>
  </si>
  <si>
    <t>基本工资</t>
  </si>
  <si>
    <t>绩效工资</t>
  </si>
  <si>
    <t>奖金</t>
  </si>
  <si>
    <t>补贴</t>
  </si>
  <si>
    <t>实发工资</t>
  </si>
  <si>
    <t>电子邮件</t>
  </si>
  <si>
    <t>入职日期</t>
  </si>
  <si>
    <t>联系方式</t>
  </si>
  <si>
    <t>赵六</t>
  </si>
  <si>
    <t>硕士</t>
  </si>
  <si>
    <t>zhangsan@xx.com</t>
  </si>
  <si>
    <t>张三</t>
  </si>
  <si>
    <t>博士</t>
  </si>
  <si>
    <t>lisi@xx.com</t>
  </si>
  <si>
    <t>张飞</t>
  </si>
  <si>
    <t>本科</t>
  </si>
  <si>
    <t>wangwu@xx.com</t>
  </si>
  <si>
    <t>小明</t>
  </si>
  <si>
    <t>zhaoliu@xx.com</t>
  </si>
  <si>
    <t>小美</t>
  </si>
  <si>
    <t>大专</t>
  </si>
  <si>
    <t>xiaohong@xx.com</t>
  </si>
  <si>
    <t>小红</t>
  </si>
  <si>
    <t>xiaoming@xx.com</t>
  </si>
  <si>
    <t>王五</t>
  </si>
  <si>
    <t>xiaomei@xx.com</t>
  </si>
  <si>
    <t>李四</t>
  </si>
  <si>
    <t>zhangfei@xx.com</t>
  </si>
  <si>
    <t>贾宝玉</t>
  </si>
  <si>
    <t>guanyu@xx.com</t>
  </si>
  <si>
    <t>关羽</t>
  </si>
  <si>
    <t>中专</t>
  </si>
  <si>
    <t>jiabaoyu@xx.com</t>
  </si>
  <si>
    <t>(多项)</t>
  </si>
  <si>
    <t>求和项:绩效工资</t>
  </si>
  <si>
    <t>求和项:奖金</t>
  </si>
  <si>
    <t>总计</t>
  </si>
  <si>
    <t>日期</t>
  </si>
  <si>
    <t>销售部</t>
  </si>
  <si>
    <t>技术部</t>
  </si>
  <si>
    <t>财务部</t>
  </si>
  <si>
    <t>设计部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</si>
</sst>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&quot;￥&quot;* #,##0.000_ ;_ &quot;￥&quot;* \-#,##0.000_ ;_ &quot;￥&quot;* &quot;-&quot;???_ ;_ @_ "/>
    <numFmt numFmtId="177" formatCode="[Red][&gt;=500]&quot;A级&quot;;[Yellow][&gt;400]&quot;B级&quot;;[Green]&quot;C级&quot;"/>
    <numFmt numFmtId="178" formatCode="yyyy&quot;年&quot;m&quot;月&quot;d&quot;日&quot;;@"/>
    <numFmt numFmtId="179" formatCode="_ &quot;￥&quot;* #,##0.000_ ;_ &quot;￥&quot;* \-#,##0.000_ ;_ &quot;￥&quot;* &quot;-&quot;??.00_ ;_ @_ "/>
  </numFmts>
  <fonts count="22">
    <font>
      <sz val="11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b/>
      <i/>
      <sz val="15"/>
      <color theme="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0070C0"/>
      </left>
      <right style="thin">
        <color rgb="FF00B050"/>
      </right>
      <top style="double">
        <color rgb="FF0070C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double">
        <color rgb="FF0070C0"/>
      </top>
      <bottom style="thin">
        <color rgb="FF00B050"/>
      </bottom>
      <diagonal/>
    </border>
    <border>
      <left style="double">
        <color rgb="FF0070C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double">
        <color rgb="FF0070C0"/>
      </left>
      <right style="thin">
        <color rgb="FF00B050"/>
      </right>
      <top style="thin">
        <color rgb="FF00B050"/>
      </top>
      <bottom style="double">
        <color rgb="FF0070C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double">
        <color rgb="FF0070C0"/>
      </bottom>
      <diagonal/>
    </border>
    <border>
      <left style="thin">
        <color rgb="FF00B050"/>
      </left>
      <right style="double">
        <color rgb="FF0070C0"/>
      </right>
      <top style="double">
        <color rgb="FF0070C0"/>
      </top>
      <bottom style="thin">
        <color rgb="FF00B050"/>
      </bottom>
      <diagonal/>
    </border>
    <border>
      <left style="thin">
        <color rgb="FF00B050"/>
      </left>
      <right style="double">
        <color rgb="FF0070C0"/>
      </right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double">
        <color rgb="FF0070C0"/>
      </bottom>
      <diagonal/>
    </border>
    <border>
      <left style="thin">
        <color rgb="FF00B050"/>
      </left>
      <right style="double">
        <color rgb="FF0070C0"/>
      </right>
      <top style="thin">
        <color rgb="FF00B050"/>
      </top>
      <bottom style="double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5" xfId="2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1" fillId="0" borderId="8" xfId="2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font>
        <b val="1"/>
        <color theme="0"/>
      </font>
      <fill>
        <patternFill patternType="solid">
          <fgColor theme="4" tint="-0.249977111117893"/>
          <bgColor theme="4" tint="-0.249977111117893"/>
        </patternFill>
      </fill>
    </dxf>
    <dxf>
      <font>
        <b val="1"/>
        <color theme="0"/>
      </font>
    </dxf>
    <dxf>
      <font>
        <b val="1"/>
        <color theme="0"/>
      </font>
    </dxf>
    <dxf>
      <font>
        <b val="1"/>
        <color theme="0"/>
      </font>
    </dxf>
    <dxf>
      <font>
        <color theme="4" tint="0.799981688894314"/>
      </font>
    </dxf>
    <dxf>
      <font>
        <b val="1"/>
        <color theme="0"/>
      </font>
    </dxf>
    <dxf>
      <fill>
        <patternFill patternType="solid">
          <fgColor theme="4" tint="0.399975585192419"/>
          <bgColor theme="4" tint="0.399975585192419"/>
        </patternFill>
      </fill>
    </dxf>
    <dxf>
      <fill>
        <patternFill patternType="solid">
          <fgColor theme="4" tint="0.399975585192419"/>
          <bgColor theme="4" tint="0.399975585192419"/>
        </patternFill>
      </fill>
    </dxf>
    <dxf>
      <font>
        <b val="1"/>
        <color theme="0"/>
      </font>
      <fill>
        <patternFill patternType="solid">
          <fgColor theme="4" tint="-0.249977111117893"/>
          <bgColor theme="4" tint="-0.249977111117893"/>
        </patternFill>
      </fill>
    </dxf>
    <dxf>
      <font>
        <b val="1"/>
        <color theme="0"/>
      </font>
      <border>
        <top style="medium">
          <color theme="0"/>
        </top>
      </border>
    </dxf>
    <dxf>
      <fill>
        <patternFill patternType="solid">
          <fgColor theme="4" tint="-0.249977111117893"/>
          <bgColor theme="4" tint="-0.249977111117893"/>
        </patternFill>
      </fill>
      <border>
        <bottom style="medium">
          <color theme="0"/>
        </bottom>
      </border>
    </dxf>
    <dxf>
      <font>
        <color theme="4" tint="0.799981688894314"/>
      </font>
      <fill>
        <patternFill patternType="solid">
          <fgColor theme="4"/>
          <bgColor theme="4"/>
        </patternFill>
      </fill>
      <border>
        <vertical style="thin">
          <color theme="0"/>
        </vertical>
      </border>
    </dxf>
  </dxfs>
  <tableStyles count="1" defaultTableStyle="TableStyleMedium2" defaultPivotStyle="PivotStyleLight16">
    <tableStyle name="PivotStylePreset7_Accent1" table="0" count="12" xr9:uid="{AC3489A5-FE74-4D3B-9C88-E50188FC1A87}">
      <tableStyleElement type="wholeTable" dxfId="11"/>
      <tableStyleElement type="headerRow" dxfId="10"/>
      <tableStyleElement type="totalRow" dxfId="9"/>
      <tableStyleElement type="firstColumn" dxfId="8"/>
      <tableStyleElement type="secondRowStripe" dxfId="7"/>
      <tableStyleElement type="secondColumnStripe" dxfId="6"/>
      <tableStyleElement type="firstHeaderCell" dxfId="5"/>
      <tableStyleElement type="firstSubtotalRow" dxfId="4"/>
      <tableStyleElement type="secondSubtotalRow" dxfId="3"/>
      <tableStyleElement type="firstRowSubheading" dxfId="2"/>
      <tableStyleElement type="secondRowSubheading" dxfId="1"/>
      <tableStyleElement type="pageFieldLabel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基本工资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15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Sheet1!$B$6:$B$9</c:f>
              <c:strCache>
                <c:ptCount val="4"/>
                <c:pt idx="0">
                  <c:v>小明</c:v>
                </c:pt>
                <c:pt idx="1">
                  <c:v>小美</c:v>
                </c:pt>
                <c:pt idx="2">
                  <c:v>小红</c:v>
                </c:pt>
                <c:pt idx="3">
                  <c:v>王五</c:v>
                </c:pt>
              </c:strCache>
            </c:strRef>
          </c:cat>
          <c:val>
            <c:numRef>
              <c:f>Sheet1!$E$6:$E$9</c:f>
              <c:numCache>
                <c:formatCode>_ "￥"* #,##0.000_ ;_ "￥"* \-#,##0.000_ ;_ "￥"* "-"???_ ;_ @_ </c:formatCode>
                <c:ptCount val="4"/>
                <c:pt idx="0">
                  <c:v>14000</c:v>
                </c:pt>
                <c:pt idx="1">
                  <c:v>11000</c:v>
                </c:pt>
                <c:pt idx="2">
                  <c:v>12500</c:v>
                </c:pt>
                <c:pt idx="3">
                  <c:v>11500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[2024年3月调考 -表格-1_结果文档.xlsx]Sheet2!数据透视表1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求和项:绩效工资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Sheet2!$A$4:$B$9</c:f>
              <c:multiLvlStrCache>
                <c:ptCount val="5"/>
                <c:lvl>
                  <c:pt idx="0">
                    <c:v>李四</c:v>
                  </c:pt>
                  <c:pt idx="1">
                    <c:v>张飞</c:v>
                  </c:pt>
                  <c:pt idx="2">
                    <c:v>张三</c:v>
                  </c:pt>
                  <c:pt idx="3">
                    <c:v>贾宝玉</c:v>
                  </c:pt>
                  <c:pt idx="4">
                    <c:v>小明</c:v>
                  </c:pt>
                </c:lvl>
                <c:lvl>
                  <c:pt idx="0">
                    <c:v>本科</c:v>
                  </c:pt>
                  <c:pt idx="2">
                    <c:v>博士</c:v>
                  </c:pt>
                  <c:pt idx="3">
                    <c:v>硕士</c:v>
                  </c:pt>
                </c:lvl>
              </c:multiLvlStrCache>
            </c:multiLvl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1700</c:v>
                </c:pt>
                <c:pt idx="1">
                  <c:v>1800</c:v>
                </c:pt>
                <c:pt idx="2">
                  <c:v>1500</c:v>
                </c:pt>
                <c:pt idx="3">
                  <c:v>1450</c:v>
                </c:pt>
                <c:pt idx="4">
                  <c:v>1900</c:v>
                </c:pt>
              </c:numCache>
            </c:numRef>
          </c:val>
        </c:ser>
        <c:ser>
          <c:idx val="1"/>
          <c:order val="1"/>
          <c:tx>
            <c:strRef>
              <c:f>Sheet2!$D$3</c:f>
              <c:strCache>
                <c:ptCount val="1"/>
                <c:pt idx="0">
                  <c:v>求和项:奖金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Sheet2!$A$4:$B$9</c:f>
              <c:multiLvlStrCache>
                <c:ptCount val="5"/>
                <c:lvl>
                  <c:pt idx="0">
                    <c:v>李四</c:v>
                  </c:pt>
                  <c:pt idx="1">
                    <c:v>张飞</c:v>
                  </c:pt>
                  <c:pt idx="2">
                    <c:v>张三</c:v>
                  </c:pt>
                  <c:pt idx="3">
                    <c:v>贾宝玉</c:v>
                  </c:pt>
                  <c:pt idx="4">
                    <c:v>小明</c:v>
                  </c:pt>
                </c:lvl>
                <c:lvl>
                  <c:pt idx="0">
                    <c:v>本科</c:v>
                  </c:pt>
                  <c:pt idx="2">
                    <c:v>博士</c:v>
                  </c:pt>
                  <c:pt idx="3">
                    <c:v>硕士</c:v>
                  </c:pt>
                </c:lvl>
              </c:multiLvlStrCache>
            </c:multiLvlStrRef>
          </c:cat>
          <c:val>
            <c:numRef>
              <c:f>Sheet2!$D$4:$D$9</c:f>
              <c:numCache>
                <c:formatCode>General</c:formatCode>
                <c:ptCount val="5"/>
                <c:pt idx="0">
                  <c:v>880</c:v>
                </c:pt>
                <c:pt idx="1">
                  <c:v>900</c:v>
                </c:pt>
                <c:pt idx="2">
                  <c:v>800</c:v>
                </c:pt>
                <c:pt idx="3">
                  <c:v>720</c:v>
                </c:pt>
                <c:pt idx="4">
                  <c:v>950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82090143"/>
        <c:axId val="889964501"/>
      </c:barChart>
      <c:catAx>
        <c:axId val="8209014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964501"/>
        <c:crosses val="autoZero"/>
        <c:auto val="1"/>
        <c:lblAlgn val="ctr"/>
        <c:lblOffset val="100"/>
        <c:noMultiLvlLbl val="0"/>
      </c:catAx>
      <c:valAx>
        <c:axId val="8899645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09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76200</xdr:colOff>
      <xdr:row>13</xdr:row>
      <xdr:rowOff>74930</xdr:rowOff>
    </xdr:from>
    <xdr:to>
      <xdr:col>9</xdr:col>
      <xdr:colOff>711200</xdr:colOff>
      <xdr:row>29</xdr:row>
      <xdr:rowOff>74930</xdr:rowOff>
    </xdr:to>
    <xdr:graphicFrame>
      <xdr:nvGraphicFramePr>
        <xdr:cNvPr id="2" name="图表 1"/>
        <xdr:cNvGraphicFramePr/>
      </xdr:nvGraphicFramePr>
      <xdr:xfrm>
        <a:off x="2466975" y="26085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1066800</xdr:colOff>
      <xdr:row>13</xdr:row>
      <xdr:rowOff>9525</xdr:rowOff>
    </xdr:from>
    <xdr:to>
      <xdr:col>8</xdr:col>
      <xdr:colOff>149225</xdr:colOff>
      <xdr:row>29</xdr:row>
      <xdr:rowOff>9525</xdr:rowOff>
    </xdr:to>
    <xdr:graphicFrame>
      <xdr:nvGraphicFramePr>
        <xdr:cNvPr id="2" name="图表 1"/>
        <xdr:cNvGraphicFramePr/>
      </xdr:nvGraphicFramePr>
      <xdr:xfrm>
        <a:off x="2324100" y="2238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80.6392824074" refreshedBy="zy" recordCount="10">
  <cacheSource type="worksheet">
    <worksheetSource ref="B2:L12" sheet="Sheet1"/>
  </cacheSource>
  <cacheFields count="11">
    <cacheField name="姓名" numFmtId="0">
      <sharedItems count="10">
        <s v="赵六"/>
        <s v="张三"/>
        <s v="张飞"/>
        <s v="小明"/>
        <s v="小美"/>
        <s v="小红"/>
        <s v="王五"/>
        <s v="李四"/>
        <s v="贾宝玉"/>
        <s v="关羽"/>
      </sharedItems>
    </cacheField>
    <cacheField name="学历" numFmtId="0">
      <sharedItems count="5">
        <s v="硕士"/>
        <s v="博士"/>
        <s v="本科"/>
        <s v="大专"/>
        <s v="中专"/>
      </sharedItems>
    </cacheField>
    <cacheField name="部门" numFmtId="0">
      <sharedItems count="4">
        <s v="销售部"/>
        <s v="技术部"/>
        <s v="财务部"/>
        <s v="设计部"/>
      </sharedItems>
    </cacheField>
    <cacheField name="基本工资" numFmtId="176">
      <sharedItems containsSemiMixedTypes="0" containsString="0" containsNumber="1" containsInteger="1" minValue="8000" maxValue="18800" count="10">
        <n v="15000"/>
        <n v="12000"/>
        <n v="13000"/>
        <n v="14000"/>
        <n v="11000"/>
        <n v="12500"/>
        <n v="11500"/>
        <n v="13500"/>
        <n v="18800"/>
        <n v="8000"/>
      </sharedItems>
    </cacheField>
    <cacheField name="绩效工资" numFmtId="0">
      <sharedItems containsSemiMixedTypes="0" containsString="0" containsNumber="1" containsInteger="1" minValue="0" maxValue="2000" count="9">
        <n v="2000"/>
        <n v="1500"/>
        <n v="1800"/>
        <n v="1900"/>
        <n v="1400"/>
        <n v="1600"/>
        <n v="1700"/>
        <n v="1450"/>
        <n v="0"/>
      </sharedItems>
    </cacheField>
    <cacheField name="奖金" numFmtId="0">
      <sharedItems containsSemiMixedTypes="0" containsString="0" containsNumber="1" containsInteger="1" minValue="0" maxValue="1000" count="10">
        <n v="1000"/>
        <n v="800"/>
        <n v="900"/>
        <n v="950"/>
        <n v="700"/>
        <n v="850"/>
        <n v="750"/>
        <n v="880"/>
        <n v="720"/>
        <n v="0"/>
      </sharedItems>
    </cacheField>
    <cacheField name="补贴" numFmtId="177">
      <sharedItems containsSemiMixedTypes="0" containsString="0" containsNumber="1" containsInteger="1" minValue="0" maxValue="500" count="10">
        <n v="500"/>
        <n v="400"/>
        <n v="450"/>
        <n v="480"/>
        <n v="350"/>
        <n v="420"/>
        <n v="380"/>
        <n v="430"/>
        <n v="360"/>
        <n v="0"/>
      </sharedItems>
    </cacheField>
    <cacheField name="实发工资" numFmtId="0">
      <sharedItems containsSemiMixedTypes="0" containsString="0" containsNumber="1" containsInteger="1" minValue="8000" maxValue="21330" count="10">
        <n v="18500"/>
        <n v="14700"/>
        <n v="16150"/>
        <n v="17330"/>
        <n v="13450"/>
        <n v="15370"/>
        <n v="14130"/>
        <n v="16510"/>
        <n v="21330"/>
        <n v="8000"/>
      </sharedItems>
    </cacheField>
    <cacheField name="电子邮件" numFmtId="0">
      <sharedItems count="10">
        <s v="zhangsan@xx.com"/>
        <s v="lisi@xx.com"/>
        <s v="wangwu@xx.com"/>
        <s v="zhaoliu@xx.com"/>
        <s v="xiaohong@xx.com"/>
        <s v="xiaoming@xx.com"/>
        <s v="xiaomei@xx.com"/>
        <s v="zhangfei@xx.com"/>
        <s v="guanyu@xx.com"/>
        <s v="jiabaoyu@xx.com"/>
      </sharedItems>
    </cacheField>
    <cacheField name="入职日期" numFmtId="178">
      <sharedItems containsSemiMixedTypes="0" containsString="0" containsNonDate="0" containsDate="1" minDate="2016-11-30T00:00:00" maxDate="2021-01-07T00:00:00" count="10">
        <d v="2018-05-15T00:00:00"/>
        <d v="2019-02-20T00:00:00"/>
        <d v="2017-09-10T00:00:00"/>
        <d v="2016-11-30T00:00:00"/>
        <d v="2020-08-05T00:00:00"/>
        <d v="2018-07-12T00:00:00"/>
        <d v="2019-04-25T00:00:00"/>
        <d v="2017-03-18T00:00:00"/>
        <d v="2018-10-09T00:00:00"/>
        <d v="2021-01-07T00:00:00"/>
      </sharedItems>
    </cacheField>
    <cacheField name="联系方式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</r>
  <r>
    <x v="2"/>
    <x v="2"/>
    <x v="1"/>
    <x v="2"/>
    <x v="2"/>
    <x v="2"/>
    <x v="2"/>
    <x v="2"/>
    <x v="2"/>
    <x v="2"/>
    <x v="0"/>
  </r>
  <r>
    <x v="3"/>
    <x v="0"/>
    <x v="2"/>
    <x v="3"/>
    <x v="3"/>
    <x v="3"/>
    <x v="3"/>
    <x v="3"/>
    <x v="3"/>
    <x v="3"/>
    <x v="0"/>
  </r>
  <r>
    <x v="4"/>
    <x v="3"/>
    <x v="3"/>
    <x v="4"/>
    <x v="4"/>
    <x v="4"/>
    <x v="4"/>
    <x v="4"/>
    <x v="4"/>
    <x v="4"/>
    <x v="0"/>
  </r>
  <r>
    <x v="5"/>
    <x v="3"/>
    <x v="3"/>
    <x v="5"/>
    <x v="5"/>
    <x v="5"/>
    <x v="5"/>
    <x v="5"/>
    <x v="5"/>
    <x v="5"/>
    <x v="0"/>
  </r>
  <r>
    <x v="6"/>
    <x v="2"/>
    <x v="0"/>
    <x v="6"/>
    <x v="1"/>
    <x v="6"/>
    <x v="6"/>
    <x v="6"/>
    <x v="6"/>
    <x v="6"/>
    <x v="0"/>
  </r>
  <r>
    <x v="7"/>
    <x v="2"/>
    <x v="2"/>
    <x v="7"/>
    <x v="6"/>
    <x v="7"/>
    <x v="7"/>
    <x v="7"/>
    <x v="7"/>
    <x v="7"/>
    <x v="0"/>
  </r>
  <r>
    <x v="8"/>
    <x v="0"/>
    <x v="1"/>
    <x v="8"/>
    <x v="7"/>
    <x v="8"/>
    <x v="8"/>
    <x v="8"/>
    <x v="8"/>
    <x v="8"/>
    <x v="0"/>
  </r>
  <r>
    <x v="9"/>
    <x v="4"/>
    <x v="0"/>
    <x v="9"/>
    <x v="8"/>
    <x v="9"/>
    <x v="9"/>
    <x v="9"/>
    <x v="9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 chartFormat="2">
  <location ref="A3:D9" firstHeaderRow="0" firstDataRow="1" firstDataCol="2" rowPageCount="1" colPageCount="1"/>
  <pivotFields count="11">
    <pivotField axis="axisRow" compact="0" defaultSubtotal="0" outline="0" showAll="0">
      <items count="10"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multipleItemSelectionAllowed="1" showAll="0">
      <items count="5">
        <item x="2"/>
        <item x="1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multipleItemSelectionAllowed="1" showAll="0">
      <items count="4">
        <item x="2"/>
        <item x="1"/>
        <item h="1" x="3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179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9">
        <item x="8"/>
        <item x="4"/>
        <item x="7"/>
        <item x="1"/>
        <item x="5"/>
        <item x="6"/>
        <item x="2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10">
        <item x="9"/>
        <item x="4"/>
        <item x="8"/>
        <item x="6"/>
        <item x="1"/>
        <item x="5"/>
        <item x="7"/>
        <item x="2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6">
    <i>
      <x/>
      <x v="2"/>
    </i>
    <i r="1">
      <x v="7"/>
    </i>
    <i>
      <x v="1"/>
      <x v="8"/>
    </i>
    <i>
      <x v="3"/>
      <x v="1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2"/>
  </pageFields>
  <dataFields count="2">
    <dataField name="求和项:绩效工资" fld="4" baseField="0" baseItem="0"/>
    <dataField name="求和项:奖金" fld="5" baseField="0" baseItem="0"/>
  </dataFields>
  <pivotTableStyleInfo name="PivotStylePreset7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3"/>
  <sheetViews>
    <sheetView tabSelected="1" zoomScale="130" zoomScaleNormal="130" workbookViewId="0">
      <selection activeCell="C18" sqref="C18"/>
    </sheetView>
  </sheetViews>
  <sheetFormatPr defaultColWidth="9" defaultRowHeight="13.5"/>
  <cols>
    <col min="2" max="2" width="7.75" customWidth="1"/>
    <col min="3" max="3" width="6.875" customWidth="1"/>
    <col min="4" max="4" width="7.75" customWidth="1"/>
    <col min="5" max="5" width="16.5" customWidth="1"/>
    <col min="6" max="6" width="12.375" customWidth="1"/>
    <col min="7" max="8" width="6.875" customWidth="1"/>
    <col min="9" max="9" width="12.375" customWidth="1"/>
    <col min="10" max="10" width="19.125" customWidth="1"/>
    <col min="11" max="11" width="15.625" customWidth="1"/>
    <col min="12" max="12" width="14.125" customWidth="1"/>
  </cols>
  <sheetData>
    <row r="1" ht="14.25"/>
    <row r="2" ht="20.25" spans="2:12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14" t="s">
        <v>10</v>
      </c>
    </row>
    <row r="3" ht="15" spans="2:12">
      <c r="B3" s="5" t="s">
        <v>11</v>
      </c>
      <c r="C3" s="6" t="s">
        <v>12</v>
      </c>
      <c r="D3" s="6" t="str">
        <f>VLOOKUP(B3,员工信息表!A:C,3,FALSE)</f>
        <v>销售部</v>
      </c>
      <c r="E3" s="7">
        <v>15000</v>
      </c>
      <c r="F3" s="6">
        <v>2000</v>
      </c>
      <c r="G3" s="6">
        <v>1000</v>
      </c>
      <c r="H3" s="8">
        <v>500</v>
      </c>
      <c r="I3" s="6">
        <f>SUM(E3:H3)</f>
        <v>18500</v>
      </c>
      <c r="J3" s="6" t="s">
        <v>13</v>
      </c>
      <c r="K3" s="15">
        <f t="array" ref="K3:K12">入职日期</f>
        <v>43235</v>
      </c>
      <c r="L3" s="16"/>
    </row>
    <row r="4" ht="15" spans="2:12">
      <c r="B4" s="5" t="s">
        <v>14</v>
      </c>
      <c r="C4" s="6" t="s">
        <v>15</v>
      </c>
      <c r="D4" s="6" t="str">
        <f>VLOOKUP(B4,员工信息表!A:C,3,FALSE)</f>
        <v>技术部</v>
      </c>
      <c r="E4" s="7">
        <v>12000</v>
      </c>
      <c r="F4" s="6">
        <v>1500</v>
      </c>
      <c r="G4" s="6">
        <v>800</v>
      </c>
      <c r="H4" s="8">
        <v>400</v>
      </c>
      <c r="I4" s="6">
        <f t="shared" ref="I4:I12" si="0">SUM(E4:H4)</f>
        <v>14700</v>
      </c>
      <c r="J4" s="6" t="s">
        <v>16</v>
      </c>
      <c r="K4" s="15">
        <v>43516</v>
      </c>
      <c r="L4" s="16"/>
    </row>
    <row r="5" ht="15" spans="2:12">
      <c r="B5" s="5" t="s">
        <v>17</v>
      </c>
      <c r="C5" s="6" t="s">
        <v>18</v>
      </c>
      <c r="D5" s="6" t="str">
        <f>VLOOKUP(B5,员工信息表!A:C,3,FALSE)</f>
        <v>技术部</v>
      </c>
      <c r="E5" s="7">
        <v>13000</v>
      </c>
      <c r="F5" s="6">
        <v>1800</v>
      </c>
      <c r="G5" s="6">
        <v>900</v>
      </c>
      <c r="H5" s="8">
        <v>450</v>
      </c>
      <c r="I5" s="6">
        <f t="shared" si="0"/>
        <v>16150</v>
      </c>
      <c r="J5" s="6" t="s">
        <v>19</v>
      </c>
      <c r="K5" s="15">
        <v>42988</v>
      </c>
      <c r="L5" s="16"/>
    </row>
    <row r="6" ht="15" spans="2:12">
      <c r="B6" s="5" t="s">
        <v>20</v>
      </c>
      <c r="C6" s="6" t="s">
        <v>12</v>
      </c>
      <c r="D6" s="6" t="str">
        <f>VLOOKUP(B6,员工信息表!A:C,3,FALSE)</f>
        <v>财务部</v>
      </c>
      <c r="E6" s="7">
        <v>14000</v>
      </c>
      <c r="F6" s="6">
        <v>1900</v>
      </c>
      <c r="G6" s="6">
        <v>950</v>
      </c>
      <c r="H6" s="8">
        <v>480</v>
      </c>
      <c r="I6" s="6">
        <f t="shared" si="0"/>
        <v>17330</v>
      </c>
      <c r="J6" s="6" t="s">
        <v>21</v>
      </c>
      <c r="K6" s="15">
        <v>42704</v>
      </c>
      <c r="L6" s="16"/>
    </row>
    <row r="7" ht="15" spans="2:12">
      <c r="B7" s="5" t="s">
        <v>22</v>
      </c>
      <c r="C7" s="6" t="s">
        <v>23</v>
      </c>
      <c r="D7" s="6" t="str">
        <f>VLOOKUP(B7,员工信息表!A:C,3,FALSE)</f>
        <v>设计部</v>
      </c>
      <c r="E7" s="7">
        <v>11000</v>
      </c>
      <c r="F7" s="6">
        <v>1400</v>
      </c>
      <c r="G7" s="6">
        <v>700</v>
      </c>
      <c r="H7" s="8">
        <v>350</v>
      </c>
      <c r="I7" s="6">
        <f t="shared" si="0"/>
        <v>13450</v>
      </c>
      <c r="J7" s="6" t="s">
        <v>24</v>
      </c>
      <c r="K7" s="15">
        <v>44048</v>
      </c>
      <c r="L7" s="16"/>
    </row>
    <row r="8" ht="15" spans="2:12">
      <c r="B8" s="5" t="s">
        <v>25</v>
      </c>
      <c r="C8" s="6" t="s">
        <v>23</v>
      </c>
      <c r="D8" s="6" t="str">
        <f>VLOOKUP(B8,员工信息表!A:C,3,FALSE)</f>
        <v>设计部</v>
      </c>
      <c r="E8" s="7">
        <v>12500</v>
      </c>
      <c r="F8" s="6">
        <v>1600</v>
      </c>
      <c r="G8" s="6">
        <v>850</v>
      </c>
      <c r="H8" s="8">
        <v>420</v>
      </c>
      <c r="I8" s="6">
        <f t="shared" si="0"/>
        <v>15370</v>
      </c>
      <c r="J8" s="6" t="s">
        <v>26</v>
      </c>
      <c r="K8" s="15">
        <v>43293</v>
      </c>
      <c r="L8" s="16"/>
    </row>
    <row r="9" ht="15" spans="2:12">
      <c r="B9" s="5" t="s">
        <v>27</v>
      </c>
      <c r="C9" s="6" t="s">
        <v>18</v>
      </c>
      <c r="D9" s="6" t="str">
        <f>VLOOKUP(B9,员工信息表!A:C,3,FALSE)</f>
        <v>销售部</v>
      </c>
      <c r="E9" s="7">
        <v>11500</v>
      </c>
      <c r="F9" s="6">
        <v>1500</v>
      </c>
      <c r="G9" s="6">
        <v>750</v>
      </c>
      <c r="H9" s="8">
        <v>380</v>
      </c>
      <c r="I9" s="6">
        <f t="shared" si="0"/>
        <v>14130</v>
      </c>
      <c r="J9" s="6" t="s">
        <v>28</v>
      </c>
      <c r="K9" s="15">
        <v>43580</v>
      </c>
      <c r="L9" s="16"/>
    </row>
    <row r="10" ht="15" spans="2:12">
      <c r="B10" s="5" t="s">
        <v>29</v>
      </c>
      <c r="C10" s="6" t="s">
        <v>18</v>
      </c>
      <c r="D10" s="6" t="str">
        <f>VLOOKUP(B10,员工信息表!A:C,3,FALSE)</f>
        <v>财务部</v>
      </c>
      <c r="E10" s="7">
        <v>13500</v>
      </c>
      <c r="F10" s="6">
        <v>1700</v>
      </c>
      <c r="G10" s="6">
        <v>880</v>
      </c>
      <c r="H10" s="8">
        <v>430</v>
      </c>
      <c r="I10" s="6">
        <f t="shared" si="0"/>
        <v>16510</v>
      </c>
      <c r="J10" s="6" t="s">
        <v>30</v>
      </c>
      <c r="K10" s="15">
        <v>42812</v>
      </c>
      <c r="L10" s="16"/>
    </row>
    <row r="11" ht="15" spans="2:12">
      <c r="B11" s="5" t="s">
        <v>31</v>
      </c>
      <c r="C11" s="6" t="s">
        <v>12</v>
      </c>
      <c r="D11" s="6" t="str">
        <f>VLOOKUP(B11,员工信息表!A:C,3,FALSE)</f>
        <v>技术部</v>
      </c>
      <c r="E11" s="7">
        <v>18800</v>
      </c>
      <c r="F11" s="6">
        <v>1450</v>
      </c>
      <c r="G11" s="6">
        <v>720</v>
      </c>
      <c r="H11" s="9">
        <v>360</v>
      </c>
      <c r="I11" s="17">
        <f t="shared" si="0"/>
        <v>21330</v>
      </c>
      <c r="J11" s="6" t="s">
        <v>32</v>
      </c>
      <c r="K11" s="15">
        <v>43382</v>
      </c>
      <c r="L11" s="16"/>
    </row>
    <row r="12" ht="15.75" spans="2:12">
      <c r="B12" s="10" t="s">
        <v>33</v>
      </c>
      <c r="C12" s="11" t="s">
        <v>34</v>
      </c>
      <c r="D12" s="6" t="str">
        <f>VLOOKUP(B12,员工信息表!A:C,3,FALSE)</f>
        <v>销售部</v>
      </c>
      <c r="E12" s="12">
        <v>8000</v>
      </c>
      <c r="F12" s="11">
        <v>0</v>
      </c>
      <c r="G12" s="11">
        <v>0</v>
      </c>
      <c r="H12" s="13">
        <v>0</v>
      </c>
      <c r="I12" s="18">
        <f t="shared" si="0"/>
        <v>8000</v>
      </c>
      <c r="J12" s="18" t="s">
        <v>35</v>
      </c>
      <c r="K12" s="15">
        <v>44203</v>
      </c>
      <c r="L12" s="19"/>
    </row>
    <row r="13" ht="14.25"/>
  </sheetData>
  <dataValidations count="1">
    <dataValidation type="textLength" operator="equal" allowBlank="1" showInputMessage="1" showErrorMessage="1" sqref="L3:L12">
      <formula1>11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G8" sqref="G8"/>
    </sheetView>
  </sheetViews>
  <sheetFormatPr defaultColWidth="9" defaultRowHeight="13.5" outlineLevelCol="3"/>
  <cols>
    <col min="1" max="1" width="7.375"/>
    <col min="2" max="2" width="9.125"/>
    <col min="3" max="5" width="16.125"/>
  </cols>
  <sheetData>
    <row r="1" spans="1:2">
      <c r="A1" t="s">
        <v>2</v>
      </c>
      <c r="B1" t="s">
        <v>36</v>
      </c>
    </row>
    <row r="3" spans="1:4">
      <c r="A3" t="s">
        <v>1</v>
      </c>
      <c r="B3" t="s">
        <v>0</v>
      </c>
      <c r="C3" t="s">
        <v>37</v>
      </c>
      <c r="D3" t="s">
        <v>38</v>
      </c>
    </row>
    <row r="4" spans="1:4">
      <c r="A4" t="s">
        <v>18</v>
      </c>
      <c r="B4" t="s">
        <v>29</v>
      </c>
      <c r="C4">
        <v>1700</v>
      </c>
      <c r="D4">
        <v>880</v>
      </c>
    </row>
    <row r="5" spans="1:4">
      <c r="A5" t="s">
        <v>18</v>
      </c>
      <c r="B5" t="s">
        <v>17</v>
      </c>
      <c r="C5">
        <v>1800</v>
      </c>
      <c r="D5">
        <v>900</v>
      </c>
    </row>
    <row r="6" spans="1:4">
      <c r="A6" t="s">
        <v>15</v>
      </c>
      <c r="B6" t="s">
        <v>14</v>
      </c>
      <c r="C6">
        <v>1500</v>
      </c>
      <c r="D6">
        <v>800</v>
      </c>
    </row>
    <row r="7" spans="1:4">
      <c r="A7" t="s">
        <v>12</v>
      </c>
      <c r="B7" t="s">
        <v>31</v>
      </c>
      <c r="C7">
        <v>1450</v>
      </c>
      <c r="D7">
        <v>720</v>
      </c>
    </row>
    <row r="8" spans="1:4">
      <c r="A8" t="s">
        <v>12</v>
      </c>
      <c r="B8" t="s">
        <v>20</v>
      </c>
      <c r="C8">
        <v>1900</v>
      </c>
      <c r="D8">
        <v>950</v>
      </c>
    </row>
    <row r="9" spans="1:4">
      <c r="A9" t="s">
        <v>39</v>
      </c>
      <c r="C9">
        <v>8350</v>
      </c>
      <c r="D9">
        <v>4250</v>
      </c>
    </row>
  </sheetData>
  <pageMargins left="1.18055555555556" right="0.786805555555556" top="0.786805555555556" bottom="0.786805555555556" header="0.298611111111111" footer="0.298611111111111"/>
  <pageSetup paperSize="9" orientation="landscape" horizontalDpi="600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11"/>
  <sheetViews>
    <sheetView workbookViewId="0">
      <selection activeCell="G10" sqref="G10"/>
    </sheetView>
  </sheetViews>
  <sheetFormatPr defaultColWidth="9" defaultRowHeight="13.5" outlineLevelCol="3"/>
  <cols>
    <col min="1" max="1" width="12.875" customWidth="1"/>
  </cols>
  <sheetData>
    <row r="1" ht="15" spans="1:4">
      <c r="A1" s="1" t="s">
        <v>0</v>
      </c>
      <c r="B1" s="1" t="s">
        <v>1</v>
      </c>
      <c r="C1" s="1" t="s">
        <v>2</v>
      </c>
      <c r="D1" s="2" t="s">
        <v>40</v>
      </c>
    </row>
    <row r="2" ht="15" spans="1:4">
      <c r="A2" s="1" t="s">
        <v>11</v>
      </c>
      <c r="B2" s="1" t="s">
        <v>12</v>
      </c>
      <c r="C2" s="1" t="s">
        <v>41</v>
      </c>
      <c r="D2" s="2">
        <v>43235</v>
      </c>
    </row>
    <row r="3" ht="15" spans="1:4">
      <c r="A3" s="1" t="s">
        <v>14</v>
      </c>
      <c r="B3" s="1" t="s">
        <v>18</v>
      </c>
      <c r="C3" s="1" t="s">
        <v>42</v>
      </c>
      <c r="D3" s="2">
        <v>43516</v>
      </c>
    </row>
    <row r="4" ht="15" spans="1:4">
      <c r="A4" s="1" t="s">
        <v>17</v>
      </c>
      <c r="B4" s="1" t="s">
        <v>12</v>
      </c>
      <c r="C4" s="1" t="s">
        <v>42</v>
      </c>
      <c r="D4" s="2">
        <v>42988</v>
      </c>
    </row>
    <row r="5" ht="15" spans="1:4">
      <c r="A5" s="1" t="s">
        <v>20</v>
      </c>
      <c r="B5" s="1" t="s">
        <v>12</v>
      </c>
      <c r="C5" s="1" t="s">
        <v>43</v>
      </c>
      <c r="D5" s="2">
        <v>42704</v>
      </c>
    </row>
    <row r="6" ht="15" spans="1:4">
      <c r="A6" s="1" t="s">
        <v>22</v>
      </c>
      <c r="B6" s="1" t="s">
        <v>18</v>
      </c>
      <c r="C6" s="1" t="s">
        <v>44</v>
      </c>
      <c r="D6" s="2">
        <v>44048</v>
      </c>
    </row>
    <row r="7" ht="15" spans="1:4">
      <c r="A7" s="1" t="s">
        <v>25</v>
      </c>
      <c r="B7" s="1" t="s">
        <v>18</v>
      </c>
      <c r="C7" s="1" t="s">
        <v>44</v>
      </c>
      <c r="D7" s="2">
        <v>43293</v>
      </c>
    </row>
    <row r="8" ht="15" spans="1:4">
      <c r="A8" s="1" t="s">
        <v>27</v>
      </c>
      <c r="B8" s="1" t="s">
        <v>23</v>
      </c>
      <c r="C8" s="1" t="s">
        <v>41</v>
      </c>
      <c r="D8" s="2">
        <v>43580</v>
      </c>
    </row>
    <row r="9" ht="15" spans="1:4">
      <c r="A9" s="1" t="s">
        <v>29</v>
      </c>
      <c r="B9" s="1" t="s">
        <v>34</v>
      </c>
      <c r="C9" s="1" t="s">
        <v>43</v>
      </c>
      <c r="D9" s="2">
        <v>42812</v>
      </c>
    </row>
    <row r="10" ht="15" spans="1:4">
      <c r="A10" s="1" t="s">
        <v>31</v>
      </c>
      <c r="B10" s="1" t="s">
        <v>15</v>
      </c>
      <c r="C10" s="1" t="s">
        <v>42</v>
      </c>
      <c r="D10" s="2">
        <v>43382</v>
      </c>
    </row>
    <row r="11" ht="15" spans="1:4">
      <c r="A11" s="1" t="s">
        <v>33</v>
      </c>
      <c r="B11" s="1" t="s">
        <v>23</v>
      </c>
      <c r="C11" s="1" t="s">
        <v>41</v>
      </c>
      <c r="D11" s="2">
        <v>44203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4" sqref="G24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员工信息表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2023-05-12T11:15:00Z</dcterms:created>
  <dcterms:modified xsi:type="dcterms:W3CDTF">2024-03-29T07:21:10Z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
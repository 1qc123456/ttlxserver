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05" windowHeight="1177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<sst xmlns="http://schemas.openxmlformats.org/spreadsheetml/2006/main" count="196" uniqueCount="42">
  <si>
    <t>销售人员</t>
  </si>
  <si>
    <t>商品</t>
  </si>
  <si>
    <t>日期</t>
  </si>
  <si>
    <t>单价</t>
  </si>
  <si>
    <t>数量</t>
  </si>
  <si>
    <t>销售额（元）</t>
  </si>
  <si>
    <t>业绩评价</t>
  </si>
  <si>
    <t>销售排名</t>
  </si>
  <si>
    <t>林涛</t>
  </si>
  <si>
    <t>服务器</t>
  </si>
  <si>
    <t>胡盼</t>
  </si>
  <si>
    <t>张敏</t>
  </si>
  <si>
    <t>笔记本电脑</t>
  </si>
  <si>
    <t>刘详</t>
  </si>
  <si>
    <t>台式机</t>
  </si>
  <si>
    <t>杨帆</t>
  </si>
  <si>
    <t>刘丽娟</t>
  </si>
  <si>
    <t>林静</t>
  </si>
  <si>
    <t>徐小丽</t>
  </si>
  <si>
    <t>销售额标准</t>
  </si>
  <si>
    <t>500000以下</t>
  </si>
  <si>
    <t>差</t>
  </si>
  <si>
    <t>500000～2000000</t>
  </si>
  <si>
    <t>一般</t>
  </si>
  <si>
    <t>2000000～5000000</t>
  </si>
  <si>
    <t>好</t>
  </si>
  <si>
    <t>5000000～8000000</t>
  </si>
  <si>
    <t>较好</t>
  </si>
  <si>
    <t>8000000以上</t>
  </si>
  <si>
    <t>很好</t>
  </si>
  <si>
    <t>胡盼 平均值</t>
  </si>
  <si>
    <t>林静 平均值</t>
  </si>
  <si>
    <t>林涛 平均值</t>
  </si>
  <si>
    <t>刘丽娟 平均值</t>
  </si>
  <si>
    <t>刘详 平均值</t>
  </si>
  <si>
    <t>徐小丽 平均值</t>
  </si>
  <si>
    <t>杨帆 平均值</t>
  </si>
  <si>
    <t>张敏 平均值</t>
  </si>
  <si>
    <t>总平均值</t>
  </si>
  <si>
    <t>最小数值</t>
  </si>
  <si>
    <t>最大单价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</si>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</sst>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销售数据图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Sheet3!$A$8:$A$61</c:f>
              <c:strCache>
                <c:ptCount val="8"/>
                <c:pt idx="0">
                  <c:v>胡盼 平均值</c:v>
                </c:pt>
                <c:pt idx="1">
                  <c:v>林静 平均值</c:v>
                </c:pt>
                <c:pt idx="2">
                  <c:v>林涛 平均值</c:v>
                </c:pt>
                <c:pt idx="3">
                  <c:v>刘丽娟 平均值</c:v>
                </c:pt>
                <c:pt idx="4">
                  <c:v>刘详 平均值</c:v>
                </c:pt>
                <c:pt idx="5">
                  <c:v>徐小丽 平均值</c:v>
                </c:pt>
                <c:pt idx="6">
                  <c:v>杨帆 平均值</c:v>
                </c:pt>
                <c:pt idx="7">
                  <c:v>张敏 平均值</c:v>
                </c:pt>
              </c:strCache>
            </c:strRef>
          </c:cat>
          <c:val>
            <c:numRef>
              <c:f>Sheet3!$D$8:$D$61</c:f>
              <c:numCache>
                <c:formatCode>0.00_ </c:formatCode>
                <c:ptCount val="8"/>
                <c:pt idx="0">
                  <c:v>2512533.33333333</c:v>
                </c:pt>
                <c:pt idx="1">
                  <c:v>2065433.33333333</c:v>
                </c:pt>
                <c:pt idx="2">
                  <c:v>2223866.66666667</c:v>
                </c:pt>
                <c:pt idx="3">
                  <c:v>3499666.66666667</c:v>
                </c:pt>
                <c:pt idx="4">
                  <c:v>4678075</c:v>
                </c:pt>
                <c:pt idx="5">
                  <c:v>777600</c:v>
                </c:pt>
                <c:pt idx="6">
                  <c:v>1186875</c:v>
                </c:pt>
                <c:pt idx="7">
                  <c:v>3491333.33333333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836595125"/>
        <c:axId val="407268264"/>
      </c:barChart>
      <c:catAx>
        <c:axId val="836595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268264"/>
        <c:crosses val="autoZero"/>
        <c:auto val="1"/>
        <c:lblAlgn val="ctr"/>
        <c:lblOffset val="100"/>
        <c:noMultiLvlLbl val="0"/>
      </c:catAx>
      <c:valAx>
        <c:axId val="407268264"/>
        <c:scaling>
          <c:orientation val="minMax"/>
        </c:scaling>
        <c:delete val="1"/>
        <c:axPos val="l"/>
        <c:numFmt formatCode="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5951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[2024年11月调考_结果文档.xlsx]Sheet4!数据透视表1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最小数值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Sheet4!$A$2:$A$5</c:f>
              <c:strCache>
                <c:ptCount val="3"/>
                <c:pt idx="0">
                  <c:v>笔记本电脑</c:v>
                </c:pt>
                <c:pt idx="1">
                  <c:v>服务器</c:v>
                </c:pt>
                <c:pt idx="2">
                  <c:v>台式机</c:v>
                </c:pt>
              </c:strCache>
            </c:strRef>
          </c:cat>
          <c:val>
            <c:numRef>
              <c:f>Sheet4!$B$2:$B$5</c:f>
              <c:numCache>
                <c:formatCode>General</c:formatCode>
                <c:ptCount val="3"/>
                <c:pt idx="0">
                  <c:v>192000</c:v>
                </c:pt>
                <c:pt idx="1">
                  <c:v>218700</c:v>
                </c:pt>
                <c:pt idx="2">
                  <c:v>4750000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最大单价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Sheet4!$A$2:$A$5</c:f>
              <c:strCache>
                <c:ptCount val="3"/>
                <c:pt idx="0">
                  <c:v>笔记本电脑</c:v>
                </c:pt>
                <c:pt idx="1">
                  <c:v>服务器</c:v>
                </c:pt>
                <c:pt idx="2">
                  <c:v>台式机</c:v>
                </c:pt>
              </c:strCache>
            </c:strRef>
          </c:cat>
          <c:val>
            <c:numRef>
              <c:f>Sheet4!$C$2:$C$5</c:f>
              <c:numCache>
                <c:formatCode>General</c:formatCode>
                <c:ptCount val="3"/>
                <c:pt idx="0">
                  <c:v>120000</c:v>
                </c:pt>
                <c:pt idx="1">
                  <c:v>235500</c:v>
                </c:pt>
                <c:pt idx="2">
                  <c:v>245000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67707798"/>
        <c:axId val="452610103"/>
      </c:lineChart>
      <c:catAx>
        <c:axId val="76770779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2610103"/>
        <c:crosses val="autoZero"/>
        <c:auto val="1"/>
        <c:lblAlgn val="ctr"/>
        <c:lblOffset val="100"/>
        <c:noMultiLvlLbl val="0"/>
      </c:catAx>
      <c:valAx>
        <c:axId val="452610103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70779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241300</xdr:colOff>
      <xdr:row>64</xdr:row>
      <xdr:rowOff>69850</xdr:rowOff>
    </xdr:from>
    <xdr:to>
      <xdr:col>5</xdr:col>
      <xdr:colOff>6350</xdr:colOff>
      <xdr:row>80</xdr:row>
      <xdr:rowOff>31750</xdr:rowOff>
    </xdr:to>
    <xdr:graphicFrame>
      <xdr:nvGraphicFramePr>
        <xdr:cNvPr id="2" name="图表 1"/>
        <xdr:cNvGraphicFramePr/>
      </xdr:nvGraphicFramePr>
      <xdr:xfrm>
        <a:off x="241300" y="2127250"/>
        <a:ext cx="4256405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406400</xdr:colOff>
      <xdr:row>11</xdr:row>
      <xdr:rowOff>60325</xdr:rowOff>
    </xdr:from>
    <xdr:to>
      <xdr:col>6</xdr:col>
      <xdr:colOff>516255</xdr:colOff>
      <xdr:row>28</xdr:row>
      <xdr:rowOff>25400</xdr:rowOff>
    </xdr:to>
    <xdr:graphicFrame>
      <xdr:nvGraphicFramePr>
        <xdr:cNvPr id="2" name="销售单价与销售额"/>
        <xdr:cNvGraphicFramePr/>
      </xdr:nvGraphicFramePr>
      <xdr:xfrm>
        <a:off x="406400" y="1946275"/>
        <a:ext cx="432371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15.3946412037" refreshedBy="zy" recordCount="52">
  <cacheSource type="worksheet">
    <worksheetSource ref="A1:G53" sheet="Sheet1"/>
  </cacheSource>
  <cacheFields count="7">
    <cacheField name="销售人员" numFmtId="0">
      <sharedItems count="8">
        <s v="林涛"/>
        <s v="胡盼"/>
        <s v="张敏"/>
        <s v="刘详"/>
        <s v="杨帆"/>
        <s v="刘丽娟"/>
        <s v="林静"/>
        <s v="徐小丽"/>
      </sharedItems>
    </cacheField>
    <cacheField name="商品" numFmtId="0">
      <sharedItems count="3">
        <s v="服务器"/>
        <s v="笔记本电脑"/>
        <s v="台式机"/>
      </sharedItems>
    </cacheField>
    <cacheField name="日期" numFmtId="58">
      <sharedItems containsSemiMixedTypes="0" containsString="0" containsNonDate="0" containsDate="1" minDate="2024-03-01T00:00:00" maxDate="2024-03-15T00:00:00" count="15">
        <d v="2024-03-03T00:00:00"/>
        <d v="2024-03-04T00:00:00"/>
        <d v="2024-03-02T00:00:00"/>
        <d v="2024-03-10T00:00:00"/>
        <d v="2024-03-05T00:00:00"/>
        <d v="2024-03-12T00:00:00"/>
        <d v="2024-03-06T00:00:00"/>
        <d v="2024-03-09T00:00:00"/>
        <d v="2024-03-07T00:00:00"/>
        <d v="2024-03-08T00:00:00"/>
        <d v="2024-03-11T00:00:00"/>
        <d v="2024-03-14T00:00:00"/>
        <d v="2024-03-13T00:00:00"/>
        <d v="2024-03-01T00:00:00"/>
        <d v="2024-03-15T00:00:00"/>
      </sharedItems>
    </cacheField>
    <cacheField name="单价" numFmtId="0">
      <sharedItems containsSemiMixedTypes="0" containsString="0" containsNumber="1" containsInteger="1" minValue="0" maxValue="245000" count="12">
        <n v="95600"/>
        <n v="120000"/>
        <n v="108000"/>
        <n v="190000"/>
        <n v="245000"/>
        <n v="72900"/>
        <n v="97200"/>
        <n v="193200"/>
        <n v="197600"/>
        <n v="48000"/>
        <n v="228000"/>
        <n v="235500"/>
      </sharedItems>
    </cacheField>
    <cacheField name="数量" numFmtId="0">
      <sharedItems containsSemiMixedTypes="0" containsString="0" containsNumber="1" containsInteger="1" minValue="0" maxValue="38" count="17">
        <n v="4"/>
        <n v="5"/>
        <n v="9"/>
        <n v="25"/>
        <n v="10"/>
        <n v="35"/>
        <n v="3"/>
        <n v="27"/>
        <n v="15"/>
        <n v="38"/>
        <n v="7"/>
        <n v="6"/>
        <n v="26"/>
        <n v="29"/>
        <n v="8"/>
        <n v="30"/>
        <n v="14"/>
      </sharedItems>
    </cacheField>
    <cacheField name="销售额（元）" numFmtId="0">
      <sharedItems containsSemiMixedTypes="0" containsString="0" containsNumber="1" containsInteger="1" minValue="0" maxValue="9310000" count="24">
        <n v="382400"/>
        <n v="600000"/>
        <n v="972000"/>
        <n v="4750000"/>
        <n v="1200000"/>
        <n v="8575000"/>
        <n v="218700"/>
        <n v="388800"/>
        <n v="5130000"/>
        <n v="1800000"/>
        <n v="9310000"/>
        <n v="510300"/>
        <n v="486000"/>
        <n v="1159200"/>
        <n v="5137600"/>
        <n v="432000"/>
        <n v="6612000"/>
        <n v="1884000"/>
        <n v="192000"/>
        <n v="6840000"/>
        <n v="1177500"/>
        <n v="764800"/>
        <n v="840000"/>
        <n v="1512000"/>
      </sharedItems>
    </cacheField>
    <cacheField name="业绩评价" numFmtId="0">
      <sharedItems count="5">
        <s v="差"/>
        <s v="一般"/>
        <s v="好"/>
        <s v="很好"/>
        <s v="较好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x v="0"/>
    <x v="0"/>
    <x v="0"/>
    <x v="0"/>
    <x v="0"/>
    <x v="0"/>
    <x v="0"/>
  </r>
  <r>
    <x v="1"/>
    <x v="0"/>
    <x v="1"/>
    <x v="1"/>
    <x v="1"/>
    <x v="1"/>
    <x v="1"/>
  </r>
  <r>
    <x v="2"/>
    <x v="1"/>
    <x v="2"/>
    <x v="2"/>
    <x v="2"/>
    <x v="2"/>
    <x v="1"/>
  </r>
  <r>
    <x v="3"/>
    <x v="2"/>
    <x v="3"/>
    <x v="3"/>
    <x v="3"/>
    <x v="3"/>
    <x v="2"/>
  </r>
  <r>
    <x v="4"/>
    <x v="1"/>
    <x v="4"/>
    <x v="1"/>
    <x v="4"/>
    <x v="4"/>
    <x v="1"/>
  </r>
  <r>
    <x v="5"/>
    <x v="2"/>
    <x v="5"/>
    <x v="4"/>
    <x v="5"/>
    <x v="5"/>
    <x v="3"/>
  </r>
  <r>
    <x v="6"/>
    <x v="0"/>
    <x v="6"/>
    <x v="5"/>
    <x v="6"/>
    <x v="6"/>
    <x v="0"/>
  </r>
  <r>
    <x v="7"/>
    <x v="0"/>
    <x v="7"/>
    <x v="6"/>
    <x v="0"/>
    <x v="7"/>
    <x v="0"/>
  </r>
  <r>
    <x v="0"/>
    <x v="2"/>
    <x v="8"/>
    <x v="3"/>
    <x v="7"/>
    <x v="8"/>
    <x v="4"/>
  </r>
  <r>
    <x v="1"/>
    <x v="1"/>
    <x v="9"/>
    <x v="1"/>
    <x v="8"/>
    <x v="9"/>
    <x v="1"/>
  </r>
  <r>
    <x v="2"/>
    <x v="2"/>
    <x v="10"/>
    <x v="4"/>
    <x v="9"/>
    <x v="10"/>
    <x v="3"/>
  </r>
  <r>
    <x v="3"/>
    <x v="0"/>
    <x v="11"/>
    <x v="5"/>
    <x v="10"/>
    <x v="11"/>
    <x v="1"/>
  </r>
  <r>
    <x v="4"/>
    <x v="0"/>
    <x v="2"/>
    <x v="6"/>
    <x v="1"/>
    <x v="12"/>
    <x v="0"/>
  </r>
  <r>
    <x v="5"/>
    <x v="0"/>
    <x v="12"/>
    <x v="7"/>
    <x v="11"/>
    <x v="13"/>
    <x v="1"/>
  </r>
  <r>
    <x v="6"/>
    <x v="2"/>
    <x v="0"/>
    <x v="8"/>
    <x v="12"/>
    <x v="14"/>
    <x v="4"/>
  </r>
  <r>
    <x v="7"/>
    <x v="1"/>
    <x v="5"/>
    <x v="9"/>
    <x v="2"/>
    <x v="15"/>
    <x v="0"/>
  </r>
  <r>
    <x v="3"/>
    <x v="2"/>
    <x v="4"/>
    <x v="10"/>
    <x v="13"/>
    <x v="16"/>
    <x v="4"/>
  </r>
  <r>
    <x v="4"/>
    <x v="0"/>
    <x v="6"/>
    <x v="11"/>
    <x v="14"/>
    <x v="17"/>
    <x v="1"/>
  </r>
  <r>
    <x v="0"/>
    <x v="0"/>
    <x v="1"/>
    <x v="7"/>
    <x v="11"/>
    <x v="13"/>
    <x v="1"/>
  </r>
  <r>
    <x v="1"/>
    <x v="2"/>
    <x v="3"/>
    <x v="8"/>
    <x v="12"/>
    <x v="14"/>
    <x v="4"/>
  </r>
  <r>
    <x v="2"/>
    <x v="1"/>
    <x v="7"/>
    <x v="9"/>
    <x v="0"/>
    <x v="18"/>
    <x v="0"/>
  </r>
  <r>
    <x v="3"/>
    <x v="2"/>
    <x v="13"/>
    <x v="10"/>
    <x v="15"/>
    <x v="19"/>
    <x v="4"/>
  </r>
  <r>
    <x v="4"/>
    <x v="0"/>
    <x v="14"/>
    <x v="11"/>
    <x v="1"/>
    <x v="20"/>
    <x v="1"/>
  </r>
  <r>
    <x v="5"/>
    <x v="0"/>
    <x v="11"/>
    <x v="0"/>
    <x v="14"/>
    <x v="21"/>
    <x v="1"/>
  </r>
  <r>
    <x v="6"/>
    <x v="0"/>
    <x v="10"/>
    <x v="1"/>
    <x v="10"/>
    <x v="22"/>
    <x v="1"/>
  </r>
  <r>
    <x v="7"/>
    <x v="1"/>
    <x v="9"/>
    <x v="2"/>
    <x v="16"/>
    <x v="23"/>
    <x v="1"/>
  </r>
  <r>
    <x v="0"/>
    <x v="2"/>
    <x v="12"/>
    <x v="3"/>
    <x v="7"/>
    <x v="8"/>
    <x v="4"/>
  </r>
  <r>
    <x v="1"/>
    <x v="1"/>
    <x v="8"/>
    <x v="1"/>
    <x v="8"/>
    <x v="9"/>
    <x v="1"/>
  </r>
  <r>
    <x v="2"/>
    <x v="2"/>
    <x v="2"/>
    <x v="4"/>
    <x v="9"/>
    <x v="10"/>
    <x v="3"/>
  </r>
  <r>
    <x v="1"/>
    <x v="2"/>
    <x v="4"/>
    <x v="8"/>
    <x v="12"/>
    <x v="14"/>
    <x v="4"/>
  </r>
  <r>
    <x v="2"/>
    <x v="1"/>
    <x v="6"/>
    <x v="9"/>
    <x v="0"/>
    <x v="18"/>
    <x v="0"/>
  </r>
  <r>
    <x v="3"/>
    <x v="2"/>
    <x v="7"/>
    <x v="10"/>
    <x v="15"/>
    <x v="19"/>
    <x v="4"/>
  </r>
  <r>
    <x v="4"/>
    <x v="0"/>
    <x v="8"/>
    <x v="11"/>
    <x v="1"/>
    <x v="20"/>
    <x v="1"/>
  </r>
  <r>
    <x v="5"/>
    <x v="0"/>
    <x v="9"/>
    <x v="0"/>
    <x v="14"/>
    <x v="21"/>
    <x v="1"/>
  </r>
  <r>
    <x v="6"/>
    <x v="0"/>
    <x v="10"/>
    <x v="1"/>
    <x v="10"/>
    <x v="22"/>
    <x v="1"/>
  </r>
  <r>
    <x v="7"/>
    <x v="1"/>
    <x v="11"/>
    <x v="2"/>
    <x v="16"/>
    <x v="23"/>
    <x v="1"/>
  </r>
  <r>
    <x v="3"/>
    <x v="0"/>
    <x v="4"/>
    <x v="5"/>
    <x v="10"/>
    <x v="11"/>
    <x v="1"/>
  </r>
  <r>
    <x v="4"/>
    <x v="0"/>
    <x v="5"/>
    <x v="6"/>
    <x v="1"/>
    <x v="12"/>
    <x v="0"/>
  </r>
  <r>
    <x v="5"/>
    <x v="0"/>
    <x v="6"/>
    <x v="7"/>
    <x v="11"/>
    <x v="13"/>
    <x v="1"/>
  </r>
  <r>
    <x v="6"/>
    <x v="2"/>
    <x v="7"/>
    <x v="8"/>
    <x v="12"/>
    <x v="14"/>
    <x v="4"/>
  </r>
  <r>
    <x v="7"/>
    <x v="1"/>
    <x v="8"/>
    <x v="9"/>
    <x v="2"/>
    <x v="15"/>
    <x v="0"/>
  </r>
  <r>
    <x v="3"/>
    <x v="2"/>
    <x v="9"/>
    <x v="10"/>
    <x v="13"/>
    <x v="16"/>
    <x v="4"/>
  </r>
  <r>
    <x v="4"/>
    <x v="0"/>
    <x v="10"/>
    <x v="11"/>
    <x v="14"/>
    <x v="17"/>
    <x v="1"/>
  </r>
  <r>
    <x v="0"/>
    <x v="0"/>
    <x v="11"/>
    <x v="0"/>
    <x v="0"/>
    <x v="0"/>
    <x v="0"/>
  </r>
  <r>
    <x v="1"/>
    <x v="0"/>
    <x v="2"/>
    <x v="1"/>
    <x v="1"/>
    <x v="1"/>
    <x v="1"/>
  </r>
  <r>
    <x v="2"/>
    <x v="1"/>
    <x v="12"/>
    <x v="2"/>
    <x v="2"/>
    <x v="2"/>
    <x v="1"/>
  </r>
  <r>
    <x v="3"/>
    <x v="2"/>
    <x v="0"/>
    <x v="3"/>
    <x v="3"/>
    <x v="3"/>
    <x v="2"/>
  </r>
  <r>
    <x v="4"/>
    <x v="1"/>
    <x v="5"/>
    <x v="1"/>
    <x v="4"/>
    <x v="4"/>
    <x v="1"/>
  </r>
  <r>
    <x v="5"/>
    <x v="2"/>
    <x v="4"/>
    <x v="4"/>
    <x v="5"/>
    <x v="5"/>
    <x v="3"/>
  </r>
  <r>
    <x v="6"/>
    <x v="0"/>
    <x v="6"/>
    <x v="5"/>
    <x v="6"/>
    <x v="6"/>
    <x v="0"/>
  </r>
  <r>
    <x v="7"/>
    <x v="0"/>
    <x v="1"/>
    <x v="6"/>
    <x v="0"/>
    <x v="7"/>
    <x v="0"/>
  </r>
  <r>
    <x v="0"/>
    <x v="0"/>
    <x v="3"/>
    <x v="7"/>
    <x v="11"/>
    <x v="1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:C5" firstHeaderRow="0" firstDataRow="1" firstDataCol="1"/>
  <pivotFields count="7">
    <pivotField compact="0" showAll="0">
      <items count="9">
        <item x="1"/>
        <item x="6"/>
        <item x="0"/>
        <item x="5"/>
        <item x="3"/>
        <item x="7"/>
        <item x="4"/>
        <item x="2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numFmtId="58" showAll="0"/>
    <pivotField dataField="1" compact="0" showAll="0">
      <items count="13">
        <item x="9"/>
        <item x="5"/>
        <item x="0"/>
        <item x="6"/>
        <item x="2"/>
        <item x="1"/>
        <item x="3"/>
        <item x="7"/>
        <item x="8"/>
        <item x="10"/>
        <item x="11"/>
        <item x="4"/>
        <item t="default"/>
      </items>
    </pivotField>
    <pivotField compact="0" showAll="0"/>
    <pivotField dataField="1" compact="0" showAll="0">
      <items count="25">
        <item x="18"/>
        <item x="6"/>
        <item x="0"/>
        <item x="7"/>
        <item x="15"/>
        <item x="12"/>
        <item x="11"/>
        <item x="1"/>
        <item x="21"/>
        <item x="22"/>
        <item x="2"/>
        <item x="13"/>
        <item x="20"/>
        <item x="4"/>
        <item x="23"/>
        <item x="9"/>
        <item x="17"/>
        <item x="3"/>
        <item x="8"/>
        <item x="14"/>
        <item x="16"/>
        <item x="19"/>
        <item x="5"/>
        <item x="10"/>
        <item t="default"/>
      </items>
    </pivotField>
    <pivotField compact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最小数值" fld="5" subtotal="min" baseField="0" baseItem="0"/>
    <dataField name="最大单价" fld="3" subtotal="max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workbookViewId="0">
      <selection activeCell="K27" sqref="K27"/>
    </sheetView>
  </sheetViews>
  <sheetFormatPr defaultColWidth="8.89166666666667" defaultRowHeight="13.5" outlineLevelCol="7"/>
  <cols>
    <col min="1" max="1" width="8.875" style="3" customWidth="1"/>
    <col min="2" max="2" width="10.875" style="3" customWidth="1"/>
    <col min="3" max="3" width="10.375" style="3" customWidth="1"/>
    <col min="4" max="4" width="7.375" style="3" customWidth="1"/>
    <col min="5" max="5" width="5.125" style="3" customWidth="1"/>
    <col min="6" max="6" width="12.875" style="3" customWidth="1"/>
    <col min="7" max="7" width="8.89166666666667" customWidth="1"/>
  </cols>
  <sheetData>
    <row r="1" ht="20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t="s">
        <v>7</v>
      </c>
    </row>
    <row r="2" ht="20" customHeight="1" spans="1:8">
      <c r="A2" s="5" t="s">
        <v>8</v>
      </c>
      <c r="B2" s="6" t="s">
        <v>9</v>
      </c>
      <c r="C2" s="7">
        <v>45354</v>
      </c>
      <c r="D2" s="6">
        <v>95600</v>
      </c>
      <c r="E2" s="6">
        <v>4</v>
      </c>
      <c r="F2" s="6">
        <f t="array" ref="F2:F53">D2:D53*E2:E53</f>
        <v>382400</v>
      </c>
      <c r="G2" t="str">
        <f>IF(F2&lt;500000,"差",IF(F2&lt;=2000000,"一般",IF(F2&lt;=5000000,"好",IF(F2&lt;=8000000,"较好","很好"))))</f>
        <v>差</v>
      </c>
      <c r="H2">
        <f>RANK(F2,$F$2:$F$53,0)</f>
        <v>47</v>
      </c>
    </row>
    <row r="3" ht="20" customHeight="1" spans="1:8">
      <c r="A3" s="5" t="s">
        <v>10</v>
      </c>
      <c r="B3" s="6" t="s">
        <v>9</v>
      </c>
      <c r="C3" s="7">
        <v>45355</v>
      </c>
      <c r="D3" s="6">
        <v>120000</v>
      </c>
      <c r="E3" s="6">
        <v>5</v>
      </c>
      <c r="F3" s="6">
        <v>600000</v>
      </c>
      <c r="G3" t="str">
        <f t="shared" ref="G3:G34" si="0">IF(F3&lt;500000,"差",IF(F3&lt;=2000000,"一般",IF(F3&lt;=5000000,"好",IF(F3&lt;=8000000,"较好","很好"))))</f>
        <v>一般</v>
      </c>
      <c r="H3">
        <f t="shared" ref="H3:H34" si="1">RANK(F3,$F$2:$F$53,0)</f>
        <v>37</v>
      </c>
    </row>
    <row r="4" ht="20" customHeight="1" spans="1:8">
      <c r="A4" s="5" t="s">
        <v>11</v>
      </c>
      <c r="B4" s="6" t="s">
        <v>12</v>
      </c>
      <c r="C4" s="7">
        <v>45353</v>
      </c>
      <c r="D4" s="6">
        <v>108000</v>
      </c>
      <c r="E4" s="6">
        <v>9</v>
      </c>
      <c r="F4" s="6">
        <v>972000</v>
      </c>
      <c r="G4" t="str">
        <f t="shared" si="0"/>
        <v>一般</v>
      </c>
      <c r="H4">
        <f t="shared" si="1"/>
        <v>31</v>
      </c>
    </row>
    <row r="5" ht="20" customHeight="1" spans="1:8">
      <c r="A5" s="5" t="s">
        <v>13</v>
      </c>
      <c r="B5" s="6" t="s">
        <v>14</v>
      </c>
      <c r="C5" s="7">
        <v>45361</v>
      </c>
      <c r="D5" s="6">
        <v>190000</v>
      </c>
      <c r="E5" s="6">
        <v>25</v>
      </c>
      <c r="F5" s="6">
        <v>4750000</v>
      </c>
      <c r="G5" t="str">
        <f t="shared" si="0"/>
        <v>好</v>
      </c>
      <c r="H5">
        <f t="shared" si="1"/>
        <v>15</v>
      </c>
    </row>
    <row r="6" ht="20" customHeight="1" spans="1:8">
      <c r="A6" s="5" t="s">
        <v>15</v>
      </c>
      <c r="B6" s="6" t="s">
        <v>12</v>
      </c>
      <c r="C6" s="7">
        <v>45356</v>
      </c>
      <c r="D6" s="6">
        <v>120000</v>
      </c>
      <c r="E6" s="6">
        <v>10</v>
      </c>
      <c r="F6" s="6">
        <v>1200000</v>
      </c>
      <c r="G6" t="str">
        <f t="shared" si="0"/>
        <v>一般</v>
      </c>
      <c r="H6">
        <f t="shared" si="1"/>
        <v>23</v>
      </c>
    </row>
    <row r="7" ht="20" customHeight="1" spans="1:8">
      <c r="A7" s="5" t="s">
        <v>16</v>
      </c>
      <c r="B7" s="6" t="s">
        <v>14</v>
      </c>
      <c r="C7" s="7">
        <v>45363</v>
      </c>
      <c r="D7" s="6">
        <v>245000</v>
      </c>
      <c r="E7" s="6">
        <v>35</v>
      </c>
      <c r="F7" s="6">
        <v>8575000</v>
      </c>
      <c r="G7" t="str">
        <f t="shared" si="0"/>
        <v>很好</v>
      </c>
      <c r="H7">
        <f t="shared" si="1"/>
        <v>3</v>
      </c>
    </row>
    <row r="8" ht="20" customHeight="1" spans="1:8">
      <c r="A8" s="5" t="s">
        <v>17</v>
      </c>
      <c r="B8" s="6" t="s">
        <v>9</v>
      </c>
      <c r="C8" s="7">
        <v>45357</v>
      </c>
      <c r="D8" s="6">
        <v>72900</v>
      </c>
      <c r="E8" s="6">
        <v>3</v>
      </c>
      <c r="F8" s="6">
        <v>218700</v>
      </c>
      <c r="G8" t="str">
        <f t="shared" si="0"/>
        <v>差</v>
      </c>
      <c r="H8">
        <f t="shared" si="1"/>
        <v>49</v>
      </c>
    </row>
    <row r="9" ht="20" customHeight="1" spans="1:8">
      <c r="A9" s="5" t="s">
        <v>18</v>
      </c>
      <c r="B9" s="6" t="s">
        <v>9</v>
      </c>
      <c r="C9" s="7">
        <v>45360</v>
      </c>
      <c r="D9" s="6">
        <v>97200</v>
      </c>
      <c r="E9" s="6">
        <v>4</v>
      </c>
      <c r="F9" s="6">
        <v>388800</v>
      </c>
      <c r="G9" t="str">
        <f t="shared" si="0"/>
        <v>差</v>
      </c>
      <c r="H9">
        <f t="shared" si="1"/>
        <v>45</v>
      </c>
    </row>
    <row r="10" ht="20" customHeight="1" spans="1:8">
      <c r="A10" s="5" t="s">
        <v>8</v>
      </c>
      <c r="B10" s="6" t="s">
        <v>14</v>
      </c>
      <c r="C10" s="7">
        <v>45358</v>
      </c>
      <c r="D10" s="6">
        <v>190000</v>
      </c>
      <c r="E10" s="6">
        <v>27</v>
      </c>
      <c r="F10" s="6">
        <v>5130000</v>
      </c>
      <c r="G10" t="str">
        <f t="shared" si="0"/>
        <v>较好</v>
      </c>
      <c r="H10">
        <f t="shared" si="1"/>
        <v>13</v>
      </c>
    </row>
    <row r="11" ht="20" customHeight="1" spans="1:8">
      <c r="A11" s="5" t="s">
        <v>10</v>
      </c>
      <c r="B11" s="6" t="s">
        <v>12</v>
      </c>
      <c r="C11" s="7">
        <v>45359</v>
      </c>
      <c r="D11" s="6">
        <v>120000</v>
      </c>
      <c r="E11" s="6">
        <v>15</v>
      </c>
      <c r="F11" s="6">
        <v>1800000</v>
      </c>
      <c r="G11" t="str">
        <f t="shared" si="0"/>
        <v>一般</v>
      </c>
      <c r="H11">
        <f t="shared" si="1"/>
        <v>19</v>
      </c>
    </row>
    <row r="12" ht="20" customHeight="1" spans="1:8">
      <c r="A12" s="5" t="s">
        <v>11</v>
      </c>
      <c r="B12" s="6" t="s">
        <v>14</v>
      </c>
      <c r="C12" s="7">
        <v>45362</v>
      </c>
      <c r="D12" s="6">
        <v>245000</v>
      </c>
      <c r="E12" s="6">
        <v>38</v>
      </c>
      <c r="F12" s="6">
        <v>9310000</v>
      </c>
      <c r="G12" t="str">
        <f t="shared" si="0"/>
        <v>很好</v>
      </c>
      <c r="H12">
        <f t="shared" si="1"/>
        <v>1</v>
      </c>
    </row>
    <row r="13" ht="20" customHeight="1" spans="1:8">
      <c r="A13" s="5" t="s">
        <v>13</v>
      </c>
      <c r="B13" s="6" t="s">
        <v>9</v>
      </c>
      <c r="C13" s="7">
        <v>45365</v>
      </c>
      <c r="D13" s="6">
        <v>72900</v>
      </c>
      <c r="E13" s="6">
        <v>7</v>
      </c>
      <c r="F13" s="6">
        <v>510300</v>
      </c>
      <c r="G13" t="str">
        <f t="shared" si="0"/>
        <v>一般</v>
      </c>
      <c r="H13">
        <f t="shared" si="1"/>
        <v>39</v>
      </c>
    </row>
    <row r="14" ht="20" customHeight="1" spans="1:8">
      <c r="A14" s="5" t="s">
        <v>15</v>
      </c>
      <c r="B14" s="6" t="s">
        <v>9</v>
      </c>
      <c r="C14" s="7">
        <v>45353</v>
      </c>
      <c r="D14" s="6">
        <v>97200</v>
      </c>
      <c r="E14" s="6">
        <v>5</v>
      </c>
      <c r="F14" s="6">
        <v>486000</v>
      </c>
      <c r="G14" t="str">
        <f t="shared" si="0"/>
        <v>差</v>
      </c>
      <c r="H14">
        <f t="shared" si="1"/>
        <v>41</v>
      </c>
    </row>
    <row r="15" ht="20" customHeight="1" spans="1:8">
      <c r="A15" s="5" t="s">
        <v>16</v>
      </c>
      <c r="B15" s="6" t="s">
        <v>9</v>
      </c>
      <c r="C15" s="7">
        <v>45364</v>
      </c>
      <c r="D15" s="6">
        <v>193200</v>
      </c>
      <c r="E15" s="6">
        <v>6</v>
      </c>
      <c r="F15" s="6">
        <v>1159200</v>
      </c>
      <c r="G15" t="str">
        <f t="shared" si="0"/>
        <v>一般</v>
      </c>
      <c r="H15">
        <f t="shared" si="1"/>
        <v>27</v>
      </c>
    </row>
    <row r="16" ht="20" customHeight="1" spans="1:8">
      <c r="A16" s="5" t="s">
        <v>17</v>
      </c>
      <c r="B16" s="6" t="s">
        <v>14</v>
      </c>
      <c r="C16" s="7">
        <v>45354</v>
      </c>
      <c r="D16" s="6">
        <v>197600</v>
      </c>
      <c r="E16" s="6">
        <v>26</v>
      </c>
      <c r="F16" s="6">
        <v>5137600</v>
      </c>
      <c r="G16" t="str">
        <f t="shared" si="0"/>
        <v>较好</v>
      </c>
      <c r="H16">
        <f t="shared" si="1"/>
        <v>9</v>
      </c>
    </row>
    <row r="17" ht="20" customHeight="1" spans="1:8">
      <c r="A17" s="5" t="s">
        <v>18</v>
      </c>
      <c r="B17" s="6" t="s">
        <v>12</v>
      </c>
      <c r="C17" s="7">
        <v>45363</v>
      </c>
      <c r="D17" s="6">
        <v>48000</v>
      </c>
      <c r="E17" s="6">
        <v>9</v>
      </c>
      <c r="F17" s="6">
        <v>432000</v>
      </c>
      <c r="G17" t="str">
        <f t="shared" si="0"/>
        <v>差</v>
      </c>
      <c r="H17">
        <f t="shared" si="1"/>
        <v>43</v>
      </c>
    </row>
    <row r="18" ht="20" customHeight="1" spans="1:8">
      <c r="A18" s="5" t="s">
        <v>13</v>
      </c>
      <c r="B18" s="6" t="s">
        <v>14</v>
      </c>
      <c r="C18" s="7">
        <v>45356</v>
      </c>
      <c r="D18" s="6">
        <v>228000</v>
      </c>
      <c r="E18" s="6">
        <v>29</v>
      </c>
      <c r="F18" s="6">
        <v>6612000</v>
      </c>
      <c r="G18" t="str">
        <f t="shared" si="0"/>
        <v>较好</v>
      </c>
      <c r="H18">
        <f t="shared" si="1"/>
        <v>7</v>
      </c>
    </row>
    <row r="19" ht="20" customHeight="1" spans="1:8">
      <c r="A19" s="5" t="s">
        <v>15</v>
      </c>
      <c r="B19" s="6" t="s">
        <v>9</v>
      </c>
      <c r="C19" s="7">
        <v>45357</v>
      </c>
      <c r="D19" s="6">
        <v>235500</v>
      </c>
      <c r="E19" s="6">
        <v>8</v>
      </c>
      <c r="F19" s="6">
        <v>1884000</v>
      </c>
      <c r="G19" t="str">
        <f t="shared" si="0"/>
        <v>一般</v>
      </c>
      <c r="H19">
        <f t="shared" si="1"/>
        <v>17</v>
      </c>
    </row>
    <row r="20" ht="20" customHeight="1" spans="1:8">
      <c r="A20" s="5" t="s">
        <v>8</v>
      </c>
      <c r="B20" s="6" t="s">
        <v>9</v>
      </c>
      <c r="C20" s="7">
        <v>45355</v>
      </c>
      <c r="D20" s="6">
        <v>193200</v>
      </c>
      <c r="E20" s="6">
        <v>6</v>
      </c>
      <c r="F20" s="6">
        <v>1159200</v>
      </c>
      <c r="G20" t="str">
        <f t="shared" si="0"/>
        <v>一般</v>
      </c>
      <c r="H20">
        <f t="shared" si="1"/>
        <v>27</v>
      </c>
    </row>
    <row r="21" ht="20" customHeight="1" spans="1:8">
      <c r="A21" s="5" t="s">
        <v>10</v>
      </c>
      <c r="B21" s="6" t="s">
        <v>14</v>
      </c>
      <c r="C21" s="7">
        <v>45361</v>
      </c>
      <c r="D21" s="6">
        <v>197600</v>
      </c>
      <c r="E21" s="6">
        <v>26</v>
      </c>
      <c r="F21" s="6">
        <v>5137600</v>
      </c>
      <c r="G21" t="str">
        <f t="shared" si="0"/>
        <v>较好</v>
      </c>
      <c r="H21">
        <f t="shared" si="1"/>
        <v>9</v>
      </c>
    </row>
    <row r="22" ht="20" customHeight="1" spans="1:8">
      <c r="A22" s="5" t="s">
        <v>11</v>
      </c>
      <c r="B22" s="6" t="s">
        <v>12</v>
      </c>
      <c r="C22" s="7">
        <v>45360</v>
      </c>
      <c r="D22" s="6">
        <v>48000</v>
      </c>
      <c r="E22" s="6">
        <v>4</v>
      </c>
      <c r="F22" s="6">
        <v>192000</v>
      </c>
      <c r="G22" t="str">
        <f t="shared" si="0"/>
        <v>差</v>
      </c>
      <c r="H22">
        <f t="shared" si="1"/>
        <v>51</v>
      </c>
    </row>
    <row r="23" ht="20" customHeight="1" spans="1:8">
      <c r="A23" s="5" t="s">
        <v>13</v>
      </c>
      <c r="B23" s="6" t="s">
        <v>14</v>
      </c>
      <c r="C23" s="7">
        <v>45352</v>
      </c>
      <c r="D23" s="6">
        <v>228000</v>
      </c>
      <c r="E23" s="6">
        <v>30</v>
      </c>
      <c r="F23" s="6">
        <v>6840000</v>
      </c>
      <c r="G23" t="str">
        <f t="shared" si="0"/>
        <v>较好</v>
      </c>
      <c r="H23">
        <f t="shared" si="1"/>
        <v>5</v>
      </c>
    </row>
    <row r="24" ht="20" customHeight="1" spans="1:8">
      <c r="A24" s="5" t="s">
        <v>15</v>
      </c>
      <c r="B24" s="6" t="s">
        <v>9</v>
      </c>
      <c r="C24" s="7">
        <v>45366</v>
      </c>
      <c r="D24" s="6">
        <v>235500</v>
      </c>
      <c r="E24" s="6">
        <v>5</v>
      </c>
      <c r="F24" s="6">
        <v>1177500</v>
      </c>
      <c r="G24" t="str">
        <f t="shared" si="0"/>
        <v>一般</v>
      </c>
      <c r="H24">
        <f t="shared" si="1"/>
        <v>25</v>
      </c>
    </row>
    <row r="25" ht="20" customHeight="1" spans="1:8">
      <c r="A25" s="5" t="s">
        <v>16</v>
      </c>
      <c r="B25" s="6" t="s">
        <v>9</v>
      </c>
      <c r="C25" s="7">
        <v>45365</v>
      </c>
      <c r="D25" s="6">
        <v>95600</v>
      </c>
      <c r="E25" s="6">
        <v>8</v>
      </c>
      <c r="F25" s="6">
        <v>764800</v>
      </c>
      <c r="G25" t="str">
        <f t="shared" si="0"/>
        <v>一般</v>
      </c>
      <c r="H25">
        <f t="shared" si="1"/>
        <v>35</v>
      </c>
    </row>
    <row r="26" ht="20" customHeight="1" spans="1:8">
      <c r="A26" s="5" t="s">
        <v>17</v>
      </c>
      <c r="B26" s="6" t="s">
        <v>9</v>
      </c>
      <c r="C26" s="7">
        <v>45362</v>
      </c>
      <c r="D26" s="6">
        <v>120000</v>
      </c>
      <c r="E26" s="6">
        <v>7</v>
      </c>
      <c r="F26" s="6">
        <v>840000</v>
      </c>
      <c r="G26" t="str">
        <f t="shared" si="0"/>
        <v>一般</v>
      </c>
      <c r="H26">
        <f t="shared" si="1"/>
        <v>33</v>
      </c>
    </row>
    <row r="27" ht="20" customHeight="1" spans="1:8">
      <c r="A27" s="5" t="s">
        <v>18</v>
      </c>
      <c r="B27" s="6" t="s">
        <v>12</v>
      </c>
      <c r="C27" s="7">
        <v>45359</v>
      </c>
      <c r="D27" s="6">
        <v>108000</v>
      </c>
      <c r="E27" s="6">
        <v>14</v>
      </c>
      <c r="F27" s="6">
        <v>1512000</v>
      </c>
      <c r="G27" t="str">
        <f t="shared" si="0"/>
        <v>一般</v>
      </c>
      <c r="H27">
        <f t="shared" si="1"/>
        <v>21</v>
      </c>
    </row>
    <row r="28" ht="20" customHeight="1" spans="1:8">
      <c r="A28" s="5" t="s">
        <v>8</v>
      </c>
      <c r="B28" s="6" t="s">
        <v>14</v>
      </c>
      <c r="C28" s="7">
        <v>45364</v>
      </c>
      <c r="D28" s="6">
        <v>190000</v>
      </c>
      <c r="E28" s="6">
        <v>27</v>
      </c>
      <c r="F28" s="6">
        <v>5130000</v>
      </c>
      <c r="G28" t="str">
        <f t="shared" si="0"/>
        <v>较好</v>
      </c>
      <c r="H28">
        <f t="shared" si="1"/>
        <v>13</v>
      </c>
    </row>
    <row r="29" ht="20" customHeight="1" spans="1:8">
      <c r="A29" s="5" t="s">
        <v>10</v>
      </c>
      <c r="B29" s="6" t="s">
        <v>12</v>
      </c>
      <c r="C29" s="7">
        <v>45358</v>
      </c>
      <c r="D29" s="6">
        <v>120000</v>
      </c>
      <c r="E29" s="6">
        <v>15</v>
      </c>
      <c r="F29" s="6">
        <v>1800000</v>
      </c>
      <c r="G29" t="str">
        <f t="shared" si="0"/>
        <v>一般</v>
      </c>
      <c r="H29">
        <f t="shared" si="1"/>
        <v>19</v>
      </c>
    </row>
    <row r="30" ht="20" customHeight="1" spans="1:8">
      <c r="A30" s="5" t="s">
        <v>11</v>
      </c>
      <c r="B30" s="6" t="s">
        <v>14</v>
      </c>
      <c r="C30" s="7">
        <v>45353</v>
      </c>
      <c r="D30" s="6">
        <v>245000</v>
      </c>
      <c r="E30" s="6">
        <v>38</v>
      </c>
      <c r="F30" s="6">
        <v>9310000</v>
      </c>
      <c r="G30" t="str">
        <f t="shared" si="0"/>
        <v>很好</v>
      </c>
      <c r="H30">
        <f t="shared" si="1"/>
        <v>1</v>
      </c>
    </row>
    <row r="31" ht="20" customHeight="1" spans="1:8">
      <c r="A31" s="5" t="s">
        <v>10</v>
      </c>
      <c r="B31" s="6" t="s">
        <v>14</v>
      </c>
      <c r="C31" s="7">
        <v>45356</v>
      </c>
      <c r="D31" s="6">
        <v>197600</v>
      </c>
      <c r="E31" s="6">
        <v>26</v>
      </c>
      <c r="F31" s="6">
        <v>5137600</v>
      </c>
      <c r="G31" t="str">
        <f t="shared" si="0"/>
        <v>较好</v>
      </c>
      <c r="H31">
        <f t="shared" si="1"/>
        <v>9</v>
      </c>
    </row>
    <row r="32" ht="20" customHeight="1" spans="1:8">
      <c r="A32" s="5" t="s">
        <v>11</v>
      </c>
      <c r="B32" s="6" t="s">
        <v>12</v>
      </c>
      <c r="C32" s="7">
        <v>45357</v>
      </c>
      <c r="D32" s="6">
        <v>48000</v>
      </c>
      <c r="E32" s="6">
        <v>4</v>
      </c>
      <c r="F32" s="6">
        <v>192000</v>
      </c>
      <c r="G32" t="str">
        <f t="shared" si="0"/>
        <v>差</v>
      </c>
      <c r="H32">
        <f t="shared" si="1"/>
        <v>51</v>
      </c>
    </row>
    <row r="33" ht="20" customHeight="1" spans="1:8">
      <c r="A33" s="5" t="s">
        <v>13</v>
      </c>
      <c r="B33" s="6" t="s">
        <v>14</v>
      </c>
      <c r="C33" s="7">
        <v>45360</v>
      </c>
      <c r="D33" s="6">
        <v>228000</v>
      </c>
      <c r="E33" s="6">
        <v>30</v>
      </c>
      <c r="F33" s="6">
        <v>6840000</v>
      </c>
      <c r="G33" t="str">
        <f t="shared" si="0"/>
        <v>较好</v>
      </c>
      <c r="H33">
        <f t="shared" si="1"/>
        <v>5</v>
      </c>
    </row>
    <row r="34" ht="20" customHeight="1" spans="1:8">
      <c r="A34" s="5" t="s">
        <v>15</v>
      </c>
      <c r="B34" s="6" t="s">
        <v>9</v>
      </c>
      <c r="C34" s="7">
        <v>45358</v>
      </c>
      <c r="D34" s="6">
        <v>235500</v>
      </c>
      <c r="E34" s="6">
        <v>5</v>
      </c>
      <c r="F34" s="6">
        <v>1177500</v>
      </c>
      <c r="G34" t="str">
        <f t="shared" si="0"/>
        <v>一般</v>
      </c>
      <c r="H34">
        <f t="shared" si="1"/>
        <v>25</v>
      </c>
    </row>
    <row r="35" ht="20" customHeight="1" spans="1:8">
      <c r="A35" s="5" t="s">
        <v>16</v>
      </c>
      <c r="B35" s="6" t="s">
        <v>9</v>
      </c>
      <c r="C35" s="7">
        <v>45359</v>
      </c>
      <c r="D35" s="6">
        <v>95600</v>
      </c>
      <c r="E35" s="6">
        <v>8</v>
      </c>
      <c r="F35" s="6">
        <v>764800</v>
      </c>
      <c r="G35" t="str">
        <f t="shared" ref="G35:G53" si="2">IF(F35&lt;500000,"差",IF(F35&lt;=2000000,"一般",IF(F35&lt;=5000000,"好",IF(F35&lt;=8000000,"较好","很好"))))</f>
        <v>一般</v>
      </c>
      <c r="H35">
        <f t="shared" ref="H35:H53" si="3">RANK(F35,$F$2:$F$53,0)</f>
        <v>35</v>
      </c>
    </row>
    <row r="36" ht="20" customHeight="1" spans="1:8">
      <c r="A36" s="5" t="s">
        <v>17</v>
      </c>
      <c r="B36" s="6" t="s">
        <v>9</v>
      </c>
      <c r="C36" s="7">
        <v>45362</v>
      </c>
      <c r="D36" s="6">
        <v>120000</v>
      </c>
      <c r="E36" s="6">
        <v>7</v>
      </c>
      <c r="F36" s="6">
        <v>840000</v>
      </c>
      <c r="G36" t="str">
        <f t="shared" si="2"/>
        <v>一般</v>
      </c>
      <c r="H36">
        <f t="shared" si="3"/>
        <v>33</v>
      </c>
    </row>
    <row r="37" ht="20" customHeight="1" spans="1:8">
      <c r="A37" s="5" t="s">
        <v>18</v>
      </c>
      <c r="B37" s="6" t="s">
        <v>12</v>
      </c>
      <c r="C37" s="7">
        <v>45365</v>
      </c>
      <c r="D37" s="6">
        <v>108000</v>
      </c>
      <c r="E37" s="6">
        <v>14</v>
      </c>
      <c r="F37" s="6">
        <v>1512000</v>
      </c>
      <c r="G37" t="str">
        <f t="shared" si="2"/>
        <v>一般</v>
      </c>
      <c r="H37">
        <f t="shared" si="3"/>
        <v>21</v>
      </c>
    </row>
    <row r="38" ht="20" customHeight="1" spans="1:8">
      <c r="A38" s="5" t="s">
        <v>13</v>
      </c>
      <c r="B38" s="6" t="s">
        <v>9</v>
      </c>
      <c r="C38" s="7">
        <v>45356</v>
      </c>
      <c r="D38" s="6">
        <v>72900</v>
      </c>
      <c r="E38" s="6">
        <v>7</v>
      </c>
      <c r="F38" s="6">
        <v>510300</v>
      </c>
      <c r="G38" t="str">
        <f t="shared" si="2"/>
        <v>一般</v>
      </c>
      <c r="H38">
        <f t="shared" si="3"/>
        <v>39</v>
      </c>
    </row>
    <row r="39" ht="20" customHeight="1" spans="1:8">
      <c r="A39" s="5" t="s">
        <v>15</v>
      </c>
      <c r="B39" s="6" t="s">
        <v>9</v>
      </c>
      <c r="C39" s="7">
        <v>45363</v>
      </c>
      <c r="D39" s="6">
        <v>97200</v>
      </c>
      <c r="E39" s="6">
        <v>5</v>
      </c>
      <c r="F39" s="6">
        <v>486000</v>
      </c>
      <c r="G39" t="str">
        <f t="shared" si="2"/>
        <v>差</v>
      </c>
      <c r="H39">
        <f t="shared" si="3"/>
        <v>41</v>
      </c>
    </row>
    <row r="40" ht="20" customHeight="1" spans="1:8">
      <c r="A40" s="5" t="s">
        <v>16</v>
      </c>
      <c r="B40" s="6" t="s">
        <v>9</v>
      </c>
      <c r="C40" s="7">
        <v>45357</v>
      </c>
      <c r="D40" s="6">
        <v>193200</v>
      </c>
      <c r="E40" s="6">
        <v>6</v>
      </c>
      <c r="F40" s="6">
        <v>1159200</v>
      </c>
      <c r="G40" t="str">
        <f t="shared" si="2"/>
        <v>一般</v>
      </c>
      <c r="H40">
        <f t="shared" si="3"/>
        <v>27</v>
      </c>
    </row>
    <row r="41" ht="20" customHeight="1" spans="1:8">
      <c r="A41" s="5" t="s">
        <v>17</v>
      </c>
      <c r="B41" s="6" t="s">
        <v>14</v>
      </c>
      <c r="C41" s="7">
        <v>45360</v>
      </c>
      <c r="D41" s="6">
        <v>197600</v>
      </c>
      <c r="E41" s="6">
        <v>26</v>
      </c>
      <c r="F41" s="6">
        <v>5137600</v>
      </c>
      <c r="G41" t="str">
        <f t="shared" si="2"/>
        <v>较好</v>
      </c>
      <c r="H41">
        <f t="shared" si="3"/>
        <v>9</v>
      </c>
    </row>
    <row r="42" ht="20" customHeight="1" spans="1:8">
      <c r="A42" s="5" t="s">
        <v>18</v>
      </c>
      <c r="B42" s="6" t="s">
        <v>12</v>
      </c>
      <c r="C42" s="7">
        <v>45358</v>
      </c>
      <c r="D42" s="6">
        <v>48000</v>
      </c>
      <c r="E42" s="6">
        <v>9</v>
      </c>
      <c r="F42" s="6">
        <v>432000</v>
      </c>
      <c r="G42" t="str">
        <f t="shared" si="2"/>
        <v>差</v>
      </c>
      <c r="H42">
        <f t="shared" si="3"/>
        <v>43</v>
      </c>
    </row>
    <row r="43" ht="20" customHeight="1" spans="1:8">
      <c r="A43" s="5" t="s">
        <v>13</v>
      </c>
      <c r="B43" s="6" t="s">
        <v>14</v>
      </c>
      <c r="C43" s="7">
        <v>45359</v>
      </c>
      <c r="D43" s="6">
        <v>228000</v>
      </c>
      <c r="E43" s="6">
        <v>29</v>
      </c>
      <c r="F43" s="6">
        <v>6612000</v>
      </c>
      <c r="G43" t="str">
        <f t="shared" si="2"/>
        <v>较好</v>
      </c>
      <c r="H43">
        <f t="shared" si="3"/>
        <v>7</v>
      </c>
    </row>
    <row r="44" ht="20" customHeight="1" spans="1:8">
      <c r="A44" s="5" t="s">
        <v>15</v>
      </c>
      <c r="B44" s="6" t="s">
        <v>9</v>
      </c>
      <c r="C44" s="7">
        <v>45362</v>
      </c>
      <c r="D44" s="6">
        <v>235500</v>
      </c>
      <c r="E44" s="6">
        <v>8</v>
      </c>
      <c r="F44" s="6">
        <v>1884000</v>
      </c>
      <c r="G44" t="str">
        <f t="shared" si="2"/>
        <v>一般</v>
      </c>
      <c r="H44">
        <f t="shared" si="3"/>
        <v>17</v>
      </c>
    </row>
    <row r="45" ht="20" customHeight="1" spans="1:8">
      <c r="A45" s="5" t="s">
        <v>8</v>
      </c>
      <c r="B45" s="6" t="s">
        <v>9</v>
      </c>
      <c r="C45" s="7">
        <v>45365</v>
      </c>
      <c r="D45" s="6">
        <v>95600</v>
      </c>
      <c r="E45" s="6">
        <v>4</v>
      </c>
      <c r="F45" s="6">
        <v>382400</v>
      </c>
      <c r="G45" t="str">
        <f t="shared" si="2"/>
        <v>差</v>
      </c>
      <c r="H45">
        <f t="shared" si="3"/>
        <v>47</v>
      </c>
    </row>
    <row r="46" ht="20" customHeight="1" spans="1:8">
      <c r="A46" s="5" t="s">
        <v>10</v>
      </c>
      <c r="B46" s="6" t="s">
        <v>9</v>
      </c>
      <c r="C46" s="7">
        <v>45353</v>
      </c>
      <c r="D46" s="6">
        <v>120000</v>
      </c>
      <c r="E46" s="6">
        <v>5</v>
      </c>
      <c r="F46" s="6">
        <v>600000</v>
      </c>
      <c r="G46" t="str">
        <f t="shared" si="2"/>
        <v>一般</v>
      </c>
      <c r="H46">
        <f t="shared" si="3"/>
        <v>37</v>
      </c>
    </row>
    <row r="47" ht="20" customHeight="1" spans="1:8">
      <c r="A47" s="5" t="s">
        <v>11</v>
      </c>
      <c r="B47" s="6" t="s">
        <v>12</v>
      </c>
      <c r="C47" s="7">
        <v>45364</v>
      </c>
      <c r="D47" s="6">
        <v>108000</v>
      </c>
      <c r="E47" s="6">
        <v>9</v>
      </c>
      <c r="F47" s="6">
        <v>972000</v>
      </c>
      <c r="G47" t="str">
        <f t="shared" si="2"/>
        <v>一般</v>
      </c>
      <c r="H47">
        <f t="shared" si="3"/>
        <v>31</v>
      </c>
    </row>
    <row r="48" ht="20" customHeight="1" spans="1:8">
      <c r="A48" s="5" t="s">
        <v>13</v>
      </c>
      <c r="B48" s="6" t="s">
        <v>14</v>
      </c>
      <c r="C48" s="7">
        <v>45354</v>
      </c>
      <c r="D48" s="6">
        <v>190000</v>
      </c>
      <c r="E48" s="6">
        <v>25</v>
      </c>
      <c r="F48" s="6">
        <v>4750000</v>
      </c>
      <c r="G48" t="str">
        <f t="shared" si="2"/>
        <v>好</v>
      </c>
      <c r="H48">
        <f t="shared" si="3"/>
        <v>15</v>
      </c>
    </row>
    <row r="49" ht="20" customHeight="1" spans="1:8">
      <c r="A49" s="5" t="s">
        <v>15</v>
      </c>
      <c r="B49" s="6" t="s">
        <v>12</v>
      </c>
      <c r="C49" s="7">
        <v>45363</v>
      </c>
      <c r="D49" s="6">
        <v>120000</v>
      </c>
      <c r="E49" s="6">
        <v>10</v>
      </c>
      <c r="F49" s="6">
        <v>1200000</v>
      </c>
      <c r="G49" t="str">
        <f t="shared" si="2"/>
        <v>一般</v>
      </c>
      <c r="H49">
        <f t="shared" si="3"/>
        <v>23</v>
      </c>
    </row>
    <row r="50" ht="20" customHeight="1" spans="1:8">
      <c r="A50" s="5" t="s">
        <v>16</v>
      </c>
      <c r="B50" s="6" t="s">
        <v>14</v>
      </c>
      <c r="C50" s="7">
        <v>45356</v>
      </c>
      <c r="D50" s="6">
        <v>245000</v>
      </c>
      <c r="E50" s="6">
        <v>35</v>
      </c>
      <c r="F50" s="6">
        <v>8575000</v>
      </c>
      <c r="G50" t="str">
        <f t="shared" si="2"/>
        <v>很好</v>
      </c>
      <c r="H50">
        <f t="shared" si="3"/>
        <v>3</v>
      </c>
    </row>
    <row r="51" ht="20" customHeight="1" spans="1:8">
      <c r="A51" s="5" t="s">
        <v>17</v>
      </c>
      <c r="B51" s="6" t="s">
        <v>9</v>
      </c>
      <c r="C51" s="7">
        <v>45357</v>
      </c>
      <c r="D51" s="6">
        <v>72900</v>
      </c>
      <c r="E51" s="6">
        <v>3</v>
      </c>
      <c r="F51" s="6">
        <v>218700</v>
      </c>
      <c r="G51" t="str">
        <f t="shared" si="2"/>
        <v>差</v>
      </c>
      <c r="H51">
        <f t="shared" si="3"/>
        <v>49</v>
      </c>
    </row>
    <row r="52" ht="20" customHeight="1" spans="1:8">
      <c r="A52" s="5" t="s">
        <v>18</v>
      </c>
      <c r="B52" s="6" t="s">
        <v>9</v>
      </c>
      <c r="C52" s="7">
        <v>45355</v>
      </c>
      <c r="D52" s="6">
        <v>97200</v>
      </c>
      <c r="E52" s="6">
        <v>4</v>
      </c>
      <c r="F52" s="6">
        <v>388800</v>
      </c>
      <c r="G52" t="str">
        <f t="shared" si="2"/>
        <v>差</v>
      </c>
      <c r="H52">
        <f t="shared" si="3"/>
        <v>45</v>
      </c>
    </row>
    <row r="53" ht="20" customHeight="1" spans="1:8">
      <c r="A53" s="5" t="s">
        <v>8</v>
      </c>
      <c r="B53" s="6" t="s">
        <v>9</v>
      </c>
      <c r="C53" s="7">
        <v>45361</v>
      </c>
      <c r="D53" s="6">
        <v>193200</v>
      </c>
      <c r="E53" s="6">
        <v>6</v>
      </c>
      <c r="F53" s="6">
        <v>1159200</v>
      </c>
      <c r="G53" t="str">
        <f t="shared" si="2"/>
        <v>一般</v>
      </c>
      <c r="H53">
        <f t="shared" si="3"/>
        <v>27</v>
      </c>
    </row>
  </sheetData>
  <conditionalFormatting sqref="O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F7" sqref="F7"/>
    </sheetView>
  </sheetViews>
  <sheetFormatPr defaultColWidth="8.89166666666667" defaultRowHeight="13.5" outlineLevelRow="5" outlineLevelCol="1"/>
  <cols>
    <col min="1" max="1" width="18.6666666666667" customWidth="1"/>
    <col min="2" max="3" width="9.66666666666667" customWidth="1"/>
  </cols>
  <sheetData>
    <row r="1" spans="1:2">
      <c r="A1" t="s">
        <v>19</v>
      </c>
      <c r="B1" t="s">
        <v>6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  <row r="4" spans="1:2">
      <c r="A4" t="s">
        <v>24</v>
      </c>
      <c r="B4" t="s">
        <v>25</v>
      </c>
    </row>
    <row r="5" spans="1:2">
      <c r="A5" t="s">
        <v>26</v>
      </c>
      <c r="B5" t="s">
        <v>27</v>
      </c>
    </row>
    <row r="6" spans="1:2">
      <c r="A6" t="s">
        <v>28</v>
      </c>
      <c r="B6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62"/>
  <sheetViews>
    <sheetView topLeftCell="A8" workbookViewId="0">
      <selection activeCell="E87" sqref="E87"/>
    </sheetView>
  </sheetViews>
  <sheetFormatPr defaultColWidth="8.89166666666667" defaultRowHeight="13.5" outlineLevelCol="3"/>
  <cols>
    <col min="1" max="1" width="9.66666666666667" customWidth="1"/>
    <col min="2" max="2" width="12.625" customWidth="1"/>
    <col min="3" max="3" width="14.1083333333333" customWidth="1"/>
    <col min="4" max="4" width="12.875" customWidth="1"/>
    <col min="5" max="5" width="9.66666666666667" customWidth="1"/>
  </cols>
  <sheetData>
    <row r="1" spans="1:4">
      <c r="A1" t="s">
        <v>0</v>
      </c>
      <c r="B1" t="s">
        <v>3</v>
      </c>
      <c r="C1" t="s">
        <v>4</v>
      </c>
      <c r="D1" t="s">
        <v>5</v>
      </c>
    </row>
    <row r="2" hidden="1" outlineLevel="2" spans="1:4">
      <c r="A2" t="s">
        <v>10</v>
      </c>
      <c r="B2">
        <v>120000</v>
      </c>
      <c r="C2">
        <v>5</v>
      </c>
      <c r="D2">
        <v>600000</v>
      </c>
    </row>
    <row r="3" hidden="1" outlineLevel="2" spans="1:4">
      <c r="A3" t="s">
        <v>10</v>
      </c>
      <c r="B3">
        <v>120000</v>
      </c>
      <c r="C3">
        <v>15</v>
      </c>
      <c r="D3">
        <v>1800000</v>
      </c>
    </row>
    <row r="4" hidden="1" outlineLevel="2" spans="1:4">
      <c r="A4" t="s">
        <v>10</v>
      </c>
      <c r="B4">
        <v>197600</v>
      </c>
      <c r="C4">
        <v>26</v>
      </c>
      <c r="D4">
        <v>5137600</v>
      </c>
    </row>
    <row r="5" hidden="1" outlineLevel="2" spans="1:4">
      <c r="A5" t="s">
        <v>10</v>
      </c>
      <c r="B5">
        <v>120000</v>
      </c>
      <c r="C5">
        <v>15</v>
      </c>
      <c r="D5">
        <v>1800000</v>
      </c>
    </row>
    <row r="6" hidden="1" outlineLevel="2" spans="1:4">
      <c r="A6" t="s">
        <v>10</v>
      </c>
      <c r="B6">
        <v>197600</v>
      </c>
      <c r="C6">
        <v>26</v>
      </c>
      <c r="D6">
        <v>5137600</v>
      </c>
    </row>
    <row r="7" hidden="1" outlineLevel="2" spans="1:4">
      <c r="A7" t="s">
        <v>10</v>
      </c>
      <c r="B7">
        <v>120000</v>
      </c>
      <c r="C7">
        <v>5</v>
      </c>
      <c r="D7">
        <v>600000</v>
      </c>
    </row>
    <row r="8" outlineLevel="1" collapsed="1" spans="1:4">
      <c r="A8" s="1" t="s">
        <v>30</v>
      </c>
      <c r="B8" s="2">
        <f>SUBTOTAL(1,B2:B7)</f>
        <v>145866.666666667</v>
      </c>
      <c r="C8" s="2">
        <f>SUBTOTAL(1,C2:C7)</f>
        <v>15.3333333333333</v>
      </c>
      <c r="D8" s="2">
        <f>SUBTOTAL(1,D2:D7)</f>
        <v>2512533.33333333</v>
      </c>
    </row>
    <row r="9" hidden="1" outlineLevel="2" spans="1:4">
      <c r="A9" t="s">
        <v>17</v>
      </c>
      <c r="B9">
        <v>72900</v>
      </c>
      <c r="C9">
        <v>3</v>
      </c>
      <c r="D9">
        <v>218700</v>
      </c>
    </row>
    <row r="10" hidden="1" outlineLevel="2" spans="1:4">
      <c r="A10" t="s">
        <v>17</v>
      </c>
      <c r="B10">
        <v>197600</v>
      </c>
      <c r="C10">
        <v>26</v>
      </c>
      <c r="D10">
        <v>5137600</v>
      </c>
    </row>
    <row r="11" hidden="1" outlineLevel="2" spans="1:4">
      <c r="A11" t="s">
        <v>17</v>
      </c>
      <c r="B11">
        <v>120000</v>
      </c>
      <c r="C11">
        <v>7</v>
      </c>
      <c r="D11">
        <v>840000</v>
      </c>
    </row>
    <row r="12" hidden="1" outlineLevel="2" spans="1:4">
      <c r="A12" t="s">
        <v>17</v>
      </c>
      <c r="B12">
        <v>120000</v>
      </c>
      <c r="C12">
        <v>7</v>
      </c>
      <c r="D12">
        <v>840000</v>
      </c>
    </row>
    <row r="13" hidden="1" outlineLevel="2" spans="1:4">
      <c r="A13" t="s">
        <v>17</v>
      </c>
      <c r="B13">
        <v>197600</v>
      </c>
      <c r="C13">
        <v>26</v>
      </c>
      <c r="D13">
        <v>5137600</v>
      </c>
    </row>
    <row r="14" hidden="1" outlineLevel="2" spans="1:4">
      <c r="A14" t="s">
        <v>17</v>
      </c>
      <c r="B14">
        <v>72900</v>
      </c>
      <c r="C14">
        <v>3</v>
      </c>
      <c r="D14">
        <v>218700</v>
      </c>
    </row>
    <row r="15" outlineLevel="1" collapsed="1" spans="1:4">
      <c r="A15" s="1" t="s">
        <v>31</v>
      </c>
      <c r="B15" s="2">
        <f>SUBTOTAL(1,B9:B14)</f>
        <v>130166.666666667</v>
      </c>
      <c r="C15" s="2">
        <f>SUBTOTAL(1,C9:C14)</f>
        <v>12</v>
      </c>
      <c r="D15" s="2">
        <f>SUBTOTAL(1,D9:D14)</f>
        <v>2065433.33333333</v>
      </c>
    </row>
    <row r="16" hidden="1" outlineLevel="2" spans="1:4">
      <c r="A16" t="s">
        <v>8</v>
      </c>
      <c r="B16">
        <v>95600</v>
      </c>
      <c r="C16">
        <v>4</v>
      </c>
      <c r="D16">
        <v>382400</v>
      </c>
    </row>
    <row r="17" hidden="1" outlineLevel="2" spans="1:4">
      <c r="A17" t="s">
        <v>8</v>
      </c>
      <c r="B17">
        <v>190000</v>
      </c>
      <c r="C17">
        <v>27</v>
      </c>
      <c r="D17">
        <v>5130000</v>
      </c>
    </row>
    <row r="18" hidden="1" outlineLevel="2" spans="1:4">
      <c r="A18" t="s">
        <v>8</v>
      </c>
      <c r="B18">
        <v>193200</v>
      </c>
      <c r="C18">
        <v>6</v>
      </c>
      <c r="D18">
        <v>1159200</v>
      </c>
    </row>
    <row r="19" hidden="1" outlineLevel="2" spans="1:4">
      <c r="A19" t="s">
        <v>8</v>
      </c>
      <c r="B19">
        <v>190000</v>
      </c>
      <c r="C19">
        <v>27</v>
      </c>
      <c r="D19">
        <v>5130000</v>
      </c>
    </row>
    <row r="20" hidden="1" outlineLevel="2" spans="1:4">
      <c r="A20" t="s">
        <v>8</v>
      </c>
      <c r="B20">
        <v>95600</v>
      </c>
      <c r="C20">
        <v>4</v>
      </c>
      <c r="D20">
        <v>382400</v>
      </c>
    </row>
    <row r="21" hidden="1" outlineLevel="2" spans="1:4">
      <c r="A21" t="s">
        <v>8</v>
      </c>
      <c r="B21">
        <v>193200</v>
      </c>
      <c r="C21">
        <v>6</v>
      </c>
      <c r="D21">
        <v>1159200</v>
      </c>
    </row>
    <row r="22" outlineLevel="1" collapsed="1" spans="1:4">
      <c r="A22" s="1" t="s">
        <v>32</v>
      </c>
      <c r="B22" s="2">
        <f>SUBTOTAL(1,B16:B21)</f>
        <v>159600</v>
      </c>
      <c r="C22" s="2">
        <f>SUBTOTAL(1,C16:C21)</f>
        <v>12.3333333333333</v>
      </c>
      <c r="D22" s="2">
        <f>SUBTOTAL(1,D16:D21)</f>
        <v>2223866.66666667</v>
      </c>
    </row>
    <row r="23" hidden="1" outlineLevel="2" spans="1:4">
      <c r="A23" t="s">
        <v>16</v>
      </c>
      <c r="B23">
        <v>245000</v>
      </c>
      <c r="C23">
        <v>35</v>
      </c>
      <c r="D23">
        <v>8575000</v>
      </c>
    </row>
    <row r="24" hidden="1" outlineLevel="2" spans="1:4">
      <c r="A24" t="s">
        <v>16</v>
      </c>
      <c r="B24">
        <v>193200</v>
      </c>
      <c r="C24">
        <v>6</v>
      </c>
      <c r="D24">
        <v>1159200</v>
      </c>
    </row>
    <row r="25" hidden="1" outlineLevel="2" spans="1:4">
      <c r="A25" t="s">
        <v>16</v>
      </c>
      <c r="B25">
        <v>95600</v>
      </c>
      <c r="C25">
        <v>8</v>
      </c>
      <c r="D25">
        <v>764800</v>
      </c>
    </row>
    <row r="26" hidden="1" outlineLevel="2" spans="1:4">
      <c r="A26" t="s">
        <v>16</v>
      </c>
      <c r="B26">
        <v>95600</v>
      </c>
      <c r="C26">
        <v>8</v>
      </c>
      <c r="D26">
        <v>764800</v>
      </c>
    </row>
    <row r="27" hidden="1" outlineLevel="2" spans="1:4">
      <c r="A27" t="s">
        <v>16</v>
      </c>
      <c r="B27">
        <v>193200</v>
      </c>
      <c r="C27">
        <v>6</v>
      </c>
      <c r="D27">
        <v>1159200</v>
      </c>
    </row>
    <row r="28" hidden="1" outlineLevel="2" spans="1:4">
      <c r="A28" t="s">
        <v>16</v>
      </c>
      <c r="B28">
        <v>245000</v>
      </c>
      <c r="C28">
        <v>35</v>
      </c>
      <c r="D28">
        <v>8575000</v>
      </c>
    </row>
    <row r="29" outlineLevel="1" collapsed="1" spans="1:4">
      <c r="A29" s="1" t="s">
        <v>33</v>
      </c>
      <c r="B29" s="2">
        <f>SUBTOTAL(1,B23:B28)</f>
        <v>177933.333333333</v>
      </c>
      <c r="C29" s="2">
        <f>SUBTOTAL(1,C23:C28)</f>
        <v>16.3333333333333</v>
      </c>
      <c r="D29" s="2">
        <f>SUBTOTAL(1,D23:D28)</f>
        <v>3499666.66666667</v>
      </c>
    </row>
    <row r="30" hidden="1" outlineLevel="2" spans="1:4">
      <c r="A30" t="s">
        <v>13</v>
      </c>
      <c r="B30">
        <v>190000</v>
      </c>
      <c r="C30">
        <v>25</v>
      </c>
      <c r="D30">
        <v>4750000</v>
      </c>
    </row>
    <row r="31" hidden="1" outlineLevel="2" spans="1:4">
      <c r="A31" t="s">
        <v>13</v>
      </c>
      <c r="B31">
        <v>72900</v>
      </c>
      <c r="C31">
        <v>7</v>
      </c>
      <c r="D31">
        <v>510300</v>
      </c>
    </row>
    <row r="32" hidden="1" outlineLevel="2" spans="1:4">
      <c r="A32" t="s">
        <v>13</v>
      </c>
      <c r="B32">
        <v>228000</v>
      </c>
      <c r="C32">
        <v>29</v>
      </c>
      <c r="D32">
        <v>6612000</v>
      </c>
    </row>
    <row r="33" hidden="1" outlineLevel="2" spans="1:4">
      <c r="A33" t="s">
        <v>13</v>
      </c>
      <c r="B33">
        <v>228000</v>
      </c>
      <c r="C33">
        <v>30</v>
      </c>
      <c r="D33">
        <v>6840000</v>
      </c>
    </row>
    <row r="34" hidden="1" outlineLevel="2" spans="1:4">
      <c r="A34" t="s">
        <v>13</v>
      </c>
      <c r="B34">
        <v>228000</v>
      </c>
      <c r="C34">
        <v>30</v>
      </c>
      <c r="D34">
        <v>6840000</v>
      </c>
    </row>
    <row r="35" hidden="1" outlineLevel="2" spans="1:4">
      <c r="A35" t="s">
        <v>13</v>
      </c>
      <c r="B35">
        <v>72900</v>
      </c>
      <c r="C35">
        <v>7</v>
      </c>
      <c r="D35">
        <v>510300</v>
      </c>
    </row>
    <row r="36" hidden="1" outlineLevel="2" spans="1:4">
      <c r="A36" t="s">
        <v>13</v>
      </c>
      <c r="B36">
        <v>228000</v>
      </c>
      <c r="C36">
        <v>29</v>
      </c>
      <c r="D36">
        <v>6612000</v>
      </c>
    </row>
    <row r="37" hidden="1" outlineLevel="2" spans="1:4">
      <c r="A37" t="s">
        <v>13</v>
      </c>
      <c r="B37">
        <v>190000</v>
      </c>
      <c r="C37">
        <v>25</v>
      </c>
      <c r="D37">
        <v>4750000</v>
      </c>
    </row>
    <row r="38" outlineLevel="1" collapsed="1" spans="1:4">
      <c r="A38" s="1" t="s">
        <v>34</v>
      </c>
      <c r="B38" s="2">
        <f>SUBTOTAL(1,B30:B37)</f>
        <v>179725</v>
      </c>
      <c r="C38" s="2">
        <f>SUBTOTAL(1,C30:C37)</f>
        <v>22.75</v>
      </c>
      <c r="D38" s="2">
        <f>SUBTOTAL(1,D30:D37)</f>
        <v>4678075</v>
      </c>
    </row>
    <row r="39" hidden="1" outlineLevel="2" spans="1:4">
      <c r="A39" t="s">
        <v>18</v>
      </c>
      <c r="B39">
        <v>97200</v>
      </c>
      <c r="C39">
        <v>4</v>
      </c>
      <c r="D39">
        <v>388800</v>
      </c>
    </row>
    <row r="40" hidden="1" outlineLevel="2" spans="1:4">
      <c r="A40" t="s">
        <v>18</v>
      </c>
      <c r="B40">
        <v>48000</v>
      </c>
      <c r="C40">
        <v>9</v>
      </c>
      <c r="D40">
        <v>432000</v>
      </c>
    </row>
    <row r="41" hidden="1" outlineLevel="2" spans="1:4">
      <c r="A41" t="s">
        <v>18</v>
      </c>
      <c r="B41">
        <v>108000</v>
      </c>
      <c r="C41">
        <v>14</v>
      </c>
      <c r="D41">
        <v>1512000</v>
      </c>
    </row>
    <row r="42" hidden="1" outlineLevel="2" spans="1:4">
      <c r="A42" t="s">
        <v>18</v>
      </c>
      <c r="B42">
        <v>108000</v>
      </c>
      <c r="C42">
        <v>14</v>
      </c>
      <c r="D42">
        <v>1512000</v>
      </c>
    </row>
    <row r="43" hidden="1" outlineLevel="2" spans="1:4">
      <c r="A43" t="s">
        <v>18</v>
      </c>
      <c r="B43">
        <v>48000</v>
      </c>
      <c r="C43">
        <v>9</v>
      </c>
      <c r="D43">
        <v>432000</v>
      </c>
    </row>
    <row r="44" hidden="1" outlineLevel="2" spans="1:4">
      <c r="A44" t="s">
        <v>18</v>
      </c>
      <c r="B44">
        <v>97200</v>
      </c>
      <c r="C44">
        <v>4</v>
      </c>
      <c r="D44">
        <v>388800</v>
      </c>
    </row>
    <row r="45" outlineLevel="1" collapsed="1" spans="1:4">
      <c r="A45" s="1" t="s">
        <v>35</v>
      </c>
      <c r="B45" s="2">
        <f>SUBTOTAL(1,B39:B44)</f>
        <v>84400</v>
      </c>
      <c r="C45" s="2">
        <f>SUBTOTAL(1,C39:C44)</f>
        <v>9</v>
      </c>
      <c r="D45" s="2">
        <f>SUBTOTAL(1,D39:D44)</f>
        <v>777600</v>
      </c>
    </row>
    <row r="46" hidden="1" outlineLevel="2" spans="1:4">
      <c r="A46" t="s">
        <v>15</v>
      </c>
      <c r="B46">
        <v>120000</v>
      </c>
      <c r="C46">
        <v>10</v>
      </c>
      <c r="D46">
        <v>1200000</v>
      </c>
    </row>
    <row r="47" hidden="1" outlineLevel="2" spans="1:4">
      <c r="A47" t="s">
        <v>15</v>
      </c>
      <c r="B47">
        <v>97200</v>
      </c>
      <c r="C47">
        <v>5</v>
      </c>
      <c r="D47">
        <v>486000</v>
      </c>
    </row>
    <row r="48" hidden="1" outlineLevel="2" spans="1:4">
      <c r="A48" t="s">
        <v>15</v>
      </c>
      <c r="B48">
        <v>235500</v>
      </c>
      <c r="C48">
        <v>8</v>
      </c>
      <c r="D48">
        <v>1884000</v>
      </c>
    </row>
    <row r="49" hidden="1" outlineLevel="2" spans="1:4">
      <c r="A49" t="s">
        <v>15</v>
      </c>
      <c r="B49">
        <v>235500</v>
      </c>
      <c r="C49">
        <v>5</v>
      </c>
      <c r="D49">
        <v>1177500</v>
      </c>
    </row>
    <row r="50" hidden="1" outlineLevel="2" spans="1:4">
      <c r="A50" t="s">
        <v>15</v>
      </c>
      <c r="B50">
        <v>235500</v>
      </c>
      <c r="C50">
        <v>5</v>
      </c>
      <c r="D50">
        <v>1177500</v>
      </c>
    </row>
    <row r="51" hidden="1" outlineLevel="2" spans="1:4">
      <c r="A51" t="s">
        <v>15</v>
      </c>
      <c r="B51">
        <v>97200</v>
      </c>
      <c r="C51">
        <v>5</v>
      </c>
      <c r="D51">
        <v>486000</v>
      </c>
    </row>
    <row r="52" hidden="1" outlineLevel="2" spans="1:4">
      <c r="A52" t="s">
        <v>15</v>
      </c>
      <c r="B52">
        <v>235500</v>
      </c>
      <c r="C52">
        <v>8</v>
      </c>
      <c r="D52">
        <v>1884000</v>
      </c>
    </row>
    <row r="53" hidden="1" outlineLevel="2" spans="1:4">
      <c r="A53" t="s">
        <v>15</v>
      </c>
      <c r="B53">
        <v>120000</v>
      </c>
      <c r="C53">
        <v>10</v>
      </c>
      <c r="D53">
        <v>1200000</v>
      </c>
    </row>
    <row r="54" outlineLevel="1" collapsed="1" spans="1:4">
      <c r="A54" s="1" t="s">
        <v>36</v>
      </c>
      <c r="B54" s="2">
        <f>SUBTOTAL(1,B46:B53)</f>
        <v>172050</v>
      </c>
      <c r="C54" s="2">
        <f>SUBTOTAL(1,C46:C53)</f>
        <v>7</v>
      </c>
      <c r="D54" s="2">
        <f>SUBTOTAL(1,D46:D53)</f>
        <v>1186875</v>
      </c>
    </row>
    <row r="55" hidden="1" outlineLevel="2" spans="1:4">
      <c r="A55" t="s">
        <v>11</v>
      </c>
      <c r="B55">
        <v>108000</v>
      </c>
      <c r="C55">
        <v>9</v>
      </c>
      <c r="D55">
        <v>972000</v>
      </c>
    </row>
    <row r="56" hidden="1" outlineLevel="2" spans="1:4">
      <c r="A56" t="s">
        <v>11</v>
      </c>
      <c r="B56">
        <v>245000</v>
      </c>
      <c r="C56">
        <v>38</v>
      </c>
      <c r="D56">
        <v>9310000</v>
      </c>
    </row>
    <row r="57" hidden="1" outlineLevel="2" spans="1:4">
      <c r="A57" t="s">
        <v>11</v>
      </c>
      <c r="B57">
        <v>48000</v>
      </c>
      <c r="C57">
        <v>4</v>
      </c>
      <c r="D57">
        <v>192000</v>
      </c>
    </row>
    <row r="58" hidden="1" outlineLevel="2" spans="1:4">
      <c r="A58" t="s">
        <v>11</v>
      </c>
      <c r="B58">
        <v>245000</v>
      </c>
      <c r="C58">
        <v>38</v>
      </c>
      <c r="D58">
        <v>9310000</v>
      </c>
    </row>
    <row r="59" hidden="1" outlineLevel="2" spans="1:4">
      <c r="A59" t="s">
        <v>11</v>
      </c>
      <c r="B59">
        <v>48000</v>
      </c>
      <c r="C59">
        <v>4</v>
      </c>
      <c r="D59">
        <v>192000</v>
      </c>
    </row>
    <row r="60" hidden="1" outlineLevel="2" spans="1:4">
      <c r="A60" t="s">
        <v>11</v>
      </c>
      <c r="B60">
        <v>108000</v>
      </c>
      <c r="C60">
        <v>9</v>
      </c>
      <c r="D60">
        <v>972000</v>
      </c>
    </row>
    <row r="61" outlineLevel="1" collapsed="1" spans="1:4">
      <c r="A61" s="1" t="s">
        <v>37</v>
      </c>
      <c r="B61" s="2">
        <f>SUBTOTAL(1,B55:B60)</f>
        <v>133666.666666667</v>
      </c>
      <c r="C61" s="2">
        <f>SUBTOTAL(1,C55:C60)</f>
        <v>17</v>
      </c>
      <c r="D61" s="2">
        <f>SUBTOTAL(1,D55:D60)</f>
        <v>3491333.33333333</v>
      </c>
    </row>
    <row r="62" spans="1:4">
      <c r="A62" s="1" t="s">
        <v>38</v>
      </c>
      <c r="B62" s="2">
        <f>SUBTOTAL(1,B2:B60)</f>
        <v>150076.923076923</v>
      </c>
      <c r="C62" s="2">
        <f>SUBTOTAL(1,C2:C60)</f>
        <v>14.0384615384615</v>
      </c>
      <c r="D62" s="2">
        <f>SUBTOTAL(1,D2:D60)</f>
        <v>2583503.84615385</v>
      </c>
    </row>
  </sheetData>
  <sortState ref="A2:F53">
    <sortCondition ref="A2"/>
  </sortState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C5"/>
  <sheetViews>
    <sheetView tabSelected="1" workbookViewId="0">
      <selection activeCell="H6" sqref="H6"/>
    </sheetView>
  </sheetViews>
  <sheetFormatPr defaultColWidth="8.89166666666667" defaultRowHeight="13.5" outlineLevelRow="4" outlineLevelCol="2"/>
  <cols>
    <col min="1" max="1" width="10.875"/>
    <col min="2" max="3" width="8.875"/>
  </cols>
  <sheetData>
    <row r="1" spans="1:3">
      <c r="A1" t="s">
        <v>1</v>
      </c>
      <c r="B1" t="s">
        <v>39</v>
      </c>
      <c r="C1" t="s">
        <v>40</v>
      </c>
    </row>
    <row r="2" spans="1:3">
      <c r="A2" t="s">
        <v>12</v>
      </c>
      <c r="B2">
        <v>192000</v>
      </c>
      <c r="C2">
        <v>120000</v>
      </c>
    </row>
    <row r="3" spans="1:3">
      <c r="A3" t="s">
        <v>9</v>
      </c>
      <c r="B3">
        <v>218700</v>
      </c>
      <c r="C3">
        <v>235500</v>
      </c>
    </row>
    <row r="4" spans="1:3">
      <c r="A4" t="s">
        <v>14</v>
      </c>
      <c r="B4">
        <v>4750000</v>
      </c>
      <c r="C4">
        <v>245000</v>
      </c>
    </row>
    <row r="5" spans="1:3">
      <c r="A5" t="s">
        <v>41</v>
      </c>
      <c r="B5">
        <v>192000</v>
      </c>
      <c r="C5">
        <v>245000</v>
      </c>
    </row>
  </sheetData>
  <pageMargins left="1.18055555555556" right="1.18055555555556" top="1" bottom="1" header="0.5" footer="0.5"/>
  <pageSetup paperSize="9" orientation="portrait" horizont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zy</cp:lastModifiedBy>
  <dcterms:created xsi:type="dcterms:W3CDTF">2024-10-30T06:47:00Z</dcterms:created>
  <dcterms:modified xsi:type="dcterms:W3CDTF">2024-11-22T03:30:29Z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0A7E3C22A4334A3D891C05F4B4E5E00E_11</vt:lpwstr>
  </property>
  <property fmtid="{D5CDD505-2E9C-101B-9397-08002B2CF9AE}" pid="3" name="KSOProductBuildVer">
    <vt:lpwstr>2052-12.1.0.15712</vt:lpwstr>
  </property>
</Properties>
</file>
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10065"/>
  </bookViews>
  <sheets>
    <sheet name="销售情况" sheetId="5" r:id="rId1"/>
  </sheets>
  <definedNames>
    <definedName name="商品价格">销售情况!$J$3:$K$8</definedName>
  </definedNames>
  <calcPr calcId="144525"/>
  <pivotCaches>
    <pivotCache cacheId="0" r:id="rId2"/>
  </pivotCaches>
</workbook>
</file>

<file path=xl/sharedStrings.xml><?xml version="1.0" encoding="utf-8"?>
<sst xmlns="http://schemas.openxmlformats.org/spreadsheetml/2006/main" count="349" uniqueCount="105">
  <si>
    <t>大地公司某品牌计算机设备全年销量统计表</t>
  </si>
  <si>
    <t>商品名称</t>
  </si>
  <si>
    <t>笔记本</t>
  </si>
  <si>
    <t>序号</t>
  </si>
  <si>
    <t>店铺</t>
  </si>
  <si>
    <t>季度</t>
  </si>
  <si>
    <t>销售量</t>
  </si>
  <si>
    <t>销售额</t>
  </si>
  <si>
    <t>平均单价（人民币元）</t>
  </si>
  <si>
    <t>求和项:销售额</t>
  </si>
  <si>
    <t>列标签</t>
  </si>
  <si>
    <t>001</t>
  </si>
  <si>
    <t>西直门店</t>
  </si>
  <si>
    <t>1季度</t>
  </si>
  <si>
    <t>行标签</t>
  </si>
  <si>
    <t>2季度</t>
  </si>
  <si>
    <t>3季度</t>
  </si>
  <si>
    <t>4季度</t>
  </si>
  <si>
    <t>总计</t>
  </si>
  <si>
    <t>002</t>
  </si>
  <si>
    <t>台式机</t>
  </si>
  <si>
    <t>上地店</t>
  </si>
  <si>
    <t>003</t>
  </si>
  <si>
    <t>鼠标</t>
  </si>
  <si>
    <t>004</t>
  </si>
  <si>
    <t>键盘</t>
  </si>
  <si>
    <t>亚运村店</t>
  </si>
  <si>
    <t>005</t>
  </si>
  <si>
    <t>中关村店</t>
  </si>
  <si>
    <t>打印机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</si>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</sst>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#,##0.00_ "/>
    <numFmt numFmtId="178" formatCode="0.00;[Red]0.00"/>
  </numFmts>
  <fonts count="22">
    <font>
      <sz val="11"/>
      <color theme="1"/>
      <name val="宋体"/>
      <charset val="134"/>
      <scheme val="minor"/>
    </font>
    <font>
      <sz val="14"/>
      <color rgb="FFFF0000"/>
      <name val="黑体"/>
      <charset val="134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5"/>
        <bgColor theme="5" tint="0.599993896298105"/>
      </patternFill>
    </fill>
    <fill>
      <patternFill patternType="solid">
        <fgColor theme="5" tint="0.799951170384838"/>
        <bgColor theme="5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177" fontId="0" fillId="3" borderId="4" xfId="0" applyNumberFormat="1" applyFill="1" applyBorder="1">
      <alignment vertical="center"/>
    </xf>
    <xf numFmtId="0" fontId="0" fillId="4" borderId="5" xfId="0" applyFill="1" applyBorder="1">
      <alignment vertical="center"/>
    </xf>
    <xf numFmtId="177" fontId="0" fillId="4" borderId="6" xfId="0" applyNumberFormat="1" applyFill="1" applyBorder="1">
      <alignment vertical="center"/>
    </xf>
    <xf numFmtId="0" fontId="0" fillId="0" borderId="0" xfId="0" applyAlignment="1">
      <alignment horizontal="left" vertical="center"/>
    </xf>
    <xf numFmtId="0" fontId="0" fillId="3" borderId="5" xfId="0" applyFill="1" applyBorder="1">
      <alignment vertical="center"/>
    </xf>
    <xf numFmtId="177" fontId="0" fillId="3" borderId="6" xfId="0" applyNumberForma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[WPS表格8-076 -修改结果文档.xlsx]销售情况!数据透视表1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销售情况!$N$3:$N$4</c:f>
              <c:strCache>
                <c:ptCount val="1"/>
                <c:pt idx="0">
                  <c:v>1季度</c:v>
                </c:pt>
              </c:strCache>
            </c:strRef>
          </c:tx>
          <c:invertIfNegative val="0"/>
          <c:dLbls>
            <c:delete val="1"/>
          </c:dLbls>
          <c:cat>
            <c:strRef>
              <c:f>销售情况!$M$5:$M$9</c:f>
              <c:strCache>
                <c:ptCount val="4"/>
                <c:pt idx="0">
                  <c:v>上地店</c:v>
                </c:pt>
                <c:pt idx="1">
                  <c:v>西直门店</c:v>
                </c:pt>
                <c:pt idx="2">
                  <c:v>亚运村店</c:v>
                </c:pt>
                <c:pt idx="3">
                  <c:v>中关村店</c:v>
                </c:pt>
              </c:strCache>
            </c:strRef>
          </c:cat>
          <c:val>
            <c:numRef>
              <c:f>销售情况!$N$5:$N$9</c:f>
              <c:numCache>
                <c:formatCode>General</c:formatCode>
                <c:ptCount val="4"/>
                <c:pt idx="0">
                  <c:v>819416.016</c:v>
                </c:pt>
                <c:pt idx="1">
                  <c:v>910462.24</c:v>
                </c:pt>
                <c:pt idx="2">
                  <c:v>955985.352</c:v>
                </c:pt>
                <c:pt idx="3">
                  <c:v>1047031.576</c:v>
                </c:pt>
              </c:numCache>
            </c:numRef>
          </c:val>
        </c:ser>
        <c:ser>
          <c:idx val="1"/>
          <c:order val="1"/>
          <c:tx>
            <c:strRef>
              <c:f>销售情况!$O$3:$O$4</c:f>
              <c:strCache>
                <c:ptCount val="1"/>
                <c:pt idx="0">
                  <c:v>2季度</c:v>
                </c:pt>
              </c:strCache>
            </c:strRef>
          </c:tx>
          <c:invertIfNegative val="0"/>
          <c:dLbls>
            <c:delete val="1"/>
          </c:dLbls>
          <c:cat>
            <c:strRef>
              <c:f>销售情况!$M$5:$M$9</c:f>
              <c:strCache>
                <c:ptCount val="4"/>
                <c:pt idx="0">
                  <c:v>上地店</c:v>
                </c:pt>
                <c:pt idx="1">
                  <c:v>西直门店</c:v>
                </c:pt>
                <c:pt idx="2">
                  <c:v>亚运村店</c:v>
                </c:pt>
                <c:pt idx="3">
                  <c:v>中关村店</c:v>
                </c:pt>
              </c:strCache>
            </c:strRef>
          </c:cat>
          <c:val>
            <c:numRef>
              <c:f>销售情况!$O$5:$O$9</c:f>
              <c:numCache>
                <c:formatCode>General</c:formatCode>
                <c:ptCount val="4"/>
                <c:pt idx="0">
                  <c:v>637323.568</c:v>
                </c:pt>
                <c:pt idx="1">
                  <c:v>682846.68</c:v>
                </c:pt>
                <c:pt idx="2">
                  <c:v>773892.904</c:v>
                </c:pt>
                <c:pt idx="3">
                  <c:v>819416.016</c:v>
                </c:pt>
              </c:numCache>
            </c:numRef>
          </c:val>
        </c:ser>
        <c:ser>
          <c:idx val="2"/>
          <c:order val="2"/>
          <c:tx>
            <c:strRef>
              <c:f>销售情况!$P$3:$P$4</c:f>
              <c:strCache>
                <c:ptCount val="1"/>
                <c:pt idx="0">
                  <c:v>3季度</c:v>
                </c:pt>
              </c:strCache>
            </c:strRef>
          </c:tx>
          <c:invertIfNegative val="0"/>
          <c:dLbls>
            <c:delete val="1"/>
          </c:dLbls>
          <c:cat>
            <c:strRef>
              <c:f>销售情况!$M$5:$M$9</c:f>
              <c:strCache>
                <c:ptCount val="4"/>
                <c:pt idx="0">
                  <c:v>上地店</c:v>
                </c:pt>
                <c:pt idx="1">
                  <c:v>西直门店</c:v>
                </c:pt>
                <c:pt idx="2">
                  <c:v>亚运村店</c:v>
                </c:pt>
                <c:pt idx="3">
                  <c:v>中关村店</c:v>
                </c:pt>
              </c:strCache>
            </c:strRef>
          </c:cat>
          <c:val>
            <c:numRef>
              <c:f>销售情况!$P$5:$P$9</c:f>
              <c:numCache>
                <c:formatCode>General</c:formatCode>
                <c:ptCount val="4"/>
                <c:pt idx="0">
                  <c:v>1001508.464</c:v>
                </c:pt>
                <c:pt idx="1">
                  <c:v>1138077.8</c:v>
                </c:pt>
                <c:pt idx="2">
                  <c:v>1183600.912</c:v>
                </c:pt>
                <c:pt idx="3">
                  <c:v>1320170.248</c:v>
                </c:pt>
              </c:numCache>
            </c:numRef>
          </c:val>
        </c:ser>
        <c:ser>
          <c:idx val="3"/>
          <c:order val="3"/>
          <c:tx>
            <c:strRef>
              <c:f>销售情况!$Q$3:$Q$4</c:f>
              <c:strCache>
                <c:ptCount val="1"/>
                <c:pt idx="0">
                  <c:v>4季度</c:v>
                </c:pt>
              </c:strCache>
            </c:strRef>
          </c:tx>
          <c:invertIfNegative val="0"/>
          <c:dLbls>
            <c:delete val="1"/>
          </c:dLbls>
          <c:cat>
            <c:strRef>
              <c:f>销售情况!$M$5:$M$9</c:f>
              <c:strCache>
                <c:ptCount val="4"/>
                <c:pt idx="0">
                  <c:v>上地店</c:v>
                </c:pt>
                <c:pt idx="1">
                  <c:v>西直门店</c:v>
                </c:pt>
                <c:pt idx="2">
                  <c:v>亚运村店</c:v>
                </c:pt>
                <c:pt idx="3">
                  <c:v>中关村店</c:v>
                </c:pt>
              </c:strCache>
            </c:strRef>
          </c:cat>
          <c:val>
            <c:numRef>
              <c:f>销售情况!$Q$5:$Q$9</c:f>
              <c:numCache>
                <c:formatCode>General</c:formatCode>
                <c:ptCount val="4"/>
                <c:pt idx="0">
                  <c:v>1274647.136</c:v>
                </c:pt>
                <c:pt idx="1">
                  <c:v>1365693.36</c:v>
                </c:pt>
                <c:pt idx="2">
                  <c:v>1456739.584</c:v>
                </c:pt>
                <c:pt idx="3">
                  <c:v>1593308.92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8204928"/>
        <c:axId val="228206464"/>
      </c:barChart>
      <c:catAx>
        <c:axId val="228204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8206464"/>
        <c:crosses val="autoZero"/>
        <c:auto val="1"/>
        <c:lblAlgn val="ctr"/>
        <c:lblOffset val="100"/>
        <c:noMultiLvlLbl val="0"/>
      </c:catAx>
      <c:valAx>
        <c:axId val="228206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820492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514350</xdr:colOff>
      <xdr:row>14</xdr:row>
      <xdr:rowOff>38100</xdr:rowOff>
    </xdr:from>
    <xdr:to>
      <xdr:col>15</xdr:col>
      <xdr:colOff>1019175</xdr:colOff>
      <xdr:row>30</xdr:row>
      <xdr:rowOff>38100</xdr:rowOff>
    </xdr:to>
    <xdr:graphicFrame>
      <xdr:nvGraphicFramePr>
        <xdr:cNvPr id="2" name="图表 1"/>
        <xdr:cNvGraphicFramePr/>
      </xdr:nvGraphicFramePr>
      <xdr:xfrm>
        <a:off x="10648950" y="253047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4335.4201290509" refreshedBy="Admin" recordCount="80">
  <cacheSource type="worksheet">
    <worksheetSource ref="A3:F83" sheet="销售情况"/>
  </cacheSource>
  <cacheFields count="6">
    <cacheField name="序号" numFmtId="49"/>
    <cacheField name="店铺" numFmtId="0">
      <sharedItems count="4">
        <s v="西直门店"/>
        <s v="中关村店"/>
        <s v="上地店"/>
        <s v="亚运村店"/>
      </sharedItems>
    </cacheField>
    <cacheField name="季度" numFmtId="0">
      <sharedItems count="4">
        <s v="1季度"/>
        <s v="2季度"/>
        <s v="3季度"/>
        <s v="4季度"/>
      </sharedItems>
    </cacheField>
    <cacheField name="商品名称" numFmtId="0">
      <sharedItems count="5">
        <s v="笔记本"/>
        <s v="台式机"/>
        <s v="鼠标"/>
        <s v="键盘"/>
        <s v="打印机"/>
      </sharedItems>
    </cacheField>
    <cacheField name="销售量" numFmtId="0"/>
    <cacheField name="销售额" numFmtId="178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s v="001"/>
    <x v="0"/>
    <x v="0"/>
    <x v="0"/>
    <n v="200"/>
    <n v="910462.24"/>
  </r>
  <r>
    <s v="002"/>
    <x v="0"/>
    <x v="1"/>
    <x v="0"/>
    <n v="150"/>
    <n v="682846.68"/>
  </r>
  <r>
    <s v="003"/>
    <x v="0"/>
    <x v="2"/>
    <x v="0"/>
    <n v="250"/>
    <n v="1138077.8"/>
  </r>
  <r>
    <s v="004"/>
    <x v="0"/>
    <x v="3"/>
    <x v="0"/>
    <n v="300"/>
    <n v="1365693.36"/>
  </r>
  <r>
    <s v="005"/>
    <x v="1"/>
    <x v="0"/>
    <x v="0"/>
    <n v="230"/>
    <n v="1047031.576"/>
  </r>
  <r>
    <s v="006"/>
    <x v="1"/>
    <x v="1"/>
    <x v="0"/>
    <n v="180"/>
    <n v="819416.01600000006"/>
  </r>
  <r>
    <s v="007"/>
    <x v="1"/>
    <x v="2"/>
    <x v="0"/>
    <n v="290"/>
    <n v="1320170.2480000001"/>
  </r>
  <r>
    <s v="008"/>
    <x v="1"/>
    <x v="3"/>
    <x v="0"/>
    <n v="350"/>
    <n v="1593308.92"/>
  </r>
  <r>
    <s v="009"/>
    <x v="2"/>
    <x v="0"/>
    <x v="0"/>
    <n v="180"/>
    <n v="819416.01600000006"/>
  </r>
  <r>
    <s v="010"/>
    <x v="2"/>
    <x v="1"/>
    <x v="0"/>
    <n v="140"/>
    <n v="637323.56799999997"/>
  </r>
  <r>
    <s v="011"/>
    <x v="2"/>
    <x v="2"/>
    <x v="0"/>
    <n v="220"/>
    <n v="1001508.464"/>
  </r>
  <r>
    <s v="012"/>
    <x v="2"/>
    <x v="3"/>
    <x v="0"/>
    <n v="280"/>
    <n v="1274647.1359999999"/>
  </r>
  <r>
    <s v="013"/>
    <x v="3"/>
    <x v="0"/>
    <x v="0"/>
    <n v="210"/>
    <n v="955985.35200000007"/>
  </r>
  <r>
    <s v="014"/>
    <x v="3"/>
    <x v="1"/>
    <x v="0"/>
    <n v="170"/>
    <n v="773892.90399999998"/>
  </r>
  <r>
    <s v="015"/>
    <x v="3"/>
    <x v="2"/>
    <x v="0"/>
    <n v="260"/>
    <n v="1183600.912"/>
  </r>
  <r>
    <s v="016"/>
    <x v="3"/>
    <x v="3"/>
    <x v="0"/>
    <n v="320"/>
    <n v="1456739.584"/>
  </r>
  <r>
    <s v="017"/>
    <x v="0"/>
    <x v="0"/>
    <x v="1"/>
    <n v="260"/>
    <n v="299120.978"/>
  </r>
  <r>
    <s v="018"/>
    <x v="0"/>
    <x v="1"/>
    <x v="1"/>
    <n v="243"/>
    <n v="279563.06790000002"/>
  </r>
  <r>
    <s v="019"/>
    <x v="0"/>
    <x v="2"/>
    <x v="1"/>
    <n v="362"/>
    <n v="416468.43860000005"/>
  </r>
  <r>
    <s v="020"/>
    <x v="0"/>
    <x v="3"/>
    <x v="1"/>
    <n v="377"/>
    <n v="433725.41810000001"/>
  </r>
  <r>
    <s v="021"/>
    <x v="1"/>
    <x v="0"/>
    <x v="1"/>
    <n v="261"/>
    <n v="300271.44330000004"/>
  </r>
  <r>
    <s v="022"/>
    <x v="1"/>
    <x v="1"/>
    <x v="1"/>
    <n v="349"/>
    <n v="401512.3897"/>
  </r>
  <r>
    <s v="023"/>
    <x v="1"/>
    <x v="2"/>
    <x v="1"/>
    <n v="400"/>
    <n v="460186.12000000005"/>
  </r>
  <r>
    <s v="024"/>
    <x v="1"/>
    <x v="3"/>
    <x v="1"/>
    <n v="416"/>
    <n v="478593.56480000005"/>
  </r>
  <r>
    <s v="025"/>
    <x v="2"/>
    <x v="0"/>
    <x v="1"/>
    <n v="247"/>
    <n v="284164.92910000001"/>
  </r>
  <r>
    <s v="026"/>
    <x v="2"/>
    <x v="1"/>
    <x v="1"/>
    <n v="230"/>
    <n v="264607.01900000003"/>
  </r>
  <r>
    <s v="027"/>
    <x v="2"/>
    <x v="2"/>
    <x v="1"/>
    <n v="285"/>
    <n v="327882.61050000001"/>
  </r>
  <r>
    <s v="028"/>
    <x v="2"/>
    <x v="3"/>
    <x v="1"/>
    <n v="293"/>
    <n v="337086.33290000004"/>
  </r>
  <r>
    <s v="029"/>
    <x v="3"/>
    <x v="0"/>
    <x v="1"/>
    <n v="336"/>
    <n v="386556.34080000001"/>
  </r>
  <r>
    <s v="030"/>
    <x v="3"/>
    <x v="1"/>
    <x v="1"/>
    <n v="315"/>
    <n v="362396.56950000004"/>
  </r>
  <r>
    <s v="031"/>
    <x v="3"/>
    <x v="2"/>
    <x v="1"/>
    <n v="357"/>
    <n v="410716.11210000003"/>
  </r>
  <r>
    <s v="032"/>
    <x v="3"/>
    <x v="3"/>
    <x v="1"/>
    <n v="377"/>
    <n v="433725.41810000001"/>
  </r>
  <r>
    <s v="033"/>
    <x v="0"/>
    <x v="0"/>
    <x v="2"/>
    <n v="538"/>
    <n v="58935.801800000001"/>
  </r>
  <r>
    <s v="034"/>
    <x v="0"/>
    <x v="1"/>
    <x v="2"/>
    <n v="565"/>
    <n v="61893.546499999997"/>
  </r>
  <r>
    <s v="035"/>
    <x v="0"/>
    <x v="2"/>
    <x v="2"/>
    <n v="566"/>
    <n v="62003.092599999996"/>
  </r>
  <r>
    <s v="036"/>
    <x v="0"/>
    <x v="3"/>
    <x v="2"/>
    <n v="750"/>
    <n v="82159.574999999997"/>
  </r>
  <r>
    <s v="037"/>
    <x v="1"/>
    <x v="0"/>
    <x v="2"/>
    <n v="586"/>
    <n v="64194.014599999995"/>
  </r>
  <r>
    <s v="038"/>
    <x v="1"/>
    <x v="1"/>
    <x v="2"/>
    <n v="643"/>
    <n v="70438.142299999992"/>
  </r>
  <r>
    <s v="039"/>
    <x v="1"/>
    <x v="2"/>
    <x v="2"/>
    <n v="582"/>
    <n v="63755.830199999997"/>
  </r>
  <r>
    <s v="040"/>
    <x v="1"/>
    <x v="3"/>
    <x v="2"/>
    <n v="733"/>
    <n v="80297.291299999997"/>
  </r>
  <r>
    <s v="041"/>
    <x v="2"/>
    <x v="0"/>
    <x v="2"/>
    <n v="516"/>
    <n v="56525.787599999996"/>
  </r>
  <r>
    <s v="042"/>
    <x v="2"/>
    <x v="1"/>
    <x v="2"/>
    <n v="748"/>
    <n v="81940.482799999998"/>
  </r>
  <r>
    <s v="043"/>
    <x v="2"/>
    <x v="2"/>
    <x v="2"/>
    <n v="654"/>
    <n v="71643.149399999995"/>
  </r>
  <r>
    <s v="044"/>
    <x v="2"/>
    <x v="3"/>
    <x v="2"/>
    <n v="700"/>
    <n v="76682.27"/>
  </r>
  <r>
    <s v="045"/>
    <x v="3"/>
    <x v="0"/>
    <x v="2"/>
    <n v="648"/>
    <n v="70985.872799999997"/>
  </r>
  <r>
    <s v="046"/>
    <x v="3"/>
    <x v="1"/>
    <x v="2"/>
    <n v="619"/>
    <n v="67809.035900000003"/>
  </r>
  <r>
    <s v="047"/>
    <x v="3"/>
    <x v="2"/>
    <x v="2"/>
    <n v="509"/>
    <n v="55758.964899999999"/>
  </r>
  <r>
    <s v="048"/>
    <x v="3"/>
    <x v="3"/>
    <x v="2"/>
    <n v="506"/>
    <n v="55430.3266"/>
  </r>
  <r>
    <s v="049"/>
    <x v="0"/>
    <x v="0"/>
    <x v="3"/>
    <n v="597"/>
    <n v="2717729.7864000001"/>
  </r>
  <r>
    <s v="050"/>
    <x v="0"/>
    <x v="1"/>
    <x v="3"/>
    <n v="502"/>
    <n v="2285260.2223999999"/>
  </r>
  <r>
    <s v="051"/>
    <x v="0"/>
    <x v="2"/>
    <x v="3"/>
    <n v="682"/>
    <n v="3104676.2384000001"/>
  </r>
  <r>
    <s v="052"/>
    <x v="0"/>
    <x v="3"/>
    <x v="3"/>
    <n v="712"/>
    <n v="3241245.5744000003"/>
  </r>
  <r>
    <s v="053"/>
    <x v="1"/>
    <x v="0"/>
    <x v="3"/>
    <n v="754"/>
    <n v="3432442.6447999999"/>
  </r>
  <r>
    <s v="054"/>
    <x v="1"/>
    <x v="1"/>
    <x v="3"/>
    <n v="527"/>
    <n v="2399068.0024000001"/>
  </r>
  <r>
    <s v="055"/>
    <x v="1"/>
    <x v="2"/>
    <x v="3"/>
    <n v="768"/>
    <n v="3496175.0016000001"/>
  </r>
  <r>
    <s v="056"/>
    <x v="1"/>
    <x v="3"/>
    <x v="3"/>
    <n v="798"/>
    <n v="3632744.3376000002"/>
  </r>
  <r>
    <s v="057"/>
    <x v="2"/>
    <x v="0"/>
    <x v="3"/>
    <n v="686"/>
    <n v="3122885.4832000001"/>
  </r>
  <r>
    <s v="058"/>
    <x v="2"/>
    <x v="1"/>
    <x v="3"/>
    <n v="531"/>
    <n v="2417277.2472000001"/>
  </r>
  <r>
    <s v="059"/>
    <x v="2"/>
    <x v="2"/>
    <x v="3"/>
    <n v="581"/>
    <n v="2644892.8072000002"/>
  </r>
  <r>
    <s v="060"/>
    <x v="2"/>
    <x v="3"/>
    <x v="3"/>
    <n v="711"/>
    <n v="3236693.2631999999"/>
  </r>
  <r>
    <s v="061"/>
    <x v="3"/>
    <x v="0"/>
    <x v="3"/>
    <n v="674"/>
    <n v="3068257.7488000002"/>
  </r>
  <r>
    <s v="062"/>
    <x v="3"/>
    <x v="1"/>
    <x v="3"/>
    <n v="553"/>
    <n v="2517428.0936000003"/>
  </r>
  <r>
    <s v="063"/>
    <x v="3"/>
    <x v="2"/>
    <x v="3"/>
    <n v="650"/>
    <n v="2959002.2800000003"/>
  </r>
  <r>
    <s v="064"/>
    <x v="3"/>
    <x v="3"/>
    <x v="3"/>
    <n v="766"/>
    <n v="3487070.3791999999"/>
  </r>
  <r>
    <s v="065"/>
    <x v="0"/>
    <x v="0"/>
    <x v="4"/>
    <n v="503"/>
    <n v="2289812.5336000002"/>
  </r>
  <r>
    <s v="066"/>
    <x v="0"/>
    <x v="1"/>
    <x v="4"/>
    <n v="443"/>
    <n v="2016673.8615999999"/>
  </r>
  <r>
    <s v="067"/>
    <x v="0"/>
    <x v="2"/>
    <x v="4"/>
    <n v="430"/>
    <n v="1957493.8160000001"/>
  </r>
  <r>
    <s v="068"/>
    <x v="0"/>
    <x v="3"/>
    <x v="4"/>
    <n v="585"/>
    <n v="2663102.0520000001"/>
  </r>
  <r>
    <s v="069"/>
    <x v="1"/>
    <x v="0"/>
    <x v="4"/>
    <n v="597"/>
    <n v="2717729.7864000001"/>
  </r>
  <r>
    <s v="070"/>
    <x v="1"/>
    <x v="1"/>
    <x v="4"/>
    <n v="510"/>
    <n v="2321678.7119999998"/>
  </r>
  <r>
    <s v="071"/>
    <x v="1"/>
    <x v="2"/>
    <x v="4"/>
    <n v="585"/>
    <n v="2663102.0520000001"/>
  </r>
  <r>
    <s v="072"/>
    <x v="1"/>
    <x v="3"/>
    <x v="4"/>
    <n v="590"/>
    <n v="2685863.608"/>
  </r>
  <r>
    <s v="073"/>
    <x v="2"/>
    <x v="0"/>
    <x v="4"/>
    <n v="500"/>
    <n v="2276155.6"/>
  </r>
  <r>
    <s v="074"/>
    <x v="2"/>
    <x v="1"/>
    <x v="4"/>
    <n v="428"/>
    <n v="1948389.1936000001"/>
  </r>
  <r>
    <s v="075"/>
    <x v="2"/>
    <x v="2"/>
    <x v="4"/>
    <n v="548"/>
    <n v="2494666.5375999999"/>
  </r>
  <r>
    <s v="076"/>
    <x v="2"/>
    <x v="3"/>
    <x v="4"/>
    <n v="597"/>
    <n v="2717729.7864000001"/>
  </r>
  <r>
    <s v="077"/>
    <x v="3"/>
    <x v="0"/>
    <x v="4"/>
    <n v="406"/>
    <n v="1848238.3472"/>
  </r>
  <r>
    <s v="078"/>
    <x v="3"/>
    <x v="1"/>
    <x v="4"/>
    <n v="424"/>
    <n v="1930179.9488000001"/>
  </r>
  <r>
    <s v="079"/>
    <x v="3"/>
    <x v="2"/>
    <x v="4"/>
    <n v="462"/>
    <n v="2103167.7744"/>
  </r>
  <r>
    <s v="080"/>
    <x v="3"/>
    <x v="3"/>
    <x v="4"/>
    <n v="577"/>
    <n v="2626683.5624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4" minRefreshableVersion="3" createdVersion="4" useAutoFormatting="1" indent="0" outline="1" outlineData="1" showDrill="1" multipleFieldFilters="0" chartFormat="1">
  <location ref="M3:R9" firstHeaderRow="1" firstDataRow="2" firstDataCol="1" rowPageCount="1" colPageCount="1"/>
  <pivotFields count="6">
    <pivotField showAll="0"/>
    <pivotField axis="axisRow" showAll="0">
      <items count="5">
        <item x="2"/>
        <item x="0"/>
        <item x="3"/>
        <item x="1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Page" showAll="0">
      <items count="6">
        <item x="0"/>
        <item x="4"/>
        <item x="3"/>
        <item x="2"/>
        <item x="1"/>
        <item t="default"/>
      </items>
    </pivotField>
    <pivotField showAll="0"/>
    <pivotField dataField="1" numFmtId="176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3" item="0"/>
  </pageFields>
  <dataFields count="1">
    <dataField name="求和项:销售额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3"/>
  <sheetViews>
    <sheetView tabSelected="1" workbookViewId="0">
      <selection activeCell="G12" sqref="G12"/>
    </sheetView>
  </sheetViews>
  <sheetFormatPr defaultColWidth="9" defaultRowHeight="13.5"/>
  <cols>
    <col min="1" max="6" width="12.625" customWidth="1"/>
    <col min="11" max="11" width="21.25" customWidth="1"/>
    <col min="13" max="13" width="15.375" customWidth="1"/>
    <col min="14" max="16" width="14.5" customWidth="1"/>
    <col min="17" max="17" width="12.75" customWidth="1"/>
    <col min="18" max="18" width="14.5" customWidth="1"/>
  </cols>
  <sheetData>
    <row r="1" ht="20" customHeight="1" spans="1:14">
      <c r="A1" s="1" t="s">
        <v>0</v>
      </c>
      <c r="B1" s="1"/>
      <c r="C1" s="1"/>
      <c r="D1" s="1"/>
      <c r="E1" s="1"/>
      <c r="F1" s="1"/>
      <c r="M1" t="s">
        <v>1</v>
      </c>
      <c r="N1" t="s">
        <v>2</v>
      </c>
    </row>
    <row r="3" ht="14.25" spans="1:14">
      <c r="A3" s="2" t="s">
        <v>3</v>
      </c>
      <c r="B3" s="2" t="s">
        <v>4</v>
      </c>
      <c r="C3" s="2" t="s">
        <v>5</v>
      </c>
      <c r="D3" s="2" t="s">
        <v>1</v>
      </c>
      <c r="E3" s="2" t="s">
        <v>6</v>
      </c>
      <c r="F3" s="2" t="s">
        <v>7</v>
      </c>
      <c r="J3" s="5" t="s">
        <v>1</v>
      </c>
      <c r="K3" s="6" t="s">
        <v>8</v>
      </c>
      <c r="M3" t="s">
        <v>9</v>
      </c>
      <c r="N3" t="s">
        <v>10</v>
      </c>
    </row>
    <row r="4" customHeight="1" spans="1:18">
      <c r="A4" s="3" t="s">
        <v>11</v>
      </c>
      <c r="B4" s="2" t="s">
        <v>12</v>
      </c>
      <c r="C4" s="2" t="s">
        <v>13</v>
      </c>
      <c r="D4" s="2" t="s">
        <v>2</v>
      </c>
      <c r="E4" s="2">
        <v>200</v>
      </c>
      <c r="F4" s="4">
        <f>E4*VLOOKUP(D4,$J$4:$K$8,2,0)</f>
        <v>910462.24</v>
      </c>
      <c r="J4" s="7" t="s">
        <v>2</v>
      </c>
      <c r="K4" s="8">
        <v>4552.3112</v>
      </c>
      <c r="M4" t="s">
        <v>14</v>
      </c>
      <c r="N4" t="s">
        <v>13</v>
      </c>
      <c r="O4" t="s">
        <v>15</v>
      </c>
      <c r="P4" t="s">
        <v>16</v>
      </c>
      <c r="Q4" t="s">
        <v>17</v>
      </c>
      <c r="R4" t="s">
        <v>18</v>
      </c>
    </row>
    <row r="5" spans="1:18">
      <c r="A5" s="3" t="s">
        <v>19</v>
      </c>
      <c r="B5" s="2" t="s">
        <v>12</v>
      </c>
      <c r="C5" s="2" t="s">
        <v>15</v>
      </c>
      <c r="D5" s="2" t="s">
        <v>2</v>
      </c>
      <c r="E5" s="2">
        <v>150</v>
      </c>
      <c r="F5" s="4">
        <f t="shared" ref="F5:F68" si="0">E5*VLOOKUP(D5,$J$4:$K$8,2,0)</f>
        <v>682846.68</v>
      </c>
      <c r="J5" s="9" t="s">
        <v>20</v>
      </c>
      <c r="K5" s="10">
        <v>3861.2253</v>
      </c>
      <c r="M5" s="11" t="s">
        <v>21</v>
      </c>
      <c r="N5">
        <v>819416.016</v>
      </c>
      <c r="O5">
        <v>637323.568</v>
      </c>
      <c r="P5">
        <v>1001508.464</v>
      </c>
      <c r="Q5">
        <v>1274647.136</v>
      </c>
      <c r="R5">
        <v>3732895.184</v>
      </c>
    </row>
    <row r="6" spans="1:18">
      <c r="A6" s="3" t="s">
        <v>22</v>
      </c>
      <c r="B6" s="2" t="s">
        <v>12</v>
      </c>
      <c r="C6" s="2" t="s">
        <v>16</v>
      </c>
      <c r="D6" s="2" t="s">
        <v>2</v>
      </c>
      <c r="E6" s="2">
        <v>250</v>
      </c>
      <c r="F6" s="4">
        <f t="shared" si="0"/>
        <v>1138077.8</v>
      </c>
      <c r="J6" s="12" t="s">
        <v>23</v>
      </c>
      <c r="K6" s="13">
        <v>109.5461</v>
      </c>
      <c r="M6" s="11" t="s">
        <v>12</v>
      </c>
      <c r="N6">
        <v>910462.24</v>
      </c>
      <c r="O6">
        <v>682846.68</v>
      </c>
      <c r="P6">
        <v>1138077.8</v>
      </c>
      <c r="Q6">
        <v>1365693.36</v>
      </c>
      <c r="R6">
        <v>4097080.08</v>
      </c>
    </row>
    <row r="7" spans="1:18">
      <c r="A7" s="3" t="s">
        <v>24</v>
      </c>
      <c r="B7" s="2" t="s">
        <v>12</v>
      </c>
      <c r="C7" s="2" t="s">
        <v>17</v>
      </c>
      <c r="D7" s="2" t="s">
        <v>2</v>
      </c>
      <c r="E7" s="2">
        <v>300</v>
      </c>
      <c r="F7" s="4">
        <f t="shared" si="0"/>
        <v>1365693.36</v>
      </c>
      <c r="J7" s="9" t="s">
        <v>25</v>
      </c>
      <c r="K7" s="10">
        <v>175.3987</v>
      </c>
      <c r="M7" s="11" t="s">
        <v>26</v>
      </c>
      <c r="N7">
        <v>955985.352</v>
      </c>
      <c r="O7">
        <v>773892.904</v>
      </c>
      <c r="P7">
        <v>1183600.912</v>
      </c>
      <c r="Q7">
        <v>1456739.584</v>
      </c>
      <c r="R7">
        <v>4370218.752</v>
      </c>
    </row>
    <row r="8" spans="1:18">
      <c r="A8" s="3" t="s">
        <v>27</v>
      </c>
      <c r="B8" s="2" t="s">
        <v>28</v>
      </c>
      <c r="C8" s="2" t="s">
        <v>13</v>
      </c>
      <c r="D8" s="2" t="s">
        <v>2</v>
      </c>
      <c r="E8" s="2">
        <v>230</v>
      </c>
      <c r="F8" s="4">
        <f t="shared" si="0"/>
        <v>1047031.576</v>
      </c>
      <c r="J8" s="12" t="s">
        <v>29</v>
      </c>
      <c r="K8" s="13">
        <v>1150.4653</v>
      </c>
      <c r="M8" s="11" t="s">
        <v>28</v>
      </c>
      <c r="N8">
        <v>1047031.576</v>
      </c>
      <c r="O8">
        <v>819416.016</v>
      </c>
      <c r="P8">
        <v>1320170.248</v>
      </c>
      <c r="Q8">
        <v>1593308.92</v>
      </c>
      <c r="R8">
        <v>4779926.76</v>
      </c>
    </row>
    <row r="9" spans="1:18">
      <c r="A9" s="3" t="s">
        <v>30</v>
      </c>
      <c r="B9" s="2" t="s">
        <v>28</v>
      </c>
      <c r="C9" s="2" t="s">
        <v>15</v>
      </c>
      <c r="D9" s="2" t="s">
        <v>2</v>
      </c>
      <c r="E9" s="2">
        <v>180</v>
      </c>
      <c r="F9" s="4">
        <f t="shared" si="0"/>
        <v>819416.016</v>
      </c>
      <c r="M9" s="11" t="s">
        <v>18</v>
      </c>
      <c r="N9">
        <v>3732895.184</v>
      </c>
      <c r="O9">
        <v>2913479.168</v>
      </c>
      <c r="P9">
        <v>4643357.424</v>
      </c>
      <c r="Q9">
        <v>5690389</v>
      </c>
      <c r="R9">
        <v>16980120.776</v>
      </c>
    </row>
    <row r="10" spans="1:6">
      <c r="A10" s="3" t="s">
        <v>31</v>
      </c>
      <c r="B10" s="2" t="s">
        <v>28</v>
      </c>
      <c r="C10" s="2" t="s">
        <v>16</v>
      </c>
      <c r="D10" s="2" t="s">
        <v>2</v>
      </c>
      <c r="E10" s="2">
        <v>290</v>
      </c>
      <c r="F10" s="4">
        <f t="shared" si="0"/>
        <v>1320170.248</v>
      </c>
    </row>
    <row r="11" spans="1:6">
      <c r="A11" s="3" t="s">
        <v>32</v>
      </c>
      <c r="B11" s="2" t="s">
        <v>28</v>
      </c>
      <c r="C11" s="2" t="s">
        <v>17</v>
      </c>
      <c r="D11" s="2" t="s">
        <v>2</v>
      </c>
      <c r="E11" s="2">
        <v>350</v>
      </c>
      <c r="F11" s="4">
        <f t="shared" si="0"/>
        <v>1593308.92</v>
      </c>
    </row>
    <row r="12" spans="1:6">
      <c r="A12" s="3" t="s">
        <v>33</v>
      </c>
      <c r="B12" s="2" t="s">
        <v>21</v>
      </c>
      <c r="C12" s="2" t="s">
        <v>13</v>
      </c>
      <c r="D12" s="2" t="s">
        <v>2</v>
      </c>
      <c r="E12" s="2">
        <v>180</v>
      </c>
      <c r="F12" s="4">
        <f t="shared" si="0"/>
        <v>819416.016</v>
      </c>
    </row>
    <row r="13" spans="1:6">
      <c r="A13" s="3" t="s">
        <v>34</v>
      </c>
      <c r="B13" s="2" t="s">
        <v>21</v>
      </c>
      <c r="C13" s="2" t="s">
        <v>15</v>
      </c>
      <c r="D13" s="2" t="s">
        <v>2</v>
      </c>
      <c r="E13" s="2">
        <v>140</v>
      </c>
      <c r="F13" s="4">
        <f t="shared" si="0"/>
        <v>637323.568</v>
      </c>
    </row>
    <row r="14" spans="1:6">
      <c r="A14" s="3" t="s">
        <v>35</v>
      </c>
      <c r="B14" s="2" t="s">
        <v>21</v>
      </c>
      <c r="C14" s="2" t="s">
        <v>16</v>
      </c>
      <c r="D14" s="2" t="s">
        <v>2</v>
      </c>
      <c r="E14" s="2">
        <v>220</v>
      </c>
      <c r="F14" s="4">
        <f t="shared" si="0"/>
        <v>1001508.464</v>
      </c>
    </row>
    <row r="15" spans="1:6">
      <c r="A15" s="3" t="s">
        <v>36</v>
      </c>
      <c r="B15" s="2" t="s">
        <v>21</v>
      </c>
      <c r="C15" s="2" t="s">
        <v>17</v>
      </c>
      <c r="D15" s="2" t="s">
        <v>2</v>
      </c>
      <c r="E15" s="2">
        <v>280</v>
      </c>
      <c r="F15" s="4">
        <f t="shared" si="0"/>
        <v>1274647.136</v>
      </c>
    </row>
    <row r="16" spans="1:6">
      <c r="A16" s="3" t="s">
        <v>37</v>
      </c>
      <c r="B16" s="2" t="s">
        <v>26</v>
      </c>
      <c r="C16" s="2" t="s">
        <v>13</v>
      </c>
      <c r="D16" s="2" t="s">
        <v>2</v>
      </c>
      <c r="E16" s="2">
        <v>210</v>
      </c>
      <c r="F16" s="4">
        <f t="shared" si="0"/>
        <v>955985.352</v>
      </c>
    </row>
    <row r="17" spans="1:6">
      <c r="A17" s="3" t="s">
        <v>38</v>
      </c>
      <c r="B17" s="2" t="s">
        <v>26</v>
      </c>
      <c r="C17" s="2" t="s">
        <v>15</v>
      </c>
      <c r="D17" s="2" t="s">
        <v>2</v>
      </c>
      <c r="E17" s="2">
        <v>170</v>
      </c>
      <c r="F17" s="4">
        <f t="shared" si="0"/>
        <v>773892.904</v>
      </c>
    </row>
    <row r="18" spans="1:6">
      <c r="A18" s="3" t="s">
        <v>39</v>
      </c>
      <c r="B18" s="2" t="s">
        <v>26</v>
      </c>
      <c r="C18" s="2" t="s">
        <v>16</v>
      </c>
      <c r="D18" s="2" t="s">
        <v>2</v>
      </c>
      <c r="E18" s="2">
        <v>260</v>
      </c>
      <c r="F18" s="4">
        <f t="shared" si="0"/>
        <v>1183600.912</v>
      </c>
    </row>
    <row r="19" spans="1:6">
      <c r="A19" s="3" t="s">
        <v>40</v>
      </c>
      <c r="B19" s="2" t="s">
        <v>26</v>
      </c>
      <c r="C19" s="2" t="s">
        <v>17</v>
      </c>
      <c r="D19" s="2" t="s">
        <v>2</v>
      </c>
      <c r="E19" s="2">
        <v>320</v>
      </c>
      <c r="F19" s="4">
        <f t="shared" si="0"/>
        <v>1456739.584</v>
      </c>
    </row>
    <row r="20" spans="1:6">
      <c r="A20" s="3" t="s">
        <v>41</v>
      </c>
      <c r="B20" s="2" t="s">
        <v>12</v>
      </c>
      <c r="C20" s="2" t="s">
        <v>13</v>
      </c>
      <c r="D20" s="2" t="s">
        <v>20</v>
      </c>
      <c r="E20" s="2">
        <v>260</v>
      </c>
      <c r="F20" s="4">
        <f t="shared" si="0"/>
        <v>1003918.578</v>
      </c>
    </row>
    <row r="21" spans="1:6">
      <c r="A21" s="3" t="s">
        <v>42</v>
      </c>
      <c r="B21" s="2" t="s">
        <v>12</v>
      </c>
      <c r="C21" s="2" t="s">
        <v>15</v>
      </c>
      <c r="D21" s="2" t="s">
        <v>20</v>
      </c>
      <c r="E21" s="2">
        <v>243</v>
      </c>
      <c r="F21" s="4">
        <f t="shared" si="0"/>
        <v>938277.7479</v>
      </c>
    </row>
    <row r="22" spans="1:6">
      <c r="A22" s="3" t="s">
        <v>43</v>
      </c>
      <c r="B22" s="2" t="s">
        <v>12</v>
      </c>
      <c r="C22" s="2" t="s">
        <v>16</v>
      </c>
      <c r="D22" s="2" t="s">
        <v>20</v>
      </c>
      <c r="E22" s="2">
        <v>362</v>
      </c>
      <c r="F22" s="4">
        <f t="shared" si="0"/>
        <v>1397763.5586</v>
      </c>
    </row>
    <row r="23" spans="1:6">
      <c r="A23" s="3" t="s">
        <v>44</v>
      </c>
      <c r="B23" s="2" t="s">
        <v>12</v>
      </c>
      <c r="C23" s="2" t="s">
        <v>17</v>
      </c>
      <c r="D23" s="2" t="s">
        <v>20</v>
      </c>
      <c r="E23" s="2">
        <v>377</v>
      </c>
      <c r="F23" s="4">
        <f t="shared" si="0"/>
        <v>1455681.9381</v>
      </c>
    </row>
    <row r="24" spans="1:6">
      <c r="A24" s="3" t="s">
        <v>45</v>
      </c>
      <c r="B24" s="2" t="s">
        <v>28</v>
      </c>
      <c r="C24" s="2" t="s">
        <v>13</v>
      </c>
      <c r="D24" s="2" t="s">
        <v>20</v>
      </c>
      <c r="E24" s="2">
        <v>261</v>
      </c>
      <c r="F24" s="4">
        <f t="shared" si="0"/>
        <v>1007779.8033</v>
      </c>
    </row>
    <row r="25" spans="1:6">
      <c r="A25" s="3" t="s">
        <v>46</v>
      </c>
      <c r="B25" s="2" t="s">
        <v>28</v>
      </c>
      <c r="C25" s="2" t="s">
        <v>15</v>
      </c>
      <c r="D25" s="2" t="s">
        <v>20</v>
      </c>
      <c r="E25" s="2">
        <v>349</v>
      </c>
      <c r="F25" s="4">
        <f t="shared" si="0"/>
        <v>1347567.6297</v>
      </c>
    </row>
    <row r="26" spans="1:6">
      <c r="A26" s="3" t="s">
        <v>47</v>
      </c>
      <c r="B26" s="2" t="s">
        <v>28</v>
      </c>
      <c r="C26" s="2" t="s">
        <v>16</v>
      </c>
      <c r="D26" s="2" t="s">
        <v>20</v>
      </c>
      <c r="E26" s="2">
        <v>400</v>
      </c>
      <c r="F26" s="4">
        <f t="shared" si="0"/>
        <v>1544490.12</v>
      </c>
    </row>
    <row r="27" spans="1:6">
      <c r="A27" s="3" t="s">
        <v>48</v>
      </c>
      <c r="B27" s="2" t="s">
        <v>28</v>
      </c>
      <c r="C27" s="2" t="s">
        <v>17</v>
      </c>
      <c r="D27" s="2" t="s">
        <v>20</v>
      </c>
      <c r="E27" s="2">
        <v>416</v>
      </c>
      <c r="F27" s="4">
        <f t="shared" si="0"/>
        <v>1606269.7248</v>
      </c>
    </row>
    <row r="28" spans="1:6">
      <c r="A28" s="3" t="s">
        <v>49</v>
      </c>
      <c r="B28" s="2" t="s">
        <v>21</v>
      </c>
      <c r="C28" s="2" t="s">
        <v>13</v>
      </c>
      <c r="D28" s="2" t="s">
        <v>20</v>
      </c>
      <c r="E28" s="2">
        <v>247</v>
      </c>
      <c r="F28" s="4">
        <f t="shared" si="0"/>
        <v>953722.6491</v>
      </c>
    </row>
    <row r="29" spans="1:6">
      <c r="A29" s="3" t="s">
        <v>50</v>
      </c>
      <c r="B29" s="2" t="s">
        <v>21</v>
      </c>
      <c r="C29" s="2" t="s">
        <v>15</v>
      </c>
      <c r="D29" s="2" t="s">
        <v>20</v>
      </c>
      <c r="E29" s="2">
        <v>230</v>
      </c>
      <c r="F29" s="4">
        <f t="shared" si="0"/>
        <v>888081.819</v>
      </c>
    </row>
    <row r="30" spans="1:6">
      <c r="A30" s="3" t="s">
        <v>51</v>
      </c>
      <c r="B30" s="2" t="s">
        <v>21</v>
      </c>
      <c r="C30" s="2" t="s">
        <v>16</v>
      </c>
      <c r="D30" s="2" t="s">
        <v>20</v>
      </c>
      <c r="E30" s="2">
        <v>285</v>
      </c>
      <c r="F30" s="4">
        <f t="shared" si="0"/>
        <v>1100449.2105</v>
      </c>
    </row>
    <row r="31" spans="1:6">
      <c r="A31" s="3" t="s">
        <v>52</v>
      </c>
      <c r="B31" s="2" t="s">
        <v>21</v>
      </c>
      <c r="C31" s="2" t="s">
        <v>17</v>
      </c>
      <c r="D31" s="2" t="s">
        <v>20</v>
      </c>
      <c r="E31" s="2">
        <v>293</v>
      </c>
      <c r="F31" s="4">
        <f t="shared" si="0"/>
        <v>1131339.0129</v>
      </c>
    </row>
    <row r="32" spans="1:6">
      <c r="A32" s="3" t="s">
        <v>53</v>
      </c>
      <c r="B32" s="2" t="s">
        <v>26</v>
      </c>
      <c r="C32" s="2" t="s">
        <v>13</v>
      </c>
      <c r="D32" s="2" t="s">
        <v>20</v>
      </c>
      <c r="E32" s="2">
        <v>336</v>
      </c>
      <c r="F32" s="4">
        <f t="shared" si="0"/>
        <v>1297371.7008</v>
      </c>
    </row>
    <row r="33" spans="1:6">
      <c r="A33" s="3" t="s">
        <v>54</v>
      </c>
      <c r="B33" s="2" t="s">
        <v>26</v>
      </c>
      <c r="C33" s="2" t="s">
        <v>15</v>
      </c>
      <c r="D33" s="2" t="s">
        <v>20</v>
      </c>
      <c r="E33" s="2">
        <v>315</v>
      </c>
      <c r="F33" s="4">
        <f t="shared" si="0"/>
        <v>1216285.9695</v>
      </c>
    </row>
    <row r="34" spans="1:6">
      <c r="A34" s="3" t="s">
        <v>55</v>
      </c>
      <c r="B34" s="2" t="s">
        <v>26</v>
      </c>
      <c r="C34" s="2" t="s">
        <v>16</v>
      </c>
      <c r="D34" s="2" t="s">
        <v>20</v>
      </c>
      <c r="E34" s="2">
        <v>357</v>
      </c>
      <c r="F34" s="4">
        <f t="shared" si="0"/>
        <v>1378457.4321</v>
      </c>
    </row>
    <row r="35" spans="1:6">
      <c r="A35" s="3" t="s">
        <v>56</v>
      </c>
      <c r="B35" s="2" t="s">
        <v>26</v>
      </c>
      <c r="C35" s="2" t="s">
        <v>17</v>
      </c>
      <c r="D35" s="2" t="s">
        <v>20</v>
      </c>
      <c r="E35" s="2">
        <v>377</v>
      </c>
      <c r="F35" s="4">
        <f t="shared" si="0"/>
        <v>1455681.9381</v>
      </c>
    </row>
    <row r="36" spans="1:6">
      <c r="A36" s="3" t="s">
        <v>57</v>
      </c>
      <c r="B36" s="2" t="s">
        <v>12</v>
      </c>
      <c r="C36" s="2" t="s">
        <v>13</v>
      </c>
      <c r="D36" s="2" t="s">
        <v>23</v>
      </c>
      <c r="E36" s="2">
        <v>538</v>
      </c>
      <c r="F36" s="4">
        <f t="shared" si="0"/>
        <v>58935.8018</v>
      </c>
    </row>
    <row r="37" spans="1:6">
      <c r="A37" s="3" t="s">
        <v>58</v>
      </c>
      <c r="B37" s="2" t="s">
        <v>12</v>
      </c>
      <c r="C37" s="2" t="s">
        <v>15</v>
      </c>
      <c r="D37" s="2" t="s">
        <v>23</v>
      </c>
      <c r="E37" s="2">
        <v>565</v>
      </c>
      <c r="F37" s="4">
        <f t="shared" si="0"/>
        <v>61893.5465</v>
      </c>
    </row>
    <row r="38" spans="1:6">
      <c r="A38" s="3" t="s">
        <v>59</v>
      </c>
      <c r="B38" s="2" t="s">
        <v>12</v>
      </c>
      <c r="C38" s="2" t="s">
        <v>16</v>
      </c>
      <c r="D38" s="2" t="s">
        <v>23</v>
      </c>
      <c r="E38" s="2">
        <v>566</v>
      </c>
      <c r="F38" s="4">
        <f t="shared" si="0"/>
        <v>62003.0926</v>
      </c>
    </row>
    <row r="39" spans="1:6">
      <c r="A39" s="3" t="s">
        <v>60</v>
      </c>
      <c r="B39" s="2" t="s">
        <v>12</v>
      </c>
      <c r="C39" s="2" t="s">
        <v>17</v>
      </c>
      <c r="D39" s="2" t="s">
        <v>23</v>
      </c>
      <c r="E39" s="2">
        <v>750</v>
      </c>
      <c r="F39" s="4">
        <f t="shared" si="0"/>
        <v>82159.575</v>
      </c>
    </row>
    <row r="40" spans="1:6">
      <c r="A40" s="3" t="s">
        <v>61</v>
      </c>
      <c r="B40" s="2" t="s">
        <v>28</v>
      </c>
      <c r="C40" s="2" t="s">
        <v>13</v>
      </c>
      <c r="D40" s="2" t="s">
        <v>23</v>
      </c>
      <c r="E40" s="2">
        <v>586</v>
      </c>
      <c r="F40" s="4">
        <f t="shared" si="0"/>
        <v>64194.0146</v>
      </c>
    </row>
    <row r="41" spans="1:6">
      <c r="A41" s="3" t="s">
        <v>62</v>
      </c>
      <c r="B41" s="2" t="s">
        <v>28</v>
      </c>
      <c r="C41" s="2" t="s">
        <v>15</v>
      </c>
      <c r="D41" s="2" t="s">
        <v>23</v>
      </c>
      <c r="E41" s="2">
        <v>643</v>
      </c>
      <c r="F41" s="4">
        <f t="shared" si="0"/>
        <v>70438.1423</v>
      </c>
    </row>
    <row r="42" spans="1:6">
      <c r="A42" s="3" t="s">
        <v>63</v>
      </c>
      <c r="B42" s="2" t="s">
        <v>28</v>
      </c>
      <c r="C42" s="2" t="s">
        <v>16</v>
      </c>
      <c r="D42" s="2" t="s">
        <v>23</v>
      </c>
      <c r="E42" s="2">
        <v>582</v>
      </c>
      <c r="F42" s="4">
        <f t="shared" si="0"/>
        <v>63755.8302</v>
      </c>
    </row>
    <row r="43" spans="1:6">
      <c r="A43" s="3" t="s">
        <v>64</v>
      </c>
      <c r="B43" s="2" t="s">
        <v>28</v>
      </c>
      <c r="C43" s="2" t="s">
        <v>17</v>
      </c>
      <c r="D43" s="2" t="s">
        <v>23</v>
      </c>
      <c r="E43" s="2">
        <v>733</v>
      </c>
      <c r="F43" s="4">
        <f t="shared" si="0"/>
        <v>80297.2913</v>
      </c>
    </row>
    <row r="44" spans="1:6">
      <c r="A44" s="3" t="s">
        <v>65</v>
      </c>
      <c r="B44" s="2" t="s">
        <v>21</v>
      </c>
      <c r="C44" s="2" t="s">
        <v>13</v>
      </c>
      <c r="D44" s="2" t="s">
        <v>23</v>
      </c>
      <c r="E44" s="2">
        <v>516</v>
      </c>
      <c r="F44" s="4">
        <f t="shared" si="0"/>
        <v>56525.7876</v>
      </c>
    </row>
    <row r="45" spans="1:6">
      <c r="A45" s="3" t="s">
        <v>66</v>
      </c>
      <c r="B45" s="2" t="s">
        <v>21</v>
      </c>
      <c r="C45" s="2" t="s">
        <v>15</v>
      </c>
      <c r="D45" s="2" t="s">
        <v>23</v>
      </c>
      <c r="E45" s="2">
        <v>748</v>
      </c>
      <c r="F45" s="4">
        <f t="shared" si="0"/>
        <v>81940.4828</v>
      </c>
    </row>
    <row r="46" spans="1:6">
      <c r="A46" s="3" t="s">
        <v>67</v>
      </c>
      <c r="B46" s="2" t="s">
        <v>21</v>
      </c>
      <c r="C46" s="2" t="s">
        <v>16</v>
      </c>
      <c r="D46" s="2" t="s">
        <v>23</v>
      </c>
      <c r="E46" s="2">
        <v>654</v>
      </c>
      <c r="F46" s="4">
        <f t="shared" si="0"/>
        <v>71643.1494</v>
      </c>
    </row>
    <row r="47" spans="1:6">
      <c r="A47" s="3" t="s">
        <v>68</v>
      </c>
      <c r="B47" s="2" t="s">
        <v>21</v>
      </c>
      <c r="C47" s="2" t="s">
        <v>17</v>
      </c>
      <c r="D47" s="2" t="s">
        <v>23</v>
      </c>
      <c r="E47" s="2">
        <v>700</v>
      </c>
      <c r="F47" s="4">
        <f t="shared" si="0"/>
        <v>76682.27</v>
      </c>
    </row>
    <row r="48" spans="1:6">
      <c r="A48" s="3" t="s">
        <v>69</v>
      </c>
      <c r="B48" s="2" t="s">
        <v>26</v>
      </c>
      <c r="C48" s="2" t="s">
        <v>13</v>
      </c>
      <c r="D48" s="2" t="s">
        <v>23</v>
      </c>
      <c r="E48" s="2">
        <v>648</v>
      </c>
      <c r="F48" s="4">
        <f t="shared" si="0"/>
        <v>70985.8728</v>
      </c>
    </row>
    <row r="49" spans="1:6">
      <c r="A49" s="3" t="s">
        <v>70</v>
      </c>
      <c r="B49" s="2" t="s">
        <v>26</v>
      </c>
      <c r="C49" s="2" t="s">
        <v>15</v>
      </c>
      <c r="D49" s="2" t="s">
        <v>23</v>
      </c>
      <c r="E49" s="2">
        <v>619</v>
      </c>
      <c r="F49" s="4">
        <f t="shared" si="0"/>
        <v>67809.0359</v>
      </c>
    </row>
    <row r="50" spans="1:6">
      <c r="A50" s="3" t="s">
        <v>71</v>
      </c>
      <c r="B50" s="2" t="s">
        <v>26</v>
      </c>
      <c r="C50" s="2" t="s">
        <v>16</v>
      </c>
      <c r="D50" s="2" t="s">
        <v>23</v>
      </c>
      <c r="E50" s="2">
        <v>509</v>
      </c>
      <c r="F50" s="4">
        <f t="shared" si="0"/>
        <v>55758.9649</v>
      </c>
    </row>
    <row r="51" spans="1:6">
      <c r="A51" s="3" t="s">
        <v>72</v>
      </c>
      <c r="B51" s="2" t="s">
        <v>26</v>
      </c>
      <c r="C51" s="2" t="s">
        <v>17</v>
      </c>
      <c r="D51" s="2" t="s">
        <v>23</v>
      </c>
      <c r="E51" s="2">
        <v>506</v>
      </c>
      <c r="F51" s="4">
        <f t="shared" si="0"/>
        <v>55430.3266</v>
      </c>
    </row>
    <row r="52" spans="1:6">
      <c r="A52" s="3" t="s">
        <v>73</v>
      </c>
      <c r="B52" s="2" t="s">
        <v>12</v>
      </c>
      <c r="C52" s="2" t="s">
        <v>13</v>
      </c>
      <c r="D52" s="2" t="s">
        <v>25</v>
      </c>
      <c r="E52" s="2">
        <v>597</v>
      </c>
      <c r="F52" s="4">
        <f t="shared" si="0"/>
        <v>104713.0239</v>
      </c>
    </row>
    <row r="53" spans="1:6">
      <c r="A53" s="3" t="s">
        <v>74</v>
      </c>
      <c r="B53" s="2" t="s">
        <v>12</v>
      </c>
      <c r="C53" s="2" t="s">
        <v>15</v>
      </c>
      <c r="D53" s="2" t="s">
        <v>25</v>
      </c>
      <c r="E53" s="2">
        <v>502</v>
      </c>
      <c r="F53" s="4">
        <f t="shared" si="0"/>
        <v>88050.1474</v>
      </c>
    </row>
    <row r="54" spans="1:6">
      <c r="A54" s="3" t="s">
        <v>75</v>
      </c>
      <c r="B54" s="2" t="s">
        <v>12</v>
      </c>
      <c r="C54" s="2" t="s">
        <v>16</v>
      </c>
      <c r="D54" s="2" t="s">
        <v>25</v>
      </c>
      <c r="E54" s="2">
        <v>682</v>
      </c>
      <c r="F54" s="4">
        <f t="shared" si="0"/>
        <v>119621.9134</v>
      </c>
    </row>
    <row r="55" spans="1:6">
      <c r="A55" s="3" t="s">
        <v>76</v>
      </c>
      <c r="B55" s="2" t="s">
        <v>12</v>
      </c>
      <c r="C55" s="2" t="s">
        <v>17</v>
      </c>
      <c r="D55" s="2" t="s">
        <v>25</v>
      </c>
      <c r="E55" s="2">
        <v>712</v>
      </c>
      <c r="F55" s="4">
        <f t="shared" si="0"/>
        <v>124883.8744</v>
      </c>
    </row>
    <row r="56" spans="1:6">
      <c r="A56" s="3" t="s">
        <v>77</v>
      </c>
      <c r="B56" s="2" t="s">
        <v>28</v>
      </c>
      <c r="C56" s="2" t="s">
        <v>13</v>
      </c>
      <c r="D56" s="2" t="s">
        <v>25</v>
      </c>
      <c r="E56" s="2">
        <v>754</v>
      </c>
      <c r="F56" s="4">
        <f t="shared" si="0"/>
        <v>132250.6198</v>
      </c>
    </row>
    <row r="57" spans="1:6">
      <c r="A57" s="3" t="s">
        <v>78</v>
      </c>
      <c r="B57" s="2" t="s">
        <v>28</v>
      </c>
      <c r="C57" s="2" t="s">
        <v>15</v>
      </c>
      <c r="D57" s="2" t="s">
        <v>25</v>
      </c>
      <c r="E57" s="2">
        <v>527</v>
      </c>
      <c r="F57" s="4">
        <f t="shared" si="0"/>
        <v>92435.1149</v>
      </c>
    </row>
    <row r="58" spans="1:6">
      <c r="A58" s="3" t="s">
        <v>79</v>
      </c>
      <c r="B58" s="2" t="s">
        <v>28</v>
      </c>
      <c r="C58" s="2" t="s">
        <v>16</v>
      </c>
      <c r="D58" s="2" t="s">
        <v>25</v>
      </c>
      <c r="E58" s="2">
        <v>768</v>
      </c>
      <c r="F58" s="4">
        <f t="shared" si="0"/>
        <v>134706.2016</v>
      </c>
    </row>
    <row r="59" spans="1:6">
      <c r="A59" s="3" t="s">
        <v>80</v>
      </c>
      <c r="B59" s="2" t="s">
        <v>28</v>
      </c>
      <c r="C59" s="2" t="s">
        <v>17</v>
      </c>
      <c r="D59" s="2" t="s">
        <v>25</v>
      </c>
      <c r="E59" s="2">
        <v>798</v>
      </c>
      <c r="F59" s="4">
        <f t="shared" si="0"/>
        <v>139968.1626</v>
      </c>
    </row>
    <row r="60" spans="1:6">
      <c r="A60" s="3" t="s">
        <v>81</v>
      </c>
      <c r="B60" s="2" t="s">
        <v>21</v>
      </c>
      <c r="C60" s="2" t="s">
        <v>13</v>
      </c>
      <c r="D60" s="2" t="s">
        <v>25</v>
      </c>
      <c r="E60" s="2">
        <v>686</v>
      </c>
      <c r="F60" s="4">
        <f t="shared" si="0"/>
        <v>120323.5082</v>
      </c>
    </row>
    <row r="61" spans="1:6">
      <c r="A61" s="3" t="s">
        <v>82</v>
      </c>
      <c r="B61" s="2" t="s">
        <v>21</v>
      </c>
      <c r="C61" s="2" t="s">
        <v>15</v>
      </c>
      <c r="D61" s="2" t="s">
        <v>25</v>
      </c>
      <c r="E61" s="2">
        <v>531</v>
      </c>
      <c r="F61" s="4">
        <f t="shared" si="0"/>
        <v>93136.7097</v>
      </c>
    </row>
    <row r="62" spans="1:6">
      <c r="A62" s="3" t="s">
        <v>83</v>
      </c>
      <c r="B62" s="2" t="s">
        <v>21</v>
      </c>
      <c r="C62" s="2" t="s">
        <v>16</v>
      </c>
      <c r="D62" s="2" t="s">
        <v>25</v>
      </c>
      <c r="E62" s="2">
        <v>581</v>
      </c>
      <c r="F62" s="4">
        <f t="shared" si="0"/>
        <v>101906.6447</v>
      </c>
    </row>
    <row r="63" spans="1:6">
      <c r="A63" s="3" t="s">
        <v>84</v>
      </c>
      <c r="B63" s="2" t="s">
        <v>21</v>
      </c>
      <c r="C63" s="2" t="s">
        <v>17</v>
      </c>
      <c r="D63" s="2" t="s">
        <v>25</v>
      </c>
      <c r="E63" s="2">
        <v>711</v>
      </c>
      <c r="F63" s="4">
        <f t="shared" si="0"/>
        <v>124708.4757</v>
      </c>
    </row>
    <row r="64" spans="1:6">
      <c r="A64" s="3" t="s">
        <v>85</v>
      </c>
      <c r="B64" s="2" t="s">
        <v>26</v>
      </c>
      <c r="C64" s="2" t="s">
        <v>13</v>
      </c>
      <c r="D64" s="2" t="s">
        <v>25</v>
      </c>
      <c r="E64" s="2">
        <v>674</v>
      </c>
      <c r="F64" s="4">
        <f t="shared" si="0"/>
        <v>118218.7238</v>
      </c>
    </row>
    <row r="65" spans="1:6">
      <c r="A65" s="3" t="s">
        <v>86</v>
      </c>
      <c r="B65" s="2" t="s">
        <v>26</v>
      </c>
      <c r="C65" s="2" t="s">
        <v>15</v>
      </c>
      <c r="D65" s="2" t="s">
        <v>25</v>
      </c>
      <c r="E65" s="2">
        <v>553</v>
      </c>
      <c r="F65" s="4">
        <f t="shared" si="0"/>
        <v>96995.4811</v>
      </c>
    </row>
    <row r="66" spans="1:6">
      <c r="A66" s="3" t="s">
        <v>87</v>
      </c>
      <c r="B66" s="2" t="s">
        <v>26</v>
      </c>
      <c r="C66" s="2" t="s">
        <v>16</v>
      </c>
      <c r="D66" s="2" t="s">
        <v>25</v>
      </c>
      <c r="E66" s="2">
        <v>650</v>
      </c>
      <c r="F66" s="4">
        <f t="shared" si="0"/>
        <v>114009.155</v>
      </c>
    </row>
    <row r="67" spans="1:6">
      <c r="A67" s="3" t="s">
        <v>88</v>
      </c>
      <c r="B67" s="2" t="s">
        <v>26</v>
      </c>
      <c r="C67" s="2" t="s">
        <v>17</v>
      </c>
      <c r="D67" s="2" t="s">
        <v>25</v>
      </c>
      <c r="E67" s="2">
        <v>766</v>
      </c>
      <c r="F67" s="4">
        <f t="shared" si="0"/>
        <v>134355.4042</v>
      </c>
    </row>
    <row r="68" spans="1:6">
      <c r="A68" s="3" t="s">
        <v>89</v>
      </c>
      <c r="B68" s="2" t="s">
        <v>12</v>
      </c>
      <c r="C68" s="2" t="s">
        <v>13</v>
      </c>
      <c r="D68" s="2" t="s">
        <v>29</v>
      </c>
      <c r="E68" s="2">
        <v>503</v>
      </c>
      <c r="F68" s="4">
        <f t="shared" si="0"/>
        <v>578684.0459</v>
      </c>
    </row>
    <row r="69" spans="1:6">
      <c r="A69" s="3" t="s">
        <v>90</v>
      </c>
      <c r="B69" s="2" t="s">
        <v>12</v>
      </c>
      <c r="C69" s="2" t="s">
        <v>15</v>
      </c>
      <c r="D69" s="2" t="s">
        <v>29</v>
      </c>
      <c r="E69" s="2">
        <v>443</v>
      </c>
      <c r="F69" s="4">
        <f t="shared" ref="F69:F83" si="1">E69*VLOOKUP(D69,$J$4:$K$8,2,0)</f>
        <v>509656.1279</v>
      </c>
    </row>
    <row r="70" spans="1:6">
      <c r="A70" s="3" t="s">
        <v>91</v>
      </c>
      <c r="B70" s="2" t="s">
        <v>12</v>
      </c>
      <c r="C70" s="2" t="s">
        <v>16</v>
      </c>
      <c r="D70" s="2" t="s">
        <v>29</v>
      </c>
      <c r="E70" s="2">
        <v>430</v>
      </c>
      <c r="F70" s="4">
        <f t="shared" si="1"/>
        <v>494700.079</v>
      </c>
    </row>
    <row r="71" spans="1:6">
      <c r="A71" s="3" t="s">
        <v>92</v>
      </c>
      <c r="B71" s="2" t="s">
        <v>12</v>
      </c>
      <c r="C71" s="2" t="s">
        <v>17</v>
      </c>
      <c r="D71" s="2" t="s">
        <v>29</v>
      </c>
      <c r="E71" s="2">
        <v>585</v>
      </c>
      <c r="F71" s="4">
        <f t="shared" si="1"/>
        <v>673022.2005</v>
      </c>
    </row>
    <row r="72" spans="1:6">
      <c r="A72" s="3" t="s">
        <v>93</v>
      </c>
      <c r="B72" s="2" t="s">
        <v>28</v>
      </c>
      <c r="C72" s="2" t="s">
        <v>13</v>
      </c>
      <c r="D72" s="2" t="s">
        <v>29</v>
      </c>
      <c r="E72" s="2">
        <v>597</v>
      </c>
      <c r="F72" s="4">
        <f t="shared" si="1"/>
        <v>686827.7841</v>
      </c>
    </row>
    <row r="73" spans="1:6">
      <c r="A73" s="3" t="s">
        <v>94</v>
      </c>
      <c r="B73" s="2" t="s">
        <v>28</v>
      </c>
      <c r="C73" s="2" t="s">
        <v>15</v>
      </c>
      <c r="D73" s="2" t="s">
        <v>29</v>
      </c>
      <c r="E73" s="2">
        <v>510</v>
      </c>
      <c r="F73" s="4">
        <f t="shared" si="1"/>
        <v>586737.303</v>
      </c>
    </row>
    <row r="74" spans="1:6">
      <c r="A74" s="3" t="s">
        <v>95</v>
      </c>
      <c r="B74" s="2" t="s">
        <v>28</v>
      </c>
      <c r="C74" s="2" t="s">
        <v>16</v>
      </c>
      <c r="D74" s="2" t="s">
        <v>29</v>
      </c>
      <c r="E74" s="2">
        <v>585</v>
      </c>
      <c r="F74" s="4">
        <f t="shared" si="1"/>
        <v>673022.2005</v>
      </c>
    </row>
    <row r="75" spans="1:6">
      <c r="A75" s="3" t="s">
        <v>96</v>
      </c>
      <c r="B75" s="2" t="s">
        <v>28</v>
      </c>
      <c r="C75" s="2" t="s">
        <v>17</v>
      </c>
      <c r="D75" s="2" t="s">
        <v>29</v>
      </c>
      <c r="E75" s="2">
        <v>590</v>
      </c>
      <c r="F75" s="4">
        <f t="shared" si="1"/>
        <v>678774.527</v>
      </c>
    </row>
    <row r="76" spans="1:6">
      <c r="A76" s="3" t="s">
        <v>97</v>
      </c>
      <c r="B76" s="2" t="s">
        <v>21</v>
      </c>
      <c r="C76" s="2" t="s">
        <v>13</v>
      </c>
      <c r="D76" s="2" t="s">
        <v>29</v>
      </c>
      <c r="E76" s="2">
        <v>500</v>
      </c>
      <c r="F76" s="4">
        <f t="shared" si="1"/>
        <v>575232.65</v>
      </c>
    </row>
    <row r="77" spans="1:6">
      <c r="A77" s="3" t="s">
        <v>98</v>
      </c>
      <c r="B77" s="2" t="s">
        <v>21</v>
      </c>
      <c r="C77" s="2" t="s">
        <v>15</v>
      </c>
      <c r="D77" s="2" t="s">
        <v>29</v>
      </c>
      <c r="E77" s="2">
        <v>428</v>
      </c>
      <c r="F77" s="4">
        <f t="shared" si="1"/>
        <v>492399.1484</v>
      </c>
    </row>
    <row r="78" spans="1:6">
      <c r="A78" s="3" t="s">
        <v>99</v>
      </c>
      <c r="B78" s="2" t="s">
        <v>21</v>
      </c>
      <c r="C78" s="2" t="s">
        <v>16</v>
      </c>
      <c r="D78" s="2" t="s">
        <v>29</v>
      </c>
      <c r="E78" s="2">
        <v>548</v>
      </c>
      <c r="F78" s="4">
        <f t="shared" si="1"/>
        <v>630454.9844</v>
      </c>
    </row>
    <row r="79" spans="1:6">
      <c r="A79" s="3" t="s">
        <v>100</v>
      </c>
      <c r="B79" s="2" t="s">
        <v>21</v>
      </c>
      <c r="C79" s="2" t="s">
        <v>17</v>
      </c>
      <c r="D79" s="2" t="s">
        <v>29</v>
      </c>
      <c r="E79" s="2">
        <v>597</v>
      </c>
      <c r="F79" s="4">
        <f t="shared" si="1"/>
        <v>686827.7841</v>
      </c>
    </row>
    <row r="80" spans="1:6">
      <c r="A80" s="3" t="s">
        <v>101</v>
      </c>
      <c r="B80" s="2" t="s">
        <v>26</v>
      </c>
      <c r="C80" s="2" t="s">
        <v>13</v>
      </c>
      <c r="D80" s="2" t="s">
        <v>29</v>
      </c>
      <c r="E80" s="2">
        <v>406</v>
      </c>
      <c r="F80" s="4">
        <f t="shared" si="1"/>
        <v>467088.9118</v>
      </c>
    </row>
    <row r="81" spans="1:6">
      <c r="A81" s="3" t="s">
        <v>102</v>
      </c>
      <c r="B81" s="2" t="s">
        <v>26</v>
      </c>
      <c r="C81" s="2" t="s">
        <v>15</v>
      </c>
      <c r="D81" s="2" t="s">
        <v>29</v>
      </c>
      <c r="E81" s="2">
        <v>424</v>
      </c>
      <c r="F81" s="4">
        <f t="shared" si="1"/>
        <v>487797.2872</v>
      </c>
    </row>
    <row r="82" spans="1:6">
      <c r="A82" s="3" t="s">
        <v>103</v>
      </c>
      <c r="B82" s="2" t="s">
        <v>26</v>
      </c>
      <c r="C82" s="2" t="s">
        <v>16</v>
      </c>
      <c r="D82" s="2" t="s">
        <v>29</v>
      </c>
      <c r="E82" s="2">
        <v>462</v>
      </c>
      <c r="F82" s="4">
        <f t="shared" si="1"/>
        <v>531514.9686</v>
      </c>
    </row>
    <row r="83" spans="1:6">
      <c r="A83" s="3" t="s">
        <v>104</v>
      </c>
      <c r="B83" s="2" t="s">
        <v>26</v>
      </c>
      <c r="C83" s="2" t="s">
        <v>17</v>
      </c>
      <c r="D83" s="2" t="s">
        <v>29</v>
      </c>
      <c r="E83" s="2">
        <v>577</v>
      </c>
      <c r="F83" s="4">
        <f t="shared" si="1"/>
        <v>663818.4781</v>
      </c>
    </row>
  </sheetData>
  <mergeCells count="1">
    <mergeCell ref="A1:F1"/>
  </mergeCells>
  <pageMargins left="0.7" right="0.7" top="0.75" bottom="0.75" header="0.3" footer="0.3"/>
  <pageSetup paperSize="9" orientation="portrait" horizontalDpi="180" verticalDpi="18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jiyan</dc:creator>
  <cp:lastModifiedBy>zy</cp:lastModifiedBy>
  <dcterms:created xsi:type="dcterms:W3CDTF">2013-04-07T04:00:00Z</dcterms:created>
  <dcterms:modified xsi:type="dcterms:W3CDTF">2023-12-13T05:42:46Z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3DD4D0C2AFCF444DAF5A8598A5A8A688_12</vt:lpwstr>
  </property>
</Properties>
</file>
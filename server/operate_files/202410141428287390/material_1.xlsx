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Sheet1" sheetId="1" r:id="rId1"/>
    <sheet name="Sheet2" sheetId="2" r:id="rId2"/>
    <sheet name="门店业绩汇总表" sheetId="3" r:id="rId3"/>
  </sheets>
  <definedNames>
    <definedName name="_xlnm._FilterDatabase" localSheetId="0" hidden="1">Sheet1!$A$1:$H$50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<sst xmlns="http://schemas.openxmlformats.org/spreadsheetml/2006/main" count="139" uniqueCount="20">
  <si>
    <t>销售编号</t>
  </si>
  <si>
    <t>产品名称</t>
  </si>
  <si>
    <t>销售日期</t>
  </si>
  <si>
    <t>销售数量</t>
  </si>
  <si>
    <t>单价</t>
  </si>
  <si>
    <t>总金额</t>
  </si>
  <si>
    <t>销售门店</t>
  </si>
  <si>
    <t>华为MateBook 16</t>
  </si>
  <si>
    <t>门店A</t>
  </si>
  <si>
    <t>华为P60</t>
  </si>
  <si>
    <t>华为P50 Pro</t>
  </si>
  <si>
    <t>华为Watch GT3</t>
  </si>
  <si>
    <t>华为Mate 60</t>
  </si>
  <si>
    <t>华为P70</t>
  </si>
  <si>
    <t>门店B</t>
  </si>
  <si>
    <t>门店C</t>
  </si>
  <si>
    <t>业绩汇总</t>
  </si>
  <si>
    <t>产品</t>
  </si>
  <si>
    <t>总计</t>
  </si>
  <si>
    <t>平均值项:总金额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</si>
</sst>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_);[Red]\(&quot;￥&quot;#,##0.0\)"/>
  </numFmts>
  <fonts count="22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FF000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double">
        <color rgb="FFFF0000"/>
      </top>
      <bottom style="thin">
        <color rgb="FF0070C0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thin">
        <color rgb="FF0070C0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double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4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58" fontId="0" fillId="0" borderId="0" xfId="0" applyNumberForma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58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58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58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numFmt numFmtId="177" formatCode="&quot;￥&quot;#,##0.00_);[Red]\(&quot;￥&quot;#,##0.00\)"/>
    </dxf>
    <dxf>
      <numFmt numFmtId="178" formatCode="&quot;￥&quot;#,##0.00_);[Red]\(&quot;￥&quot;#,##0.00\)"/>
    </dxf>
    <dxf>
      <numFmt numFmtId="176" formatCode="&quot;￥&quot;#,##0.0_);[Red]\(&quot;￥&quot;#,##0.0\)"/>
    </dxf>
    <dxf>
      <numFmt numFmtId="176" formatCode="&quot;￥&quot;#,##0.0_);[Red]\(&quot;￥&quot;#,##0.0\)"/>
    </dxf>
    <dxf>
      <font>
        <color rgb="FF006100"/>
      </font>
      <fill>
        <patternFill patternType="solid">
          <bgColor rgb="FFC6EFCE"/>
        </patternFill>
      </fill>
    </dxf>
    <dxf>
      <font>
        <b val="1"/>
        <color theme="0"/>
      </font>
      <fill>
        <patternFill patternType="solid">
          <fgColor theme="4" tint="-0.249977111117893"/>
          <bgColor theme="4" tint="-0.249977111117893"/>
        </patternFill>
      </fill>
    </dxf>
    <dxf>
      <font>
        <b val="1"/>
        <color theme="0"/>
      </font>
    </dxf>
    <dxf>
      <font>
        <b val="1"/>
        <color theme="0"/>
      </font>
    </dxf>
    <dxf>
      <font>
        <b val="1"/>
        <color theme="0"/>
      </font>
    </dxf>
    <dxf>
      <font>
        <color theme="4" tint="0.799981688894314"/>
      </font>
    </dxf>
    <dxf>
      <font>
        <b val="1"/>
        <color theme="0"/>
      </font>
    </dxf>
    <dxf>
      <fill>
        <patternFill patternType="solid">
          <fgColor theme="4" tint="0.399975585192419"/>
          <bgColor theme="4" tint="0.399975585192419"/>
        </patternFill>
      </fill>
    </dxf>
    <dxf>
      <fill>
        <patternFill patternType="solid">
          <fgColor theme="4" tint="0.399975585192419"/>
          <bgColor theme="4" tint="0.399975585192419"/>
        </patternFill>
      </fill>
    </dxf>
    <dxf>
      <font>
        <b val="1"/>
        <color theme="0"/>
      </font>
      <fill>
        <patternFill patternType="solid">
          <fgColor theme="4" tint="-0.249977111117893"/>
          <bgColor theme="4" tint="-0.249977111117893"/>
        </patternFill>
      </fill>
    </dxf>
    <dxf>
      <font>
        <b val="1"/>
        <color theme="0"/>
      </font>
      <border>
        <top style="medium">
          <color theme="0"/>
        </top>
      </border>
    </dxf>
    <dxf>
      <fill>
        <patternFill patternType="solid">
          <fgColor theme="4" tint="-0.249977111117893"/>
          <bgColor theme="4" tint="-0.249977111117893"/>
        </patternFill>
      </fill>
      <border>
        <bottom style="medium">
          <color theme="0"/>
        </bottom>
      </border>
    </dxf>
    <dxf>
      <font>
        <color theme="4" tint="0.799981688894314"/>
      </font>
      <fill>
        <patternFill patternType="solid">
          <fgColor theme="4"/>
          <bgColor theme="4"/>
        </patternFill>
      </fill>
      <border>
        <vertical style="thin">
          <color theme="0"/>
        </vertical>
      </border>
    </dxf>
  </dxfs>
  <tableStyles count="1" defaultTableStyle="TableStyleMedium2" defaultPivotStyle="PivotStyleLight16">
    <tableStyle name="PivotStylePreset7_Accent1" table="0" count="12" xr9:uid="{AC3489A5-FE74-4D3B-9C88-E50188FC1A87}">
      <tableStyleElement type="wholeTable" dxfId="16"/>
      <tableStyleElement type="headerRow" dxfId="15"/>
      <tableStyleElement type="totalRow" dxfId="14"/>
      <tableStyleElement type="firstColumn" dxfId="13"/>
      <tableStyleElement type="secondRowStripe" dxfId="12"/>
      <tableStyleElement type="secondColumnStripe" dxfId="11"/>
      <tableStyleElement type="firstHeaderCell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销售金额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Sheet2!$A$5</c:f>
              <c:strCache>
                <c:ptCount val="1"/>
                <c:pt idx="0">
                  <c:v>2024/8/6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Sheet2!$B$2:$D$2</c:f>
              <c:strCache>
                <c:ptCount val="3"/>
                <c:pt idx="0">
                  <c:v>华为Mate 60</c:v>
                </c:pt>
                <c:pt idx="1">
                  <c:v>华为P60</c:v>
                </c:pt>
                <c:pt idx="2">
                  <c:v>华为P70</c:v>
                </c:pt>
              </c:strCache>
            </c:strRef>
          </c:cat>
          <c:val>
            <c:numRef>
              <c:f>Sheet2!$B$5:$D$5</c:f>
              <c:numCache>
                <c:formatCode>General</c:formatCode>
                <c:ptCount val="3"/>
                <c:pt idx="0">
                  <c:v>13998</c:v>
                </c:pt>
                <c:pt idx="1">
                  <c:v>24995</c:v>
                </c:pt>
                <c:pt idx="2">
                  <c:v>39995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[5华为销售记录 - 样张.xlsx]门店业绩汇总表!数据透视表1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门店业绩汇总表!$B$1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门店业绩汇总表!$A$2:$A$5</c:f>
              <c:strCache>
                <c:ptCount val="3"/>
                <c:pt idx="0">
                  <c:v>门店A</c:v>
                </c:pt>
                <c:pt idx="1">
                  <c:v>门店B</c:v>
                </c:pt>
                <c:pt idx="2">
                  <c:v>门店C</c:v>
                </c:pt>
              </c:strCache>
            </c:strRef>
          </c:cat>
          <c:val>
            <c:numRef>
              <c:f>门店业绩汇总表!$B$2:$B$5</c:f>
              <c:numCache>
                <c:formatCode>"￥"#,##0.0_);[Red]\("￥"#,##0.0\)</c:formatCode>
                <c:ptCount val="3"/>
                <c:pt idx="0">
                  <c:v>17397.85</c:v>
                </c:pt>
                <c:pt idx="1">
                  <c:v>20047.35</c:v>
                </c:pt>
                <c:pt idx="2">
                  <c:v>20947.2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601265533"/>
        <c:axId val="655838720"/>
      </c:barChart>
      <c:catAx>
        <c:axId val="6012655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838720"/>
        <c:crosses val="autoZero"/>
        <c:auto val="1"/>
        <c:lblAlgn val="ctr"/>
        <c:lblOffset val="100"/>
        <c:noMultiLvlLbl val="0"/>
      </c:catAx>
      <c:valAx>
        <c:axId val="65583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￥&quot;#,##0.0_);[Red]\(&quot;￥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2655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88900</xdr:colOff>
      <xdr:row>0</xdr:row>
      <xdr:rowOff>259715</xdr:rowOff>
    </xdr:from>
    <xdr:to>
      <xdr:col>11</xdr:col>
      <xdr:colOff>88900</xdr:colOff>
      <xdr:row>16</xdr:row>
      <xdr:rowOff>173990</xdr:rowOff>
    </xdr:to>
    <xdr:graphicFrame>
      <xdr:nvGraphicFramePr>
        <xdr:cNvPr id="2" name="8月6日销售业绩分布图"/>
        <xdr:cNvGraphicFramePr/>
      </xdr:nvGraphicFramePr>
      <xdr:xfrm>
        <a:off x="2678430" y="259080"/>
        <a:ext cx="4320540" cy="2917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127000</xdr:colOff>
      <xdr:row>6</xdr:row>
      <xdr:rowOff>95250</xdr:rowOff>
    </xdr:from>
    <xdr:to>
      <xdr:col>6</xdr:col>
      <xdr:colOff>602615</xdr:colOff>
      <xdr:row>23</xdr:row>
      <xdr:rowOff>60325</xdr:rowOff>
    </xdr:to>
    <xdr:graphicFrame>
      <xdr:nvGraphicFramePr>
        <xdr:cNvPr id="2" name="图表 1"/>
        <xdr:cNvGraphicFramePr/>
      </xdr:nvGraphicFramePr>
      <xdr:xfrm>
        <a:off x="127000" y="1192530"/>
        <a:ext cx="4907915" cy="3074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9.5832407407" refreshedBy="mm" recordCount="60">
  <cacheSource type="worksheet">
    <worksheetSource ref="A1:G61" sheet="Sheet1"/>
  </cacheSource>
  <cacheFields count="7">
    <cacheField name="销售编号" numFmtId="0">
      <sharedItems containsSemiMixedTypes="0" containsString="0" containsNumber="1" containsInteger="1" minValue="0" maxValue="60" count="60">
        <n v="1"/>
        <n v="2"/>
        <n v="5"/>
        <n v="7"/>
        <n v="9"/>
        <n v="12"/>
        <n v="17"/>
        <n v="19"/>
        <n v="22"/>
        <n v="26"/>
        <n v="27"/>
        <n v="33"/>
        <n v="36"/>
        <n v="38"/>
        <n v="42"/>
        <n v="43"/>
        <n v="45"/>
        <n v="48"/>
        <n v="53"/>
        <n v="58"/>
        <n v="3"/>
        <n v="8"/>
        <n v="10"/>
        <n v="13"/>
        <n v="15"/>
        <n v="20"/>
        <n v="23"/>
        <n v="28"/>
        <n v="31"/>
        <n v="34"/>
        <n v="37"/>
        <n v="39"/>
        <n v="44"/>
        <n v="46"/>
        <n v="49"/>
        <n v="50"/>
        <n v="54"/>
        <n v="56"/>
        <n v="59"/>
        <n v="60"/>
        <n v="4"/>
        <n v="6"/>
        <n v="11"/>
        <n v="14"/>
        <n v="16"/>
        <n v="18"/>
        <n v="21"/>
        <n v="24"/>
        <n v="25"/>
        <n v="29"/>
        <n v="30"/>
        <n v="32"/>
        <n v="35"/>
        <n v="40"/>
        <n v="41"/>
        <n v="47"/>
        <n v="51"/>
        <n v="52"/>
        <n v="55"/>
        <n v="57"/>
      </sharedItems>
    </cacheField>
    <cacheField name="产品名称" numFmtId="0">
      <sharedItems count="6">
        <s v="华为MateBook 16"/>
        <s v="华为P60"/>
        <s v="华为P50 Pro"/>
        <s v="华为Watch GT3"/>
        <s v="华为Mate 60"/>
        <s v="华为P70"/>
      </sharedItems>
    </cacheField>
    <cacheField name="销售日期" numFmtId="58">
      <sharedItems containsSemiMixedTypes="0" containsString="0" containsNonDate="0" containsDate="1" minDate="2024-08-01T00:00:00" maxDate="2024-08-06T00:00:00" count="6">
        <d v="2024-08-01T00:00:00"/>
        <d v="2024-08-04T00:00:00"/>
        <d v="2024-08-05T00:00:00"/>
        <d v="2024-08-02T00:00:00"/>
        <d v="2024-08-06T00:00:00"/>
        <d v="2024-08-03T00:00:00"/>
      </sharedItems>
    </cacheField>
    <cacheField name="销售数量" numFmtId="0">
      <sharedItems containsSemiMixedTypes="0" containsString="0" containsNumber="1" containsInteger="1" minValue="0" maxValue="6" count="6">
        <n v="2"/>
        <n v="1"/>
        <n v="5"/>
        <n v="3"/>
        <n v="4"/>
        <n v="6"/>
      </sharedItems>
    </cacheField>
    <cacheField name="单价" numFmtId="0">
      <sharedItems containsSemiMixedTypes="0" containsString="0" containsNumber="1" containsInteger="1" minValue="0" maxValue="16999" count="6">
        <n v="16999"/>
        <n v="4999"/>
        <n v="5999"/>
        <n v="2999"/>
        <n v="6999"/>
        <n v="7999"/>
      </sharedItems>
    </cacheField>
    <cacheField name="总金额" numFmtId="0">
      <sharedItems containsSemiMixedTypes="0" containsString="0" containsNumber="1" containsInteger="1" minValue="0" maxValue="101994" count="29">
        <n v="33998"/>
        <n v="4999"/>
        <n v="11998"/>
        <n v="14995"/>
        <n v="14997"/>
        <n v="2999"/>
        <n v="84995"/>
        <n v="16999"/>
        <n v="5998"/>
        <n v="34995"/>
        <n v="5999"/>
        <n v="50997"/>
        <n v="7999"/>
        <n v="11996"/>
        <n v="15998"/>
        <n v="67996"/>
        <n v="9998"/>
        <n v="31996"/>
        <n v="27996"/>
        <n v="17997"/>
        <n v="6999"/>
        <n v="23996"/>
        <n v="8997"/>
        <n v="101994"/>
        <n v="47994"/>
        <n v="23997"/>
        <n v="20997"/>
        <n v="13998"/>
        <n v="29994"/>
      </sharedItems>
    </cacheField>
    <cacheField name="销售门店" numFmtId="0">
      <sharedItems count="3">
        <s v="门店A"/>
        <s v="门店B"/>
        <s v="门店C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x v="0"/>
    <x v="0"/>
    <x v="0"/>
    <x v="0"/>
    <x v="0"/>
    <x v="0"/>
  </r>
  <r>
    <x v="1"/>
    <x v="1"/>
    <x v="0"/>
    <x v="1"/>
    <x v="1"/>
    <x v="1"/>
    <x v="0"/>
  </r>
  <r>
    <x v="2"/>
    <x v="2"/>
    <x v="1"/>
    <x v="0"/>
    <x v="2"/>
    <x v="2"/>
    <x v="0"/>
  </r>
  <r>
    <x v="3"/>
    <x v="3"/>
    <x v="0"/>
    <x v="2"/>
    <x v="3"/>
    <x v="3"/>
    <x v="0"/>
  </r>
  <r>
    <x v="4"/>
    <x v="1"/>
    <x v="1"/>
    <x v="1"/>
    <x v="1"/>
    <x v="1"/>
    <x v="0"/>
  </r>
  <r>
    <x v="5"/>
    <x v="1"/>
    <x v="2"/>
    <x v="3"/>
    <x v="1"/>
    <x v="4"/>
    <x v="0"/>
  </r>
  <r>
    <x v="6"/>
    <x v="3"/>
    <x v="1"/>
    <x v="1"/>
    <x v="3"/>
    <x v="5"/>
    <x v="0"/>
  </r>
  <r>
    <x v="7"/>
    <x v="0"/>
    <x v="0"/>
    <x v="2"/>
    <x v="0"/>
    <x v="6"/>
    <x v="0"/>
  </r>
  <r>
    <x v="8"/>
    <x v="0"/>
    <x v="1"/>
    <x v="1"/>
    <x v="0"/>
    <x v="7"/>
    <x v="0"/>
  </r>
  <r>
    <x v="9"/>
    <x v="1"/>
    <x v="3"/>
    <x v="1"/>
    <x v="1"/>
    <x v="1"/>
    <x v="0"/>
  </r>
  <r>
    <x v="10"/>
    <x v="3"/>
    <x v="0"/>
    <x v="0"/>
    <x v="3"/>
    <x v="8"/>
    <x v="0"/>
  </r>
  <r>
    <x v="11"/>
    <x v="4"/>
    <x v="1"/>
    <x v="2"/>
    <x v="4"/>
    <x v="9"/>
    <x v="0"/>
  </r>
  <r>
    <x v="12"/>
    <x v="2"/>
    <x v="3"/>
    <x v="1"/>
    <x v="2"/>
    <x v="10"/>
    <x v="0"/>
  </r>
  <r>
    <x v="13"/>
    <x v="0"/>
    <x v="1"/>
    <x v="1"/>
    <x v="0"/>
    <x v="7"/>
    <x v="0"/>
  </r>
  <r>
    <x v="14"/>
    <x v="0"/>
    <x v="1"/>
    <x v="3"/>
    <x v="0"/>
    <x v="11"/>
    <x v="0"/>
  </r>
  <r>
    <x v="15"/>
    <x v="3"/>
    <x v="1"/>
    <x v="1"/>
    <x v="3"/>
    <x v="5"/>
    <x v="0"/>
  </r>
  <r>
    <x v="16"/>
    <x v="5"/>
    <x v="1"/>
    <x v="1"/>
    <x v="5"/>
    <x v="12"/>
    <x v="0"/>
  </r>
  <r>
    <x v="17"/>
    <x v="3"/>
    <x v="2"/>
    <x v="2"/>
    <x v="3"/>
    <x v="3"/>
    <x v="0"/>
  </r>
  <r>
    <x v="18"/>
    <x v="1"/>
    <x v="0"/>
    <x v="1"/>
    <x v="1"/>
    <x v="1"/>
    <x v="0"/>
  </r>
  <r>
    <x v="19"/>
    <x v="2"/>
    <x v="0"/>
    <x v="1"/>
    <x v="2"/>
    <x v="10"/>
    <x v="0"/>
  </r>
  <r>
    <x v="20"/>
    <x v="2"/>
    <x v="3"/>
    <x v="1"/>
    <x v="2"/>
    <x v="10"/>
    <x v="1"/>
  </r>
  <r>
    <x v="21"/>
    <x v="3"/>
    <x v="3"/>
    <x v="4"/>
    <x v="3"/>
    <x v="13"/>
    <x v="1"/>
  </r>
  <r>
    <x v="22"/>
    <x v="1"/>
    <x v="2"/>
    <x v="3"/>
    <x v="1"/>
    <x v="4"/>
    <x v="1"/>
  </r>
  <r>
    <x v="23"/>
    <x v="5"/>
    <x v="4"/>
    <x v="0"/>
    <x v="5"/>
    <x v="14"/>
    <x v="1"/>
  </r>
  <r>
    <x v="24"/>
    <x v="1"/>
    <x v="5"/>
    <x v="3"/>
    <x v="1"/>
    <x v="4"/>
    <x v="1"/>
  </r>
  <r>
    <x v="25"/>
    <x v="0"/>
    <x v="3"/>
    <x v="4"/>
    <x v="0"/>
    <x v="15"/>
    <x v="1"/>
  </r>
  <r>
    <x v="26"/>
    <x v="1"/>
    <x v="2"/>
    <x v="0"/>
    <x v="1"/>
    <x v="16"/>
    <x v="1"/>
  </r>
  <r>
    <x v="27"/>
    <x v="3"/>
    <x v="3"/>
    <x v="4"/>
    <x v="3"/>
    <x v="13"/>
    <x v="1"/>
  </r>
  <r>
    <x v="28"/>
    <x v="5"/>
    <x v="3"/>
    <x v="4"/>
    <x v="5"/>
    <x v="17"/>
    <x v="1"/>
  </r>
  <r>
    <x v="29"/>
    <x v="4"/>
    <x v="2"/>
    <x v="4"/>
    <x v="4"/>
    <x v="18"/>
    <x v="1"/>
  </r>
  <r>
    <x v="30"/>
    <x v="2"/>
    <x v="5"/>
    <x v="3"/>
    <x v="2"/>
    <x v="19"/>
    <x v="1"/>
  </r>
  <r>
    <x v="31"/>
    <x v="0"/>
    <x v="2"/>
    <x v="1"/>
    <x v="0"/>
    <x v="7"/>
    <x v="1"/>
  </r>
  <r>
    <x v="32"/>
    <x v="3"/>
    <x v="2"/>
    <x v="1"/>
    <x v="3"/>
    <x v="5"/>
    <x v="1"/>
  </r>
  <r>
    <x v="33"/>
    <x v="5"/>
    <x v="2"/>
    <x v="0"/>
    <x v="5"/>
    <x v="14"/>
    <x v="1"/>
  </r>
  <r>
    <x v="34"/>
    <x v="3"/>
    <x v="4"/>
    <x v="4"/>
    <x v="3"/>
    <x v="13"/>
    <x v="1"/>
  </r>
  <r>
    <x v="35"/>
    <x v="4"/>
    <x v="3"/>
    <x v="1"/>
    <x v="4"/>
    <x v="20"/>
    <x v="1"/>
  </r>
  <r>
    <x v="36"/>
    <x v="1"/>
    <x v="3"/>
    <x v="1"/>
    <x v="1"/>
    <x v="1"/>
    <x v="1"/>
  </r>
  <r>
    <x v="37"/>
    <x v="2"/>
    <x v="2"/>
    <x v="4"/>
    <x v="2"/>
    <x v="21"/>
    <x v="1"/>
  </r>
  <r>
    <x v="38"/>
    <x v="0"/>
    <x v="3"/>
    <x v="3"/>
    <x v="0"/>
    <x v="11"/>
    <x v="1"/>
  </r>
  <r>
    <x v="39"/>
    <x v="0"/>
    <x v="2"/>
    <x v="0"/>
    <x v="0"/>
    <x v="0"/>
    <x v="1"/>
  </r>
  <r>
    <x v="40"/>
    <x v="2"/>
    <x v="5"/>
    <x v="3"/>
    <x v="2"/>
    <x v="19"/>
    <x v="2"/>
  </r>
  <r>
    <x v="41"/>
    <x v="3"/>
    <x v="4"/>
    <x v="3"/>
    <x v="3"/>
    <x v="22"/>
    <x v="2"/>
  </r>
  <r>
    <x v="42"/>
    <x v="1"/>
    <x v="1"/>
    <x v="0"/>
    <x v="1"/>
    <x v="16"/>
    <x v="2"/>
  </r>
  <r>
    <x v="43"/>
    <x v="1"/>
    <x v="4"/>
    <x v="0"/>
    <x v="1"/>
    <x v="16"/>
    <x v="2"/>
  </r>
  <r>
    <x v="44"/>
    <x v="3"/>
    <x v="5"/>
    <x v="0"/>
    <x v="3"/>
    <x v="8"/>
    <x v="2"/>
  </r>
  <r>
    <x v="45"/>
    <x v="0"/>
    <x v="4"/>
    <x v="1"/>
    <x v="0"/>
    <x v="7"/>
    <x v="2"/>
  </r>
  <r>
    <x v="46"/>
    <x v="0"/>
    <x v="5"/>
    <x v="5"/>
    <x v="0"/>
    <x v="23"/>
    <x v="2"/>
  </r>
  <r>
    <x v="47"/>
    <x v="1"/>
    <x v="4"/>
    <x v="3"/>
    <x v="1"/>
    <x v="4"/>
    <x v="2"/>
  </r>
  <r>
    <x v="48"/>
    <x v="1"/>
    <x v="0"/>
    <x v="0"/>
    <x v="1"/>
    <x v="16"/>
    <x v="2"/>
  </r>
  <r>
    <x v="49"/>
    <x v="3"/>
    <x v="5"/>
    <x v="0"/>
    <x v="3"/>
    <x v="8"/>
    <x v="2"/>
  </r>
  <r>
    <x v="50"/>
    <x v="5"/>
    <x v="0"/>
    <x v="1"/>
    <x v="5"/>
    <x v="12"/>
    <x v="2"/>
  </r>
  <r>
    <x v="51"/>
    <x v="5"/>
    <x v="5"/>
    <x v="5"/>
    <x v="5"/>
    <x v="24"/>
    <x v="2"/>
  </r>
  <r>
    <x v="52"/>
    <x v="5"/>
    <x v="0"/>
    <x v="0"/>
    <x v="5"/>
    <x v="14"/>
    <x v="2"/>
  </r>
  <r>
    <x v="53"/>
    <x v="3"/>
    <x v="4"/>
    <x v="3"/>
    <x v="3"/>
    <x v="22"/>
    <x v="2"/>
  </r>
  <r>
    <x v="54"/>
    <x v="0"/>
    <x v="5"/>
    <x v="0"/>
    <x v="0"/>
    <x v="0"/>
    <x v="2"/>
  </r>
  <r>
    <x v="55"/>
    <x v="5"/>
    <x v="4"/>
    <x v="3"/>
    <x v="5"/>
    <x v="25"/>
    <x v="2"/>
  </r>
  <r>
    <x v="56"/>
    <x v="4"/>
    <x v="5"/>
    <x v="3"/>
    <x v="4"/>
    <x v="26"/>
    <x v="2"/>
  </r>
  <r>
    <x v="57"/>
    <x v="4"/>
    <x v="4"/>
    <x v="0"/>
    <x v="4"/>
    <x v="27"/>
    <x v="2"/>
  </r>
  <r>
    <x v="58"/>
    <x v="1"/>
    <x v="5"/>
    <x v="5"/>
    <x v="1"/>
    <x v="28"/>
    <x v="2"/>
  </r>
  <r>
    <x v="59"/>
    <x v="2"/>
    <x v="4"/>
    <x v="0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:B5" firstHeaderRow="1" firstDataRow="1" firstDataCol="1"/>
  <pivotFields count="7">
    <pivotField compact="0" showAll="0">
      <items count="61">
        <item x="0"/>
        <item x="1"/>
        <item x="20"/>
        <item x="40"/>
        <item x="2"/>
        <item x="41"/>
        <item x="3"/>
        <item x="21"/>
        <item x="4"/>
        <item x="22"/>
        <item x="42"/>
        <item x="5"/>
        <item x="23"/>
        <item x="43"/>
        <item x="24"/>
        <item x="44"/>
        <item x="6"/>
        <item x="45"/>
        <item x="7"/>
        <item x="25"/>
        <item x="46"/>
        <item x="8"/>
        <item x="26"/>
        <item x="47"/>
        <item x="48"/>
        <item x="9"/>
        <item x="10"/>
        <item x="27"/>
        <item x="49"/>
        <item x="50"/>
        <item x="28"/>
        <item x="51"/>
        <item x="11"/>
        <item x="29"/>
        <item x="52"/>
        <item x="12"/>
        <item x="30"/>
        <item x="13"/>
        <item x="31"/>
        <item x="53"/>
        <item x="54"/>
        <item x="14"/>
        <item x="15"/>
        <item x="32"/>
        <item x="16"/>
        <item x="33"/>
        <item x="55"/>
        <item x="17"/>
        <item x="34"/>
        <item x="35"/>
        <item x="56"/>
        <item x="57"/>
        <item x="18"/>
        <item x="36"/>
        <item x="58"/>
        <item x="37"/>
        <item x="59"/>
        <item x="19"/>
        <item x="38"/>
        <item x="39"/>
        <item t="default"/>
      </items>
    </pivotField>
    <pivotField compact="0" showAll="0">
      <items count="7">
        <item x="4"/>
        <item x="0"/>
        <item x="2"/>
        <item x="1"/>
        <item x="5"/>
        <item x="3"/>
        <item t="default"/>
      </items>
    </pivotField>
    <pivotField compact="0" numFmtId="58" showAll="0"/>
    <pivotField compact="0" showAll="0"/>
    <pivotField compact="0" showAll="0"/>
    <pivotField dataField="1" compact="0" showAll="0">
      <items count="30">
        <item x="5"/>
        <item x="1"/>
        <item x="8"/>
        <item x="10"/>
        <item x="20"/>
        <item x="12"/>
        <item x="22"/>
        <item x="16"/>
        <item x="13"/>
        <item x="2"/>
        <item x="27"/>
        <item x="3"/>
        <item x="4"/>
        <item x="14"/>
        <item x="7"/>
        <item x="19"/>
        <item x="26"/>
        <item x="21"/>
        <item x="25"/>
        <item x="18"/>
        <item x="28"/>
        <item x="17"/>
        <item x="0"/>
        <item x="9"/>
        <item x="24"/>
        <item x="11"/>
        <item x="15"/>
        <item x="6"/>
        <item x="23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平均值项:总金额" fld="5" subtotal="average" baseField="0" baseItem="0"/>
  </dataFields>
  <formats count="4">
    <format dxfId="0">
      <pivotArea dataOnly="0" axis="axisValues" fieldPosition="0"/>
    </format>
    <format dxfId="1">
      <pivotArea collapsedLevelsAreSubtotals="1" fieldPosition="0"/>
    </format>
    <format dxfId="2">
      <pivotArea dataOnly="0" axis="axisValues" fieldPosition="0"/>
    </format>
    <format dxfId="3">
      <pivotArea collapsedLevelsAreSubtotals="1" fieldPosition="0"/>
    </format>
  </formats>
  <pivotTableStyleInfo name="PivotStylePreset7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zoomScale="145" zoomScaleNormal="145" workbookViewId="0">
      <selection activeCell="A1" sqref="A1"/>
    </sheetView>
  </sheetViews>
  <sheetFormatPr defaultColWidth="9" defaultRowHeight="14.4" outlineLevelCol="7"/>
  <cols>
    <col min="1" max="1" width="9.37962962962963" customWidth="1"/>
    <col min="2" max="2" width="19" customWidth="1"/>
    <col min="3" max="3" width="9.87962962962963" style="6" customWidth="1"/>
    <col min="4" max="4" width="9.37962962962963" customWidth="1"/>
    <col min="5" max="5" width="7" customWidth="1"/>
    <col min="6" max="6" width="7.37962962962963" customWidth="1"/>
    <col min="7" max="7" width="9.37962962962963" customWidth="1"/>
  </cols>
  <sheetData>
    <row r="1" ht="20" customHeight="1" spans="1:8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10" t="s">
        <v>6</v>
      </c>
      <c r="H1" s="11"/>
    </row>
    <row r="2" ht="20" customHeight="1" spans="1:8">
      <c r="A2" s="12">
        <v>1</v>
      </c>
      <c r="B2" s="13" t="s">
        <v>7</v>
      </c>
      <c r="C2" s="14">
        <v>45505</v>
      </c>
      <c r="D2" s="13">
        <v>2</v>
      </c>
      <c r="E2" s="13">
        <v>16999</v>
      </c>
      <c r="F2" s="13">
        <f t="shared" ref="F2:F40" si="0">D2*E2</f>
        <v>33998</v>
      </c>
      <c r="G2" s="15" t="s">
        <v>8</v>
      </c>
      <c r="H2" s="11"/>
    </row>
    <row r="3" ht="20" customHeight="1" spans="1:8">
      <c r="A3" s="12">
        <v>2</v>
      </c>
      <c r="B3" s="13" t="s">
        <v>9</v>
      </c>
      <c r="C3" s="14">
        <v>45505</v>
      </c>
      <c r="D3" s="13">
        <v>1</v>
      </c>
      <c r="E3" s="13">
        <v>4999</v>
      </c>
      <c r="F3" s="13">
        <f t="shared" si="0"/>
        <v>4999</v>
      </c>
      <c r="G3" s="15" t="s">
        <v>8</v>
      </c>
      <c r="H3" s="11"/>
    </row>
    <row r="4" ht="20" customHeight="1" spans="1:8">
      <c r="A4" s="12">
        <v>5</v>
      </c>
      <c r="B4" s="13" t="s">
        <v>10</v>
      </c>
      <c r="C4" s="14">
        <v>45508</v>
      </c>
      <c r="D4" s="13">
        <v>2</v>
      </c>
      <c r="E4" s="13">
        <v>5999</v>
      </c>
      <c r="F4" s="13">
        <f t="shared" si="0"/>
        <v>11998</v>
      </c>
      <c r="G4" s="15" t="s">
        <v>8</v>
      </c>
      <c r="H4" s="11"/>
    </row>
    <row r="5" ht="20" customHeight="1" spans="1:8">
      <c r="A5" s="12">
        <v>7</v>
      </c>
      <c r="B5" s="13" t="s">
        <v>11</v>
      </c>
      <c r="C5" s="14">
        <v>45505</v>
      </c>
      <c r="D5" s="13">
        <v>5</v>
      </c>
      <c r="E5" s="13">
        <v>2999</v>
      </c>
      <c r="F5" s="13">
        <f t="shared" si="0"/>
        <v>14995</v>
      </c>
      <c r="G5" s="15" t="s">
        <v>8</v>
      </c>
      <c r="H5" s="11"/>
    </row>
    <row r="6" ht="20" customHeight="1" spans="1:8">
      <c r="A6" s="12">
        <v>9</v>
      </c>
      <c r="B6" s="13" t="s">
        <v>9</v>
      </c>
      <c r="C6" s="14">
        <v>45508</v>
      </c>
      <c r="D6" s="13">
        <v>1</v>
      </c>
      <c r="E6" s="13">
        <v>4999</v>
      </c>
      <c r="F6" s="13">
        <f t="shared" si="0"/>
        <v>4999</v>
      </c>
      <c r="G6" s="15" t="s">
        <v>8</v>
      </c>
      <c r="H6" s="11"/>
    </row>
    <row r="7" ht="20" customHeight="1" spans="1:8">
      <c r="A7" s="12">
        <v>12</v>
      </c>
      <c r="B7" s="13" t="s">
        <v>9</v>
      </c>
      <c r="C7" s="14">
        <v>45509</v>
      </c>
      <c r="D7" s="13">
        <v>3</v>
      </c>
      <c r="E7" s="13">
        <v>4999</v>
      </c>
      <c r="F7" s="13">
        <f t="shared" si="0"/>
        <v>14997</v>
      </c>
      <c r="G7" s="15" t="s">
        <v>8</v>
      </c>
      <c r="H7" s="11"/>
    </row>
    <row r="8" ht="20" customHeight="1" spans="1:8">
      <c r="A8" s="12">
        <v>17</v>
      </c>
      <c r="B8" s="13" t="s">
        <v>11</v>
      </c>
      <c r="C8" s="14">
        <v>45508</v>
      </c>
      <c r="D8" s="13">
        <v>1</v>
      </c>
      <c r="E8" s="13">
        <v>2999</v>
      </c>
      <c r="F8" s="13">
        <f t="shared" si="0"/>
        <v>2999</v>
      </c>
      <c r="G8" s="15" t="s">
        <v>8</v>
      </c>
      <c r="H8" s="11"/>
    </row>
    <row r="9" ht="20" customHeight="1" spans="1:8">
      <c r="A9" s="12">
        <v>19</v>
      </c>
      <c r="B9" s="13" t="s">
        <v>7</v>
      </c>
      <c r="C9" s="14">
        <v>45505</v>
      </c>
      <c r="D9" s="13">
        <v>5</v>
      </c>
      <c r="E9" s="13">
        <v>16999</v>
      </c>
      <c r="F9" s="13">
        <f t="shared" si="0"/>
        <v>84995</v>
      </c>
      <c r="G9" s="15" t="s">
        <v>8</v>
      </c>
      <c r="H9" s="11"/>
    </row>
    <row r="10" ht="20" customHeight="1" spans="1:8">
      <c r="A10" s="12">
        <v>22</v>
      </c>
      <c r="B10" s="13" t="s">
        <v>7</v>
      </c>
      <c r="C10" s="14">
        <v>45508</v>
      </c>
      <c r="D10" s="13">
        <v>1</v>
      </c>
      <c r="E10" s="13">
        <v>16999</v>
      </c>
      <c r="F10" s="13">
        <f t="shared" si="0"/>
        <v>16999</v>
      </c>
      <c r="G10" s="15" t="s">
        <v>8</v>
      </c>
      <c r="H10" s="11"/>
    </row>
    <row r="11" ht="20" customHeight="1" spans="1:8">
      <c r="A11" s="12">
        <v>26</v>
      </c>
      <c r="B11" s="13" t="s">
        <v>9</v>
      </c>
      <c r="C11" s="14">
        <v>45506</v>
      </c>
      <c r="D11" s="13">
        <v>1</v>
      </c>
      <c r="E11" s="13">
        <v>4999</v>
      </c>
      <c r="F11" s="13">
        <f t="shared" si="0"/>
        <v>4999</v>
      </c>
      <c r="G11" s="15" t="s">
        <v>8</v>
      </c>
      <c r="H11" s="11"/>
    </row>
    <row r="12" ht="20" customHeight="1" spans="1:8">
      <c r="A12" s="12">
        <v>27</v>
      </c>
      <c r="B12" s="13" t="s">
        <v>11</v>
      </c>
      <c r="C12" s="14">
        <v>45505</v>
      </c>
      <c r="D12" s="13">
        <v>2</v>
      </c>
      <c r="E12" s="13">
        <v>2999</v>
      </c>
      <c r="F12" s="13">
        <f t="shared" si="0"/>
        <v>5998</v>
      </c>
      <c r="G12" s="15" t="s">
        <v>8</v>
      </c>
      <c r="H12" s="11"/>
    </row>
    <row r="13" ht="20" customHeight="1" spans="1:8">
      <c r="A13" s="12">
        <v>33</v>
      </c>
      <c r="B13" s="13" t="s">
        <v>12</v>
      </c>
      <c r="C13" s="14">
        <v>45508</v>
      </c>
      <c r="D13" s="13">
        <v>5</v>
      </c>
      <c r="E13" s="13">
        <v>6999</v>
      </c>
      <c r="F13" s="13">
        <f t="shared" si="0"/>
        <v>34995</v>
      </c>
      <c r="G13" s="15" t="s">
        <v>8</v>
      </c>
      <c r="H13" s="11"/>
    </row>
    <row r="14" ht="20" customHeight="1" spans="1:8">
      <c r="A14" s="12">
        <v>36</v>
      </c>
      <c r="B14" s="13" t="s">
        <v>10</v>
      </c>
      <c r="C14" s="14">
        <v>45506</v>
      </c>
      <c r="D14" s="13">
        <v>1</v>
      </c>
      <c r="E14" s="13">
        <v>5999</v>
      </c>
      <c r="F14" s="13">
        <f t="shared" si="0"/>
        <v>5999</v>
      </c>
      <c r="G14" s="15" t="s">
        <v>8</v>
      </c>
      <c r="H14" s="11"/>
    </row>
    <row r="15" ht="20" customHeight="1" spans="1:8">
      <c r="A15" s="12">
        <v>38</v>
      </c>
      <c r="B15" s="13" t="s">
        <v>7</v>
      </c>
      <c r="C15" s="14">
        <v>45508</v>
      </c>
      <c r="D15" s="13">
        <v>1</v>
      </c>
      <c r="E15" s="13">
        <v>16999</v>
      </c>
      <c r="F15" s="13">
        <f t="shared" si="0"/>
        <v>16999</v>
      </c>
      <c r="G15" s="15" t="s">
        <v>8</v>
      </c>
      <c r="H15" s="11"/>
    </row>
    <row r="16" ht="20" customHeight="1" spans="1:8">
      <c r="A16" s="12">
        <v>42</v>
      </c>
      <c r="B16" s="13" t="s">
        <v>7</v>
      </c>
      <c r="C16" s="14">
        <v>45508</v>
      </c>
      <c r="D16" s="13">
        <v>3</v>
      </c>
      <c r="E16" s="13">
        <v>16999</v>
      </c>
      <c r="F16" s="13">
        <f t="shared" si="0"/>
        <v>50997</v>
      </c>
      <c r="G16" s="15" t="s">
        <v>8</v>
      </c>
      <c r="H16" s="11"/>
    </row>
    <row r="17" ht="20" customHeight="1" spans="1:8">
      <c r="A17" s="12">
        <v>43</v>
      </c>
      <c r="B17" s="13" t="s">
        <v>11</v>
      </c>
      <c r="C17" s="14">
        <v>45508</v>
      </c>
      <c r="D17" s="13">
        <v>1</v>
      </c>
      <c r="E17" s="13">
        <v>2999</v>
      </c>
      <c r="F17" s="13">
        <f t="shared" si="0"/>
        <v>2999</v>
      </c>
      <c r="G17" s="15" t="s">
        <v>8</v>
      </c>
      <c r="H17" s="11"/>
    </row>
    <row r="18" ht="20" customHeight="1" spans="1:8">
      <c r="A18" s="12">
        <v>45</v>
      </c>
      <c r="B18" s="13" t="s">
        <v>13</v>
      </c>
      <c r="C18" s="14">
        <v>45508</v>
      </c>
      <c r="D18" s="13">
        <v>1</v>
      </c>
      <c r="E18" s="13">
        <v>7999</v>
      </c>
      <c r="F18" s="13">
        <f t="shared" si="0"/>
        <v>7999</v>
      </c>
      <c r="G18" s="15" t="s">
        <v>8</v>
      </c>
      <c r="H18" s="11"/>
    </row>
    <row r="19" ht="20" customHeight="1" spans="1:8">
      <c r="A19" s="12">
        <v>48</v>
      </c>
      <c r="B19" s="13" t="s">
        <v>11</v>
      </c>
      <c r="C19" s="14">
        <v>45509</v>
      </c>
      <c r="D19" s="13">
        <v>5</v>
      </c>
      <c r="E19" s="13">
        <v>2999</v>
      </c>
      <c r="F19" s="13">
        <f t="shared" si="0"/>
        <v>14995</v>
      </c>
      <c r="G19" s="15" t="s">
        <v>8</v>
      </c>
      <c r="H19" s="11"/>
    </row>
    <row r="20" ht="20" customHeight="1" spans="1:8">
      <c r="A20" s="12">
        <v>53</v>
      </c>
      <c r="B20" s="13" t="s">
        <v>9</v>
      </c>
      <c r="C20" s="14">
        <v>45505</v>
      </c>
      <c r="D20" s="13">
        <v>1</v>
      </c>
      <c r="E20" s="13">
        <v>4999</v>
      </c>
      <c r="F20" s="13">
        <f t="shared" si="0"/>
        <v>4999</v>
      </c>
      <c r="G20" s="15" t="s">
        <v>8</v>
      </c>
      <c r="H20" s="11"/>
    </row>
    <row r="21" ht="20" customHeight="1" spans="1:8">
      <c r="A21" s="12">
        <v>58</v>
      </c>
      <c r="B21" s="13" t="s">
        <v>10</v>
      </c>
      <c r="C21" s="14">
        <v>45505</v>
      </c>
      <c r="D21" s="13">
        <v>1</v>
      </c>
      <c r="E21" s="13">
        <v>5999</v>
      </c>
      <c r="F21" s="13">
        <f t="shared" si="0"/>
        <v>5999</v>
      </c>
      <c r="G21" s="15" t="s">
        <v>8</v>
      </c>
      <c r="H21" s="11"/>
    </row>
    <row r="22" ht="20" customHeight="1" spans="1:8">
      <c r="A22" s="12">
        <v>3</v>
      </c>
      <c r="B22" s="13" t="s">
        <v>10</v>
      </c>
      <c r="C22" s="14">
        <v>45506</v>
      </c>
      <c r="D22" s="13">
        <v>1</v>
      </c>
      <c r="E22" s="13">
        <v>5999</v>
      </c>
      <c r="F22" s="13">
        <f t="shared" si="0"/>
        <v>5999</v>
      </c>
      <c r="G22" s="15" t="s">
        <v>14</v>
      </c>
      <c r="H22" s="11"/>
    </row>
    <row r="23" ht="20" customHeight="1" spans="1:8">
      <c r="A23" s="12">
        <v>8</v>
      </c>
      <c r="B23" s="13" t="s">
        <v>11</v>
      </c>
      <c r="C23" s="14">
        <v>45506</v>
      </c>
      <c r="D23" s="13">
        <v>4</v>
      </c>
      <c r="E23" s="13">
        <v>2999</v>
      </c>
      <c r="F23" s="13">
        <f t="shared" si="0"/>
        <v>11996</v>
      </c>
      <c r="G23" s="15" t="s">
        <v>14</v>
      </c>
      <c r="H23" s="11"/>
    </row>
    <row r="24" ht="20" customHeight="1" spans="1:8">
      <c r="A24" s="12">
        <v>10</v>
      </c>
      <c r="B24" s="13" t="s">
        <v>9</v>
      </c>
      <c r="C24" s="14">
        <v>45509</v>
      </c>
      <c r="D24" s="13">
        <v>3</v>
      </c>
      <c r="E24" s="13">
        <v>4999</v>
      </c>
      <c r="F24" s="13">
        <f t="shared" si="0"/>
        <v>14997</v>
      </c>
      <c r="G24" s="15" t="s">
        <v>14</v>
      </c>
      <c r="H24" s="11"/>
    </row>
    <row r="25" ht="20" customHeight="1" spans="1:8">
      <c r="A25" s="12">
        <v>13</v>
      </c>
      <c r="B25" s="13" t="s">
        <v>13</v>
      </c>
      <c r="C25" s="14">
        <v>45510</v>
      </c>
      <c r="D25" s="13">
        <v>2</v>
      </c>
      <c r="E25" s="13">
        <v>7999</v>
      </c>
      <c r="F25" s="13">
        <f t="shared" si="0"/>
        <v>15998</v>
      </c>
      <c r="G25" s="15" t="s">
        <v>14</v>
      </c>
      <c r="H25" s="11"/>
    </row>
    <row r="26" ht="20" customHeight="1" spans="1:8">
      <c r="A26" s="12">
        <v>15</v>
      </c>
      <c r="B26" s="13" t="s">
        <v>9</v>
      </c>
      <c r="C26" s="14">
        <v>45507</v>
      </c>
      <c r="D26" s="13">
        <v>3</v>
      </c>
      <c r="E26" s="13">
        <v>4999</v>
      </c>
      <c r="F26" s="13">
        <f t="shared" si="0"/>
        <v>14997</v>
      </c>
      <c r="G26" s="15" t="s">
        <v>14</v>
      </c>
      <c r="H26" s="11"/>
    </row>
    <row r="27" ht="20" customHeight="1" spans="1:8">
      <c r="A27" s="12">
        <v>20</v>
      </c>
      <c r="B27" s="13" t="s">
        <v>7</v>
      </c>
      <c r="C27" s="14">
        <v>45506</v>
      </c>
      <c r="D27" s="13">
        <v>4</v>
      </c>
      <c r="E27" s="13">
        <v>16999</v>
      </c>
      <c r="F27" s="13">
        <f t="shared" si="0"/>
        <v>67996</v>
      </c>
      <c r="G27" s="15" t="s">
        <v>14</v>
      </c>
      <c r="H27" s="11"/>
    </row>
    <row r="28" ht="20" customHeight="1" spans="1:8">
      <c r="A28" s="12">
        <v>23</v>
      </c>
      <c r="B28" s="13" t="s">
        <v>9</v>
      </c>
      <c r="C28" s="14">
        <v>45509</v>
      </c>
      <c r="D28" s="13">
        <v>2</v>
      </c>
      <c r="E28" s="13">
        <v>4999</v>
      </c>
      <c r="F28" s="13">
        <f t="shared" si="0"/>
        <v>9998</v>
      </c>
      <c r="G28" s="15" t="s">
        <v>14</v>
      </c>
      <c r="H28" s="11"/>
    </row>
    <row r="29" ht="20" customHeight="1" spans="1:8">
      <c r="A29" s="12">
        <v>28</v>
      </c>
      <c r="B29" s="13" t="s">
        <v>11</v>
      </c>
      <c r="C29" s="14">
        <v>45506</v>
      </c>
      <c r="D29" s="13">
        <v>4</v>
      </c>
      <c r="E29" s="13">
        <v>2999</v>
      </c>
      <c r="F29" s="13">
        <f t="shared" si="0"/>
        <v>11996</v>
      </c>
      <c r="G29" s="15" t="s">
        <v>14</v>
      </c>
      <c r="H29" s="11"/>
    </row>
    <row r="30" ht="20" customHeight="1" spans="1:8">
      <c r="A30" s="12">
        <v>31</v>
      </c>
      <c r="B30" s="13" t="s">
        <v>13</v>
      </c>
      <c r="C30" s="14">
        <v>45506</v>
      </c>
      <c r="D30" s="13">
        <v>4</v>
      </c>
      <c r="E30" s="13">
        <v>7999</v>
      </c>
      <c r="F30" s="13">
        <f t="shared" si="0"/>
        <v>31996</v>
      </c>
      <c r="G30" s="15" t="s">
        <v>14</v>
      </c>
      <c r="H30" s="11"/>
    </row>
    <row r="31" ht="20" customHeight="1" spans="1:8">
      <c r="A31" s="12">
        <v>34</v>
      </c>
      <c r="B31" s="13" t="s">
        <v>12</v>
      </c>
      <c r="C31" s="14">
        <v>45509</v>
      </c>
      <c r="D31" s="13">
        <v>4</v>
      </c>
      <c r="E31" s="13">
        <v>6999</v>
      </c>
      <c r="F31" s="13">
        <f t="shared" si="0"/>
        <v>27996</v>
      </c>
      <c r="G31" s="15" t="s">
        <v>14</v>
      </c>
      <c r="H31" s="11"/>
    </row>
    <row r="32" ht="20" customHeight="1" spans="1:8">
      <c r="A32" s="12">
        <v>37</v>
      </c>
      <c r="B32" s="13" t="s">
        <v>10</v>
      </c>
      <c r="C32" s="14">
        <v>45507</v>
      </c>
      <c r="D32" s="13">
        <v>3</v>
      </c>
      <c r="E32" s="13">
        <v>5999</v>
      </c>
      <c r="F32" s="13">
        <f t="shared" si="0"/>
        <v>17997</v>
      </c>
      <c r="G32" s="15" t="s">
        <v>14</v>
      </c>
      <c r="H32" s="11"/>
    </row>
    <row r="33" ht="20" customHeight="1" spans="1:8">
      <c r="A33" s="12">
        <v>39</v>
      </c>
      <c r="B33" s="13" t="s">
        <v>7</v>
      </c>
      <c r="C33" s="14">
        <v>45509</v>
      </c>
      <c r="D33" s="13">
        <v>1</v>
      </c>
      <c r="E33" s="13">
        <v>16999</v>
      </c>
      <c r="F33" s="13">
        <f t="shared" si="0"/>
        <v>16999</v>
      </c>
      <c r="G33" s="15" t="s">
        <v>14</v>
      </c>
      <c r="H33" s="11"/>
    </row>
    <row r="34" ht="20" customHeight="1" spans="1:8">
      <c r="A34" s="12">
        <v>44</v>
      </c>
      <c r="B34" s="13" t="s">
        <v>11</v>
      </c>
      <c r="C34" s="14">
        <v>45509</v>
      </c>
      <c r="D34" s="13">
        <v>1</v>
      </c>
      <c r="E34" s="13">
        <v>2999</v>
      </c>
      <c r="F34" s="13">
        <f t="shared" si="0"/>
        <v>2999</v>
      </c>
      <c r="G34" s="15" t="s">
        <v>14</v>
      </c>
      <c r="H34" s="11"/>
    </row>
    <row r="35" ht="20" customHeight="1" spans="1:8">
      <c r="A35" s="12">
        <v>46</v>
      </c>
      <c r="B35" s="13" t="s">
        <v>13</v>
      </c>
      <c r="C35" s="14">
        <v>45509</v>
      </c>
      <c r="D35" s="13">
        <v>2</v>
      </c>
      <c r="E35" s="13">
        <v>7999</v>
      </c>
      <c r="F35" s="13">
        <f t="shared" si="0"/>
        <v>15998</v>
      </c>
      <c r="G35" s="15" t="s">
        <v>14</v>
      </c>
      <c r="H35" s="11"/>
    </row>
    <row r="36" ht="20" customHeight="1" spans="1:8">
      <c r="A36" s="12">
        <v>49</v>
      </c>
      <c r="B36" s="13" t="s">
        <v>11</v>
      </c>
      <c r="C36" s="14">
        <v>45510</v>
      </c>
      <c r="D36" s="13">
        <v>4</v>
      </c>
      <c r="E36" s="13">
        <v>2999</v>
      </c>
      <c r="F36" s="13">
        <f t="shared" si="0"/>
        <v>11996</v>
      </c>
      <c r="G36" s="15" t="s">
        <v>14</v>
      </c>
      <c r="H36" s="11"/>
    </row>
    <row r="37" ht="20" customHeight="1" spans="1:8">
      <c r="A37" s="12">
        <v>50</v>
      </c>
      <c r="B37" s="13" t="s">
        <v>12</v>
      </c>
      <c r="C37" s="14">
        <v>45506</v>
      </c>
      <c r="D37" s="13">
        <v>1</v>
      </c>
      <c r="E37" s="13">
        <v>6999</v>
      </c>
      <c r="F37" s="13">
        <f t="shared" si="0"/>
        <v>6999</v>
      </c>
      <c r="G37" s="15" t="s">
        <v>14</v>
      </c>
      <c r="H37" s="11"/>
    </row>
    <row r="38" ht="20" customHeight="1" spans="1:8">
      <c r="A38" s="12">
        <v>54</v>
      </c>
      <c r="B38" s="13" t="s">
        <v>9</v>
      </c>
      <c r="C38" s="14">
        <v>45506</v>
      </c>
      <c r="D38" s="13">
        <v>1</v>
      </c>
      <c r="E38" s="13">
        <v>4999</v>
      </c>
      <c r="F38" s="13">
        <f t="shared" si="0"/>
        <v>4999</v>
      </c>
      <c r="G38" s="15" t="s">
        <v>14</v>
      </c>
      <c r="H38" s="11"/>
    </row>
    <row r="39" ht="20" customHeight="1" spans="1:8">
      <c r="A39" s="12">
        <v>56</v>
      </c>
      <c r="B39" s="13" t="s">
        <v>10</v>
      </c>
      <c r="C39" s="14">
        <v>45509</v>
      </c>
      <c r="D39" s="13">
        <v>4</v>
      </c>
      <c r="E39" s="13">
        <v>5999</v>
      </c>
      <c r="F39" s="13">
        <f t="shared" si="0"/>
        <v>23996</v>
      </c>
      <c r="G39" s="15" t="s">
        <v>14</v>
      </c>
      <c r="H39" s="11"/>
    </row>
    <row r="40" ht="20" customHeight="1" spans="1:8">
      <c r="A40" s="12">
        <v>59</v>
      </c>
      <c r="B40" s="13" t="s">
        <v>7</v>
      </c>
      <c r="C40" s="14">
        <v>45506</v>
      </c>
      <c r="D40" s="13">
        <v>3</v>
      </c>
      <c r="E40" s="13">
        <v>16999</v>
      </c>
      <c r="F40" s="13">
        <f t="shared" si="0"/>
        <v>50997</v>
      </c>
      <c r="G40" s="15" t="s">
        <v>14</v>
      </c>
      <c r="H40" s="11"/>
    </row>
    <row r="41" ht="20" customHeight="1" spans="1:8">
      <c r="A41" s="12">
        <v>60</v>
      </c>
      <c r="B41" s="13" t="s">
        <v>7</v>
      </c>
      <c r="C41" s="14">
        <v>45509</v>
      </c>
      <c r="D41" s="13">
        <v>2</v>
      </c>
      <c r="E41" s="13">
        <v>16999</v>
      </c>
      <c r="F41" s="13">
        <f>E41*D41</f>
        <v>33998</v>
      </c>
      <c r="G41" s="15" t="s">
        <v>14</v>
      </c>
      <c r="H41" s="11"/>
    </row>
    <row r="42" ht="20" customHeight="1" spans="1:8">
      <c r="A42" s="12">
        <v>4</v>
      </c>
      <c r="B42" s="13" t="s">
        <v>10</v>
      </c>
      <c r="C42" s="14">
        <v>45507</v>
      </c>
      <c r="D42" s="13">
        <v>3</v>
      </c>
      <c r="E42" s="13">
        <v>5999</v>
      </c>
      <c r="F42" s="13">
        <f t="shared" ref="F42:F61" si="1">D42*E42</f>
        <v>17997</v>
      </c>
      <c r="G42" s="15" t="s">
        <v>15</v>
      </c>
      <c r="H42" s="11"/>
    </row>
    <row r="43" ht="20" customHeight="1" spans="1:8">
      <c r="A43" s="12">
        <v>6</v>
      </c>
      <c r="B43" s="13" t="s">
        <v>11</v>
      </c>
      <c r="C43" s="14">
        <v>45510</v>
      </c>
      <c r="D43" s="13">
        <v>3</v>
      </c>
      <c r="E43" s="13">
        <v>2999</v>
      </c>
      <c r="F43" s="13">
        <f t="shared" si="1"/>
        <v>8997</v>
      </c>
      <c r="G43" s="15" t="s">
        <v>15</v>
      </c>
      <c r="H43" s="11"/>
    </row>
    <row r="44" ht="20" customHeight="1" spans="1:8">
      <c r="A44" s="12">
        <v>11</v>
      </c>
      <c r="B44" s="13" t="s">
        <v>9</v>
      </c>
      <c r="C44" s="14">
        <v>45508</v>
      </c>
      <c r="D44" s="13">
        <v>2</v>
      </c>
      <c r="E44" s="13">
        <v>4999</v>
      </c>
      <c r="F44" s="13">
        <f t="shared" si="1"/>
        <v>9998</v>
      </c>
      <c r="G44" s="15" t="s">
        <v>15</v>
      </c>
      <c r="H44" s="11"/>
    </row>
    <row r="45" ht="20" customHeight="1" spans="1:8">
      <c r="A45" s="12">
        <v>14</v>
      </c>
      <c r="B45" s="13" t="s">
        <v>9</v>
      </c>
      <c r="C45" s="14">
        <v>45510</v>
      </c>
      <c r="D45" s="13">
        <v>2</v>
      </c>
      <c r="E45" s="13">
        <v>4999</v>
      </c>
      <c r="F45" s="13">
        <f t="shared" si="1"/>
        <v>9998</v>
      </c>
      <c r="G45" s="15" t="s">
        <v>15</v>
      </c>
      <c r="H45" s="11"/>
    </row>
    <row r="46" ht="20" customHeight="1" spans="1:8">
      <c r="A46" s="12">
        <v>16</v>
      </c>
      <c r="B46" s="13" t="s">
        <v>11</v>
      </c>
      <c r="C46" s="14">
        <v>45507</v>
      </c>
      <c r="D46" s="13">
        <v>2</v>
      </c>
      <c r="E46" s="13">
        <v>2999</v>
      </c>
      <c r="F46" s="13">
        <f t="shared" si="1"/>
        <v>5998</v>
      </c>
      <c r="G46" s="15" t="s">
        <v>15</v>
      </c>
      <c r="H46" s="11"/>
    </row>
    <row r="47" ht="20" customHeight="1" spans="1:8">
      <c r="A47" s="12">
        <v>18</v>
      </c>
      <c r="B47" s="13" t="s">
        <v>7</v>
      </c>
      <c r="C47" s="14">
        <v>45510</v>
      </c>
      <c r="D47" s="13">
        <v>1</v>
      </c>
      <c r="E47" s="13">
        <v>16999</v>
      </c>
      <c r="F47" s="13">
        <f t="shared" si="1"/>
        <v>16999</v>
      </c>
      <c r="G47" s="15" t="s">
        <v>15</v>
      </c>
      <c r="H47" s="11"/>
    </row>
    <row r="48" ht="20" customHeight="1" spans="1:8">
      <c r="A48" s="12">
        <v>21</v>
      </c>
      <c r="B48" s="13" t="s">
        <v>7</v>
      </c>
      <c r="C48" s="14">
        <v>45507</v>
      </c>
      <c r="D48" s="13">
        <v>6</v>
      </c>
      <c r="E48" s="13">
        <v>16999</v>
      </c>
      <c r="F48" s="13">
        <f t="shared" si="1"/>
        <v>101994</v>
      </c>
      <c r="G48" s="15" t="s">
        <v>15</v>
      </c>
      <c r="H48" s="11"/>
    </row>
    <row r="49" ht="20" customHeight="1" spans="1:8">
      <c r="A49" s="12">
        <v>24</v>
      </c>
      <c r="B49" s="13" t="s">
        <v>9</v>
      </c>
      <c r="C49" s="14">
        <v>45510</v>
      </c>
      <c r="D49" s="13">
        <v>3</v>
      </c>
      <c r="E49" s="13">
        <v>4999</v>
      </c>
      <c r="F49" s="13">
        <f t="shared" si="1"/>
        <v>14997</v>
      </c>
      <c r="G49" s="15" t="s">
        <v>15</v>
      </c>
      <c r="H49" s="11"/>
    </row>
    <row r="50" ht="20" customHeight="1" spans="1:8">
      <c r="A50" s="12">
        <v>25</v>
      </c>
      <c r="B50" s="13" t="s">
        <v>9</v>
      </c>
      <c r="C50" s="14">
        <v>45505</v>
      </c>
      <c r="D50" s="13">
        <v>2</v>
      </c>
      <c r="E50" s="13">
        <v>4999</v>
      </c>
      <c r="F50" s="13">
        <f t="shared" si="1"/>
        <v>9998</v>
      </c>
      <c r="G50" s="15" t="s">
        <v>15</v>
      </c>
      <c r="H50" s="11"/>
    </row>
    <row r="51" ht="20" customHeight="1" spans="1:8">
      <c r="A51" s="12">
        <v>29</v>
      </c>
      <c r="B51" s="13" t="s">
        <v>11</v>
      </c>
      <c r="C51" s="14">
        <v>45507</v>
      </c>
      <c r="D51" s="13">
        <v>2</v>
      </c>
      <c r="E51" s="13">
        <v>2999</v>
      </c>
      <c r="F51" s="13">
        <f t="shared" si="1"/>
        <v>5998</v>
      </c>
      <c r="G51" s="15" t="s">
        <v>15</v>
      </c>
      <c r="H51" s="11"/>
    </row>
    <row r="52" ht="20" customHeight="1" spans="1:8">
      <c r="A52" s="12">
        <v>30</v>
      </c>
      <c r="B52" s="13" t="s">
        <v>13</v>
      </c>
      <c r="C52" s="14">
        <v>45505</v>
      </c>
      <c r="D52" s="13">
        <v>1</v>
      </c>
      <c r="E52" s="13">
        <v>7999</v>
      </c>
      <c r="F52" s="13">
        <f t="shared" si="1"/>
        <v>7999</v>
      </c>
      <c r="G52" s="15" t="s">
        <v>15</v>
      </c>
      <c r="H52" s="11"/>
    </row>
    <row r="53" ht="20" customHeight="1" spans="1:8">
      <c r="A53" s="12">
        <v>32</v>
      </c>
      <c r="B53" s="13" t="s">
        <v>13</v>
      </c>
      <c r="C53" s="14">
        <v>45507</v>
      </c>
      <c r="D53" s="13">
        <v>6</v>
      </c>
      <c r="E53" s="13">
        <v>7999</v>
      </c>
      <c r="F53" s="13">
        <f t="shared" si="1"/>
        <v>47994</v>
      </c>
      <c r="G53" s="15" t="s">
        <v>15</v>
      </c>
      <c r="H53" s="11"/>
    </row>
    <row r="54" ht="20" customHeight="1" spans="1:8">
      <c r="A54" s="12">
        <v>35</v>
      </c>
      <c r="B54" s="13" t="s">
        <v>13</v>
      </c>
      <c r="C54" s="14">
        <v>45505</v>
      </c>
      <c r="D54" s="13">
        <v>2</v>
      </c>
      <c r="E54" s="13">
        <v>7999</v>
      </c>
      <c r="F54" s="13">
        <f t="shared" si="1"/>
        <v>15998</v>
      </c>
      <c r="G54" s="15" t="s">
        <v>15</v>
      </c>
      <c r="H54" s="11"/>
    </row>
    <row r="55" ht="20" customHeight="1" spans="1:8">
      <c r="A55" s="12">
        <v>40</v>
      </c>
      <c r="B55" s="13" t="s">
        <v>11</v>
      </c>
      <c r="C55" s="14">
        <v>45510</v>
      </c>
      <c r="D55" s="13">
        <v>3</v>
      </c>
      <c r="E55" s="13">
        <v>2999</v>
      </c>
      <c r="F55" s="13">
        <f t="shared" si="1"/>
        <v>8997</v>
      </c>
      <c r="G55" s="15" t="s">
        <v>15</v>
      </c>
      <c r="H55" s="11"/>
    </row>
    <row r="56" ht="20" customHeight="1" spans="1:8">
      <c r="A56" s="12">
        <v>41</v>
      </c>
      <c r="B56" s="13" t="s">
        <v>7</v>
      </c>
      <c r="C56" s="14">
        <v>45507</v>
      </c>
      <c r="D56" s="13">
        <v>2</v>
      </c>
      <c r="E56" s="13">
        <v>16999</v>
      </c>
      <c r="F56" s="13">
        <f t="shared" si="1"/>
        <v>33998</v>
      </c>
      <c r="G56" s="15" t="s">
        <v>15</v>
      </c>
      <c r="H56" s="11"/>
    </row>
    <row r="57" ht="20" customHeight="1" spans="1:8">
      <c r="A57" s="12">
        <v>47</v>
      </c>
      <c r="B57" s="13" t="s">
        <v>13</v>
      </c>
      <c r="C57" s="14">
        <v>45510</v>
      </c>
      <c r="D57" s="13">
        <v>3</v>
      </c>
      <c r="E57" s="13">
        <v>7999</v>
      </c>
      <c r="F57" s="13">
        <f t="shared" si="1"/>
        <v>23997</v>
      </c>
      <c r="G57" s="15" t="s">
        <v>15</v>
      </c>
      <c r="H57" s="11"/>
    </row>
    <row r="58" ht="20" customHeight="1" spans="1:8">
      <c r="A58" s="12">
        <v>51</v>
      </c>
      <c r="B58" s="13" t="s">
        <v>12</v>
      </c>
      <c r="C58" s="14">
        <v>45507</v>
      </c>
      <c r="D58" s="13">
        <v>3</v>
      </c>
      <c r="E58" s="13">
        <v>6999</v>
      </c>
      <c r="F58" s="13">
        <f t="shared" si="1"/>
        <v>20997</v>
      </c>
      <c r="G58" s="15" t="s">
        <v>15</v>
      </c>
      <c r="H58" s="11"/>
    </row>
    <row r="59" ht="20" customHeight="1" spans="1:8">
      <c r="A59" s="12">
        <v>52</v>
      </c>
      <c r="B59" s="13" t="s">
        <v>12</v>
      </c>
      <c r="C59" s="14">
        <v>45510</v>
      </c>
      <c r="D59" s="13">
        <v>2</v>
      </c>
      <c r="E59" s="13">
        <v>6999</v>
      </c>
      <c r="F59" s="13">
        <f t="shared" si="1"/>
        <v>13998</v>
      </c>
      <c r="G59" s="15" t="s">
        <v>15</v>
      </c>
      <c r="H59" s="11"/>
    </row>
    <row r="60" ht="20" customHeight="1" spans="1:8">
      <c r="A60" s="12">
        <v>55</v>
      </c>
      <c r="B60" s="13" t="s">
        <v>9</v>
      </c>
      <c r="C60" s="14">
        <v>45507</v>
      </c>
      <c r="D60" s="13">
        <v>6</v>
      </c>
      <c r="E60" s="13">
        <v>4999</v>
      </c>
      <c r="F60" s="13">
        <f t="shared" si="1"/>
        <v>29994</v>
      </c>
      <c r="G60" s="15" t="s">
        <v>15</v>
      </c>
      <c r="H60" s="11"/>
    </row>
    <row r="61" ht="20" customHeight="1" spans="1:8">
      <c r="A61" s="16">
        <v>57</v>
      </c>
      <c r="B61" s="17" t="s">
        <v>10</v>
      </c>
      <c r="C61" s="18">
        <v>45510</v>
      </c>
      <c r="D61" s="17">
        <v>2</v>
      </c>
      <c r="E61" s="17">
        <v>5999</v>
      </c>
      <c r="F61" s="17">
        <f t="shared" si="1"/>
        <v>11998</v>
      </c>
      <c r="G61" s="19" t="s">
        <v>15</v>
      </c>
      <c r="H61" s="11"/>
    </row>
    <row r="62" ht="15.15"/>
  </sheetData>
  <sortState ref="A2:G61">
    <sortCondition ref="G2:G61"/>
  </sortState>
  <conditionalFormatting sqref="D2:D61">
    <cfRule type="cellIs" dxfId="4" priority="1" operator="greaterThan">
      <formula>3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50" zoomScaleNormal="150" workbookViewId="0">
      <selection activeCell="D12" sqref="D12"/>
    </sheetView>
  </sheetViews>
  <sheetFormatPr defaultColWidth="9" defaultRowHeight="14.4" outlineLevelRow="5" outlineLevelCol="3"/>
  <cols>
    <col min="1" max="1" width="8.87962962962963" customWidth="1"/>
    <col min="2" max="2" width="10.8796296296296" customWidth="1"/>
  </cols>
  <sheetData>
    <row r="1" ht="20.4" spans="1:4">
      <c r="A1" s="2" t="s">
        <v>16</v>
      </c>
      <c r="B1" s="2"/>
      <c r="C1" s="2"/>
      <c r="D1" s="2"/>
    </row>
    <row r="2" spans="1:4">
      <c r="A2" s="3" t="s">
        <v>17</v>
      </c>
      <c r="B2" s="4" t="s">
        <v>12</v>
      </c>
      <c r="C2" s="3" t="s">
        <v>9</v>
      </c>
      <c r="D2" s="3" t="s">
        <v>13</v>
      </c>
    </row>
    <row r="3" spans="1:4">
      <c r="A3" s="5">
        <v>45505</v>
      </c>
      <c r="B3" s="3">
        <f>SUMIFS(Sheet1!$F:$F,Sheet1!$B:$B,$B$2,Sheet1!$C:$C,A3)</f>
        <v>0</v>
      </c>
      <c r="C3" s="3">
        <v>19996</v>
      </c>
      <c r="D3" s="3">
        <v>23997</v>
      </c>
    </row>
    <row r="4" spans="1:4">
      <c r="A4" s="5">
        <v>45507</v>
      </c>
      <c r="B4" s="3">
        <v>20997</v>
      </c>
      <c r="C4" s="3">
        <f>SUMIFS(Sheet1!$F:$F,Sheet1!$B:$B,$C$2,Sheet1!$C:$C,A4)</f>
        <v>44991</v>
      </c>
      <c r="D4" s="3">
        <v>47994</v>
      </c>
    </row>
    <row r="5" spans="1:4">
      <c r="A5" s="5">
        <v>45510</v>
      </c>
      <c r="B5" s="3">
        <v>13998</v>
      </c>
      <c r="C5" s="3">
        <v>24995</v>
      </c>
      <c r="D5" s="3">
        <f>SUMIFS(Sheet1!$F:$F,Sheet1!$B:$B,$D$2,Sheet1!$C:$C,A5)</f>
        <v>39995</v>
      </c>
    </row>
    <row r="6" spans="1:4">
      <c r="A6" s="3" t="s">
        <v>18</v>
      </c>
      <c r="B6" s="3">
        <f>SUM(B3:B5)</f>
        <v>34995</v>
      </c>
      <c r="C6" s="3">
        <f>SUM(C3:C5)</f>
        <v>89982</v>
      </c>
      <c r="D6" s="3">
        <f>SUM(D3:D5)</f>
        <v>111986</v>
      </c>
    </row>
  </sheetData>
  <mergeCells count="1">
    <mergeCell ref="A1:D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B5"/>
  <sheetViews>
    <sheetView workbookViewId="0">
      <selection activeCell="I6" sqref="I6"/>
    </sheetView>
  </sheetViews>
  <sheetFormatPr defaultColWidth="9" defaultRowHeight="14.4" outlineLevelRow="4" outlineLevelCol="1"/>
  <cols>
    <col min="1" max="1" width="11.3796296296296"/>
    <col min="2" max="2" width="17.25" style="1"/>
  </cols>
  <sheetData>
    <row r="1" spans="1:2">
      <c r="A1" t="s">
        <v>6</v>
      </c>
      <c r="B1" s="1" t="s">
        <v>19</v>
      </c>
    </row>
    <row r="2" spans="1:2">
      <c r="A2" t="s">
        <v>8</v>
      </c>
      <c r="B2" s="1">
        <v>17397.85</v>
      </c>
    </row>
    <row r="3" spans="1:2">
      <c r="A3" t="s">
        <v>14</v>
      </c>
      <c r="B3" s="1">
        <v>20047.35</v>
      </c>
    </row>
    <row r="4" spans="1:2">
      <c r="A4" t="s">
        <v>15</v>
      </c>
      <c r="B4" s="1">
        <v>20947.2</v>
      </c>
    </row>
    <row r="5" spans="1:2">
      <c r="A5" t="s">
        <v>18</v>
      </c>
      <c r="B5" s="1">
        <v>19464.1333333333</v>
      </c>
    </row>
  </sheetData>
  <pageMargins left="0.700694444444445" right="0.700694444444445" top="0.751388888888889" bottom="0.751388888888889" header="0.298611111111111" footer="0.298611111111111"/>
  <pageSetup paperSize="9" firstPageNumber="2" orientation="portrait" useFirstPageNumber="1" horizont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门店业绩汇总表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MAO</cp:lastModifiedBy>
  <dcterms:created xsi:type="dcterms:W3CDTF">2023-05-12T11:15:00Z</dcterms:created>
  <dcterms:modified xsi:type="dcterms:W3CDTF">2024-10-14T06:22:47Z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524AECCEACA14B00B63352FF693C0E0D_12</vt:lpwstr>
  </property>
</Properties>
</file>
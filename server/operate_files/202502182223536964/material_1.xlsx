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00" windowHeight="11655"/>
  </bookViews>
  <sheets>
    <sheet name="成绩表" sheetId="1" r:id="rId1"/>
    <sheet name="成绩排序" sheetId="6" r:id="rId2"/>
    <sheet name="成绩筛选" sheetId="2" r:id="rId3"/>
    <sheet name="成绩汇总" sheetId="5" r:id="rId4"/>
  </sheets>
  <definedNames>
    <definedName name="_xlnm._FilterDatabase" localSheetId="0" hidden="1">成绩表!$A$2:$M$101</definedName>
    <definedName name="_xlnm._FilterDatabase" localSheetId="2" hidden="1">成绩筛选!$A$6:$I$105</definedName>
    <definedName name="_xlnm.Criteria" localSheetId="2">成绩筛选!$A$1:$B$3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<sst xmlns="http://schemas.openxmlformats.org/spreadsheetml/2006/main" count="1256" uniqueCount="130">
  <si>
    <t>学生成绩表</t>
  </si>
  <si>
    <t>学号</t>
  </si>
  <si>
    <t>姓名</t>
  </si>
  <si>
    <t>性别</t>
  </si>
  <si>
    <t>班级</t>
  </si>
  <si>
    <t>高等数学</t>
  </si>
  <si>
    <t>大学英语</t>
  </si>
  <si>
    <t>逻辑学</t>
  </si>
  <si>
    <t>应用文写作</t>
  </si>
  <si>
    <t>程序设计基础</t>
  </si>
  <si>
    <t>总分</t>
  </si>
  <si>
    <t>平均分</t>
  </si>
  <si>
    <t>名次</t>
  </si>
  <si>
    <t>综合成绩</t>
  </si>
  <si>
    <t>龙美辰</t>
  </si>
  <si>
    <t>男</t>
  </si>
  <si>
    <t>五班</t>
  </si>
  <si>
    <t>刘艺涵</t>
  </si>
  <si>
    <t>女</t>
  </si>
  <si>
    <t>六班</t>
  </si>
  <si>
    <t>郝浚伊</t>
  </si>
  <si>
    <t>统计综合成绩优秀人数</t>
  </si>
  <si>
    <t>李飞杭</t>
  </si>
  <si>
    <t>二班</t>
  </si>
  <si>
    <t>男生</t>
  </si>
  <si>
    <t>李子奇</t>
  </si>
  <si>
    <t>女生</t>
  </si>
  <si>
    <t>姜宜辰</t>
  </si>
  <si>
    <t>四班</t>
  </si>
  <si>
    <t>董学敏</t>
  </si>
  <si>
    <t>一班</t>
  </si>
  <si>
    <t>刘佳慧</t>
  </si>
  <si>
    <t>袁艳杰</t>
  </si>
  <si>
    <t>史婷</t>
  </si>
  <si>
    <t>宋金苗</t>
  </si>
  <si>
    <t>朱磊</t>
  </si>
  <si>
    <t>许李嘉</t>
  </si>
  <si>
    <t>黎彤</t>
  </si>
  <si>
    <t>高雷</t>
  </si>
  <si>
    <t>曹光玮</t>
  </si>
  <si>
    <t>彭思</t>
  </si>
  <si>
    <t>李冰月</t>
  </si>
  <si>
    <t>三班</t>
  </si>
  <si>
    <t>俞思沁</t>
  </si>
  <si>
    <t>魏伸洋</t>
  </si>
  <si>
    <t>孙芊</t>
  </si>
  <si>
    <t>程恬</t>
  </si>
  <si>
    <t>赵玥</t>
  </si>
  <si>
    <t>徐冰</t>
  </si>
  <si>
    <t>高林</t>
  </si>
  <si>
    <t>贺怡宁</t>
  </si>
  <si>
    <t>蔡洁</t>
  </si>
  <si>
    <t>张康怡</t>
  </si>
  <si>
    <t>孙瑜晗</t>
  </si>
  <si>
    <t>孟雪</t>
  </si>
  <si>
    <t>孙舜</t>
  </si>
  <si>
    <t>陈颖</t>
  </si>
  <si>
    <t>苗凝</t>
  </si>
  <si>
    <t>黄一豪</t>
  </si>
  <si>
    <t>高靖扬</t>
  </si>
  <si>
    <t>王天一</t>
  </si>
  <si>
    <t>张丹宁</t>
  </si>
  <si>
    <t>杨莹</t>
  </si>
  <si>
    <t>刘萱</t>
  </si>
  <si>
    <t>李萌</t>
  </si>
  <si>
    <t>杨程雁</t>
  </si>
  <si>
    <t>韩珂</t>
  </si>
  <si>
    <t>陈标</t>
  </si>
  <si>
    <t>陆清一</t>
  </si>
  <si>
    <t>沈先晖</t>
  </si>
  <si>
    <t>陈渝</t>
  </si>
  <si>
    <t>鲁颜</t>
  </si>
  <si>
    <t>蔡昕澎</t>
  </si>
  <si>
    <t>袁颖</t>
  </si>
  <si>
    <t>顾岩</t>
  </si>
  <si>
    <t>李文涛</t>
  </si>
  <si>
    <t>陈洁</t>
  </si>
  <si>
    <t>薛耀清</t>
  </si>
  <si>
    <t>陈怡</t>
  </si>
  <si>
    <t>孙逸萱</t>
  </si>
  <si>
    <t>董婧雯</t>
  </si>
  <si>
    <t>刘俊佟</t>
  </si>
  <si>
    <t>黄怀中</t>
  </si>
  <si>
    <t>李丁</t>
  </si>
  <si>
    <t>周米文</t>
  </si>
  <si>
    <t>汪祺钊</t>
  </si>
  <si>
    <t>周沫</t>
  </si>
  <si>
    <t>章怡文</t>
  </si>
  <si>
    <t>窦姝</t>
  </si>
  <si>
    <t>张小荷</t>
  </si>
  <si>
    <t>赵瑜梦</t>
  </si>
  <si>
    <t>王威</t>
  </si>
  <si>
    <t>郭玲玲</t>
  </si>
  <si>
    <t>苏浩</t>
  </si>
  <si>
    <t>李琛</t>
  </si>
  <si>
    <t>蒋子咺</t>
  </si>
  <si>
    <t>潘国瑞</t>
  </si>
  <si>
    <t>陈温格</t>
  </si>
  <si>
    <t>王粤中</t>
  </si>
  <si>
    <t>郭潘</t>
  </si>
  <si>
    <t>洪玉敏</t>
  </si>
  <si>
    <t>王同硕</t>
  </si>
  <si>
    <t>余韬</t>
  </si>
  <si>
    <t>吴天一</t>
  </si>
  <si>
    <t>林心怡</t>
  </si>
  <si>
    <t>潘睿</t>
  </si>
  <si>
    <t>周雨昕</t>
  </si>
  <si>
    <t>许琴悦</t>
  </si>
  <si>
    <t>李星辰</t>
  </si>
  <si>
    <t>冯紫寒</t>
  </si>
  <si>
    <t>曾佳</t>
  </si>
  <si>
    <t>徐宁</t>
  </si>
  <si>
    <t>李心怡</t>
  </si>
  <si>
    <t>王萍</t>
  </si>
  <si>
    <t>李秋阳</t>
  </si>
  <si>
    <t>崔晓乐</t>
  </si>
  <si>
    <t>王天博</t>
  </si>
  <si>
    <t>梁玮芸</t>
  </si>
  <si>
    <t>刘鑫培</t>
  </si>
  <si>
    <t>李林欣</t>
  </si>
  <si>
    <t>李奕均</t>
  </si>
  <si>
    <t>崔越</t>
  </si>
  <si>
    <t>齐畅</t>
  </si>
  <si>
    <t>王笑冉</t>
  </si>
  <si>
    <t>计数项:性别</t>
  </si>
  <si>
    <t>总计</t>
  </si>
  <si>
    <t>&gt;=90</t>
  </si>
  <si>
    <t>男 平均值</t>
  </si>
  <si>
    <t>女 平均值</t>
  </si>
  <si>
    <t>总平均值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</si>
</sst>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theme="1"/>
      <name val="黑体"/>
      <charset val="134"/>
    </font>
    <font>
      <b/>
      <sz val="18"/>
      <color rgb="FF0070C0"/>
      <name val="黑体"/>
      <charset val="134"/>
    </font>
    <font>
      <b/>
      <sz val="13.5"/>
      <color rgb="FF333333"/>
      <name val="宋体"/>
      <charset val="134"/>
    </font>
    <font>
      <b/>
      <sz val="13.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70C0"/>
      </left>
      <right style="thin">
        <color rgb="FF00B0F0"/>
      </right>
      <top style="thin">
        <color rgb="FF0070C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70C0"/>
      </top>
      <bottom style="thin">
        <color rgb="FF00B0F0"/>
      </bottom>
      <diagonal/>
    </border>
    <border>
      <left style="thin">
        <color rgb="FF0070C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70C0"/>
      </right>
      <top style="thin">
        <color rgb="FF0070C0"/>
      </top>
      <bottom style="thin">
        <color rgb="FF00B0F0"/>
      </bottom>
      <diagonal/>
    </border>
    <border>
      <left style="thin">
        <color rgb="FF00B0F0"/>
      </left>
      <right style="thin">
        <color rgb="FF0070C0"/>
      </right>
      <top style="thin">
        <color rgb="FF00B0F0"/>
      </top>
      <bottom style="thin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 style="thin">
        <color rgb="FF00B0F0"/>
      </right>
      <top style="thin">
        <color rgb="FF00B0F0"/>
      </top>
      <bottom style="thin">
        <color rgb="FF0070C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70C0"/>
      </bottom>
      <diagonal/>
    </border>
    <border>
      <left style="thin">
        <color rgb="FF00B0F0"/>
      </left>
      <right style="thin">
        <color rgb="FF0070C0"/>
      </right>
      <top style="thin">
        <color rgb="FF00B0F0"/>
      </top>
      <bottom style="thin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176" fontId="0" fillId="0" borderId="4" xfId="0" applyNumberForma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9" xfId="0" applyNumberFormat="1" applyBorder="1">
      <alignment vertical="center"/>
    </xf>
    <xf numFmtId="0" fontId="0" fillId="0" borderId="1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color rgb="FF006100"/>
      </font>
      <fill>
        <patternFill patternType="solid">
          <bgColor rgb="FFC6EFCE"/>
        </patternFill>
      </fill>
    </dxf>
    <dxf>
      <numFmt numFmtId="176" formatCode="0.00_ 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75585192419"/>
        </horizontal>
      </border>
    </dxf>
  </dxfs>
  <tableStyles count="1" defaultTableStyle="TableStyleMedium2" defaultPivotStyle="PivotStyleLight16">
    <tableStyle name="TableStylePreset3_Dark" pivot="0" count="7" xr9:uid="{A23A6A0A-29F2-439B-92E2-2009244044D1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[成绩表 - 副本.xlsx]成绩表!数据透视表1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各班级学生性别人数汇总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成绩表!$B$103:$B$104</c:f>
              <c:strCache>
                <c:ptCount val="1"/>
                <c:pt idx="0">
                  <c:v>一班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成绩表!$A$105:$A$107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成绩表!$B$105:$B$107</c:f>
              <c:numCache>
                <c:formatCode>General</c:formatCode>
                <c:ptCount val="2"/>
                <c:pt idx="0">
                  <c:v>10</c:v>
                </c:pt>
                <c:pt idx="1">
                  <c:v>11</c:v>
                </c:pt>
              </c:numCache>
            </c:numRef>
          </c:val>
        </c:ser>
        <c:ser>
          <c:idx val="1"/>
          <c:order val="1"/>
          <c:tx>
            <c:strRef>
              <c:f>成绩表!$C$103:$C$104</c:f>
              <c:strCache>
                <c:ptCount val="1"/>
                <c:pt idx="0">
                  <c:v>二班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成绩表!$A$105:$A$107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成绩表!$C$105:$C$107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</c:ser>
        <c:ser>
          <c:idx val="2"/>
          <c:order val="2"/>
          <c:tx>
            <c:strRef>
              <c:f>成绩表!$D$103:$D$104</c:f>
              <c:strCache>
                <c:ptCount val="1"/>
                <c:pt idx="0">
                  <c:v>三班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成绩表!$A$105:$A$107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成绩表!$D$105:$D$107</c:f>
              <c:numCache>
                <c:formatCode>General</c:formatCode>
                <c:ptCount val="2"/>
                <c:pt idx="0">
                  <c:v>9</c:v>
                </c:pt>
                <c:pt idx="1">
                  <c:v>7</c:v>
                </c:pt>
              </c:numCache>
            </c:numRef>
          </c:val>
        </c:ser>
        <c:ser>
          <c:idx val="3"/>
          <c:order val="3"/>
          <c:tx>
            <c:strRef>
              <c:f>成绩表!$E$103:$E$104</c:f>
              <c:strCache>
                <c:ptCount val="1"/>
                <c:pt idx="0">
                  <c:v>四班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成绩表!$A$105:$A$107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成绩表!$E$105:$E$107</c:f>
              <c:numCache>
                <c:formatCode>General</c:formatCode>
                <c:ptCount val="2"/>
                <c:pt idx="0">
                  <c:v>8</c:v>
                </c:pt>
                <c:pt idx="1">
                  <c:v>5</c:v>
                </c:pt>
              </c:numCache>
            </c:numRef>
          </c:val>
        </c:ser>
        <c:ser>
          <c:idx val="4"/>
          <c:order val="4"/>
          <c:tx>
            <c:strRef>
              <c:f>成绩表!$F$103:$F$104</c:f>
              <c:strCache>
                <c:ptCount val="1"/>
                <c:pt idx="0">
                  <c:v>五班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成绩表!$A$105:$A$107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成绩表!$F$105:$F$107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</c:ser>
        <c:ser>
          <c:idx val="5"/>
          <c:order val="5"/>
          <c:tx>
            <c:strRef>
              <c:f>成绩表!$G$103:$G$104</c:f>
              <c:strCache>
                <c:ptCount val="1"/>
                <c:pt idx="0">
                  <c:v>六班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成绩表!$A$105:$A$107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成绩表!$G$105:$G$107</c:f>
              <c:numCache>
                <c:formatCode>General</c:formatCode>
                <c:ptCount val="2"/>
                <c:pt idx="0">
                  <c:v>10</c:v>
                </c:pt>
                <c:pt idx="1">
                  <c:v>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04754702"/>
        <c:axId val="861305276"/>
      </c:barChart>
      <c:catAx>
        <c:axId val="3047547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305276"/>
        <c:crosses val="autoZero"/>
        <c:auto val="1"/>
        <c:lblAlgn val="ctr"/>
        <c:lblOffset val="100"/>
        <c:noMultiLvlLbl val="0"/>
      </c:catAx>
      <c:valAx>
        <c:axId val="8613052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47547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31750</xdr:colOff>
      <xdr:row>108</xdr:row>
      <xdr:rowOff>44450</xdr:rowOff>
    </xdr:from>
    <xdr:to>
      <xdr:col>8</xdr:col>
      <xdr:colOff>238125</xdr:colOff>
      <xdr:row>124</xdr:row>
      <xdr:rowOff>44450</xdr:rowOff>
    </xdr:to>
    <xdr:graphicFrame>
      <xdr:nvGraphicFramePr>
        <xdr:cNvPr id="2" name="图表 1"/>
        <xdr:cNvGraphicFramePr/>
      </xdr:nvGraphicFramePr>
      <xdr:xfrm>
        <a:off x="31750" y="18827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16.3915393519" refreshedBy="25472" recordCount="99">
  <cacheSource type="worksheet">
    <worksheetSource ref="A2:K101" sheet="成绩表"/>
  </cacheSource>
  <cacheFields count="11">
    <cacheField name="学号" numFmtId="0">
      <sharedItems containsSemiMixedTypes="0" containsString="0" containsNumber="1" containsInteger="1" minValue="10001" maxValue="10099" count="99">
        <n v="10077"/>
        <n v="10082"/>
        <n v="10088"/>
        <n v="10036"/>
        <n v="10040"/>
        <n v="10066"/>
        <n v="10011"/>
        <n v="10023"/>
        <n v="10097"/>
        <n v="10064"/>
        <n v="10098"/>
        <n v="10015"/>
        <n v="10076"/>
        <n v="10042"/>
        <n v="10005"/>
        <n v="10069"/>
        <n v="10018"/>
        <n v="10046"/>
        <n v="10019"/>
        <n v="10056"/>
        <n v="10044"/>
        <n v="10002"/>
        <n v="10072"/>
        <n v="10078"/>
        <n v="10068"/>
        <n v="10051"/>
        <n v="10049"/>
        <n v="10054"/>
        <n v="10043"/>
        <n v="10053"/>
        <n v="10024"/>
        <n v="10028"/>
        <n v="10092"/>
        <n v="10031"/>
        <n v="10073"/>
        <n v="10020"/>
        <n v="10079"/>
        <n v="10057"/>
        <n v="10021"/>
        <n v="10086"/>
        <n v="10062"/>
        <n v="10001"/>
        <n v="10027"/>
        <n v="10039"/>
        <n v="10010"/>
        <n v="10095"/>
        <n v="10089"/>
        <n v="10050"/>
        <n v="10074"/>
        <n v="10041"/>
        <n v="10035"/>
        <n v="10009"/>
        <n v="10055"/>
        <n v="10080"/>
        <n v="10070"/>
        <n v="10091"/>
        <n v="10059"/>
        <n v="10047"/>
        <n v="10029"/>
        <n v="10083"/>
        <n v="10048"/>
        <n v="10030"/>
        <n v="10081"/>
        <n v="10013"/>
        <n v="10052"/>
        <n v="10060"/>
        <n v="10099"/>
        <n v="10026"/>
        <n v="10096"/>
        <n v="10008"/>
        <n v="10007"/>
        <n v="10085"/>
        <n v="10045"/>
        <n v="10075"/>
        <n v="10003"/>
        <n v="10063"/>
        <n v="10004"/>
        <n v="10025"/>
        <n v="10090"/>
        <n v="10094"/>
        <n v="10016"/>
        <n v="10084"/>
        <n v="10014"/>
        <n v="10071"/>
        <n v="10093"/>
        <n v="10012"/>
        <n v="10037"/>
        <n v="10022"/>
        <n v="10065"/>
        <n v="10061"/>
        <n v="10067"/>
        <n v="10032"/>
        <n v="10087"/>
        <n v="10033"/>
        <n v="10034"/>
        <n v="10017"/>
        <n v="10038"/>
        <n v="10006"/>
        <n v="10058"/>
      </sharedItems>
    </cacheField>
    <cacheField name="姓名" numFmtId="0">
      <sharedItems count="99">
        <s v="龙美辰"/>
        <s v="刘艺涵"/>
        <s v="郝浚伊"/>
        <s v="李飞杭"/>
        <s v="李子奇"/>
        <s v="姜宜辰"/>
        <s v="董学敏"/>
        <s v="刘佳慧"/>
        <s v="袁艳杰"/>
        <s v="史婷"/>
        <s v="宋金苗"/>
        <s v="朱磊"/>
        <s v="许李嘉"/>
        <s v="黎彤"/>
        <s v="高雷"/>
        <s v="曹光玮"/>
        <s v="彭思"/>
        <s v="李冰月"/>
        <s v="俞思沁"/>
        <s v="魏伸洋"/>
        <s v="孙芊"/>
        <s v="程恬"/>
        <s v="赵玥"/>
        <s v="徐冰"/>
        <s v="高林"/>
        <s v="贺怡宁"/>
        <s v="蔡洁"/>
        <s v="张康怡"/>
        <s v="孙瑜晗"/>
        <s v="孟雪"/>
        <s v="孙舜"/>
        <s v="陈颖"/>
        <s v="苗凝"/>
        <s v="黄一豪"/>
        <s v="高靖扬"/>
        <s v="王天一"/>
        <s v="张丹宁"/>
        <s v="杨莹"/>
        <s v="刘萱"/>
        <s v="李萌"/>
        <s v="杨程雁"/>
        <s v="韩珂"/>
        <s v="陈标"/>
        <s v="陆清一"/>
        <s v="沈先晖"/>
        <s v="陈渝"/>
        <s v="鲁颜"/>
        <s v="蔡昕澎"/>
        <s v="袁颖"/>
        <s v="顾岩"/>
        <s v="李文涛"/>
        <s v="陈洁"/>
        <s v="薛耀清"/>
        <s v="陈怡"/>
        <s v="孙逸萱"/>
        <s v="董婧雯"/>
        <s v="刘俊佟"/>
        <s v="黄怀中"/>
        <s v="李丁"/>
        <s v="周米文"/>
        <s v="汪祺钊"/>
        <s v="周沫"/>
        <s v="章怡文"/>
        <s v="窦姝"/>
        <s v="张小荷"/>
        <s v="赵瑜梦"/>
        <s v="王威"/>
        <s v="郭玲玲"/>
        <s v="苏浩"/>
        <s v="李琛"/>
        <s v="蒋子咺"/>
        <s v="潘国瑞"/>
        <s v="陈温格"/>
        <s v="王粤中"/>
        <s v="郭潘"/>
        <s v="洪玉敏"/>
        <s v="王同硕"/>
        <s v="余韬"/>
        <s v="吴天一"/>
        <s v="林心怡"/>
        <s v="潘睿"/>
        <s v="周雨昕"/>
        <s v="许琴悦"/>
        <s v="李星辰"/>
        <s v="冯紫寒"/>
        <s v="曾佳"/>
        <s v="徐宁"/>
        <s v="李心怡"/>
        <s v="王萍"/>
        <s v="李秋阳"/>
        <s v="崔晓乐"/>
        <s v="王天博"/>
        <s v="梁玮芸"/>
        <s v="刘鑫培"/>
        <s v="李林欣"/>
        <s v="李奕均"/>
        <s v="崔越"/>
        <s v="齐畅"/>
        <s v="王笑冉"/>
      </sharedItems>
    </cacheField>
    <cacheField name="性别" numFmtId="0">
      <sharedItems count="2">
        <s v="男"/>
        <s v="女"/>
      </sharedItems>
    </cacheField>
    <cacheField name="班级" numFmtId="0">
      <sharedItems count="6">
        <s v="五班"/>
        <s v="六班"/>
        <s v="二班"/>
        <s v="四班"/>
        <s v="一班"/>
        <s v="三班"/>
      </sharedItems>
    </cacheField>
    <cacheField name="高等数学" numFmtId="0">
      <sharedItems containsSemiMixedTypes="0" containsString="0" containsNumber="1" minValue="52.5" maxValue="96" count="55">
        <n v="96"/>
        <n v="66"/>
        <n v="77"/>
        <n v="64"/>
        <n v="81.5"/>
        <n v="64.5"/>
        <n v="75.5"/>
        <n v="73.5"/>
        <n v="68.5"/>
        <n v="71.5"/>
        <n v="82"/>
        <n v="88"/>
        <n v="63.5"/>
        <n v="74.5"/>
        <n v="79.5"/>
        <n v="74"/>
        <n v="59.5"/>
        <n v="84"/>
        <n v="72.5"/>
        <n v="89"/>
        <n v="67"/>
        <n v="71"/>
        <n v="70.5"/>
        <n v="76.5"/>
        <n v="81"/>
        <n v="86.5"/>
        <n v="87"/>
        <n v="78"/>
        <n v="85.5"/>
        <n v="77.5"/>
        <n v="68"/>
        <n v="93"/>
        <n v="82.5"/>
        <n v="69"/>
        <n v="73"/>
        <n v="78.5"/>
        <n v="58.5"/>
        <n v="85"/>
        <n v="60.5"/>
        <n v="80"/>
        <n v="62"/>
        <n v="72"/>
        <n v="65"/>
        <n v="90.5"/>
        <n v="52.5"/>
        <n v="91"/>
        <n v="92"/>
        <n v="83"/>
        <n v="56"/>
        <n v="80.5"/>
        <n v="94"/>
        <n v="76"/>
        <n v="92.5"/>
        <n v="93.5"/>
        <n v="65.5"/>
      </sharedItems>
    </cacheField>
    <cacheField name="大学英语" numFmtId="0">
      <sharedItems containsSemiMixedTypes="0" containsString="0" containsNumber="1" minValue="50" maxValue="98" count="52">
        <n v="88"/>
        <n v="66"/>
        <n v="85.5"/>
        <n v="70.5"/>
        <n v="76.5"/>
        <n v="66.5"/>
        <n v="65.5"/>
        <n v="78"/>
        <n v="63"/>
        <n v="81"/>
        <n v="77.5"/>
        <n v="83"/>
        <n v="80.5"/>
        <n v="81.5"/>
        <n v="78.5"/>
        <n v="73"/>
        <n v="91.5"/>
        <n v="82"/>
        <n v="70"/>
        <n v="72"/>
        <n v="86"/>
        <n v="87.5"/>
        <n v="60"/>
        <n v="74"/>
        <n v="79.5"/>
        <n v="74.5"/>
        <n v="65"/>
        <n v="80"/>
        <n v="86.5"/>
        <n v="69"/>
        <n v="75.5"/>
        <n v="92"/>
        <n v="68.5"/>
        <n v="76"/>
        <n v="90"/>
        <n v="84"/>
        <n v="95"/>
        <n v="77"/>
        <n v="85"/>
        <n v="75"/>
        <n v="94.5"/>
        <n v="50"/>
        <n v="82.5"/>
        <n v="83.5"/>
        <n v="93"/>
        <n v="61.5"/>
        <n v="94"/>
        <n v="71.5"/>
        <n v="64"/>
        <n v="60.5"/>
        <n v="98"/>
        <n v="72.5"/>
      </sharedItems>
    </cacheField>
    <cacheField name="逻辑学" numFmtId="0">
      <sharedItems containsSemiMixedTypes="0" containsString="0" containsNumber="1" minValue="50" maxValue="98" count="57">
        <n v="93"/>
        <n v="74"/>
        <n v="63.5"/>
        <n v="62"/>
        <n v="72"/>
        <n v="75.5"/>
        <n v="73.5"/>
        <n v="73"/>
        <n v="88"/>
        <n v="81"/>
        <n v="62.5"/>
        <n v="77.5"/>
        <n v="71.5"/>
        <n v="79.5"/>
        <n v="70"/>
        <n v="94.5"/>
        <n v="80"/>
        <n v="79"/>
        <n v="70.5"/>
        <n v="74.5"/>
        <n v="66.5"/>
        <n v="68"/>
        <n v="75"/>
        <n v="82"/>
        <n v="67"/>
        <n v="84.5"/>
        <n v="56.5"/>
        <n v="88.5"/>
        <n v="85.5"/>
        <n v="86.5"/>
        <n v="92"/>
        <n v="56"/>
        <n v="97"/>
        <n v="83"/>
        <n v="92.5"/>
        <n v="98"/>
        <n v="94"/>
        <n v="80.5"/>
        <n v="85"/>
        <n v="50"/>
        <n v="89"/>
        <n v="64"/>
        <n v="82.5"/>
        <n v="61"/>
        <n v="95"/>
        <n v="67.5"/>
        <n v="77"/>
        <n v="78"/>
        <n v="64.5"/>
        <n v="72.5"/>
        <n v="66"/>
        <n v="89.5"/>
        <n v="76"/>
        <n v="52"/>
        <n v="54"/>
        <n v="96"/>
        <n v="69"/>
      </sharedItems>
    </cacheField>
    <cacheField name="应用文写作" numFmtId="0">
      <sharedItems containsSemiMixedTypes="0" containsString="0" containsNumber="1" minValue="50" maxValue="98" count="57">
        <n v="88"/>
        <n v="72"/>
        <n v="61.5"/>
        <n v="85"/>
        <n v="70"/>
        <n v="73.5"/>
        <n v="71.5"/>
        <n v="71"/>
        <n v="86"/>
        <n v="60.5"/>
        <n v="75.5"/>
        <n v="79"/>
        <n v="69.5"/>
        <n v="77.5"/>
        <n v="76"/>
        <n v="92.5"/>
        <n v="82.5"/>
        <n v="87"/>
        <n v="68.5"/>
        <n v="72.5"/>
        <n v="64.5"/>
        <n v="66"/>
        <n v="65"/>
        <n v="54.5"/>
        <n v="86.5"/>
        <n v="77"/>
        <n v="83.5"/>
        <n v="84.5"/>
        <n v="80"/>
        <n v="90"/>
        <n v="54"/>
        <n v="81"/>
        <n v="60"/>
        <n v="90.5"/>
        <n v="96"/>
        <n v="78.5"/>
        <n v="98"/>
        <n v="83"/>
        <n v="52.5"/>
        <n v="62"/>
        <n v="73"/>
        <n v="97"/>
        <n v="80.5"/>
        <n v="59"/>
        <n v="95"/>
        <n v="65.5"/>
        <n v="75"/>
        <n v="62.5"/>
        <n v="63.5"/>
        <n v="70.5"/>
        <n v="64"/>
        <n v="87.5"/>
        <n v="74"/>
        <n v="50"/>
        <n v="82"/>
        <n v="92"/>
        <n v="67"/>
      </sharedItems>
    </cacheField>
    <cacheField name="程序设计基础" numFmtId="0">
      <sharedItems containsSemiMixedTypes="0" containsString="0" containsNumber="1" minValue="58" maxValue="97" count="50">
        <n v="92"/>
        <n v="83"/>
        <n v="72"/>
        <n v="60"/>
        <n v="82.5"/>
        <n v="90"/>
        <n v="71.5"/>
        <n v="77.5"/>
        <n v="73"/>
        <n v="61"/>
        <n v="70"/>
        <n v="75"/>
        <n v="62"/>
        <n v="79"/>
        <n v="68"/>
        <n v="88"/>
        <n v="82"/>
        <n v="84.5"/>
        <n v="84"/>
        <n v="97"/>
        <n v="62.5"/>
        <n v="85"/>
        <n v="77"/>
        <n v="58.5"/>
        <n v="80"/>
        <n v="76.5"/>
        <n v="74"/>
        <n v="65.5"/>
        <n v="94.5"/>
        <n v="88.5"/>
        <n v="64.5"/>
        <n v="73.5"/>
        <n v="69.5"/>
        <n v="76"/>
        <n v="95"/>
        <n v="70.5"/>
        <n v="67.5"/>
        <n v="91.5"/>
        <n v="93"/>
        <n v="87.5"/>
        <n v="78.5"/>
        <n v="65"/>
        <n v="67"/>
        <n v="69"/>
        <n v="83.5"/>
        <n v="58"/>
        <n v="93.5"/>
        <n v="92.5"/>
        <n v="91"/>
        <n v="64"/>
      </sharedItems>
    </cacheField>
    <cacheField name="总分" numFmtId="0">
      <sharedItems containsSemiMixedTypes="0" containsString="0" containsNumber="1" minValue="288.5" maxValue="461" count="74">
        <n v="457"/>
        <n v="361"/>
        <n v="359.5"/>
        <n v="341.5"/>
        <n v="382.5"/>
        <n v="370"/>
        <n v="357.5"/>
        <n v="373"/>
        <n v="378.5"/>
        <n v="408"/>
        <n v="378"/>
        <n v="379.5"/>
        <n v="390"/>
        <n v="364"/>
        <n v="383.5"/>
        <n v="363"/>
        <n v="391"/>
        <n v="388"/>
        <n v="429"/>
        <n v="424"/>
        <n v="354.5"/>
        <n v="389"/>
        <n v="347"/>
        <n v="367.5"/>
        <n v="361.5"/>
        <n v="408.5"/>
        <n v="333"/>
        <n v="405"/>
        <n v="364.5"/>
        <n v="391.5"/>
        <n v="453"/>
        <n v="392"/>
        <n v="414"/>
        <n v="332"/>
        <n v="432"/>
        <n v="388.5"/>
        <n v="335"/>
        <n v="419"/>
        <n v="443.5"/>
        <n v="452.5"/>
        <n v="371"/>
        <n v="375.5"/>
        <n v="455"/>
        <n v="380"/>
        <n v="371.5"/>
        <n v="394.5"/>
        <n v="289.5"/>
        <n v="288.5"/>
        <n v="377.5"/>
        <n v="459"/>
        <n v="461"/>
        <n v="387.5"/>
        <n v="421.5"/>
        <n v="360.5"/>
        <n v="458"/>
        <n v="456.5"/>
        <n v="365"/>
        <n v="375"/>
        <n v="418"/>
        <n v="405.5"/>
        <n v="357"/>
        <n v="338.5"/>
        <n v="413.5"/>
        <n v="454.5"/>
        <n v="291.5"/>
        <n v="411"/>
        <n v="326"/>
        <n v="411.5"/>
        <n v="360"/>
        <n v="369.5"/>
        <n v="404.5"/>
        <n v="412.5"/>
        <n v="345.5"/>
        <n v="356.5"/>
      </sharedItems>
    </cacheField>
    <cacheField name="平均分" numFmtId="176">
      <sharedItems containsSemiMixedTypes="0" containsString="0" containsNumber="1" minValue="57.7" maxValue="92.2" count="74">
        <n v="91.4"/>
        <n v="72.2"/>
        <n v="71.9"/>
        <n v="68.3"/>
        <n v="76.5"/>
        <n v="74"/>
        <n v="71.5"/>
        <n v="74.6"/>
        <n v="75.7"/>
        <n v="81.6"/>
        <n v="75.6"/>
        <n v="75.9"/>
        <n v="78"/>
        <n v="72.8"/>
        <n v="76.7"/>
        <n v="72.6"/>
        <n v="78.2"/>
        <n v="77.6"/>
        <n v="85.8"/>
        <n v="84.8"/>
        <n v="70.9"/>
        <n v="77.8"/>
        <n v="69.4"/>
        <n v="73.5"/>
        <n v="72.3"/>
        <n v="81.7"/>
        <n v="66.6"/>
        <n v="81"/>
        <n v="72.9"/>
        <n v="78.3"/>
        <n v="90.6"/>
        <n v="78.4"/>
        <n v="82.8"/>
        <n v="66.4"/>
        <n v="86.4"/>
        <n v="77.7"/>
        <n v="67"/>
        <n v="83.8"/>
        <n v="88.7"/>
        <n v="90.5"/>
        <n v="74.2"/>
        <n v="75.1"/>
        <n v="91"/>
        <n v="76"/>
        <n v="74.3"/>
        <n v="78.9"/>
        <n v="57.9"/>
        <n v="57.7"/>
        <n v="75.5"/>
        <n v="91.8"/>
        <n v="92.2"/>
        <n v="77.5"/>
        <n v="84.3"/>
        <n v="72.1"/>
        <n v="91.6"/>
        <n v="91.3"/>
        <n v="73"/>
        <n v="75"/>
        <n v="83.6"/>
        <n v="81.1"/>
        <n v="71.4"/>
        <n v="67.7"/>
        <n v="82.7"/>
        <n v="90.9"/>
        <n v="58.3"/>
        <n v="82.2"/>
        <n v="65.2"/>
        <n v="82.3"/>
        <n v="72"/>
        <n v="73.9"/>
        <n v="80.9"/>
        <n v="82.5"/>
        <n v="69.1"/>
        <n v="71.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0"/>
    <x v="1"/>
    <x v="2"/>
    <x v="2"/>
    <x v="2"/>
    <x v="2"/>
    <x v="2"/>
    <x v="2"/>
    <x v="2"/>
  </r>
  <r>
    <x v="3"/>
    <x v="3"/>
    <x v="1"/>
    <x v="2"/>
    <x v="3"/>
    <x v="3"/>
    <x v="3"/>
    <x v="3"/>
    <x v="3"/>
    <x v="3"/>
    <x v="3"/>
  </r>
  <r>
    <x v="4"/>
    <x v="4"/>
    <x v="1"/>
    <x v="2"/>
    <x v="4"/>
    <x v="4"/>
    <x v="4"/>
    <x v="4"/>
    <x v="4"/>
    <x v="4"/>
    <x v="4"/>
  </r>
  <r>
    <x v="5"/>
    <x v="5"/>
    <x v="0"/>
    <x v="3"/>
    <x v="5"/>
    <x v="5"/>
    <x v="5"/>
    <x v="5"/>
    <x v="5"/>
    <x v="5"/>
    <x v="5"/>
  </r>
  <r>
    <x v="6"/>
    <x v="6"/>
    <x v="1"/>
    <x v="4"/>
    <x v="6"/>
    <x v="6"/>
    <x v="6"/>
    <x v="6"/>
    <x v="6"/>
    <x v="6"/>
    <x v="6"/>
  </r>
  <r>
    <x v="7"/>
    <x v="7"/>
    <x v="1"/>
    <x v="2"/>
    <x v="7"/>
    <x v="7"/>
    <x v="7"/>
    <x v="7"/>
    <x v="7"/>
    <x v="7"/>
    <x v="7"/>
  </r>
  <r>
    <x v="8"/>
    <x v="8"/>
    <x v="1"/>
    <x v="1"/>
    <x v="8"/>
    <x v="8"/>
    <x v="8"/>
    <x v="8"/>
    <x v="8"/>
    <x v="8"/>
    <x v="8"/>
  </r>
  <r>
    <x v="9"/>
    <x v="9"/>
    <x v="1"/>
    <x v="3"/>
    <x v="9"/>
    <x v="0"/>
    <x v="9"/>
    <x v="3"/>
    <x v="4"/>
    <x v="9"/>
    <x v="9"/>
  </r>
  <r>
    <x v="10"/>
    <x v="10"/>
    <x v="1"/>
    <x v="1"/>
    <x v="10"/>
    <x v="9"/>
    <x v="10"/>
    <x v="9"/>
    <x v="0"/>
    <x v="10"/>
    <x v="10"/>
  </r>
  <r>
    <x v="11"/>
    <x v="11"/>
    <x v="0"/>
    <x v="4"/>
    <x v="11"/>
    <x v="10"/>
    <x v="11"/>
    <x v="10"/>
    <x v="9"/>
    <x v="11"/>
    <x v="11"/>
  </r>
  <r>
    <x v="12"/>
    <x v="12"/>
    <x v="1"/>
    <x v="0"/>
    <x v="12"/>
    <x v="11"/>
    <x v="2"/>
    <x v="2"/>
    <x v="10"/>
    <x v="3"/>
    <x v="3"/>
  </r>
  <r>
    <x v="13"/>
    <x v="13"/>
    <x v="0"/>
    <x v="2"/>
    <x v="13"/>
    <x v="12"/>
    <x v="9"/>
    <x v="11"/>
    <x v="11"/>
    <x v="12"/>
    <x v="12"/>
  </r>
  <r>
    <x v="14"/>
    <x v="14"/>
    <x v="1"/>
    <x v="4"/>
    <x v="14"/>
    <x v="13"/>
    <x v="12"/>
    <x v="12"/>
    <x v="12"/>
    <x v="13"/>
    <x v="13"/>
  </r>
  <r>
    <x v="15"/>
    <x v="15"/>
    <x v="0"/>
    <x v="3"/>
    <x v="15"/>
    <x v="2"/>
    <x v="6"/>
    <x v="6"/>
    <x v="13"/>
    <x v="14"/>
    <x v="14"/>
  </r>
  <r>
    <x v="16"/>
    <x v="16"/>
    <x v="0"/>
    <x v="4"/>
    <x v="16"/>
    <x v="14"/>
    <x v="13"/>
    <x v="13"/>
    <x v="14"/>
    <x v="15"/>
    <x v="15"/>
  </r>
  <r>
    <x v="17"/>
    <x v="17"/>
    <x v="1"/>
    <x v="5"/>
    <x v="17"/>
    <x v="15"/>
    <x v="14"/>
    <x v="14"/>
    <x v="15"/>
    <x v="16"/>
    <x v="16"/>
  </r>
  <r>
    <x v="18"/>
    <x v="18"/>
    <x v="1"/>
    <x v="4"/>
    <x v="18"/>
    <x v="16"/>
    <x v="4"/>
    <x v="4"/>
    <x v="16"/>
    <x v="17"/>
    <x v="17"/>
  </r>
  <r>
    <x v="19"/>
    <x v="19"/>
    <x v="0"/>
    <x v="5"/>
    <x v="6"/>
    <x v="17"/>
    <x v="15"/>
    <x v="15"/>
    <x v="17"/>
    <x v="18"/>
    <x v="18"/>
  </r>
  <r>
    <x v="20"/>
    <x v="20"/>
    <x v="1"/>
    <x v="5"/>
    <x v="7"/>
    <x v="18"/>
    <x v="16"/>
    <x v="16"/>
    <x v="18"/>
    <x v="12"/>
    <x v="12"/>
  </r>
  <r>
    <x v="21"/>
    <x v="21"/>
    <x v="0"/>
    <x v="4"/>
    <x v="19"/>
    <x v="19"/>
    <x v="17"/>
    <x v="17"/>
    <x v="19"/>
    <x v="19"/>
    <x v="19"/>
  </r>
  <r>
    <x v="22"/>
    <x v="22"/>
    <x v="0"/>
    <x v="0"/>
    <x v="20"/>
    <x v="20"/>
    <x v="18"/>
    <x v="18"/>
    <x v="20"/>
    <x v="20"/>
    <x v="20"/>
  </r>
  <r>
    <x v="23"/>
    <x v="23"/>
    <x v="0"/>
    <x v="0"/>
    <x v="14"/>
    <x v="21"/>
    <x v="19"/>
    <x v="19"/>
    <x v="11"/>
    <x v="21"/>
    <x v="21"/>
  </r>
  <r>
    <x v="24"/>
    <x v="24"/>
    <x v="1"/>
    <x v="3"/>
    <x v="21"/>
    <x v="22"/>
    <x v="20"/>
    <x v="20"/>
    <x v="21"/>
    <x v="22"/>
    <x v="22"/>
  </r>
  <r>
    <x v="25"/>
    <x v="25"/>
    <x v="0"/>
    <x v="5"/>
    <x v="22"/>
    <x v="23"/>
    <x v="1"/>
    <x v="1"/>
    <x v="22"/>
    <x v="23"/>
    <x v="23"/>
  </r>
  <r>
    <x v="26"/>
    <x v="26"/>
    <x v="0"/>
    <x v="5"/>
    <x v="23"/>
    <x v="24"/>
    <x v="21"/>
    <x v="21"/>
    <x v="6"/>
    <x v="24"/>
    <x v="24"/>
  </r>
  <r>
    <x v="27"/>
    <x v="27"/>
    <x v="1"/>
    <x v="5"/>
    <x v="24"/>
    <x v="25"/>
    <x v="22"/>
    <x v="0"/>
    <x v="5"/>
    <x v="25"/>
    <x v="25"/>
  </r>
  <r>
    <x v="28"/>
    <x v="28"/>
    <x v="0"/>
    <x v="5"/>
    <x v="25"/>
    <x v="26"/>
    <x v="10"/>
    <x v="9"/>
    <x v="23"/>
    <x v="26"/>
    <x v="26"/>
  </r>
  <r>
    <x v="29"/>
    <x v="29"/>
    <x v="0"/>
    <x v="5"/>
    <x v="26"/>
    <x v="27"/>
    <x v="23"/>
    <x v="1"/>
    <x v="18"/>
    <x v="27"/>
    <x v="27"/>
  </r>
  <r>
    <x v="30"/>
    <x v="30"/>
    <x v="0"/>
    <x v="2"/>
    <x v="27"/>
    <x v="28"/>
    <x v="24"/>
    <x v="22"/>
    <x v="14"/>
    <x v="28"/>
    <x v="28"/>
  </r>
  <r>
    <x v="31"/>
    <x v="31"/>
    <x v="0"/>
    <x v="2"/>
    <x v="12"/>
    <x v="10"/>
    <x v="25"/>
    <x v="16"/>
    <x v="24"/>
    <x v="17"/>
    <x v="17"/>
  </r>
  <r>
    <x v="32"/>
    <x v="32"/>
    <x v="0"/>
    <x v="1"/>
    <x v="28"/>
    <x v="16"/>
    <x v="26"/>
    <x v="23"/>
    <x v="25"/>
    <x v="28"/>
    <x v="28"/>
  </r>
  <r>
    <x v="33"/>
    <x v="33"/>
    <x v="1"/>
    <x v="2"/>
    <x v="7"/>
    <x v="29"/>
    <x v="27"/>
    <x v="24"/>
    <x v="26"/>
    <x v="29"/>
    <x v="29"/>
  </r>
  <r>
    <x v="34"/>
    <x v="34"/>
    <x v="0"/>
    <x v="0"/>
    <x v="29"/>
    <x v="30"/>
    <x v="17"/>
    <x v="25"/>
    <x v="24"/>
    <x v="21"/>
    <x v="21"/>
  </r>
  <r>
    <x v="35"/>
    <x v="35"/>
    <x v="0"/>
    <x v="4"/>
    <x v="29"/>
    <x v="24"/>
    <x v="12"/>
    <x v="12"/>
    <x v="17"/>
    <x v="4"/>
    <x v="4"/>
  </r>
  <r>
    <x v="36"/>
    <x v="36"/>
    <x v="1"/>
    <x v="0"/>
    <x v="30"/>
    <x v="9"/>
    <x v="28"/>
    <x v="26"/>
    <x v="27"/>
    <x v="14"/>
    <x v="14"/>
  </r>
  <r>
    <x v="37"/>
    <x v="37"/>
    <x v="1"/>
    <x v="5"/>
    <x v="31"/>
    <x v="31"/>
    <x v="29"/>
    <x v="27"/>
    <x v="19"/>
    <x v="30"/>
    <x v="30"/>
  </r>
  <r>
    <x v="38"/>
    <x v="38"/>
    <x v="1"/>
    <x v="4"/>
    <x v="32"/>
    <x v="32"/>
    <x v="23"/>
    <x v="28"/>
    <x v="13"/>
    <x v="31"/>
    <x v="31"/>
  </r>
  <r>
    <x v="39"/>
    <x v="39"/>
    <x v="1"/>
    <x v="1"/>
    <x v="33"/>
    <x v="32"/>
    <x v="30"/>
    <x v="29"/>
    <x v="28"/>
    <x v="32"/>
    <x v="32"/>
  </r>
  <r>
    <x v="40"/>
    <x v="40"/>
    <x v="1"/>
    <x v="3"/>
    <x v="34"/>
    <x v="33"/>
    <x v="31"/>
    <x v="30"/>
    <x v="8"/>
    <x v="33"/>
    <x v="33"/>
  </r>
  <r>
    <x v="41"/>
    <x v="41"/>
    <x v="0"/>
    <x v="4"/>
    <x v="26"/>
    <x v="34"/>
    <x v="32"/>
    <x v="12"/>
    <x v="29"/>
    <x v="34"/>
    <x v="34"/>
  </r>
  <r>
    <x v="42"/>
    <x v="42"/>
    <x v="0"/>
    <x v="2"/>
    <x v="35"/>
    <x v="15"/>
    <x v="33"/>
    <x v="31"/>
    <x v="8"/>
    <x v="35"/>
    <x v="35"/>
  </r>
  <r>
    <x v="43"/>
    <x v="43"/>
    <x v="0"/>
    <x v="2"/>
    <x v="36"/>
    <x v="17"/>
    <x v="14"/>
    <x v="32"/>
    <x v="30"/>
    <x v="36"/>
    <x v="36"/>
  </r>
  <r>
    <x v="44"/>
    <x v="44"/>
    <x v="0"/>
    <x v="4"/>
    <x v="32"/>
    <x v="27"/>
    <x v="34"/>
    <x v="33"/>
    <x v="31"/>
    <x v="37"/>
    <x v="37"/>
  </r>
  <r>
    <x v="45"/>
    <x v="45"/>
    <x v="0"/>
    <x v="1"/>
    <x v="0"/>
    <x v="35"/>
    <x v="35"/>
    <x v="34"/>
    <x v="32"/>
    <x v="38"/>
    <x v="38"/>
  </r>
  <r>
    <x v="46"/>
    <x v="46"/>
    <x v="1"/>
    <x v="1"/>
    <x v="37"/>
    <x v="36"/>
    <x v="36"/>
    <x v="24"/>
    <x v="0"/>
    <x v="39"/>
    <x v="39"/>
  </r>
  <r>
    <x v="47"/>
    <x v="47"/>
    <x v="1"/>
    <x v="5"/>
    <x v="2"/>
    <x v="37"/>
    <x v="7"/>
    <x v="7"/>
    <x v="8"/>
    <x v="40"/>
    <x v="40"/>
  </r>
  <r>
    <x v="48"/>
    <x v="48"/>
    <x v="1"/>
    <x v="0"/>
    <x v="38"/>
    <x v="27"/>
    <x v="37"/>
    <x v="35"/>
    <x v="33"/>
    <x v="41"/>
    <x v="41"/>
  </r>
  <r>
    <x v="49"/>
    <x v="49"/>
    <x v="0"/>
    <x v="2"/>
    <x v="39"/>
    <x v="38"/>
    <x v="32"/>
    <x v="36"/>
    <x v="34"/>
    <x v="42"/>
    <x v="42"/>
  </r>
  <r>
    <x v="50"/>
    <x v="50"/>
    <x v="1"/>
    <x v="2"/>
    <x v="14"/>
    <x v="15"/>
    <x v="13"/>
    <x v="13"/>
    <x v="35"/>
    <x v="43"/>
    <x v="43"/>
  </r>
  <r>
    <x v="51"/>
    <x v="51"/>
    <x v="0"/>
    <x v="4"/>
    <x v="40"/>
    <x v="39"/>
    <x v="25"/>
    <x v="16"/>
    <x v="36"/>
    <x v="44"/>
    <x v="44"/>
  </r>
  <r>
    <x v="52"/>
    <x v="52"/>
    <x v="1"/>
    <x v="5"/>
    <x v="41"/>
    <x v="40"/>
    <x v="18"/>
    <x v="18"/>
    <x v="17"/>
    <x v="12"/>
    <x v="12"/>
  </r>
  <r>
    <x v="53"/>
    <x v="53"/>
    <x v="1"/>
    <x v="0"/>
    <x v="24"/>
    <x v="11"/>
    <x v="5"/>
    <x v="5"/>
    <x v="20"/>
    <x v="41"/>
    <x v="41"/>
  </r>
  <r>
    <x v="54"/>
    <x v="54"/>
    <x v="0"/>
    <x v="3"/>
    <x v="14"/>
    <x v="20"/>
    <x v="38"/>
    <x v="37"/>
    <x v="9"/>
    <x v="45"/>
    <x v="45"/>
  </r>
  <r>
    <x v="55"/>
    <x v="55"/>
    <x v="0"/>
    <x v="1"/>
    <x v="42"/>
    <x v="22"/>
    <x v="39"/>
    <x v="38"/>
    <x v="12"/>
    <x v="46"/>
    <x v="46"/>
  </r>
  <r>
    <x v="56"/>
    <x v="56"/>
    <x v="1"/>
    <x v="3"/>
    <x v="43"/>
    <x v="41"/>
    <x v="8"/>
    <x v="1"/>
    <x v="37"/>
    <x v="31"/>
    <x v="31"/>
  </r>
  <r>
    <x v="57"/>
    <x v="57"/>
    <x v="0"/>
    <x v="5"/>
    <x v="21"/>
    <x v="42"/>
    <x v="40"/>
    <x v="17"/>
    <x v="13"/>
    <x v="25"/>
    <x v="25"/>
  </r>
  <r>
    <x v="58"/>
    <x v="58"/>
    <x v="0"/>
    <x v="2"/>
    <x v="44"/>
    <x v="41"/>
    <x v="41"/>
    <x v="39"/>
    <x v="3"/>
    <x v="47"/>
    <x v="47"/>
  </r>
  <r>
    <x v="59"/>
    <x v="59"/>
    <x v="0"/>
    <x v="1"/>
    <x v="17"/>
    <x v="3"/>
    <x v="22"/>
    <x v="40"/>
    <x v="11"/>
    <x v="48"/>
    <x v="48"/>
  </r>
  <r>
    <x v="60"/>
    <x v="60"/>
    <x v="0"/>
    <x v="5"/>
    <x v="31"/>
    <x v="20"/>
    <x v="15"/>
    <x v="15"/>
    <x v="38"/>
    <x v="49"/>
    <x v="49"/>
  </r>
  <r>
    <x v="61"/>
    <x v="61"/>
    <x v="0"/>
    <x v="2"/>
    <x v="31"/>
    <x v="17"/>
    <x v="32"/>
    <x v="41"/>
    <x v="0"/>
    <x v="50"/>
    <x v="50"/>
  </r>
  <r>
    <x v="62"/>
    <x v="62"/>
    <x v="0"/>
    <x v="0"/>
    <x v="9"/>
    <x v="24"/>
    <x v="5"/>
    <x v="5"/>
    <x v="39"/>
    <x v="51"/>
    <x v="51"/>
  </r>
  <r>
    <x v="63"/>
    <x v="63"/>
    <x v="1"/>
    <x v="4"/>
    <x v="45"/>
    <x v="43"/>
    <x v="42"/>
    <x v="42"/>
    <x v="18"/>
    <x v="52"/>
    <x v="52"/>
  </r>
  <r>
    <x v="64"/>
    <x v="64"/>
    <x v="1"/>
    <x v="5"/>
    <x v="19"/>
    <x v="39"/>
    <x v="43"/>
    <x v="43"/>
    <x v="25"/>
    <x v="53"/>
    <x v="53"/>
  </r>
  <r>
    <x v="65"/>
    <x v="65"/>
    <x v="0"/>
    <x v="3"/>
    <x v="43"/>
    <x v="0"/>
    <x v="44"/>
    <x v="29"/>
    <x v="28"/>
    <x v="54"/>
    <x v="54"/>
  </r>
  <r>
    <x v="66"/>
    <x v="66"/>
    <x v="0"/>
    <x v="1"/>
    <x v="24"/>
    <x v="16"/>
    <x v="32"/>
    <x v="44"/>
    <x v="0"/>
    <x v="55"/>
    <x v="55"/>
  </r>
  <r>
    <x v="67"/>
    <x v="67"/>
    <x v="1"/>
    <x v="2"/>
    <x v="32"/>
    <x v="19"/>
    <x v="45"/>
    <x v="45"/>
    <x v="7"/>
    <x v="56"/>
    <x v="56"/>
  </r>
  <r>
    <x v="68"/>
    <x v="68"/>
    <x v="0"/>
    <x v="1"/>
    <x v="9"/>
    <x v="15"/>
    <x v="46"/>
    <x v="46"/>
    <x v="40"/>
    <x v="57"/>
    <x v="57"/>
  </r>
  <r>
    <x v="69"/>
    <x v="69"/>
    <x v="1"/>
    <x v="4"/>
    <x v="45"/>
    <x v="20"/>
    <x v="7"/>
    <x v="7"/>
    <x v="36"/>
    <x v="35"/>
    <x v="35"/>
  </r>
  <r>
    <x v="70"/>
    <x v="70"/>
    <x v="0"/>
    <x v="4"/>
    <x v="27"/>
    <x v="23"/>
    <x v="47"/>
    <x v="14"/>
    <x v="26"/>
    <x v="43"/>
    <x v="43"/>
  </r>
  <r>
    <x v="71"/>
    <x v="71"/>
    <x v="0"/>
    <x v="1"/>
    <x v="45"/>
    <x v="32"/>
    <x v="48"/>
    <x v="47"/>
    <x v="25"/>
    <x v="15"/>
    <x v="15"/>
  </r>
  <r>
    <x v="72"/>
    <x v="72"/>
    <x v="0"/>
    <x v="5"/>
    <x v="39"/>
    <x v="34"/>
    <x v="33"/>
    <x v="31"/>
    <x v="18"/>
    <x v="58"/>
    <x v="58"/>
  </r>
  <r>
    <x v="73"/>
    <x v="73"/>
    <x v="0"/>
    <x v="0"/>
    <x v="46"/>
    <x v="44"/>
    <x v="30"/>
    <x v="48"/>
    <x v="41"/>
    <x v="59"/>
    <x v="59"/>
  </r>
  <r>
    <x v="74"/>
    <x v="74"/>
    <x v="0"/>
    <x v="4"/>
    <x v="18"/>
    <x v="25"/>
    <x v="49"/>
    <x v="49"/>
    <x v="42"/>
    <x v="60"/>
    <x v="60"/>
  </r>
  <r>
    <x v="75"/>
    <x v="75"/>
    <x v="0"/>
    <x v="3"/>
    <x v="27"/>
    <x v="45"/>
    <x v="50"/>
    <x v="50"/>
    <x v="43"/>
    <x v="61"/>
    <x v="61"/>
  </r>
  <r>
    <x v="76"/>
    <x v="76"/>
    <x v="1"/>
    <x v="4"/>
    <x v="28"/>
    <x v="1"/>
    <x v="1"/>
    <x v="1"/>
    <x v="27"/>
    <x v="15"/>
    <x v="15"/>
  </r>
  <r>
    <x v="77"/>
    <x v="77"/>
    <x v="1"/>
    <x v="2"/>
    <x v="2"/>
    <x v="34"/>
    <x v="19"/>
    <x v="19"/>
    <x v="7"/>
    <x v="29"/>
    <x v="29"/>
  </r>
  <r>
    <x v="78"/>
    <x v="78"/>
    <x v="0"/>
    <x v="1"/>
    <x v="39"/>
    <x v="4"/>
    <x v="51"/>
    <x v="51"/>
    <x v="24"/>
    <x v="62"/>
    <x v="62"/>
  </r>
  <r>
    <x v="79"/>
    <x v="79"/>
    <x v="1"/>
    <x v="1"/>
    <x v="4"/>
    <x v="46"/>
    <x v="36"/>
    <x v="29"/>
    <x v="34"/>
    <x v="63"/>
    <x v="63"/>
  </r>
  <r>
    <x v="80"/>
    <x v="80"/>
    <x v="1"/>
    <x v="4"/>
    <x v="13"/>
    <x v="47"/>
    <x v="42"/>
    <x v="42"/>
    <x v="1"/>
    <x v="31"/>
    <x v="31"/>
  </r>
  <r>
    <x v="81"/>
    <x v="81"/>
    <x v="0"/>
    <x v="1"/>
    <x v="42"/>
    <x v="48"/>
    <x v="5"/>
    <x v="5"/>
    <x v="44"/>
    <x v="24"/>
    <x v="24"/>
  </r>
  <r>
    <x v="82"/>
    <x v="82"/>
    <x v="1"/>
    <x v="4"/>
    <x v="6"/>
    <x v="23"/>
    <x v="52"/>
    <x v="52"/>
    <x v="31"/>
    <x v="7"/>
    <x v="7"/>
  </r>
  <r>
    <x v="83"/>
    <x v="83"/>
    <x v="0"/>
    <x v="3"/>
    <x v="28"/>
    <x v="46"/>
    <x v="36"/>
    <x v="10"/>
    <x v="10"/>
    <x v="37"/>
    <x v="37"/>
  </r>
  <r>
    <x v="84"/>
    <x v="84"/>
    <x v="1"/>
    <x v="1"/>
    <x v="9"/>
    <x v="22"/>
    <x v="53"/>
    <x v="53"/>
    <x v="45"/>
    <x v="64"/>
    <x v="64"/>
  </r>
  <r>
    <x v="85"/>
    <x v="85"/>
    <x v="0"/>
    <x v="4"/>
    <x v="47"/>
    <x v="27"/>
    <x v="49"/>
    <x v="54"/>
    <x v="46"/>
    <x v="65"/>
    <x v="65"/>
  </r>
  <r>
    <x v="86"/>
    <x v="86"/>
    <x v="0"/>
    <x v="2"/>
    <x v="48"/>
    <x v="49"/>
    <x v="54"/>
    <x v="11"/>
    <x v="25"/>
    <x v="66"/>
    <x v="66"/>
  </r>
  <r>
    <x v="87"/>
    <x v="87"/>
    <x v="1"/>
    <x v="2"/>
    <x v="45"/>
    <x v="50"/>
    <x v="36"/>
    <x v="55"/>
    <x v="16"/>
    <x v="0"/>
    <x v="0"/>
  </r>
  <r>
    <x v="88"/>
    <x v="88"/>
    <x v="1"/>
    <x v="3"/>
    <x v="49"/>
    <x v="34"/>
    <x v="2"/>
    <x v="3"/>
    <x v="47"/>
    <x v="67"/>
    <x v="67"/>
  </r>
  <r>
    <x v="89"/>
    <x v="89"/>
    <x v="0"/>
    <x v="3"/>
    <x v="50"/>
    <x v="34"/>
    <x v="55"/>
    <x v="26"/>
    <x v="38"/>
    <x v="55"/>
    <x v="55"/>
  </r>
  <r>
    <x v="90"/>
    <x v="90"/>
    <x v="0"/>
    <x v="3"/>
    <x v="29"/>
    <x v="51"/>
    <x v="6"/>
    <x v="6"/>
    <x v="41"/>
    <x v="68"/>
    <x v="68"/>
  </r>
  <r>
    <x v="91"/>
    <x v="91"/>
    <x v="0"/>
    <x v="2"/>
    <x v="51"/>
    <x v="47"/>
    <x v="52"/>
    <x v="52"/>
    <x v="2"/>
    <x v="69"/>
    <x v="69"/>
  </r>
  <r>
    <x v="92"/>
    <x v="92"/>
    <x v="1"/>
    <x v="1"/>
    <x v="33"/>
    <x v="39"/>
    <x v="40"/>
    <x v="28"/>
    <x v="11"/>
    <x v="17"/>
    <x v="17"/>
  </r>
  <r>
    <x v="93"/>
    <x v="93"/>
    <x v="1"/>
    <x v="2"/>
    <x v="52"/>
    <x v="17"/>
    <x v="22"/>
    <x v="40"/>
    <x v="16"/>
    <x v="70"/>
    <x v="70"/>
  </r>
  <r>
    <x v="94"/>
    <x v="94"/>
    <x v="0"/>
    <x v="2"/>
    <x v="53"/>
    <x v="11"/>
    <x v="6"/>
    <x v="6"/>
    <x v="48"/>
    <x v="71"/>
    <x v="71"/>
  </r>
  <r>
    <x v="95"/>
    <x v="95"/>
    <x v="1"/>
    <x v="4"/>
    <x v="10"/>
    <x v="12"/>
    <x v="11"/>
    <x v="10"/>
    <x v="49"/>
    <x v="11"/>
    <x v="11"/>
  </r>
  <r>
    <x v="96"/>
    <x v="96"/>
    <x v="0"/>
    <x v="2"/>
    <x v="15"/>
    <x v="38"/>
    <x v="7"/>
    <x v="7"/>
    <x v="15"/>
    <x v="16"/>
    <x v="16"/>
  </r>
  <r>
    <x v="97"/>
    <x v="97"/>
    <x v="1"/>
    <x v="4"/>
    <x v="54"/>
    <x v="23"/>
    <x v="56"/>
    <x v="56"/>
    <x v="10"/>
    <x v="72"/>
    <x v="72"/>
  </r>
  <r>
    <x v="98"/>
    <x v="98"/>
    <x v="0"/>
    <x v="5"/>
    <x v="13"/>
    <x v="10"/>
    <x v="45"/>
    <x v="45"/>
    <x v="6"/>
    <x v="73"/>
    <x v="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03:H107" firstHeaderRow="1" firstDataRow="2" firstDataCol="1"/>
  <pivotFields count="11">
    <pivotField compact="0" showAll="0"/>
    <pivotField compact="0" showAll="0"/>
    <pivotField axis="axisRow" dataField="1" compact="0" showAll="0">
      <items count="3">
        <item x="0"/>
        <item x="1"/>
        <item t="default"/>
      </items>
    </pivotField>
    <pivotField axis="axisCol" compact="0" showAll="0">
      <items count="7">
        <item x="4"/>
        <item x="2"/>
        <item x="5"/>
        <item x="3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6"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计数项:性别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K100" totalsRowShown="0">
  <autoFilter xmlns:etc="http://www.wps.cn/officeDocument/2017/etCustomData" ref="A1:K100" etc:filterBottomFollowUsedRange="0">
    <filterColumn colId="2">
      <filters>
        <filter val="女"/>
      </filters>
    </filterColumn>
    <filterColumn colId="3">
      <filters>
        <filter val="一班"/>
      </filters>
    </filterColumn>
    <filterColumn colId="10">
      <customFilters>
        <customFilter operator="lessThan" val="80"/>
      </customFilters>
    </filterColumn>
  </autoFilter>
  <tableColumns count="11">
    <tableColumn id="1" name="学号"/>
    <tableColumn id="2" name="姓名"/>
    <tableColumn id="3" name="性别"/>
    <tableColumn id="4" name="班级"/>
    <tableColumn id="5" name="高等数学"/>
    <tableColumn id="6" name="大学英语"/>
    <tableColumn id="7" name="逻辑学"/>
    <tableColumn id="8" name="应用文写作"/>
    <tableColumn id="9" name="程序设计基础"/>
    <tableColumn id="10" name="总分">
      <calculatedColumnFormula>SUM(E2:I2)</calculatedColumnFormula>
    </tableColumn>
    <tableColumn id="11" name="平均分" dataDxfId="1">
      <calculatedColumnFormula>AVERAGE(E2:I2)</calculatedColumnFormula>
    </tableColumn>
  </tableColumns>
  <tableStyleInfo name="TableStylePreset3_Dark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7"/>
  <sheetViews>
    <sheetView tabSelected="1" workbookViewId="0">
      <selection activeCell="I12" sqref="I12"/>
    </sheetView>
  </sheetViews>
  <sheetFormatPr defaultColWidth="9" defaultRowHeight="13.5"/>
  <cols>
    <col min="1" max="1" width="12.75"/>
    <col min="2" max="7" width="7.125"/>
    <col min="8" max="8" width="5.125"/>
    <col min="9" max="9" width="12.875" customWidth="1"/>
    <col min="10" max="10" width="8" customWidth="1"/>
    <col min="11" max="11" width="8.875" customWidth="1"/>
    <col min="12" max="12" width="12.625"/>
    <col min="15" max="15" width="10.5" customWidth="1"/>
    <col min="16" max="16" width="17.375" customWidth="1"/>
  </cols>
  <sheetData>
    <row r="1" s="3" customFormat="1" ht="30" customHeight="1" spans="1:1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8"/>
    </row>
    <row r="2" spans="1:13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9" t="s">
        <v>13</v>
      </c>
    </row>
    <row r="3" spans="1:13">
      <c r="A3" s="6">
        <v>10077</v>
      </c>
      <c r="B3" s="7" t="s">
        <v>14</v>
      </c>
      <c r="C3" s="7" t="s">
        <v>15</v>
      </c>
      <c r="D3" s="7" t="s">
        <v>16</v>
      </c>
      <c r="E3" s="7">
        <v>96</v>
      </c>
      <c r="F3" s="7">
        <v>88</v>
      </c>
      <c r="G3" s="7">
        <v>93</v>
      </c>
      <c r="H3" s="7">
        <v>88</v>
      </c>
      <c r="I3" s="7">
        <v>92</v>
      </c>
      <c r="J3" s="7">
        <f>SUM(E3:I3)</f>
        <v>457</v>
      </c>
      <c r="K3" s="10">
        <f>AVERAGE(E3:I3)</f>
        <v>91.4</v>
      </c>
      <c r="L3" s="7">
        <f>RANK(J3,$J$3:$J$101)</f>
        <v>4</v>
      </c>
      <c r="M3" s="9" t="str">
        <f>IF(K3&gt;=90,"优秀",IF(K3&gt;=75,"良好",IF(K3&gt;=60,"及格","不及格")))</f>
        <v>优秀</v>
      </c>
    </row>
    <row r="4" spans="1:13">
      <c r="A4" s="6">
        <v>10082</v>
      </c>
      <c r="B4" s="7" t="s">
        <v>17</v>
      </c>
      <c r="C4" s="7" t="s">
        <v>18</v>
      </c>
      <c r="D4" s="7" t="s">
        <v>19</v>
      </c>
      <c r="E4" s="7">
        <v>66</v>
      </c>
      <c r="F4" s="7">
        <v>66</v>
      </c>
      <c r="G4" s="7">
        <v>74</v>
      </c>
      <c r="H4" s="7">
        <v>72</v>
      </c>
      <c r="I4" s="7">
        <v>83</v>
      </c>
      <c r="J4" s="7">
        <f t="shared" ref="J4:J35" si="0">SUM(E4:I4)</f>
        <v>361</v>
      </c>
      <c r="K4" s="10">
        <f t="shared" ref="K4:K35" si="1">AVERAGE(E4:I4)</f>
        <v>72.2</v>
      </c>
      <c r="L4" s="7">
        <f t="shared" ref="L4:L35" si="2">RANK(J4,$J$3:$J$101)</f>
        <v>80</v>
      </c>
      <c r="M4" s="9" t="str">
        <f t="shared" ref="M4:M35" si="3">IF(K4&gt;=90,"优秀",IF(K4&gt;=75,"良好",IF(K4&gt;=60,"及格","不及格")))</f>
        <v>及格</v>
      </c>
    </row>
    <row r="5" ht="18" spans="1:16">
      <c r="A5" s="6">
        <v>10088</v>
      </c>
      <c r="B5" s="7" t="s">
        <v>20</v>
      </c>
      <c r="C5" s="7" t="s">
        <v>15</v>
      </c>
      <c r="D5" s="7" t="s">
        <v>19</v>
      </c>
      <c r="E5" s="7">
        <v>77</v>
      </c>
      <c r="F5" s="7">
        <v>85.5</v>
      </c>
      <c r="G5" s="7">
        <v>63.5</v>
      </c>
      <c r="H5" s="7">
        <v>61.5</v>
      </c>
      <c r="I5" s="7">
        <v>72</v>
      </c>
      <c r="J5" s="7">
        <f t="shared" si="0"/>
        <v>359.5</v>
      </c>
      <c r="K5" s="10">
        <f t="shared" si="1"/>
        <v>71.9</v>
      </c>
      <c r="L5" s="7">
        <f t="shared" si="2"/>
        <v>83</v>
      </c>
      <c r="M5" s="9" t="str">
        <f t="shared" si="3"/>
        <v>及格</v>
      </c>
      <c r="O5" s="11" t="s">
        <v>21</v>
      </c>
      <c r="P5" s="12"/>
    </row>
    <row r="6" spans="1:16">
      <c r="A6" s="6">
        <v>10036</v>
      </c>
      <c r="B6" s="7" t="s">
        <v>22</v>
      </c>
      <c r="C6" s="7" t="s">
        <v>18</v>
      </c>
      <c r="D6" s="7" t="s">
        <v>23</v>
      </c>
      <c r="E6" s="7">
        <v>64</v>
      </c>
      <c r="F6" s="7">
        <v>70.5</v>
      </c>
      <c r="G6" s="7">
        <v>62</v>
      </c>
      <c r="H6" s="7">
        <v>85</v>
      </c>
      <c r="I6" s="7">
        <v>60</v>
      </c>
      <c r="J6" s="7">
        <f t="shared" si="0"/>
        <v>341.5</v>
      </c>
      <c r="K6" s="10">
        <f t="shared" si="1"/>
        <v>68.3</v>
      </c>
      <c r="L6" s="7">
        <f t="shared" si="2"/>
        <v>90</v>
      </c>
      <c r="M6" s="9" t="str">
        <f t="shared" si="3"/>
        <v>及格</v>
      </c>
      <c r="O6" s="13" t="s">
        <v>24</v>
      </c>
      <c r="P6" s="14">
        <f>COUNTIFS(C:C,"男",M:M,"优秀")</f>
        <v>7</v>
      </c>
    </row>
    <row r="7" spans="1:16">
      <c r="A7" s="6">
        <v>10040</v>
      </c>
      <c r="B7" s="7" t="s">
        <v>25</v>
      </c>
      <c r="C7" s="7" t="s">
        <v>18</v>
      </c>
      <c r="D7" s="7" t="s">
        <v>23</v>
      </c>
      <c r="E7" s="7">
        <v>81.5</v>
      </c>
      <c r="F7" s="7">
        <v>76.5</v>
      </c>
      <c r="G7" s="7">
        <v>72</v>
      </c>
      <c r="H7" s="7">
        <v>70</v>
      </c>
      <c r="I7" s="7">
        <v>82.5</v>
      </c>
      <c r="J7" s="7">
        <f t="shared" si="0"/>
        <v>382.5</v>
      </c>
      <c r="K7" s="10">
        <f t="shared" si="1"/>
        <v>76.5</v>
      </c>
      <c r="L7" s="7">
        <f t="shared" si="2"/>
        <v>52</v>
      </c>
      <c r="M7" s="9" t="str">
        <f t="shared" si="3"/>
        <v>良好</v>
      </c>
      <c r="O7" s="13" t="s">
        <v>26</v>
      </c>
      <c r="P7" s="14">
        <f>COUNTIFS(C:C,"女",M:M,"优秀")</f>
        <v>4</v>
      </c>
    </row>
    <row r="8" spans="1:13">
      <c r="A8" s="6">
        <v>10066</v>
      </c>
      <c r="B8" s="7" t="s">
        <v>27</v>
      </c>
      <c r="C8" s="7" t="s">
        <v>15</v>
      </c>
      <c r="D8" s="7" t="s">
        <v>28</v>
      </c>
      <c r="E8" s="7">
        <v>64.5</v>
      </c>
      <c r="F8" s="7">
        <v>66.5</v>
      </c>
      <c r="G8" s="7">
        <v>75.5</v>
      </c>
      <c r="H8" s="7">
        <v>73.5</v>
      </c>
      <c r="I8" s="7">
        <v>90</v>
      </c>
      <c r="J8" s="7">
        <f t="shared" si="0"/>
        <v>370</v>
      </c>
      <c r="K8" s="10">
        <f t="shared" si="1"/>
        <v>74</v>
      </c>
      <c r="L8" s="7">
        <f t="shared" si="2"/>
        <v>68</v>
      </c>
      <c r="M8" s="9" t="str">
        <f t="shared" si="3"/>
        <v>及格</v>
      </c>
    </row>
    <row r="9" spans="1:13">
      <c r="A9" s="6">
        <v>10011</v>
      </c>
      <c r="B9" s="7" t="s">
        <v>29</v>
      </c>
      <c r="C9" s="7" t="s">
        <v>18</v>
      </c>
      <c r="D9" s="7" t="s">
        <v>30</v>
      </c>
      <c r="E9" s="7">
        <v>75.5</v>
      </c>
      <c r="F9" s="7">
        <v>65.5</v>
      </c>
      <c r="G9" s="7">
        <v>73.5</v>
      </c>
      <c r="H9" s="7">
        <v>71.5</v>
      </c>
      <c r="I9" s="7">
        <v>71.5</v>
      </c>
      <c r="J9" s="7">
        <f t="shared" si="0"/>
        <v>357.5</v>
      </c>
      <c r="K9" s="10">
        <f t="shared" si="1"/>
        <v>71.5</v>
      </c>
      <c r="L9" s="7">
        <f t="shared" si="2"/>
        <v>84</v>
      </c>
      <c r="M9" s="9" t="str">
        <f t="shared" si="3"/>
        <v>及格</v>
      </c>
    </row>
    <row r="10" spans="1:13">
      <c r="A10" s="6">
        <v>10023</v>
      </c>
      <c r="B10" s="7" t="s">
        <v>31</v>
      </c>
      <c r="C10" s="7" t="s">
        <v>18</v>
      </c>
      <c r="D10" s="7" t="s">
        <v>23</v>
      </c>
      <c r="E10" s="7">
        <v>73.5</v>
      </c>
      <c r="F10" s="7">
        <v>78</v>
      </c>
      <c r="G10" s="7">
        <v>73</v>
      </c>
      <c r="H10" s="7">
        <v>71</v>
      </c>
      <c r="I10" s="7">
        <v>77.5</v>
      </c>
      <c r="J10" s="7">
        <f t="shared" si="0"/>
        <v>373</v>
      </c>
      <c r="K10" s="10">
        <f t="shared" si="1"/>
        <v>74.6</v>
      </c>
      <c r="L10" s="7">
        <f t="shared" si="2"/>
        <v>64</v>
      </c>
      <c r="M10" s="9" t="str">
        <f t="shared" si="3"/>
        <v>及格</v>
      </c>
    </row>
    <row r="11" spans="1:13">
      <c r="A11" s="6">
        <v>10097</v>
      </c>
      <c r="B11" s="7" t="s">
        <v>32</v>
      </c>
      <c r="C11" s="7" t="s">
        <v>18</v>
      </c>
      <c r="D11" s="7" t="s">
        <v>19</v>
      </c>
      <c r="E11" s="7">
        <v>68.5</v>
      </c>
      <c r="F11" s="7">
        <v>63</v>
      </c>
      <c r="G11" s="7">
        <v>88</v>
      </c>
      <c r="H11" s="7">
        <v>86</v>
      </c>
      <c r="I11" s="7">
        <v>73</v>
      </c>
      <c r="J11" s="7">
        <f t="shared" si="0"/>
        <v>378.5</v>
      </c>
      <c r="K11" s="10">
        <f t="shared" si="1"/>
        <v>75.7</v>
      </c>
      <c r="L11" s="7">
        <f t="shared" si="2"/>
        <v>58</v>
      </c>
      <c r="M11" s="9" t="str">
        <f t="shared" si="3"/>
        <v>良好</v>
      </c>
    </row>
    <row r="12" spans="1:13">
      <c r="A12" s="6">
        <v>10064</v>
      </c>
      <c r="B12" s="7" t="s">
        <v>33</v>
      </c>
      <c r="C12" s="7" t="s">
        <v>18</v>
      </c>
      <c r="D12" s="7" t="s">
        <v>28</v>
      </c>
      <c r="E12" s="7">
        <v>71.5</v>
      </c>
      <c r="F12" s="7">
        <v>88</v>
      </c>
      <c r="G12" s="7">
        <v>81</v>
      </c>
      <c r="H12" s="7">
        <v>85</v>
      </c>
      <c r="I12" s="7">
        <v>82.5</v>
      </c>
      <c r="J12" s="7">
        <f t="shared" si="0"/>
        <v>408</v>
      </c>
      <c r="K12" s="10">
        <f t="shared" si="1"/>
        <v>81.6</v>
      </c>
      <c r="L12" s="7">
        <f t="shared" si="2"/>
        <v>27</v>
      </c>
      <c r="M12" s="9" t="str">
        <f t="shared" si="3"/>
        <v>良好</v>
      </c>
    </row>
    <row r="13" spans="1:13">
      <c r="A13" s="6">
        <v>10098</v>
      </c>
      <c r="B13" s="7" t="s">
        <v>34</v>
      </c>
      <c r="C13" s="7" t="s">
        <v>18</v>
      </c>
      <c r="D13" s="7" t="s">
        <v>19</v>
      </c>
      <c r="E13" s="7">
        <v>82</v>
      </c>
      <c r="F13" s="7">
        <v>81</v>
      </c>
      <c r="G13" s="7">
        <v>62.5</v>
      </c>
      <c r="H13" s="7">
        <v>60.5</v>
      </c>
      <c r="I13" s="7">
        <v>92</v>
      </c>
      <c r="J13" s="7">
        <f t="shared" si="0"/>
        <v>378</v>
      </c>
      <c r="K13" s="10">
        <f t="shared" si="1"/>
        <v>75.6</v>
      </c>
      <c r="L13" s="7">
        <f t="shared" si="2"/>
        <v>59</v>
      </c>
      <c r="M13" s="9" t="str">
        <f t="shared" si="3"/>
        <v>良好</v>
      </c>
    </row>
    <row r="14" spans="1:13">
      <c r="A14" s="6">
        <v>10015</v>
      </c>
      <c r="B14" s="7" t="s">
        <v>35</v>
      </c>
      <c r="C14" s="7" t="s">
        <v>15</v>
      </c>
      <c r="D14" s="7" t="s">
        <v>30</v>
      </c>
      <c r="E14" s="7">
        <v>88</v>
      </c>
      <c r="F14" s="7">
        <v>77.5</v>
      </c>
      <c r="G14" s="7">
        <v>77.5</v>
      </c>
      <c r="H14" s="7">
        <v>75.5</v>
      </c>
      <c r="I14" s="7">
        <v>61</v>
      </c>
      <c r="J14" s="7">
        <f t="shared" si="0"/>
        <v>379.5</v>
      </c>
      <c r="K14" s="10">
        <f t="shared" si="1"/>
        <v>75.9</v>
      </c>
      <c r="L14" s="7">
        <f t="shared" si="2"/>
        <v>56</v>
      </c>
      <c r="M14" s="9" t="str">
        <f t="shared" si="3"/>
        <v>良好</v>
      </c>
    </row>
    <row r="15" spans="1:13">
      <c r="A15" s="6">
        <v>10076</v>
      </c>
      <c r="B15" s="7" t="s">
        <v>36</v>
      </c>
      <c r="C15" s="7" t="s">
        <v>18</v>
      </c>
      <c r="D15" s="7" t="s">
        <v>16</v>
      </c>
      <c r="E15" s="7">
        <v>63.5</v>
      </c>
      <c r="F15" s="7">
        <v>83</v>
      </c>
      <c r="G15" s="7">
        <v>63.5</v>
      </c>
      <c r="H15" s="7">
        <v>61.5</v>
      </c>
      <c r="I15" s="7">
        <v>70</v>
      </c>
      <c r="J15" s="7">
        <f t="shared" si="0"/>
        <v>341.5</v>
      </c>
      <c r="K15" s="10">
        <f t="shared" si="1"/>
        <v>68.3</v>
      </c>
      <c r="L15" s="7">
        <f t="shared" si="2"/>
        <v>90</v>
      </c>
      <c r="M15" s="9" t="str">
        <f t="shared" si="3"/>
        <v>及格</v>
      </c>
    </row>
    <row r="16" spans="1:13">
      <c r="A16" s="6">
        <v>10042</v>
      </c>
      <c r="B16" s="7" t="s">
        <v>37</v>
      </c>
      <c r="C16" s="7" t="s">
        <v>15</v>
      </c>
      <c r="D16" s="7" t="s">
        <v>23</v>
      </c>
      <c r="E16" s="7">
        <v>74.5</v>
      </c>
      <c r="F16" s="7">
        <v>80.5</v>
      </c>
      <c r="G16" s="7">
        <v>81</v>
      </c>
      <c r="H16" s="7">
        <v>79</v>
      </c>
      <c r="I16" s="7">
        <v>75</v>
      </c>
      <c r="J16" s="7">
        <f t="shared" si="0"/>
        <v>390</v>
      </c>
      <c r="K16" s="10">
        <f t="shared" si="1"/>
        <v>78</v>
      </c>
      <c r="L16" s="7">
        <f t="shared" si="2"/>
        <v>39</v>
      </c>
      <c r="M16" s="9" t="str">
        <f t="shared" si="3"/>
        <v>良好</v>
      </c>
    </row>
    <row r="17" spans="1:13">
      <c r="A17" s="6">
        <v>10005</v>
      </c>
      <c r="B17" s="7" t="s">
        <v>38</v>
      </c>
      <c r="C17" s="7" t="s">
        <v>18</v>
      </c>
      <c r="D17" s="7" t="s">
        <v>30</v>
      </c>
      <c r="E17" s="7">
        <v>79.5</v>
      </c>
      <c r="F17" s="7">
        <v>81.5</v>
      </c>
      <c r="G17" s="7">
        <v>71.5</v>
      </c>
      <c r="H17" s="7">
        <v>69.5</v>
      </c>
      <c r="I17" s="7">
        <v>62</v>
      </c>
      <c r="J17" s="7">
        <f t="shared" si="0"/>
        <v>364</v>
      </c>
      <c r="K17" s="10">
        <f t="shared" si="1"/>
        <v>72.8</v>
      </c>
      <c r="L17" s="7">
        <f t="shared" si="2"/>
        <v>74</v>
      </c>
      <c r="M17" s="9" t="str">
        <f t="shared" si="3"/>
        <v>及格</v>
      </c>
    </row>
    <row r="18" spans="1:13">
      <c r="A18" s="6">
        <v>10069</v>
      </c>
      <c r="B18" s="7" t="s">
        <v>39</v>
      </c>
      <c r="C18" s="7" t="s">
        <v>15</v>
      </c>
      <c r="D18" s="7" t="s">
        <v>28</v>
      </c>
      <c r="E18" s="7">
        <v>74</v>
      </c>
      <c r="F18" s="7">
        <v>85.5</v>
      </c>
      <c r="G18" s="7">
        <v>73.5</v>
      </c>
      <c r="H18" s="7">
        <v>71.5</v>
      </c>
      <c r="I18" s="7">
        <v>79</v>
      </c>
      <c r="J18" s="7">
        <f t="shared" si="0"/>
        <v>383.5</v>
      </c>
      <c r="K18" s="10">
        <f t="shared" si="1"/>
        <v>76.7</v>
      </c>
      <c r="L18" s="7">
        <f t="shared" si="2"/>
        <v>50</v>
      </c>
      <c r="M18" s="9" t="str">
        <f t="shared" si="3"/>
        <v>良好</v>
      </c>
    </row>
    <row r="19" spans="1:13">
      <c r="A19" s="6">
        <v>10018</v>
      </c>
      <c r="B19" s="7" t="s">
        <v>40</v>
      </c>
      <c r="C19" s="7" t="s">
        <v>15</v>
      </c>
      <c r="D19" s="7" t="s">
        <v>30</v>
      </c>
      <c r="E19" s="7">
        <v>59.5</v>
      </c>
      <c r="F19" s="7">
        <v>78.5</v>
      </c>
      <c r="G19" s="7">
        <v>79.5</v>
      </c>
      <c r="H19" s="7">
        <v>77.5</v>
      </c>
      <c r="I19" s="7">
        <v>68</v>
      </c>
      <c r="J19" s="7">
        <f t="shared" si="0"/>
        <v>363</v>
      </c>
      <c r="K19" s="10">
        <f t="shared" si="1"/>
        <v>72.6</v>
      </c>
      <c r="L19" s="7">
        <f t="shared" si="2"/>
        <v>75</v>
      </c>
      <c r="M19" s="9" t="str">
        <f t="shared" si="3"/>
        <v>及格</v>
      </c>
    </row>
    <row r="20" spans="1:13">
      <c r="A20" s="6">
        <v>10046</v>
      </c>
      <c r="B20" s="7" t="s">
        <v>41</v>
      </c>
      <c r="C20" s="7" t="s">
        <v>18</v>
      </c>
      <c r="D20" s="7" t="s">
        <v>42</v>
      </c>
      <c r="E20" s="7">
        <v>84</v>
      </c>
      <c r="F20" s="7">
        <v>73</v>
      </c>
      <c r="G20" s="7">
        <v>70</v>
      </c>
      <c r="H20" s="7">
        <v>76</v>
      </c>
      <c r="I20" s="7">
        <v>88</v>
      </c>
      <c r="J20" s="7">
        <f t="shared" si="0"/>
        <v>391</v>
      </c>
      <c r="K20" s="10">
        <f t="shared" si="1"/>
        <v>78.2</v>
      </c>
      <c r="L20" s="7">
        <f t="shared" si="2"/>
        <v>37</v>
      </c>
      <c r="M20" s="9" t="str">
        <f t="shared" si="3"/>
        <v>良好</v>
      </c>
    </row>
    <row r="21" spans="1:13">
      <c r="A21" s="6">
        <v>10019</v>
      </c>
      <c r="B21" s="7" t="s">
        <v>43</v>
      </c>
      <c r="C21" s="7" t="s">
        <v>18</v>
      </c>
      <c r="D21" s="7" t="s">
        <v>30</v>
      </c>
      <c r="E21" s="7">
        <v>72.5</v>
      </c>
      <c r="F21" s="7">
        <v>91.5</v>
      </c>
      <c r="G21" s="7">
        <v>72</v>
      </c>
      <c r="H21" s="7">
        <v>70</v>
      </c>
      <c r="I21" s="7">
        <v>82</v>
      </c>
      <c r="J21" s="7">
        <f t="shared" si="0"/>
        <v>388</v>
      </c>
      <c r="K21" s="10">
        <f t="shared" si="1"/>
        <v>77.6</v>
      </c>
      <c r="L21" s="7">
        <f t="shared" si="2"/>
        <v>46</v>
      </c>
      <c r="M21" s="9" t="str">
        <f t="shared" si="3"/>
        <v>良好</v>
      </c>
    </row>
    <row r="22" spans="1:13">
      <c r="A22" s="6">
        <v>10056</v>
      </c>
      <c r="B22" s="7" t="s">
        <v>44</v>
      </c>
      <c r="C22" s="7" t="s">
        <v>15</v>
      </c>
      <c r="D22" s="7" t="s">
        <v>42</v>
      </c>
      <c r="E22" s="7">
        <v>75.5</v>
      </c>
      <c r="F22" s="7">
        <v>82</v>
      </c>
      <c r="G22" s="7">
        <v>94.5</v>
      </c>
      <c r="H22" s="7">
        <v>92.5</v>
      </c>
      <c r="I22" s="7">
        <v>84.5</v>
      </c>
      <c r="J22" s="7">
        <f t="shared" si="0"/>
        <v>429</v>
      </c>
      <c r="K22" s="10">
        <f t="shared" si="1"/>
        <v>85.8</v>
      </c>
      <c r="L22" s="7">
        <f t="shared" si="2"/>
        <v>14</v>
      </c>
      <c r="M22" s="9" t="str">
        <f t="shared" si="3"/>
        <v>良好</v>
      </c>
    </row>
    <row r="23" spans="1:13">
      <c r="A23" s="6">
        <v>10044</v>
      </c>
      <c r="B23" s="7" t="s">
        <v>45</v>
      </c>
      <c r="C23" s="7" t="s">
        <v>18</v>
      </c>
      <c r="D23" s="7" t="s">
        <v>42</v>
      </c>
      <c r="E23" s="7">
        <v>73.5</v>
      </c>
      <c r="F23" s="7">
        <v>70</v>
      </c>
      <c r="G23" s="7">
        <v>80</v>
      </c>
      <c r="H23" s="7">
        <v>82.5</v>
      </c>
      <c r="I23" s="7">
        <v>84</v>
      </c>
      <c r="J23" s="7">
        <f t="shared" si="0"/>
        <v>390</v>
      </c>
      <c r="K23" s="10">
        <f t="shared" si="1"/>
        <v>78</v>
      </c>
      <c r="L23" s="7">
        <f t="shared" si="2"/>
        <v>39</v>
      </c>
      <c r="M23" s="9" t="str">
        <f t="shared" si="3"/>
        <v>良好</v>
      </c>
    </row>
    <row r="24" spans="1:13">
      <c r="A24" s="6">
        <v>10002</v>
      </c>
      <c r="B24" s="7" t="s">
        <v>46</v>
      </c>
      <c r="C24" s="7" t="s">
        <v>15</v>
      </c>
      <c r="D24" s="7" t="s">
        <v>30</v>
      </c>
      <c r="E24" s="7">
        <v>89</v>
      </c>
      <c r="F24" s="7">
        <v>72</v>
      </c>
      <c r="G24" s="7">
        <v>79</v>
      </c>
      <c r="H24" s="7">
        <v>87</v>
      </c>
      <c r="I24" s="7">
        <v>97</v>
      </c>
      <c r="J24" s="7">
        <f t="shared" si="0"/>
        <v>424</v>
      </c>
      <c r="K24" s="10">
        <f t="shared" si="1"/>
        <v>84.8</v>
      </c>
      <c r="L24" s="7">
        <f t="shared" si="2"/>
        <v>15</v>
      </c>
      <c r="M24" s="9" t="str">
        <f t="shared" si="3"/>
        <v>良好</v>
      </c>
    </row>
    <row r="25" spans="1:13">
      <c r="A25" s="6">
        <v>10072</v>
      </c>
      <c r="B25" s="7" t="s">
        <v>47</v>
      </c>
      <c r="C25" s="7" t="s">
        <v>15</v>
      </c>
      <c r="D25" s="7" t="s">
        <v>16</v>
      </c>
      <c r="E25" s="7">
        <v>67</v>
      </c>
      <c r="F25" s="7">
        <v>86</v>
      </c>
      <c r="G25" s="7">
        <v>70.5</v>
      </c>
      <c r="H25" s="7">
        <v>68.5</v>
      </c>
      <c r="I25" s="7">
        <v>62.5</v>
      </c>
      <c r="J25" s="7">
        <f t="shared" si="0"/>
        <v>354.5</v>
      </c>
      <c r="K25" s="10">
        <f t="shared" si="1"/>
        <v>70.9</v>
      </c>
      <c r="L25" s="7">
        <f t="shared" si="2"/>
        <v>87</v>
      </c>
      <c r="M25" s="9" t="str">
        <f t="shared" si="3"/>
        <v>及格</v>
      </c>
    </row>
    <row r="26" spans="1:13">
      <c r="A26" s="6">
        <v>10078</v>
      </c>
      <c r="B26" s="7" t="s">
        <v>48</v>
      </c>
      <c r="C26" s="7" t="s">
        <v>15</v>
      </c>
      <c r="D26" s="7" t="s">
        <v>16</v>
      </c>
      <c r="E26" s="7">
        <v>79.5</v>
      </c>
      <c r="F26" s="7">
        <v>87.5</v>
      </c>
      <c r="G26" s="7">
        <v>74.5</v>
      </c>
      <c r="H26" s="7">
        <v>72.5</v>
      </c>
      <c r="I26" s="7">
        <v>75</v>
      </c>
      <c r="J26" s="7">
        <f t="shared" si="0"/>
        <v>389</v>
      </c>
      <c r="K26" s="10">
        <f t="shared" si="1"/>
        <v>77.8</v>
      </c>
      <c r="L26" s="7">
        <f t="shared" si="2"/>
        <v>42</v>
      </c>
      <c r="M26" s="9" t="str">
        <f t="shared" si="3"/>
        <v>良好</v>
      </c>
    </row>
    <row r="27" spans="1:13">
      <c r="A27" s="6">
        <v>10068</v>
      </c>
      <c r="B27" s="7" t="s">
        <v>49</v>
      </c>
      <c r="C27" s="7" t="s">
        <v>18</v>
      </c>
      <c r="D27" s="7" t="s">
        <v>28</v>
      </c>
      <c r="E27" s="7">
        <v>71</v>
      </c>
      <c r="F27" s="7">
        <v>60</v>
      </c>
      <c r="G27" s="7">
        <v>66.5</v>
      </c>
      <c r="H27" s="7">
        <v>64.5</v>
      </c>
      <c r="I27" s="7">
        <v>85</v>
      </c>
      <c r="J27" s="7">
        <f t="shared" si="0"/>
        <v>347</v>
      </c>
      <c r="K27" s="10">
        <f t="shared" si="1"/>
        <v>69.4</v>
      </c>
      <c r="L27" s="7">
        <f t="shared" si="2"/>
        <v>88</v>
      </c>
      <c r="M27" s="9" t="str">
        <f t="shared" si="3"/>
        <v>及格</v>
      </c>
    </row>
    <row r="28" spans="1:13">
      <c r="A28" s="6">
        <v>10051</v>
      </c>
      <c r="B28" s="7" t="s">
        <v>50</v>
      </c>
      <c r="C28" s="7" t="s">
        <v>15</v>
      </c>
      <c r="D28" s="7" t="s">
        <v>42</v>
      </c>
      <c r="E28" s="7">
        <v>70.5</v>
      </c>
      <c r="F28" s="7">
        <v>74</v>
      </c>
      <c r="G28" s="7">
        <v>74</v>
      </c>
      <c r="H28" s="7">
        <v>72</v>
      </c>
      <c r="I28" s="7">
        <v>77</v>
      </c>
      <c r="J28" s="7">
        <f t="shared" si="0"/>
        <v>367.5</v>
      </c>
      <c r="K28" s="10">
        <f t="shared" si="1"/>
        <v>73.5</v>
      </c>
      <c r="L28" s="7">
        <f t="shared" si="2"/>
        <v>70</v>
      </c>
      <c r="M28" s="9" t="str">
        <f t="shared" si="3"/>
        <v>及格</v>
      </c>
    </row>
    <row r="29" spans="1:13">
      <c r="A29" s="6">
        <v>10049</v>
      </c>
      <c r="B29" s="7" t="s">
        <v>51</v>
      </c>
      <c r="C29" s="7" t="s">
        <v>15</v>
      </c>
      <c r="D29" s="7" t="s">
        <v>42</v>
      </c>
      <c r="E29" s="7">
        <v>76.5</v>
      </c>
      <c r="F29" s="7">
        <v>79.5</v>
      </c>
      <c r="G29" s="7">
        <v>68</v>
      </c>
      <c r="H29" s="7">
        <v>66</v>
      </c>
      <c r="I29" s="7">
        <v>71.5</v>
      </c>
      <c r="J29" s="7">
        <f t="shared" si="0"/>
        <v>361.5</v>
      </c>
      <c r="K29" s="10">
        <f t="shared" si="1"/>
        <v>72.3</v>
      </c>
      <c r="L29" s="7">
        <f t="shared" si="2"/>
        <v>78</v>
      </c>
      <c r="M29" s="9" t="str">
        <f t="shared" si="3"/>
        <v>及格</v>
      </c>
    </row>
    <row r="30" spans="1:13">
      <c r="A30" s="6">
        <v>10054</v>
      </c>
      <c r="B30" s="7" t="s">
        <v>52</v>
      </c>
      <c r="C30" s="7" t="s">
        <v>18</v>
      </c>
      <c r="D30" s="7" t="s">
        <v>42</v>
      </c>
      <c r="E30" s="7">
        <v>81</v>
      </c>
      <c r="F30" s="7">
        <v>74.5</v>
      </c>
      <c r="G30" s="7">
        <v>75</v>
      </c>
      <c r="H30" s="7">
        <v>88</v>
      </c>
      <c r="I30" s="7">
        <v>90</v>
      </c>
      <c r="J30" s="7">
        <f t="shared" si="0"/>
        <v>408.5</v>
      </c>
      <c r="K30" s="10">
        <f t="shared" si="1"/>
        <v>81.7</v>
      </c>
      <c r="L30" s="7">
        <f t="shared" si="2"/>
        <v>25</v>
      </c>
      <c r="M30" s="9" t="str">
        <f t="shared" si="3"/>
        <v>良好</v>
      </c>
    </row>
    <row r="31" spans="1:13">
      <c r="A31" s="6">
        <v>10043</v>
      </c>
      <c r="B31" s="7" t="s">
        <v>53</v>
      </c>
      <c r="C31" s="7" t="s">
        <v>15</v>
      </c>
      <c r="D31" s="7" t="s">
        <v>42</v>
      </c>
      <c r="E31" s="7">
        <v>86.5</v>
      </c>
      <c r="F31" s="7">
        <v>65</v>
      </c>
      <c r="G31" s="7">
        <v>62.5</v>
      </c>
      <c r="H31" s="7">
        <v>60.5</v>
      </c>
      <c r="I31" s="7">
        <v>58.5</v>
      </c>
      <c r="J31" s="7">
        <f t="shared" si="0"/>
        <v>333</v>
      </c>
      <c r="K31" s="10">
        <f t="shared" si="1"/>
        <v>66.6</v>
      </c>
      <c r="L31" s="7">
        <f t="shared" si="2"/>
        <v>94</v>
      </c>
      <c r="M31" s="9" t="str">
        <f t="shared" si="3"/>
        <v>及格</v>
      </c>
    </row>
    <row r="32" spans="1:13">
      <c r="A32" s="6">
        <v>10053</v>
      </c>
      <c r="B32" s="7" t="s">
        <v>54</v>
      </c>
      <c r="C32" s="7" t="s">
        <v>15</v>
      </c>
      <c r="D32" s="7" t="s">
        <v>42</v>
      </c>
      <c r="E32" s="7">
        <v>87</v>
      </c>
      <c r="F32" s="7">
        <v>80</v>
      </c>
      <c r="G32" s="7">
        <v>82</v>
      </c>
      <c r="H32" s="7">
        <v>72</v>
      </c>
      <c r="I32" s="7">
        <v>84</v>
      </c>
      <c r="J32" s="7">
        <f t="shared" si="0"/>
        <v>405</v>
      </c>
      <c r="K32" s="10">
        <f t="shared" si="1"/>
        <v>81</v>
      </c>
      <c r="L32" s="7">
        <f t="shared" si="2"/>
        <v>29</v>
      </c>
      <c r="M32" s="9" t="str">
        <f t="shared" si="3"/>
        <v>良好</v>
      </c>
    </row>
    <row r="33" spans="1:13">
      <c r="A33" s="6">
        <v>10024</v>
      </c>
      <c r="B33" s="7" t="s">
        <v>55</v>
      </c>
      <c r="C33" s="7" t="s">
        <v>15</v>
      </c>
      <c r="D33" s="7" t="s">
        <v>23</v>
      </c>
      <c r="E33" s="7">
        <v>78</v>
      </c>
      <c r="F33" s="7">
        <v>86.5</v>
      </c>
      <c r="G33" s="7">
        <v>67</v>
      </c>
      <c r="H33" s="7">
        <v>65</v>
      </c>
      <c r="I33" s="7">
        <v>68</v>
      </c>
      <c r="J33" s="7">
        <f t="shared" si="0"/>
        <v>364.5</v>
      </c>
      <c r="K33" s="10">
        <f t="shared" si="1"/>
        <v>72.9</v>
      </c>
      <c r="L33" s="7">
        <f t="shared" si="2"/>
        <v>72</v>
      </c>
      <c r="M33" s="9" t="str">
        <f t="shared" si="3"/>
        <v>及格</v>
      </c>
    </row>
    <row r="34" spans="1:13">
      <c r="A34" s="6">
        <v>10028</v>
      </c>
      <c r="B34" s="7" t="s">
        <v>56</v>
      </c>
      <c r="C34" s="7" t="s">
        <v>15</v>
      </c>
      <c r="D34" s="7" t="s">
        <v>23</v>
      </c>
      <c r="E34" s="7">
        <v>63.5</v>
      </c>
      <c r="F34" s="7">
        <v>77.5</v>
      </c>
      <c r="G34" s="7">
        <v>84.5</v>
      </c>
      <c r="H34" s="7">
        <v>82.5</v>
      </c>
      <c r="I34" s="7">
        <v>80</v>
      </c>
      <c r="J34" s="7">
        <f t="shared" si="0"/>
        <v>388</v>
      </c>
      <c r="K34" s="10">
        <f t="shared" si="1"/>
        <v>77.6</v>
      </c>
      <c r="L34" s="7">
        <f t="shared" si="2"/>
        <v>46</v>
      </c>
      <c r="M34" s="9" t="str">
        <f t="shared" si="3"/>
        <v>良好</v>
      </c>
    </row>
    <row r="35" spans="1:13">
      <c r="A35" s="6">
        <v>10092</v>
      </c>
      <c r="B35" s="7" t="s">
        <v>57</v>
      </c>
      <c r="C35" s="7" t="s">
        <v>15</v>
      </c>
      <c r="D35" s="7" t="s">
        <v>19</v>
      </c>
      <c r="E35" s="7">
        <v>85.5</v>
      </c>
      <c r="F35" s="7">
        <v>91.5</v>
      </c>
      <c r="G35" s="7">
        <v>56.5</v>
      </c>
      <c r="H35" s="7">
        <v>54.5</v>
      </c>
      <c r="I35" s="7">
        <v>76.5</v>
      </c>
      <c r="J35" s="7">
        <f t="shared" si="0"/>
        <v>364.5</v>
      </c>
      <c r="K35" s="10">
        <f t="shared" si="1"/>
        <v>72.9</v>
      </c>
      <c r="L35" s="7">
        <f t="shared" si="2"/>
        <v>72</v>
      </c>
      <c r="M35" s="9" t="str">
        <f t="shared" si="3"/>
        <v>及格</v>
      </c>
    </row>
    <row r="36" spans="1:13">
      <c r="A36" s="6">
        <v>10031</v>
      </c>
      <c r="B36" s="7" t="s">
        <v>58</v>
      </c>
      <c r="C36" s="7" t="s">
        <v>18</v>
      </c>
      <c r="D36" s="7" t="s">
        <v>23</v>
      </c>
      <c r="E36" s="7">
        <v>73.5</v>
      </c>
      <c r="F36" s="7">
        <v>69</v>
      </c>
      <c r="G36" s="7">
        <v>88.5</v>
      </c>
      <c r="H36" s="7">
        <v>86.5</v>
      </c>
      <c r="I36" s="7">
        <v>74</v>
      </c>
      <c r="J36" s="7">
        <f t="shared" ref="J36:J67" si="4">SUM(E36:I36)</f>
        <v>391.5</v>
      </c>
      <c r="K36" s="10">
        <f t="shared" ref="K36:K67" si="5">AVERAGE(E36:I36)</f>
        <v>78.3</v>
      </c>
      <c r="L36" s="7">
        <f t="shared" ref="L36:L67" si="6">RANK(J36,$J$3:$J$101)</f>
        <v>35</v>
      </c>
      <c r="M36" s="9" t="str">
        <f t="shared" ref="M36:M67" si="7">IF(K36&gt;=90,"优秀",IF(K36&gt;=75,"良好",IF(K36&gt;=60,"及格","不及格")))</f>
        <v>良好</v>
      </c>
    </row>
    <row r="37" spans="1:13">
      <c r="A37" s="6">
        <v>10073</v>
      </c>
      <c r="B37" s="7" t="s">
        <v>59</v>
      </c>
      <c r="C37" s="7" t="s">
        <v>15</v>
      </c>
      <c r="D37" s="7" t="s">
        <v>16</v>
      </c>
      <c r="E37" s="7">
        <v>77.5</v>
      </c>
      <c r="F37" s="7">
        <v>75.5</v>
      </c>
      <c r="G37" s="7">
        <v>79</v>
      </c>
      <c r="H37" s="7">
        <v>77</v>
      </c>
      <c r="I37" s="7">
        <v>80</v>
      </c>
      <c r="J37" s="7">
        <f t="shared" si="4"/>
        <v>389</v>
      </c>
      <c r="K37" s="10">
        <f t="shared" si="5"/>
        <v>77.8</v>
      </c>
      <c r="L37" s="7">
        <f t="shared" si="6"/>
        <v>42</v>
      </c>
      <c r="M37" s="9" t="str">
        <f t="shared" si="7"/>
        <v>良好</v>
      </c>
    </row>
    <row r="38" spans="1:13">
      <c r="A38" s="6">
        <v>10020</v>
      </c>
      <c r="B38" s="7" t="s">
        <v>60</v>
      </c>
      <c r="C38" s="7" t="s">
        <v>15</v>
      </c>
      <c r="D38" s="7" t="s">
        <v>30</v>
      </c>
      <c r="E38" s="7">
        <v>77.5</v>
      </c>
      <c r="F38" s="7">
        <v>79.5</v>
      </c>
      <c r="G38" s="7">
        <v>71.5</v>
      </c>
      <c r="H38" s="7">
        <v>69.5</v>
      </c>
      <c r="I38" s="7">
        <v>84.5</v>
      </c>
      <c r="J38" s="7">
        <f t="shared" si="4"/>
        <v>382.5</v>
      </c>
      <c r="K38" s="10">
        <f t="shared" si="5"/>
        <v>76.5</v>
      </c>
      <c r="L38" s="7">
        <f t="shared" si="6"/>
        <v>52</v>
      </c>
      <c r="M38" s="9" t="str">
        <f t="shared" si="7"/>
        <v>良好</v>
      </c>
    </row>
    <row r="39" spans="1:13">
      <c r="A39" s="6">
        <v>10079</v>
      </c>
      <c r="B39" s="7" t="s">
        <v>61</v>
      </c>
      <c r="C39" s="7" t="s">
        <v>18</v>
      </c>
      <c r="D39" s="7" t="s">
        <v>16</v>
      </c>
      <c r="E39" s="7">
        <v>68</v>
      </c>
      <c r="F39" s="7">
        <v>81</v>
      </c>
      <c r="G39" s="7">
        <v>85.5</v>
      </c>
      <c r="H39" s="7">
        <v>83.5</v>
      </c>
      <c r="I39" s="7">
        <v>65.5</v>
      </c>
      <c r="J39" s="7">
        <f t="shared" si="4"/>
        <v>383.5</v>
      </c>
      <c r="K39" s="10">
        <f t="shared" si="5"/>
        <v>76.7</v>
      </c>
      <c r="L39" s="7">
        <f t="shared" si="6"/>
        <v>50</v>
      </c>
      <c r="M39" s="9" t="str">
        <f t="shared" si="7"/>
        <v>良好</v>
      </c>
    </row>
    <row r="40" spans="1:13">
      <c r="A40" s="6">
        <v>10057</v>
      </c>
      <c r="B40" s="7" t="s">
        <v>62</v>
      </c>
      <c r="C40" s="7" t="s">
        <v>18</v>
      </c>
      <c r="D40" s="7" t="s">
        <v>42</v>
      </c>
      <c r="E40" s="7">
        <v>93</v>
      </c>
      <c r="F40" s="7">
        <v>92</v>
      </c>
      <c r="G40" s="7">
        <v>86.5</v>
      </c>
      <c r="H40" s="7">
        <v>84.5</v>
      </c>
      <c r="I40" s="7">
        <v>97</v>
      </c>
      <c r="J40" s="7">
        <f t="shared" si="4"/>
        <v>453</v>
      </c>
      <c r="K40" s="10">
        <f t="shared" si="5"/>
        <v>90.6</v>
      </c>
      <c r="L40" s="7">
        <f t="shared" si="6"/>
        <v>10</v>
      </c>
      <c r="M40" s="9" t="str">
        <f t="shared" si="7"/>
        <v>优秀</v>
      </c>
    </row>
    <row r="41" spans="1:13">
      <c r="A41" s="6">
        <v>10021</v>
      </c>
      <c r="B41" s="7" t="s">
        <v>63</v>
      </c>
      <c r="C41" s="7" t="s">
        <v>18</v>
      </c>
      <c r="D41" s="7" t="s">
        <v>30</v>
      </c>
      <c r="E41" s="7">
        <v>82.5</v>
      </c>
      <c r="F41" s="7">
        <v>68.5</v>
      </c>
      <c r="G41" s="7">
        <v>82</v>
      </c>
      <c r="H41" s="7">
        <v>80</v>
      </c>
      <c r="I41" s="7">
        <v>79</v>
      </c>
      <c r="J41" s="7">
        <f t="shared" si="4"/>
        <v>392</v>
      </c>
      <c r="K41" s="10">
        <f t="shared" si="5"/>
        <v>78.4</v>
      </c>
      <c r="L41" s="7">
        <f t="shared" si="6"/>
        <v>32</v>
      </c>
      <c r="M41" s="9" t="str">
        <f t="shared" si="7"/>
        <v>良好</v>
      </c>
    </row>
    <row r="42" spans="1:13">
      <c r="A42" s="6">
        <v>10086</v>
      </c>
      <c r="B42" s="7" t="s">
        <v>64</v>
      </c>
      <c r="C42" s="7" t="s">
        <v>18</v>
      </c>
      <c r="D42" s="7" t="s">
        <v>19</v>
      </c>
      <c r="E42" s="7">
        <v>69</v>
      </c>
      <c r="F42" s="7">
        <v>68.5</v>
      </c>
      <c r="G42" s="7">
        <v>92</v>
      </c>
      <c r="H42" s="7">
        <v>90</v>
      </c>
      <c r="I42" s="7">
        <v>94.5</v>
      </c>
      <c r="J42" s="7">
        <f t="shared" si="4"/>
        <v>414</v>
      </c>
      <c r="K42" s="10">
        <f t="shared" si="5"/>
        <v>82.8</v>
      </c>
      <c r="L42" s="7">
        <f t="shared" si="6"/>
        <v>20</v>
      </c>
      <c r="M42" s="9" t="str">
        <f t="shared" si="7"/>
        <v>良好</v>
      </c>
    </row>
    <row r="43" spans="1:13">
      <c r="A43" s="6">
        <v>10062</v>
      </c>
      <c r="B43" s="7" t="s">
        <v>65</v>
      </c>
      <c r="C43" s="7" t="s">
        <v>18</v>
      </c>
      <c r="D43" s="7" t="s">
        <v>28</v>
      </c>
      <c r="E43" s="7">
        <v>73</v>
      </c>
      <c r="F43" s="7">
        <v>76</v>
      </c>
      <c r="G43" s="7">
        <v>56</v>
      </c>
      <c r="H43" s="7">
        <v>54</v>
      </c>
      <c r="I43" s="7">
        <v>73</v>
      </c>
      <c r="J43" s="7">
        <f t="shared" si="4"/>
        <v>332</v>
      </c>
      <c r="K43" s="10">
        <f t="shared" si="5"/>
        <v>66.4</v>
      </c>
      <c r="L43" s="7">
        <f t="shared" si="6"/>
        <v>95</v>
      </c>
      <c r="M43" s="9" t="str">
        <f t="shared" si="7"/>
        <v>及格</v>
      </c>
    </row>
    <row r="44" spans="1:13">
      <c r="A44" s="6">
        <v>10001</v>
      </c>
      <c r="B44" s="7" t="s">
        <v>66</v>
      </c>
      <c r="C44" s="7" t="s">
        <v>15</v>
      </c>
      <c r="D44" s="7" t="s">
        <v>30</v>
      </c>
      <c r="E44" s="7">
        <v>87</v>
      </c>
      <c r="F44" s="7">
        <v>90</v>
      </c>
      <c r="G44" s="7">
        <v>97</v>
      </c>
      <c r="H44" s="7">
        <v>69.5</v>
      </c>
      <c r="I44" s="7">
        <v>88.5</v>
      </c>
      <c r="J44" s="7">
        <f t="shared" si="4"/>
        <v>432</v>
      </c>
      <c r="K44" s="10">
        <f t="shared" si="5"/>
        <v>86.4</v>
      </c>
      <c r="L44" s="7">
        <f t="shared" si="6"/>
        <v>13</v>
      </c>
      <c r="M44" s="9" t="str">
        <f t="shared" si="7"/>
        <v>良好</v>
      </c>
    </row>
    <row r="45" spans="1:13">
      <c r="A45" s="6">
        <v>10027</v>
      </c>
      <c r="B45" s="7" t="s">
        <v>67</v>
      </c>
      <c r="C45" s="7" t="s">
        <v>15</v>
      </c>
      <c r="D45" s="7" t="s">
        <v>23</v>
      </c>
      <c r="E45" s="7">
        <v>78.5</v>
      </c>
      <c r="F45" s="7">
        <v>73</v>
      </c>
      <c r="G45" s="7">
        <v>83</v>
      </c>
      <c r="H45" s="7">
        <v>81</v>
      </c>
      <c r="I45" s="7">
        <v>73</v>
      </c>
      <c r="J45" s="7">
        <f t="shared" si="4"/>
        <v>388.5</v>
      </c>
      <c r="K45" s="10">
        <f t="shared" si="5"/>
        <v>77.7</v>
      </c>
      <c r="L45" s="7">
        <f t="shared" si="6"/>
        <v>44</v>
      </c>
      <c r="M45" s="9" t="str">
        <f t="shared" si="7"/>
        <v>良好</v>
      </c>
    </row>
    <row r="46" spans="1:13">
      <c r="A46" s="6">
        <v>10039</v>
      </c>
      <c r="B46" s="7" t="s">
        <v>68</v>
      </c>
      <c r="C46" s="7" t="s">
        <v>15</v>
      </c>
      <c r="D46" s="7" t="s">
        <v>23</v>
      </c>
      <c r="E46" s="7">
        <v>58.5</v>
      </c>
      <c r="F46" s="7">
        <v>82</v>
      </c>
      <c r="G46" s="7">
        <v>70</v>
      </c>
      <c r="H46" s="7">
        <v>60</v>
      </c>
      <c r="I46" s="7">
        <v>64.5</v>
      </c>
      <c r="J46" s="7">
        <f t="shared" si="4"/>
        <v>335</v>
      </c>
      <c r="K46" s="10">
        <f t="shared" si="5"/>
        <v>67</v>
      </c>
      <c r="L46" s="7">
        <f t="shared" si="6"/>
        <v>93</v>
      </c>
      <c r="M46" s="9" t="str">
        <f t="shared" si="7"/>
        <v>及格</v>
      </c>
    </row>
    <row r="47" spans="1:13">
      <c r="A47" s="6">
        <v>10010</v>
      </c>
      <c r="B47" s="7" t="s">
        <v>69</v>
      </c>
      <c r="C47" s="7" t="s">
        <v>15</v>
      </c>
      <c r="D47" s="7" t="s">
        <v>30</v>
      </c>
      <c r="E47" s="7">
        <v>82.5</v>
      </c>
      <c r="F47" s="7">
        <v>80</v>
      </c>
      <c r="G47" s="7">
        <v>92.5</v>
      </c>
      <c r="H47" s="7">
        <v>90.5</v>
      </c>
      <c r="I47" s="7">
        <v>73.5</v>
      </c>
      <c r="J47" s="7">
        <f t="shared" si="4"/>
        <v>419</v>
      </c>
      <c r="K47" s="10">
        <f t="shared" si="5"/>
        <v>83.8</v>
      </c>
      <c r="L47" s="7">
        <f t="shared" si="6"/>
        <v>17</v>
      </c>
      <c r="M47" s="9" t="str">
        <f t="shared" si="7"/>
        <v>良好</v>
      </c>
    </row>
    <row r="48" spans="1:13">
      <c r="A48" s="6">
        <v>10095</v>
      </c>
      <c r="B48" s="7" t="s">
        <v>70</v>
      </c>
      <c r="C48" s="7" t="s">
        <v>15</v>
      </c>
      <c r="D48" s="7" t="s">
        <v>19</v>
      </c>
      <c r="E48" s="7">
        <v>96</v>
      </c>
      <c r="F48" s="7">
        <v>84</v>
      </c>
      <c r="G48" s="7">
        <v>98</v>
      </c>
      <c r="H48" s="7">
        <v>96</v>
      </c>
      <c r="I48" s="7">
        <v>69.5</v>
      </c>
      <c r="J48" s="7">
        <f t="shared" si="4"/>
        <v>443.5</v>
      </c>
      <c r="K48" s="10">
        <f t="shared" si="5"/>
        <v>88.7</v>
      </c>
      <c r="L48" s="7">
        <f t="shared" si="6"/>
        <v>12</v>
      </c>
      <c r="M48" s="9" t="str">
        <f t="shared" si="7"/>
        <v>良好</v>
      </c>
    </row>
    <row r="49" spans="1:13">
      <c r="A49" s="6">
        <v>10089</v>
      </c>
      <c r="B49" s="7" t="s">
        <v>71</v>
      </c>
      <c r="C49" s="7" t="s">
        <v>18</v>
      </c>
      <c r="D49" s="7" t="s">
        <v>19</v>
      </c>
      <c r="E49" s="7">
        <v>85</v>
      </c>
      <c r="F49" s="7">
        <v>95</v>
      </c>
      <c r="G49" s="7">
        <v>94</v>
      </c>
      <c r="H49" s="7">
        <v>86.5</v>
      </c>
      <c r="I49" s="7">
        <v>92</v>
      </c>
      <c r="J49" s="7">
        <f t="shared" si="4"/>
        <v>452.5</v>
      </c>
      <c r="K49" s="10">
        <f t="shared" si="5"/>
        <v>90.5</v>
      </c>
      <c r="L49" s="7">
        <f t="shared" si="6"/>
        <v>11</v>
      </c>
      <c r="M49" s="9" t="str">
        <f t="shared" si="7"/>
        <v>优秀</v>
      </c>
    </row>
    <row r="50" spans="1:13">
      <c r="A50" s="6">
        <v>10050</v>
      </c>
      <c r="B50" s="7" t="s">
        <v>72</v>
      </c>
      <c r="C50" s="7" t="s">
        <v>18</v>
      </c>
      <c r="D50" s="7" t="s">
        <v>42</v>
      </c>
      <c r="E50" s="7">
        <v>77</v>
      </c>
      <c r="F50" s="7">
        <v>77</v>
      </c>
      <c r="G50" s="7">
        <v>73</v>
      </c>
      <c r="H50" s="7">
        <v>71</v>
      </c>
      <c r="I50" s="7">
        <v>73</v>
      </c>
      <c r="J50" s="7">
        <f t="shared" si="4"/>
        <v>371</v>
      </c>
      <c r="K50" s="10">
        <f t="shared" si="5"/>
        <v>74.2</v>
      </c>
      <c r="L50" s="7">
        <f t="shared" si="6"/>
        <v>67</v>
      </c>
      <c r="M50" s="9" t="str">
        <f t="shared" si="7"/>
        <v>及格</v>
      </c>
    </row>
    <row r="51" spans="1:13">
      <c r="A51" s="6">
        <v>10074</v>
      </c>
      <c r="B51" s="7" t="s">
        <v>73</v>
      </c>
      <c r="C51" s="7" t="s">
        <v>18</v>
      </c>
      <c r="D51" s="7" t="s">
        <v>16</v>
      </c>
      <c r="E51" s="7">
        <v>60.5</v>
      </c>
      <c r="F51" s="7">
        <v>80</v>
      </c>
      <c r="G51" s="7">
        <v>80.5</v>
      </c>
      <c r="H51" s="7">
        <v>78.5</v>
      </c>
      <c r="I51" s="7">
        <v>76</v>
      </c>
      <c r="J51" s="7">
        <f t="shared" si="4"/>
        <v>375.5</v>
      </c>
      <c r="K51" s="10">
        <f t="shared" si="5"/>
        <v>75.1</v>
      </c>
      <c r="L51" s="7">
        <f t="shared" si="6"/>
        <v>61</v>
      </c>
      <c r="M51" s="9" t="str">
        <f t="shared" si="7"/>
        <v>良好</v>
      </c>
    </row>
    <row r="52" spans="1:13">
      <c r="A52" s="6">
        <v>10041</v>
      </c>
      <c r="B52" s="7" t="s">
        <v>74</v>
      </c>
      <c r="C52" s="7" t="s">
        <v>15</v>
      </c>
      <c r="D52" s="7" t="s">
        <v>23</v>
      </c>
      <c r="E52" s="7">
        <v>80</v>
      </c>
      <c r="F52" s="7">
        <v>85</v>
      </c>
      <c r="G52" s="7">
        <v>97</v>
      </c>
      <c r="H52" s="7">
        <v>98</v>
      </c>
      <c r="I52" s="7">
        <v>95</v>
      </c>
      <c r="J52" s="7">
        <f t="shared" si="4"/>
        <v>455</v>
      </c>
      <c r="K52" s="10">
        <f t="shared" si="5"/>
        <v>91</v>
      </c>
      <c r="L52" s="7">
        <f t="shared" si="6"/>
        <v>8</v>
      </c>
      <c r="M52" s="9" t="str">
        <f t="shared" si="7"/>
        <v>优秀</v>
      </c>
    </row>
    <row r="53" spans="1:13">
      <c r="A53" s="6">
        <v>10035</v>
      </c>
      <c r="B53" s="7" t="s">
        <v>75</v>
      </c>
      <c r="C53" s="7" t="s">
        <v>18</v>
      </c>
      <c r="D53" s="7" t="s">
        <v>23</v>
      </c>
      <c r="E53" s="7">
        <v>79.5</v>
      </c>
      <c r="F53" s="7">
        <v>73</v>
      </c>
      <c r="G53" s="7">
        <v>79.5</v>
      </c>
      <c r="H53" s="7">
        <v>77.5</v>
      </c>
      <c r="I53" s="7">
        <v>70.5</v>
      </c>
      <c r="J53" s="7">
        <f t="shared" si="4"/>
        <v>380</v>
      </c>
      <c r="K53" s="10">
        <f t="shared" si="5"/>
        <v>76</v>
      </c>
      <c r="L53" s="7">
        <f t="shared" si="6"/>
        <v>54</v>
      </c>
      <c r="M53" s="9" t="str">
        <f t="shared" si="7"/>
        <v>良好</v>
      </c>
    </row>
    <row r="54" spans="1:13">
      <c r="A54" s="6">
        <v>10009</v>
      </c>
      <c r="B54" s="7" t="s">
        <v>76</v>
      </c>
      <c r="C54" s="7" t="s">
        <v>15</v>
      </c>
      <c r="D54" s="7" t="s">
        <v>30</v>
      </c>
      <c r="E54" s="7">
        <v>62</v>
      </c>
      <c r="F54" s="7">
        <v>75</v>
      </c>
      <c r="G54" s="7">
        <v>84.5</v>
      </c>
      <c r="H54" s="7">
        <v>82.5</v>
      </c>
      <c r="I54" s="7">
        <v>67.5</v>
      </c>
      <c r="J54" s="7">
        <f t="shared" si="4"/>
        <v>371.5</v>
      </c>
      <c r="K54" s="10">
        <f t="shared" si="5"/>
        <v>74.3</v>
      </c>
      <c r="L54" s="7">
        <f t="shared" si="6"/>
        <v>66</v>
      </c>
      <c r="M54" s="9" t="str">
        <f t="shared" si="7"/>
        <v>及格</v>
      </c>
    </row>
    <row r="55" spans="1:13">
      <c r="A55" s="6">
        <v>10055</v>
      </c>
      <c r="B55" s="7" t="s">
        <v>77</v>
      </c>
      <c r="C55" s="7" t="s">
        <v>18</v>
      </c>
      <c r="D55" s="7" t="s">
        <v>42</v>
      </c>
      <c r="E55" s="7">
        <v>72</v>
      </c>
      <c r="F55" s="7">
        <v>94.5</v>
      </c>
      <c r="G55" s="7">
        <v>70.5</v>
      </c>
      <c r="H55" s="7">
        <v>68.5</v>
      </c>
      <c r="I55" s="7">
        <v>84.5</v>
      </c>
      <c r="J55" s="7">
        <f t="shared" si="4"/>
        <v>390</v>
      </c>
      <c r="K55" s="10">
        <f t="shared" si="5"/>
        <v>78</v>
      </c>
      <c r="L55" s="7">
        <f t="shared" si="6"/>
        <v>39</v>
      </c>
      <c r="M55" s="9" t="str">
        <f t="shared" si="7"/>
        <v>良好</v>
      </c>
    </row>
    <row r="56" spans="1:13">
      <c r="A56" s="6">
        <v>10080</v>
      </c>
      <c r="B56" s="7" t="s">
        <v>78</v>
      </c>
      <c r="C56" s="7" t="s">
        <v>18</v>
      </c>
      <c r="D56" s="7" t="s">
        <v>16</v>
      </c>
      <c r="E56" s="7">
        <v>81</v>
      </c>
      <c r="F56" s="7">
        <v>83</v>
      </c>
      <c r="G56" s="7">
        <v>75.5</v>
      </c>
      <c r="H56" s="7">
        <v>73.5</v>
      </c>
      <c r="I56" s="7">
        <v>62.5</v>
      </c>
      <c r="J56" s="7">
        <f t="shared" si="4"/>
        <v>375.5</v>
      </c>
      <c r="K56" s="10">
        <f t="shared" si="5"/>
        <v>75.1</v>
      </c>
      <c r="L56" s="7">
        <f t="shared" si="6"/>
        <v>61</v>
      </c>
      <c r="M56" s="9" t="str">
        <f t="shared" si="7"/>
        <v>良好</v>
      </c>
    </row>
    <row r="57" spans="1:13">
      <c r="A57" s="6">
        <v>10070</v>
      </c>
      <c r="B57" s="7" t="s">
        <v>79</v>
      </c>
      <c r="C57" s="7" t="s">
        <v>15</v>
      </c>
      <c r="D57" s="7" t="s">
        <v>28</v>
      </c>
      <c r="E57" s="7">
        <v>79.5</v>
      </c>
      <c r="F57" s="7">
        <v>86</v>
      </c>
      <c r="G57" s="7">
        <v>85</v>
      </c>
      <c r="H57" s="7">
        <v>83</v>
      </c>
      <c r="I57" s="7">
        <v>61</v>
      </c>
      <c r="J57" s="7">
        <f t="shared" si="4"/>
        <v>394.5</v>
      </c>
      <c r="K57" s="10">
        <f t="shared" si="5"/>
        <v>78.9</v>
      </c>
      <c r="L57" s="7">
        <f t="shared" si="6"/>
        <v>31</v>
      </c>
      <c r="M57" s="9" t="str">
        <f t="shared" si="7"/>
        <v>良好</v>
      </c>
    </row>
    <row r="58" spans="1:13">
      <c r="A58" s="6">
        <v>10091</v>
      </c>
      <c r="B58" s="7" t="s">
        <v>80</v>
      </c>
      <c r="C58" s="7" t="s">
        <v>15</v>
      </c>
      <c r="D58" s="7" t="s">
        <v>19</v>
      </c>
      <c r="E58" s="7">
        <v>65</v>
      </c>
      <c r="F58" s="7">
        <v>60</v>
      </c>
      <c r="G58" s="7">
        <v>50</v>
      </c>
      <c r="H58" s="7">
        <v>52.5</v>
      </c>
      <c r="I58" s="7">
        <v>62</v>
      </c>
      <c r="J58" s="7">
        <f t="shared" si="4"/>
        <v>289.5</v>
      </c>
      <c r="K58" s="10">
        <f t="shared" si="5"/>
        <v>57.9</v>
      </c>
      <c r="L58" s="7">
        <f t="shared" si="6"/>
        <v>98</v>
      </c>
      <c r="M58" s="9" t="str">
        <f t="shared" si="7"/>
        <v>不及格</v>
      </c>
    </row>
    <row r="59" spans="1:13">
      <c r="A59" s="6">
        <v>10059</v>
      </c>
      <c r="B59" s="7" t="s">
        <v>81</v>
      </c>
      <c r="C59" s="7" t="s">
        <v>18</v>
      </c>
      <c r="D59" s="7" t="s">
        <v>28</v>
      </c>
      <c r="E59" s="7">
        <v>90.5</v>
      </c>
      <c r="F59" s="7">
        <v>50</v>
      </c>
      <c r="G59" s="7">
        <v>88</v>
      </c>
      <c r="H59" s="7">
        <v>72</v>
      </c>
      <c r="I59" s="7">
        <v>91.5</v>
      </c>
      <c r="J59" s="7">
        <f t="shared" si="4"/>
        <v>392</v>
      </c>
      <c r="K59" s="10">
        <f t="shared" si="5"/>
        <v>78.4</v>
      </c>
      <c r="L59" s="7">
        <f t="shared" si="6"/>
        <v>32</v>
      </c>
      <c r="M59" s="9" t="str">
        <f t="shared" si="7"/>
        <v>良好</v>
      </c>
    </row>
    <row r="60" spans="1:13">
      <c r="A60" s="6">
        <v>10047</v>
      </c>
      <c r="B60" s="7" t="s">
        <v>82</v>
      </c>
      <c r="C60" s="7" t="s">
        <v>15</v>
      </c>
      <c r="D60" s="7" t="s">
        <v>42</v>
      </c>
      <c r="E60" s="7">
        <v>71</v>
      </c>
      <c r="F60" s="7">
        <v>82.5</v>
      </c>
      <c r="G60" s="7">
        <v>89</v>
      </c>
      <c r="H60" s="7">
        <v>87</v>
      </c>
      <c r="I60" s="7">
        <v>79</v>
      </c>
      <c r="J60" s="7">
        <f t="shared" si="4"/>
        <v>408.5</v>
      </c>
      <c r="K60" s="10">
        <f t="shared" si="5"/>
        <v>81.7</v>
      </c>
      <c r="L60" s="7">
        <f t="shared" si="6"/>
        <v>25</v>
      </c>
      <c r="M60" s="9" t="str">
        <f t="shared" si="7"/>
        <v>良好</v>
      </c>
    </row>
    <row r="61" spans="1:13">
      <c r="A61" s="6">
        <v>10029</v>
      </c>
      <c r="B61" s="7" t="s">
        <v>83</v>
      </c>
      <c r="C61" s="7" t="s">
        <v>15</v>
      </c>
      <c r="D61" s="7" t="s">
        <v>23</v>
      </c>
      <c r="E61" s="7">
        <v>52.5</v>
      </c>
      <c r="F61" s="7">
        <v>50</v>
      </c>
      <c r="G61" s="7">
        <v>64</v>
      </c>
      <c r="H61" s="7">
        <v>62</v>
      </c>
      <c r="I61" s="7">
        <v>60</v>
      </c>
      <c r="J61" s="7">
        <f t="shared" si="4"/>
        <v>288.5</v>
      </c>
      <c r="K61" s="10">
        <f t="shared" si="5"/>
        <v>57.7</v>
      </c>
      <c r="L61" s="7">
        <f t="shared" si="6"/>
        <v>99</v>
      </c>
      <c r="M61" s="9" t="str">
        <f t="shared" si="7"/>
        <v>不及格</v>
      </c>
    </row>
    <row r="62" spans="1:13">
      <c r="A62" s="6">
        <v>10083</v>
      </c>
      <c r="B62" s="7" t="s">
        <v>84</v>
      </c>
      <c r="C62" s="7" t="s">
        <v>15</v>
      </c>
      <c r="D62" s="7" t="s">
        <v>19</v>
      </c>
      <c r="E62" s="7">
        <v>84</v>
      </c>
      <c r="F62" s="7">
        <v>70.5</v>
      </c>
      <c r="G62" s="7">
        <v>75</v>
      </c>
      <c r="H62" s="7">
        <v>73</v>
      </c>
      <c r="I62" s="7">
        <v>75</v>
      </c>
      <c r="J62" s="7">
        <f t="shared" si="4"/>
        <v>377.5</v>
      </c>
      <c r="K62" s="10">
        <f t="shared" si="5"/>
        <v>75.5</v>
      </c>
      <c r="L62" s="7">
        <f t="shared" si="6"/>
        <v>60</v>
      </c>
      <c r="M62" s="9" t="str">
        <f t="shared" si="7"/>
        <v>良好</v>
      </c>
    </row>
    <row r="63" spans="1:13">
      <c r="A63" s="6">
        <v>10048</v>
      </c>
      <c r="B63" s="7" t="s">
        <v>85</v>
      </c>
      <c r="C63" s="7" t="s">
        <v>15</v>
      </c>
      <c r="D63" s="7" t="s">
        <v>42</v>
      </c>
      <c r="E63" s="7">
        <v>93</v>
      </c>
      <c r="F63" s="7">
        <v>86</v>
      </c>
      <c r="G63" s="7">
        <v>94.5</v>
      </c>
      <c r="H63" s="7">
        <v>92.5</v>
      </c>
      <c r="I63" s="7">
        <v>93</v>
      </c>
      <c r="J63" s="7">
        <f t="shared" si="4"/>
        <v>459</v>
      </c>
      <c r="K63" s="10">
        <f t="shared" si="5"/>
        <v>91.8</v>
      </c>
      <c r="L63" s="7">
        <f t="shared" si="6"/>
        <v>2</v>
      </c>
      <c r="M63" s="9" t="str">
        <f t="shared" si="7"/>
        <v>优秀</v>
      </c>
    </row>
    <row r="64" spans="1:13">
      <c r="A64" s="6">
        <v>10030</v>
      </c>
      <c r="B64" s="7" t="s">
        <v>86</v>
      </c>
      <c r="C64" s="7" t="s">
        <v>15</v>
      </c>
      <c r="D64" s="7" t="s">
        <v>23</v>
      </c>
      <c r="E64" s="7">
        <v>93</v>
      </c>
      <c r="F64" s="7">
        <v>82</v>
      </c>
      <c r="G64" s="7">
        <v>97</v>
      </c>
      <c r="H64" s="7">
        <v>97</v>
      </c>
      <c r="I64" s="7">
        <v>92</v>
      </c>
      <c r="J64" s="7">
        <f t="shared" si="4"/>
        <v>461</v>
      </c>
      <c r="K64" s="10">
        <f t="shared" si="5"/>
        <v>92.2</v>
      </c>
      <c r="L64" s="7">
        <f t="shared" si="6"/>
        <v>1</v>
      </c>
      <c r="M64" s="9" t="str">
        <f t="shared" si="7"/>
        <v>优秀</v>
      </c>
    </row>
    <row r="65" spans="1:13">
      <c r="A65" s="6">
        <v>10081</v>
      </c>
      <c r="B65" s="7" t="s">
        <v>87</v>
      </c>
      <c r="C65" s="7" t="s">
        <v>15</v>
      </c>
      <c r="D65" s="7" t="s">
        <v>16</v>
      </c>
      <c r="E65" s="7">
        <v>71.5</v>
      </c>
      <c r="F65" s="7">
        <v>79.5</v>
      </c>
      <c r="G65" s="7">
        <v>75.5</v>
      </c>
      <c r="H65" s="7">
        <v>73.5</v>
      </c>
      <c r="I65" s="7">
        <v>87.5</v>
      </c>
      <c r="J65" s="7">
        <f t="shared" si="4"/>
        <v>387.5</v>
      </c>
      <c r="K65" s="10">
        <f t="shared" si="5"/>
        <v>77.5</v>
      </c>
      <c r="L65" s="7">
        <f t="shared" si="6"/>
        <v>49</v>
      </c>
      <c r="M65" s="9" t="str">
        <f t="shared" si="7"/>
        <v>良好</v>
      </c>
    </row>
    <row r="66" spans="1:13">
      <c r="A66" s="6">
        <v>10013</v>
      </c>
      <c r="B66" s="7" t="s">
        <v>88</v>
      </c>
      <c r="C66" s="7" t="s">
        <v>18</v>
      </c>
      <c r="D66" s="7" t="s">
        <v>30</v>
      </c>
      <c r="E66" s="7">
        <v>91</v>
      </c>
      <c r="F66" s="7">
        <v>83.5</v>
      </c>
      <c r="G66" s="7">
        <v>82.5</v>
      </c>
      <c r="H66" s="7">
        <v>80.5</v>
      </c>
      <c r="I66" s="7">
        <v>84</v>
      </c>
      <c r="J66" s="7">
        <f t="shared" si="4"/>
        <v>421.5</v>
      </c>
      <c r="K66" s="10">
        <f t="shared" si="5"/>
        <v>84.3</v>
      </c>
      <c r="L66" s="7">
        <f t="shared" si="6"/>
        <v>16</v>
      </c>
      <c r="M66" s="9" t="str">
        <f t="shared" si="7"/>
        <v>良好</v>
      </c>
    </row>
    <row r="67" spans="1:13">
      <c r="A67" s="6">
        <v>10052</v>
      </c>
      <c r="B67" s="7" t="s">
        <v>89</v>
      </c>
      <c r="C67" s="7" t="s">
        <v>18</v>
      </c>
      <c r="D67" s="7" t="s">
        <v>42</v>
      </c>
      <c r="E67" s="7">
        <v>89</v>
      </c>
      <c r="F67" s="7">
        <v>75</v>
      </c>
      <c r="G67" s="7">
        <v>61</v>
      </c>
      <c r="H67" s="7">
        <v>59</v>
      </c>
      <c r="I67" s="7">
        <v>76.5</v>
      </c>
      <c r="J67" s="7">
        <f t="shared" si="4"/>
        <v>360.5</v>
      </c>
      <c r="K67" s="10">
        <f t="shared" si="5"/>
        <v>72.1</v>
      </c>
      <c r="L67" s="7">
        <f t="shared" si="6"/>
        <v>81</v>
      </c>
      <c r="M67" s="9" t="str">
        <f t="shared" si="7"/>
        <v>及格</v>
      </c>
    </row>
    <row r="68" spans="1:13">
      <c r="A68" s="6">
        <v>10060</v>
      </c>
      <c r="B68" s="7" t="s">
        <v>90</v>
      </c>
      <c r="C68" s="7" t="s">
        <v>15</v>
      </c>
      <c r="D68" s="7" t="s">
        <v>28</v>
      </c>
      <c r="E68" s="7">
        <v>90.5</v>
      </c>
      <c r="F68" s="7">
        <v>88</v>
      </c>
      <c r="G68" s="7">
        <v>95</v>
      </c>
      <c r="H68" s="7">
        <v>90</v>
      </c>
      <c r="I68" s="7">
        <v>94.5</v>
      </c>
      <c r="J68" s="7">
        <f t="shared" ref="J68:J99" si="8">SUM(E68:I68)</f>
        <v>458</v>
      </c>
      <c r="K68" s="10">
        <f t="shared" ref="K68:K99" si="9">AVERAGE(E68:I68)</f>
        <v>91.6</v>
      </c>
      <c r="L68" s="7">
        <f t="shared" ref="L68:L99" si="10">RANK(J68,$J$3:$J$101)</f>
        <v>3</v>
      </c>
      <c r="M68" s="9" t="str">
        <f t="shared" ref="M68:M99" si="11">IF(K68&gt;=90,"优秀",IF(K68&gt;=75,"良好",IF(K68&gt;=60,"及格","不及格")))</f>
        <v>优秀</v>
      </c>
    </row>
    <row r="69" spans="1:13">
      <c r="A69" s="6">
        <v>10099</v>
      </c>
      <c r="B69" s="7" t="s">
        <v>91</v>
      </c>
      <c r="C69" s="7" t="s">
        <v>15</v>
      </c>
      <c r="D69" s="7" t="s">
        <v>19</v>
      </c>
      <c r="E69" s="7">
        <v>81</v>
      </c>
      <c r="F69" s="7">
        <v>91.5</v>
      </c>
      <c r="G69" s="7">
        <v>97</v>
      </c>
      <c r="H69" s="7">
        <v>95</v>
      </c>
      <c r="I69" s="7">
        <v>92</v>
      </c>
      <c r="J69" s="7">
        <f t="shared" si="8"/>
        <v>456.5</v>
      </c>
      <c r="K69" s="10">
        <f t="shared" si="9"/>
        <v>91.3</v>
      </c>
      <c r="L69" s="7">
        <f t="shared" si="10"/>
        <v>6</v>
      </c>
      <c r="M69" s="9" t="str">
        <f t="shared" si="11"/>
        <v>优秀</v>
      </c>
    </row>
    <row r="70" spans="1:13">
      <c r="A70" s="6">
        <v>10026</v>
      </c>
      <c r="B70" s="7" t="s">
        <v>92</v>
      </c>
      <c r="C70" s="7" t="s">
        <v>18</v>
      </c>
      <c r="D70" s="7" t="s">
        <v>23</v>
      </c>
      <c r="E70" s="7">
        <v>82.5</v>
      </c>
      <c r="F70" s="7">
        <v>72</v>
      </c>
      <c r="G70" s="7">
        <v>67.5</v>
      </c>
      <c r="H70" s="7">
        <v>65.5</v>
      </c>
      <c r="I70" s="7">
        <v>77.5</v>
      </c>
      <c r="J70" s="7">
        <f t="shared" si="8"/>
        <v>365</v>
      </c>
      <c r="K70" s="10">
        <f t="shared" si="9"/>
        <v>73</v>
      </c>
      <c r="L70" s="7">
        <f t="shared" si="10"/>
        <v>71</v>
      </c>
      <c r="M70" s="9" t="str">
        <f t="shared" si="11"/>
        <v>及格</v>
      </c>
    </row>
    <row r="71" spans="1:13">
      <c r="A71" s="6">
        <v>10096</v>
      </c>
      <c r="B71" s="7" t="s">
        <v>93</v>
      </c>
      <c r="C71" s="7" t="s">
        <v>15</v>
      </c>
      <c r="D71" s="7" t="s">
        <v>19</v>
      </c>
      <c r="E71" s="7">
        <v>71.5</v>
      </c>
      <c r="F71" s="7">
        <v>73</v>
      </c>
      <c r="G71" s="7">
        <v>77</v>
      </c>
      <c r="H71" s="7">
        <v>75</v>
      </c>
      <c r="I71" s="7">
        <v>78.5</v>
      </c>
      <c r="J71" s="7">
        <f t="shared" si="8"/>
        <v>375</v>
      </c>
      <c r="K71" s="10">
        <f t="shared" si="9"/>
        <v>75</v>
      </c>
      <c r="L71" s="7">
        <f t="shared" si="10"/>
        <v>63</v>
      </c>
      <c r="M71" s="9" t="str">
        <f t="shared" si="11"/>
        <v>良好</v>
      </c>
    </row>
    <row r="72" spans="1:13">
      <c r="A72" s="6">
        <v>10008</v>
      </c>
      <c r="B72" s="7" t="s">
        <v>94</v>
      </c>
      <c r="C72" s="7" t="s">
        <v>18</v>
      </c>
      <c r="D72" s="7" t="s">
        <v>30</v>
      </c>
      <c r="E72" s="7">
        <v>91</v>
      </c>
      <c r="F72" s="7">
        <v>86</v>
      </c>
      <c r="G72" s="7">
        <v>73</v>
      </c>
      <c r="H72" s="7">
        <v>71</v>
      </c>
      <c r="I72" s="7">
        <v>67.5</v>
      </c>
      <c r="J72" s="7">
        <f t="shared" si="8"/>
        <v>388.5</v>
      </c>
      <c r="K72" s="10">
        <f t="shared" si="9"/>
        <v>77.7</v>
      </c>
      <c r="L72" s="7">
        <f t="shared" si="10"/>
        <v>44</v>
      </c>
      <c r="M72" s="9" t="str">
        <f t="shared" si="11"/>
        <v>良好</v>
      </c>
    </row>
    <row r="73" spans="1:13">
      <c r="A73" s="6">
        <v>10007</v>
      </c>
      <c r="B73" s="7" t="s">
        <v>95</v>
      </c>
      <c r="C73" s="7" t="s">
        <v>15</v>
      </c>
      <c r="D73" s="7" t="s">
        <v>30</v>
      </c>
      <c r="E73" s="7">
        <v>78</v>
      </c>
      <c r="F73" s="7">
        <v>74</v>
      </c>
      <c r="G73" s="7">
        <v>78</v>
      </c>
      <c r="H73" s="7">
        <v>76</v>
      </c>
      <c r="I73" s="7">
        <v>74</v>
      </c>
      <c r="J73" s="7">
        <f t="shared" si="8"/>
        <v>380</v>
      </c>
      <c r="K73" s="10">
        <f t="shared" si="9"/>
        <v>76</v>
      </c>
      <c r="L73" s="7">
        <f t="shared" si="10"/>
        <v>54</v>
      </c>
      <c r="M73" s="9" t="str">
        <f t="shared" si="11"/>
        <v>良好</v>
      </c>
    </row>
    <row r="74" spans="1:13">
      <c r="A74" s="6">
        <v>10085</v>
      </c>
      <c r="B74" s="7" t="s">
        <v>96</v>
      </c>
      <c r="C74" s="7" t="s">
        <v>15</v>
      </c>
      <c r="D74" s="7" t="s">
        <v>19</v>
      </c>
      <c r="E74" s="7">
        <v>91</v>
      </c>
      <c r="F74" s="7">
        <v>68.5</v>
      </c>
      <c r="G74" s="7">
        <v>64.5</v>
      </c>
      <c r="H74" s="7">
        <v>62.5</v>
      </c>
      <c r="I74" s="7">
        <v>76.5</v>
      </c>
      <c r="J74" s="7">
        <f t="shared" si="8"/>
        <v>363</v>
      </c>
      <c r="K74" s="10">
        <f t="shared" si="9"/>
        <v>72.6</v>
      </c>
      <c r="L74" s="7">
        <f t="shared" si="10"/>
        <v>75</v>
      </c>
      <c r="M74" s="9" t="str">
        <f t="shared" si="11"/>
        <v>及格</v>
      </c>
    </row>
    <row r="75" spans="1:13">
      <c r="A75" s="6">
        <v>10045</v>
      </c>
      <c r="B75" s="7" t="s">
        <v>97</v>
      </c>
      <c r="C75" s="7" t="s">
        <v>15</v>
      </c>
      <c r="D75" s="7" t="s">
        <v>42</v>
      </c>
      <c r="E75" s="7">
        <v>80</v>
      </c>
      <c r="F75" s="7">
        <v>90</v>
      </c>
      <c r="G75" s="7">
        <v>83</v>
      </c>
      <c r="H75" s="7">
        <v>81</v>
      </c>
      <c r="I75" s="7">
        <v>84</v>
      </c>
      <c r="J75" s="7">
        <f t="shared" si="8"/>
        <v>418</v>
      </c>
      <c r="K75" s="10">
        <f t="shared" si="9"/>
        <v>83.6</v>
      </c>
      <c r="L75" s="7">
        <f t="shared" si="10"/>
        <v>19</v>
      </c>
      <c r="M75" s="9" t="str">
        <f t="shared" si="11"/>
        <v>良好</v>
      </c>
    </row>
    <row r="76" spans="1:13">
      <c r="A76" s="6">
        <v>10075</v>
      </c>
      <c r="B76" s="7" t="s">
        <v>98</v>
      </c>
      <c r="C76" s="7" t="s">
        <v>15</v>
      </c>
      <c r="D76" s="7" t="s">
        <v>16</v>
      </c>
      <c r="E76" s="7">
        <v>92</v>
      </c>
      <c r="F76" s="7">
        <v>93</v>
      </c>
      <c r="G76" s="7">
        <v>92</v>
      </c>
      <c r="H76" s="7">
        <v>63.5</v>
      </c>
      <c r="I76" s="7">
        <v>65</v>
      </c>
      <c r="J76" s="7">
        <f t="shared" si="8"/>
        <v>405.5</v>
      </c>
      <c r="K76" s="10">
        <f t="shared" si="9"/>
        <v>81.1</v>
      </c>
      <c r="L76" s="7">
        <f t="shared" si="10"/>
        <v>28</v>
      </c>
      <c r="M76" s="9" t="str">
        <f t="shared" si="11"/>
        <v>良好</v>
      </c>
    </row>
    <row r="77" spans="1:13">
      <c r="A77" s="6">
        <v>10003</v>
      </c>
      <c r="B77" s="7" t="s">
        <v>99</v>
      </c>
      <c r="C77" s="7" t="s">
        <v>15</v>
      </c>
      <c r="D77" s="7" t="s">
        <v>30</v>
      </c>
      <c r="E77" s="7">
        <v>72.5</v>
      </c>
      <c r="F77" s="7">
        <v>74.5</v>
      </c>
      <c r="G77" s="7">
        <v>72.5</v>
      </c>
      <c r="H77" s="7">
        <v>70.5</v>
      </c>
      <c r="I77" s="7">
        <v>67</v>
      </c>
      <c r="J77" s="7">
        <f t="shared" si="8"/>
        <v>357</v>
      </c>
      <c r="K77" s="10">
        <f t="shared" si="9"/>
        <v>71.4</v>
      </c>
      <c r="L77" s="7">
        <f t="shared" si="10"/>
        <v>85</v>
      </c>
      <c r="M77" s="9" t="str">
        <f t="shared" si="11"/>
        <v>及格</v>
      </c>
    </row>
    <row r="78" spans="1:13">
      <c r="A78" s="6">
        <v>10063</v>
      </c>
      <c r="B78" s="7" t="s">
        <v>100</v>
      </c>
      <c r="C78" s="7" t="s">
        <v>15</v>
      </c>
      <c r="D78" s="7" t="s">
        <v>28</v>
      </c>
      <c r="E78" s="7">
        <v>78</v>
      </c>
      <c r="F78" s="7">
        <v>61.5</v>
      </c>
      <c r="G78" s="7">
        <v>66</v>
      </c>
      <c r="H78" s="7">
        <v>64</v>
      </c>
      <c r="I78" s="7">
        <v>69</v>
      </c>
      <c r="J78" s="7">
        <f t="shared" si="8"/>
        <v>338.5</v>
      </c>
      <c r="K78" s="10">
        <f t="shared" si="9"/>
        <v>67.7</v>
      </c>
      <c r="L78" s="7">
        <f t="shared" si="10"/>
        <v>92</v>
      </c>
      <c r="M78" s="9" t="str">
        <f t="shared" si="11"/>
        <v>及格</v>
      </c>
    </row>
    <row r="79" spans="1:13">
      <c r="A79" s="6">
        <v>10004</v>
      </c>
      <c r="B79" s="7" t="s">
        <v>101</v>
      </c>
      <c r="C79" s="7" t="s">
        <v>18</v>
      </c>
      <c r="D79" s="7" t="s">
        <v>30</v>
      </c>
      <c r="E79" s="7">
        <v>85.5</v>
      </c>
      <c r="F79" s="7">
        <v>66</v>
      </c>
      <c r="G79" s="7">
        <v>74</v>
      </c>
      <c r="H79" s="7">
        <v>72</v>
      </c>
      <c r="I79" s="7">
        <v>65.5</v>
      </c>
      <c r="J79" s="7">
        <f t="shared" si="8"/>
        <v>363</v>
      </c>
      <c r="K79" s="10">
        <f t="shared" si="9"/>
        <v>72.6</v>
      </c>
      <c r="L79" s="7">
        <f t="shared" si="10"/>
        <v>75</v>
      </c>
      <c r="M79" s="9" t="str">
        <f t="shared" si="11"/>
        <v>及格</v>
      </c>
    </row>
    <row r="80" spans="1:13">
      <c r="A80" s="6">
        <v>10025</v>
      </c>
      <c r="B80" s="7" t="s">
        <v>102</v>
      </c>
      <c r="C80" s="7" t="s">
        <v>18</v>
      </c>
      <c r="D80" s="7" t="s">
        <v>23</v>
      </c>
      <c r="E80" s="7">
        <v>77</v>
      </c>
      <c r="F80" s="7">
        <v>90</v>
      </c>
      <c r="G80" s="7">
        <v>74.5</v>
      </c>
      <c r="H80" s="7">
        <v>72.5</v>
      </c>
      <c r="I80" s="7">
        <v>77.5</v>
      </c>
      <c r="J80" s="7">
        <f t="shared" si="8"/>
        <v>391.5</v>
      </c>
      <c r="K80" s="10">
        <f t="shared" si="9"/>
        <v>78.3</v>
      </c>
      <c r="L80" s="7">
        <f t="shared" si="10"/>
        <v>35</v>
      </c>
      <c r="M80" s="9" t="str">
        <f t="shared" si="11"/>
        <v>良好</v>
      </c>
    </row>
    <row r="81" spans="1:13">
      <c r="A81" s="6">
        <v>10090</v>
      </c>
      <c r="B81" s="7" t="s">
        <v>103</v>
      </c>
      <c r="C81" s="7" t="s">
        <v>15</v>
      </c>
      <c r="D81" s="7" t="s">
        <v>19</v>
      </c>
      <c r="E81" s="7">
        <v>80</v>
      </c>
      <c r="F81" s="7">
        <v>76.5</v>
      </c>
      <c r="G81" s="7">
        <v>89.5</v>
      </c>
      <c r="H81" s="7">
        <v>87.5</v>
      </c>
      <c r="I81" s="7">
        <v>80</v>
      </c>
      <c r="J81" s="7">
        <f t="shared" si="8"/>
        <v>413.5</v>
      </c>
      <c r="K81" s="10">
        <f t="shared" si="9"/>
        <v>82.7</v>
      </c>
      <c r="L81" s="7">
        <f t="shared" si="10"/>
        <v>21</v>
      </c>
      <c r="M81" s="9" t="str">
        <f t="shared" si="11"/>
        <v>良好</v>
      </c>
    </row>
    <row r="82" spans="1:13">
      <c r="A82" s="6">
        <v>10094</v>
      </c>
      <c r="B82" s="7" t="s">
        <v>104</v>
      </c>
      <c r="C82" s="7" t="s">
        <v>18</v>
      </c>
      <c r="D82" s="7" t="s">
        <v>19</v>
      </c>
      <c r="E82" s="7">
        <v>81.5</v>
      </c>
      <c r="F82" s="7">
        <v>94</v>
      </c>
      <c r="G82" s="7">
        <v>94</v>
      </c>
      <c r="H82" s="7">
        <v>90</v>
      </c>
      <c r="I82" s="7">
        <v>95</v>
      </c>
      <c r="J82" s="7">
        <f t="shared" si="8"/>
        <v>454.5</v>
      </c>
      <c r="K82" s="10">
        <f t="shared" si="9"/>
        <v>90.9</v>
      </c>
      <c r="L82" s="7">
        <f t="shared" si="10"/>
        <v>9</v>
      </c>
      <c r="M82" s="9" t="str">
        <f t="shared" si="11"/>
        <v>优秀</v>
      </c>
    </row>
    <row r="83" spans="1:13">
      <c r="A83" s="6">
        <v>10016</v>
      </c>
      <c r="B83" s="7" t="s">
        <v>105</v>
      </c>
      <c r="C83" s="7" t="s">
        <v>18</v>
      </c>
      <c r="D83" s="7" t="s">
        <v>30</v>
      </c>
      <c r="E83" s="7">
        <v>74.5</v>
      </c>
      <c r="F83" s="7">
        <v>71.5</v>
      </c>
      <c r="G83" s="7">
        <v>82.5</v>
      </c>
      <c r="H83" s="7">
        <v>80.5</v>
      </c>
      <c r="I83" s="7">
        <v>83</v>
      </c>
      <c r="J83" s="7">
        <f t="shared" si="8"/>
        <v>392</v>
      </c>
      <c r="K83" s="10">
        <f t="shared" si="9"/>
        <v>78.4</v>
      </c>
      <c r="L83" s="7">
        <f t="shared" si="10"/>
        <v>32</v>
      </c>
      <c r="M83" s="9" t="str">
        <f t="shared" si="11"/>
        <v>良好</v>
      </c>
    </row>
    <row r="84" spans="1:13">
      <c r="A84" s="6">
        <v>10084</v>
      </c>
      <c r="B84" s="7" t="s">
        <v>106</v>
      </c>
      <c r="C84" s="7" t="s">
        <v>15</v>
      </c>
      <c r="D84" s="7" t="s">
        <v>19</v>
      </c>
      <c r="E84" s="7">
        <v>65</v>
      </c>
      <c r="F84" s="7">
        <v>64</v>
      </c>
      <c r="G84" s="7">
        <v>75.5</v>
      </c>
      <c r="H84" s="7">
        <v>73.5</v>
      </c>
      <c r="I84" s="7">
        <v>83.5</v>
      </c>
      <c r="J84" s="7">
        <f t="shared" si="8"/>
        <v>361.5</v>
      </c>
      <c r="K84" s="10">
        <f t="shared" si="9"/>
        <v>72.3</v>
      </c>
      <c r="L84" s="7">
        <f t="shared" si="10"/>
        <v>78</v>
      </c>
      <c r="M84" s="9" t="str">
        <f t="shared" si="11"/>
        <v>及格</v>
      </c>
    </row>
    <row r="85" spans="1:13">
      <c r="A85" s="6">
        <v>10014</v>
      </c>
      <c r="B85" s="7" t="s">
        <v>107</v>
      </c>
      <c r="C85" s="7" t="s">
        <v>18</v>
      </c>
      <c r="D85" s="7" t="s">
        <v>30</v>
      </c>
      <c r="E85" s="7">
        <v>75.5</v>
      </c>
      <c r="F85" s="7">
        <v>74</v>
      </c>
      <c r="G85" s="7">
        <v>76</v>
      </c>
      <c r="H85" s="7">
        <v>74</v>
      </c>
      <c r="I85" s="7">
        <v>73.5</v>
      </c>
      <c r="J85" s="7">
        <f t="shared" si="8"/>
        <v>373</v>
      </c>
      <c r="K85" s="10">
        <f t="shared" si="9"/>
        <v>74.6</v>
      </c>
      <c r="L85" s="7">
        <f t="shared" si="10"/>
        <v>64</v>
      </c>
      <c r="M85" s="9" t="str">
        <f t="shared" si="11"/>
        <v>及格</v>
      </c>
    </row>
    <row r="86" spans="1:13">
      <c r="A86" s="6">
        <v>10071</v>
      </c>
      <c r="B86" s="7" t="s">
        <v>108</v>
      </c>
      <c r="C86" s="7" t="s">
        <v>15</v>
      </c>
      <c r="D86" s="7" t="s">
        <v>28</v>
      </c>
      <c r="E86" s="7">
        <v>85.5</v>
      </c>
      <c r="F86" s="7">
        <v>94</v>
      </c>
      <c r="G86" s="7">
        <v>94</v>
      </c>
      <c r="H86" s="7">
        <v>75.5</v>
      </c>
      <c r="I86" s="7">
        <v>70</v>
      </c>
      <c r="J86" s="7">
        <f t="shared" si="8"/>
        <v>419</v>
      </c>
      <c r="K86" s="10">
        <f t="shared" si="9"/>
        <v>83.8</v>
      </c>
      <c r="L86" s="7">
        <f t="shared" si="10"/>
        <v>17</v>
      </c>
      <c r="M86" s="9" t="str">
        <f t="shared" si="11"/>
        <v>良好</v>
      </c>
    </row>
    <row r="87" spans="1:13">
      <c r="A87" s="6">
        <v>10093</v>
      </c>
      <c r="B87" s="7" t="s">
        <v>109</v>
      </c>
      <c r="C87" s="7" t="s">
        <v>18</v>
      </c>
      <c r="D87" s="7" t="s">
        <v>19</v>
      </c>
      <c r="E87" s="7">
        <v>71.5</v>
      </c>
      <c r="F87" s="7">
        <v>60</v>
      </c>
      <c r="G87" s="7">
        <v>52</v>
      </c>
      <c r="H87" s="7">
        <v>50</v>
      </c>
      <c r="I87" s="7">
        <v>58</v>
      </c>
      <c r="J87" s="7">
        <f t="shared" si="8"/>
        <v>291.5</v>
      </c>
      <c r="K87" s="10">
        <f t="shared" si="9"/>
        <v>58.3</v>
      </c>
      <c r="L87" s="7">
        <f t="shared" si="10"/>
        <v>97</v>
      </c>
      <c r="M87" s="9" t="str">
        <f t="shared" si="11"/>
        <v>不及格</v>
      </c>
    </row>
    <row r="88" spans="1:13">
      <c r="A88" s="6">
        <v>10012</v>
      </c>
      <c r="B88" s="7" t="s">
        <v>110</v>
      </c>
      <c r="C88" s="7" t="s">
        <v>15</v>
      </c>
      <c r="D88" s="7" t="s">
        <v>30</v>
      </c>
      <c r="E88" s="7">
        <v>83</v>
      </c>
      <c r="F88" s="7">
        <v>80</v>
      </c>
      <c r="G88" s="7">
        <v>72.5</v>
      </c>
      <c r="H88" s="7">
        <v>82</v>
      </c>
      <c r="I88" s="7">
        <v>93.5</v>
      </c>
      <c r="J88" s="7">
        <f t="shared" si="8"/>
        <v>411</v>
      </c>
      <c r="K88" s="10">
        <f t="shared" si="9"/>
        <v>82.2</v>
      </c>
      <c r="L88" s="7">
        <f t="shared" si="10"/>
        <v>24</v>
      </c>
      <c r="M88" s="9" t="str">
        <f t="shared" si="11"/>
        <v>良好</v>
      </c>
    </row>
    <row r="89" spans="1:13">
      <c r="A89" s="6">
        <v>10037</v>
      </c>
      <c r="B89" s="7" t="s">
        <v>111</v>
      </c>
      <c r="C89" s="7" t="s">
        <v>15</v>
      </c>
      <c r="D89" s="7" t="s">
        <v>23</v>
      </c>
      <c r="E89" s="7">
        <v>56</v>
      </c>
      <c r="F89" s="7">
        <v>60.5</v>
      </c>
      <c r="G89" s="7">
        <v>54</v>
      </c>
      <c r="H89" s="7">
        <v>79</v>
      </c>
      <c r="I89" s="7">
        <v>76.5</v>
      </c>
      <c r="J89" s="7">
        <f t="shared" si="8"/>
        <v>326</v>
      </c>
      <c r="K89" s="10">
        <f t="shared" si="9"/>
        <v>65.2</v>
      </c>
      <c r="L89" s="7">
        <f t="shared" si="10"/>
        <v>96</v>
      </c>
      <c r="M89" s="9" t="str">
        <f t="shared" si="11"/>
        <v>及格</v>
      </c>
    </row>
    <row r="90" spans="1:13">
      <c r="A90" s="6">
        <v>10022</v>
      </c>
      <c r="B90" s="7" t="s">
        <v>112</v>
      </c>
      <c r="C90" s="7" t="s">
        <v>18</v>
      </c>
      <c r="D90" s="7" t="s">
        <v>23</v>
      </c>
      <c r="E90" s="7">
        <v>91</v>
      </c>
      <c r="F90" s="7">
        <v>98</v>
      </c>
      <c r="G90" s="7">
        <v>94</v>
      </c>
      <c r="H90" s="7">
        <v>92</v>
      </c>
      <c r="I90" s="7">
        <v>82</v>
      </c>
      <c r="J90" s="7">
        <f t="shared" si="8"/>
        <v>457</v>
      </c>
      <c r="K90" s="10">
        <f t="shared" si="9"/>
        <v>91.4</v>
      </c>
      <c r="L90" s="7">
        <f t="shared" si="10"/>
        <v>4</v>
      </c>
      <c r="M90" s="9" t="str">
        <f t="shared" si="11"/>
        <v>优秀</v>
      </c>
    </row>
    <row r="91" spans="1:13">
      <c r="A91" s="6">
        <v>10065</v>
      </c>
      <c r="B91" s="7" t="s">
        <v>113</v>
      </c>
      <c r="C91" s="7" t="s">
        <v>18</v>
      </c>
      <c r="D91" s="7" t="s">
        <v>28</v>
      </c>
      <c r="E91" s="7">
        <v>80.5</v>
      </c>
      <c r="F91" s="7">
        <v>90</v>
      </c>
      <c r="G91" s="7">
        <v>63.5</v>
      </c>
      <c r="H91" s="7">
        <v>85</v>
      </c>
      <c r="I91" s="7">
        <v>92.5</v>
      </c>
      <c r="J91" s="7">
        <f t="shared" si="8"/>
        <v>411.5</v>
      </c>
      <c r="K91" s="10">
        <f t="shared" si="9"/>
        <v>82.3</v>
      </c>
      <c r="L91" s="7">
        <f t="shared" si="10"/>
        <v>23</v>
      </c>
      <c r="M91" s="9" t="str">
        <f t="shared" si="11"/>
        <v>良好</v>
      </c>
    </row>
    <row r="92" spans="1:13">
      <c r="A92" s="6">
        <v>10061</v>
      </c>
      <c r="B92" s="7" t="s">
        <v>114</v>
      </c>
      <c r="C92" s="7" t="s">
        <v>15</v>
      </c>
      <c r="D92" s="7" t="s">
        <v>28</v>
      </c>
      <c r="E92" s="7">
        <v>94</v>
      </c>
      <c r="F92" s="7">
        <v>90</v>
      </c>
      <c r="G92" s="7">
        <v>96</v>
      </c>
      <c r="H92" s="7">
        <v>83.5</v>
      </c>
      <c r="I92" s="7">
        <v>93</v>
      </c>
      <c r="J92" s="7">
        <f t="shared" si="8"/>
        <v>456.5</v>
      </c>
      <c r="K92" s="10">
        <f t="shared" si="9"/>
        <v>91.3</v>
      </c>
      <c r="L92" s="7">
        <f t="shared" si="10"/>
        <v>6</v>
      </c>
      <c r="M92" s="9" t="str">
        <f t="shared" si="11"/>
        <v>优秀</v>
      </c>
    </row>
    <row r="93" spans="1:13">
      <c r="A93" s="6">
        <v>10067</v>
      </c>
      <c r="B93" s="7" t="s">
        <v>115</v>
      </c>
      <c r="C93" s="7" t="s">
        <v>15</v>
      </c>
      <c r="D93" s="7" t="s">
        <v>28</v>
      </c>
      <c r="E93" s="7">
        <v>77.5</v>
      </c>
      <c r="F93" s="7">
        <v>72.5</v>
      </c>
      <c r="G93" s="7">
        <v>73.5</v>
      </c>
      <c r="H93" s="7">
        <v>71.5</v>
      </c>
      <c r="I93" s="7">
        <v>65</v>
      </c>
      <c r="J93" s="7">
        <f t="shared" si="8"/>
        <v>360</v>
      </c>
      <c r="K93" s="10">
        <f t="shared" si="9"/>
        <v>72</v>
      </c>
      <c r="L93" s="7">
        <f t="shared" si="10"/>
        <v>82</v>
      </c>
      <c r="M93" s="9" t="str">
        <f t="shared" si="11"/>
        <v>及格</v>
      </c>
    </row>
    <row r="94" spans="1:13">
      <c r="A94" s="6">
        <v>10032</v>
      </c>
      <c r="B94" s="7" t="s">
        <v>116</v>
      </c>
      <c r="C94" s="7" t="s">
        <v>15</v>
      </c>
      <c r="D94" s="7" t="s">
        <v>23</v>
      </c>
      <c r="E94" s="7">
        <v>76</v>
      </c>
      <c r="F94" s="7">
        <v>71.5</v>
      </c>
      <c r="G94" s="7">
        <v>76</v>
      </c>
      <c r="H94" s="7">
        <v>74</v>
      </c>
      <c r="I94" s="7">
        <v>72</v>
      </c>
      <c r="J94" s="7">
        <f t="shared" si="8"/>
        <v>369.5</v>
      </c>
      <c r="K94" s="10">
        <f t="shared" si="9"/>
        <v>73.9</v>
      </c>
      <c r="L94" s="7">
        <f t="shared" si="10"/>
        <v>69</v>
      </c>
      <c r="M94" s="9" t="str">
        <f t="shared" si="11"/>
        <v>及格</v>
      </c>
    </row>
    <row r="95" spans="1:13">
      <c r="A95" s="6">
        <v>10087</v>
      </c>
      <c r="B95" s="7" t="s">
        <v>117</v>
      </c>
      <c r="C95" s="7" t="s">
        <v>18</v>
      </c>
      <c r="D95" s="7" t="s">
        <v>19</v>
      </c>
      <c r="E95" s="7">
        <v>69</v>
      </c>
      <c r="F95" s="7">
        <v>75</v>
      </c>
      <c r="G95" s="7">
        <v>89</v>
      </c>
      <c r="H95" s="7">
        <v>80</v>
      </c>
      <c r="I95" s="7">
        <v>75</v>
      </c>
      <c r="J95" s="7">
        <f t="shared" si="8"/>
        <v>388</v>
      </c>
      <c r="K95" s="10">
        <f t="shared" si="9"/>
        <v>77.6</v>
      </c>
      <c r="L95" s="7">
        <f t="shared" si="10"/>
        <v>46</v>
      </c>
      <c r="M95" s="9" t="str">
        <f t="shared" si="11"/>
        <v>良好</v>
      </c>
    </row>
    <row r="96" spans="1:13">
      <c r="A96" s="6">
        <v>10033</v>
      </c>
      <c r="B96" s="7" t="s">
        <v>118</v>
      </c>
      <c r="C96" s="7" t="s">
        <v>18</v>
      </c>
      <c r="D96" s="7" t="s">
        <v>23</v>
      </c>
      <c r="E96" s="7">
        <v>92.5</v>
      </c>
      <c r="F96" s="7">
        <v>82</v>
      </c>
      <c r="G96" s="7">
        <v>75</v>
      </c>
      <c r="H96" s="7">
        <v>73</v>
      </c>
      <c r="I96" s="7">
        <v>82</v>
      </c>
      <c r="J96" s="7">
        <f t="shared" si="8"/>
        <v>404.5</v>
      </c>
      <c r="K96" s="10">
        <f t="shared" si="9"/>
        <v>80.9</v>
      </c>
      <c r="L96" s="7">
        <f t="shared" si="10"/>
        <v>30</v>
      </c>
      <c r="M96" s="9" t="str">
        <f t="shared" si="11"/>
        <v>良好</v>
      </c>
    </row>
    <row r="97" spans="1:13">
      <c r="A97" s="6">
        <v>10034</v>
      </c>
      <c r="B97" s="7" t="s">
        <v>119</v>
      </c>
      <c r="C97" s="7" t="s">
        <v>15</v>
      </c>
      <c r="D97" s="7" t="s">
        <v>23</v>
      </c>
      <c r="E97" s="7">
        <v>93.5</v>
      </c>
      <c r="F97" s="7">
        <v>83</v>
      </c>
      <c r="G97" s="7">
        <v>73.5</v>
      </c>
      <c r="H97" s="7">
        <v>71.5</v>
      </c>
      <c r="I97" s="7">
        <v>91</v>
      </c>
      <c r="J97" s="7">
        <f t="shared" si="8"/>
        <v>412.5</v>
      </c>
      <c r="K97" s="10">
        <f t="shared" si="9"/>
        <v>82.5</v>
      </c>
      <c r="L97" s="7">
        <f t="shared" si="10"/>
        <v>22</v>
      </c>
      <c r="M97" s="9" t="str">
        <f t="shared" si="11"/>
        <v>良好</v>
      </c>
    </row>
    <row r="98" spans="1:13">
      <c r="A98" s="6">
        <v>10017</v>
      </c>
      <c r="B98" s="7" t="s">
        <v>120</v>
      </c>
      <c r="C98" s="7" t="s">
        <v>18</v>
      </c>
      <c r="D98" s="7" t="s">
        <v>30</v>
      </c>
      <c r="E98" s="7">
        <v>82</v>
      </c>
      <c r="F98" s="7">
        <v>80.5</v>
      </c>
      <c r="G98" s="7">
        <v>77.5</v>
      </c>
      <c r="H98" s="7">
        <v>75.5</v>
      </c>
      <c r="I98" s="7">
        <v>64</v>
      </c>
      <c r="J98" s="7">
        <f t="shared" si="8"/>
        <v>379.5</v>
      </c>
      <c r="K98" s="10">
        <f t="shared" si="9"/>
        <v>75.9</v>
      </c>
      <c r="L98" s="7">
        <f t="shared" si="10"/>
        <v>56</v>
      </c>
      <c r="M98" s="9" t="str">
        <f t="shared" si="11"/>
        <v>良好</v>
      </c>
    </row>
    <row r="99" spans="1:13">
      <c r="A99" s="6">
        <v>10038</v>
      </c>
      <c r="B99" s="7" t="s">
        <v>121</v>
      </c>
      <c r="C99" s="7" t="s">
        <v>15</v>
      </c>
      <c r="D99" s="7" t="s">
        <v>23</v>
      </c>
      <c r="E99" s="7">
        <v>74</v>
      </c>
      <c r="F99" s="7">
        <v>85</v>
      </c>
      <c r="G99" s="7">
        <v>73</v>
      </c>
      <c r="H99" s="7">
        <v>71</v>
      </c>
      <c r="I99" s="7">
        <v>88</v>
      </c>
      <c r="J99" s="7">
        <f t="shared" si="8"/>
        <v>391</v>
      </c>
      <c r="K99" s="10">
        <f t="shared" si="9"/>
        <v>78.2</v>
      </c>
      <c r="L99" s="7">
        <f t="shared" si="10"/>
        <v>37</v>
      </c>
      <c r="M99" s="9" t="str">
        <f t="shared" si="11"/>
        <v>良好</v>
      </c>
    </row>
    <row r="100" spans="1:13">
      <c r="A100" s="6">
        <v>10006</v>
      </c>
      <c r="B100" s="7" t="s">
        <v>122</v>
      </c>
      <c r="C100" s="7" t="s">
        <v>18</v>
      </c>
      <c r="D100" s="7" t="s">
        <v>30</v>
      </c>
      <c r="E100" s="7">
        <v>65.5</v>
      </c>
      <c r="F100" s="7">
        <v>74</v>
      </c>
      <c r="G100" s="7">
        <v>69</v>
      </c>
      <c r="H100" s="7">
        <v>67</v>
      </c>
      <c r="I100" s="7">
        <v>70</v>
      </c>
      <c r="J100" s="7">
        <f>SUM(E100:I100)</f>
        <v>345.5</v>
      </c>
      <c r="K100" s="10">
        <f>AVERAGE(E100:I100)</f>
        <v>69.1</v>
      </c>
      <c r="L100" s="7">
        <f>RANK(J100,$J$3:$J$101)</f>
        <v>89</v>
      </c>
      <c r="M100" s="9" t="str">
        <f>IF(K100&gt;=90,"优秀",IF(K100&gt;=75,"良好",IF(K100&gt;=60,"及格","不及格")))</f>
        <v>及格</v>
      </c>
    </row>
    <row r="101" spans="1:13">
      <c r="A101" s="15">
        <v>10058</v>
      </c>
      <c r="B101" s="16" t="s">
        <v>123</v>
      </c>
      <c r="C101" s="16" t="s">
        <v>15</v>
      </c>
      <c r="D101" s="16" t="s">
        <v>42</v>
      </c>
      <c r="E101" s="16">
        <v>74.5</v>
      </c>
      <c r="F101" s="16">
        <v>77.5</v>
      </c>
      <c r="G101" s="16">
        <v>67.5</v>
      </c>
      <c r="H101" s="16">
        <v>65.5</v>
      </c>
      <c r="I101" s="16">
        <v>71.5</v>
      </c>
      <c r="J101" s="16">
        <f>SUM(E101:I101)</f>
        <v>356.5</v>
      </c>
      <c r="K101" s="17">
        <f>AVERAGE(E101:I101)</f>
        <v>71.3</v>
      </c>
      <c r="L101" s="16">
        <f>RANK(J101,$J$3:$J$101)</f>
        <v>86</v>
      </c>
      <c r="M101" s="18" t="str">
        <f>IF(K101&gt;=90,"优秀",IF(K101&gt;=75,"良好",IF(K101&gt;=60,"及格","不及格")))</f>
        <v>及格</v>
      </c>
    </row>
    <row r="103" spans="1:2">
      <c r="A103" t="s">
        <v>124</v>
      </c>
      <c r="B103" t="s">
        <v>4</v>
      </c>
    </row>
    <row r="104" spans="1:8">
      <c r="A104" t="s">
        <v>3</v>
      </c>
      <c r="B104" t="s">
        <v>30</v>
      </c>
      <c r="C104" t="s">
        <v>23</v>
      </c>
      <c r="D104" t="s">
        <v>42</v>
      </c>
      <c r="E104" t="s">
        <v>28</v>
      </c>
      <c r="F104" t="s">
        <v>16</v>
      </c>
      <c r="G104" t="s">
        <v>19</v>
      </c>
      <c r="H104" t="s">
        <v>125</v>
      </c>
    </row>
    <row r="105" spans="1:8">
      <c r="A105" t="s">
        <v>15</v>
      </c>
      <c r="B105">
        <v>10</v>
      </c>
      <c r="C105">
        <v>12</v>
      </c>
      <c r="D105">
        <v>9</v>
      </c>
      <c r="E105">
        <v>8</v>
      </c>
      <c r="F105">
        <v>6</v>
      </c>
      <c r="G105">
        <v>10</v>
      </c>
      <c r="H105">
        <v>55</v>
      </c>
    </row>
    <row r="106" spans="1:8">
      <c r="A106" t="s">
        <v>18</v>
      </c>
      <c r="B106">
        <v>11</v>
      </c>
      <c r="C106">
        <v>9</v>
      </c>
      <c r="D106">
        <v>7</v>
      </c>
      <c r="E106">
        <v>5</v>
      </c>
      <c r="F106">
        <v>4</v>
      </c>
      <c r="G106">
        <v>8</v>
      </c>
      <c r="H106">
        <v>44</v>
      </c>
    </row>
    <row r="107" spans="1:8">
      <c r="A107" t="s">
        <v>125</v>
      </c>
      <c r="B107">
        <v>21</v>
      </c>
      <c r="C107">
        <v>21</v>
      </c>
      <c r="D107">
        <v>16</v>
      </c>
      <c r="E107">
        <v>13</v>
      </c>
      <c r="F107">
        <v>10</v>
      </c>
      <c r="G107">
        <v>18</v>
      </c>
      <c r="H107">
        <v>99</v>
      </c>
    </row>
  </sheetData>
  <autoFilter xmlns:etc="http://www.wps.cn/officeDocument/2017/etCustomData" ref="A2:M101" etc:filterBottomFollowUsedRange="0">
    <extLst/>
  </autoFilter>
  <sortState ref="A2:L100">
    <sortCondition ref="L2" descending="1"/>
  </sortState>
  <mergeCells count="2">
    <mergeCell ref="A1:M1"/>
    <mergeCell ref="O5:P5"/>
  </mergeCells>
  <conditionalFormatting sqref="L3:L101">
    <cfRule type="top10" dxfId="0" priority="1" bottom="1" rank="10"/>
  </conditionalFormatting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/>
  <cols>
    <col min="1" max="1" width="6.375" customWidth="1"/>
    <col min="2" max="2" width="7" customWidth="1"/>
    <col min="3" max="4" width="5.125" customWidth="1"/>
    <col min="5" max="6" width="8.875" customWidth="1"/>
    <col min="7" max="7" width="7" customWidth="1"/>
    <col min="8" max="8" width="10.875" customWidth="1"/>
    <col min="9" max="9" width="12.875" customWidth="1"/>
    <col min="10" max="10" width="8" customWidth="1"/>
    <col min="11" max="11" width="8.875" customWidth="1"/>
  </cols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>
      <c r="A2">
        <v>10011</v>
      </c>
      <c r="B2" t="s">
        <v>29</v>
      </c>
      <c r="C2" t="s">
        <v>18</v>
      </c>
      <c r="D2" t="s">
        <v>30</v>
      </c>
      <c r="E2">
        <v>75.5</v>
      </c>
      <c r="F2">
        <v>65.5</v>
      </c>
      <c r="G2">
        <v>73.5</v>
      </c>
      <c r="H2">
        <v>71.5</v>
      </c>
      <c r="I2">
        <v>71.5</v>
      </c>
      <c r="J2">
        <f>SUM(E2:I2)</f>
        <v>357.5</v>
      </c>
      <c r="K2" s="2">
        <f>AVERAGE(E2:I2)</f>
        <v>71.5</v>
      </c>
    </row>
    <row r="3" hidden="1" spans="1:11">
      <c r="A3">
        <v>10015</v>
      </c>
      <c r="B3" t="s">
        <v>35</v>
      </c>
      <c r="C3" t="s">
        <v>15</v>
      </c>
      <c r="D3" t="s">
        <v>30</v>
      </c>
      <c r="E3">
        <v>88</v>
      </c>
      <c r="F3">
        <v>77.5</v>
      </c>
      <c r="G3">
        <v>77.5</v>
      </c>
      <c r="H3">
        <v>75.5</v>
      </c>
      <c r="I3">
        <v>61</v>
      </c>
      <c r="J3">
        <f>SUM(E3:I3)</f>
        <v>379.5</v>
      </c>
      <c r="K3" s="2">
        <f>AVERAGE(E3:I3)</f>
        <v>75.9</v>
      </c>
    </row>
    <row r="4" spans="1:11">
      <c r="A4">
        <v>10005</v>
      </c>
      <c r="B4" t="s">
        <v>38</v>
      </c>
      <c r="C4" t="s">
        <v>18</v>
      </c>
      <c r="D4" t="s">
        <v>30</v>
      </c>
      <c r="E4">
        <v>79.5</v>
      </c>
      <c r="F4">
        <v>81.5</v>
      </c>
      <c r="G4">
        <v>71.5</v>
      </c>
      <c r="H4">
        <v>69.5</v>
      </c>
      <c r="I4">
        <v>62</v>
      </c>
      <c r="J4">
        <f>SUM(E4:I4)</f>
        <v>364</v>
      </c>
      <c r="K4" s="2">
        <f>AVERAGE(E4:I4)</f>
        <v>72.8</v>
      </c>
    </row>
    <row r="5" hidden="1" spans="1:11">
      <c r="A5">
        <v>10018</v>
      </c>
      <c r="B5" t="s">
        <v>40</v>
      </c>
      <c r="C5" t="s">
        <v>15</v>
      </c>
      <c r="D5" t="s">
        <v>30</v>
      </c>
      <c r="E5">
        <v>59.5</v>
      </c>
      <c r="F5">
        <v>78.5</v>
      </c>
      <c r="G5">
        <v>79.5</v>
      </c>
      <c r="H5">
        <v>77.5</v>
      </c>
      <c r="I5">
        <v>68</v>
      </c>
      <c r="J5">
        <f>SUM(E5:I5)</f>
        <v>363</v>
      </c>
      <c r="K5" s="2">
        <f>AVERAGE(E5:I5)</f>
        <v>72.6</v>
      </c>
    </row>
    <row r="6" spans="1:11">
      <c r="A6">
        <v>10019</v>
      </c>
      <c r="B6" t="s">
        <v>43</v>
      </c>
      <c r="C6" t="s">
        <v>18</v>
      </c>
      <c r="D6" t="s">
        <v>30</v>
      </c>
      <c r="E6">
        <v>72.5</v>
      </c>
      <c r="F6">
        <v>91.5</v>
      </c>
      <c r="G6">
        <v>72</v>
      </c>
      <c r="H6">
        <v>70</v>
      </c>
      <c r="I6">
        <v>82</v>
      </c>
      <c r="J6">
        <f>SUM(E6:I6)</f>
        <v>388</v>
      </c>
      <c r="K6" s="2">
        <f>AVERAGE(E6:I6)</f>
        <v>77.6</v>
      </c>
    </row>
    <row r="7" hidden="1" spans="1:11">
      <c r="A7">
        <v>10002</v>
      </c>
      <c r="B7" t="s">
        <v>46</v>
      </c>
      <c r="C7" t="s">
        <v>15</v>
      </c>
      <c r="D7" t="s">
        <v>30</v>
      </c>
      <c r="E7">
        <v>89</v>
      </c>
      <c r="F7">
        <v>72</v>
      </c>
      <c r="G7">
        <v>79</v>
      </c>
      <c r="H7">
        <v>87</v>
      </c>
      <c r="I7">
        <v>97</v>
      </c>
      <c r="J7">
        <f>SUM(E7:I7)</f>
        <v>424</v>
      </c>
      <c r="K7" s="2">
        <f>AVERAGE(E7:I7)</f>
        <v>84.8</v>
      </c>
    </row>
    <row r="8" hidden="1" spans="1:11">
      <c r="A8">
        <v>10020</v>
      </c>
      <c r="B8" t="s">
        <v>60</v>
      </c>
      <c r="C8" t="s">
        <v>15</v>
      </c>
      <c r="D8" t="s">
        <v>30</v>
      </c>
      <c r="E8">
        <v>77.5</v>
      </c>
      <c r="F8">
        <v>79.5</v>
      </c>
      <c r="G8">
        <v>71.5</v>
      </c>
      <c r="H8">
        <v>69.5</v>
      </c>
      <c r="I8">
        <v>84.5</v>
      </c>
      <c r="J8">
        <f>SUM(E8:I8)</f>
        <v>382.5</v>
      </c>
      <c r="K8" s="2">
        <f>AVERAGE(E8:I8)</f>
        <v>76.5</v>
      </c>
    </row>
    <row r="9" spans="1:11">
      <c r="A9">
        <v>10021</v>
      </c>
      <c r="B9" t="s">
        <v>63</v>
      </c>
      <c r="C9" t="s">
        <v>18</v>
      </c>
      <c r="D9" t="s">
        <v>30</v>
      </c>
      <c r="E9">
        <v>82.5</v>
      </c>
      <c r="F9">
        <v>68.5</v>
      </c>
      <c r="G9">
        <v>82</v>
      </c>
      <c r="H9">
        <v>80</v>
      </c>
      <c r="I9">
        <v>79</v>
      </c>
      <c r="J9">
        <f>SUM(E9:I9)</f>
        <v>392</v>
      </c>
      <c r="K9" s="2">
        <f>AVERAGE(E9:I9)</f>
        <v>78.4</v>
      </c>
    </row>
    <row r="10" hidden="1" spans="1:11">
      <c r="A10">
        <v>10001</v>
      </c>
      <c r="B10" t="s">
        <v>66</v>
      </c>
      <c r="C10" t="s">
        <v>15</v>
      </c>
      <c r="D10" t="s">
        <v>30</v>
      </c>
      <c r="E10">
        <v>87</v>
      </c>
      <c r="F10">
        <v>90</v>
      </c>
      <c r="G10">
        <v>97</v>
      </c>
      <c r="H10">
        <v>69.5</v>
      </c>
      <c r="I10">
        <v>88.5</v>
      </c>
      <c r="J10">
        <f>SUM(E10:I10)</f>
        <v>432</v>
      </c>
      <c r="K10" s="2">
        <f>AVERAGE(E10:I10)</f>
        <v>86.4</v>
      </c>
    </row>
    <row r="11" hidden="1" spans="1:11">
      <c r="A11">
        <v>10010</v>
      </c>
      <c r="B11" t="s">
        <v>69</v>
      </c>
      <c r="C11" t="s">
        <v>15</v>
      </c>
      <c r="D11" t="s">
        <v>30</v>
      </c>
      <c r="E11">
        <v>82.5</v>
      </c>
      <c r="F11">
        <v>80</v>
      </c>
      <c r="G11">
        <v>92.5</v>
      </c>
      <c r="H11">
        <v>90.5</v>
      </c>
      <c r="I11">
        <v>73.5</v>
      </c>
      <c r="J11">
        <f>SUM(E11:I11)</f>
        <v>419</v>
      </c>
      <c r="K11" s="2">
        <f>AVERAGE(E11:I11)</f>
        <v>83.8</v>
      </c>
    </row>
    <row r="12" hidden="1" spans="1:11">
      <c r="A12">
        <v>10009</v>
      </c>
      <c r="B12" t="s">
        <v>76</v>
      </c>
      <c r="C12" t="s">
        <v>15</v>
      </c>
      <c r="D12" t="s">
        <v>30</v>
      </c>
      <c r="E12">
        <v>62</v>
      </c>
      <c r="F12">
        <v>75</v>
      </c>
      <c r="G12">
        <v>84.5</v>
      </c>
      <c r="H12">
        <v>82.5</v>
      </c>
      <c r="I12">
        <v>67.5</v>
      </c>
      <c r="J12">
        <f>SUM(E12:I12)</f>
        <v>371.5</v>
      </c>
      <c r="K12" s="2">
        <f>AVERAGE(E12:I12)</f>
        <v>74.3</v>
      </c>
    </row>
    <row r="13" hidden="1" spans="1:11">
      <c r="A13">
        <v>10013</v>
      </c>
      <c r="B13" t="s">
        <v>88</v>
      </c>
      <c r="C13" t="s">
        <v>18</v>
      </c>
      <c r="D13" t="s">
        <v>30</v>
      </c>
      <c r="E13">
        <v>91</v>
      </c>
      <c r="F13">
        <v>83.5</v>
      </c>
      <c r="G13">
        <v>82.5</v>
      </c>
      <c r="H13">
        <v>80.5</v>
      </c>
      <c r="I13">
        <v>84</v>
      </c>
      <c r="J13">
        <f>SUM(E13:I13)</f>
        <v>421.5</v>
      </c>
      <c r="K13" s="2">
        <f>AVERAGE(E13:I13)</f>
        <v>84.3</v>
      </c>
    </row>
    <row r="14" spans="1:11">
      <c r="A14">
        <v>10008</v>
      </c>
      <c r="B14" t="s">
        <v>94</v>
      </c>
      <c r="C14" t="s">
        <v>18</v>
      </c>
      <c r="D14" t="s">
        <v>30</v>
      </c>
      <c r="E14">
        <v>91</v>
      </c>
      <c r="F14">
        <v>86</v>
      </c>
      <c r="G14">
        <v>73</v>
      </c>
      <c r="H14">
        <v>71</v>
      </c>
      <c r="I14">
        <v>67.5</v>
      </c>
      <c r="J14">
        <f>SUM(E14:I14)</f>
        <v>388.5</v>
      </c>
      <c r="K14" s="2">
        <f>AVERAGE(E14:I14)</f>
        <v>77.7</v>
      </c>
    </row>
    <row r="15" hidden="1" spans="1:11">
      <c r="A15">
        <v>10007</v>
      </c>
      <c r="B15" t="s">
        <v>95</v>
      </c>
      <c r="C15" t="s">
        <v>15</v>
      </c>
      <c r="D15" t="s">
        <v>30</v>
      </c>
      <c r="E15">
        <v>78</v>
      </c>
      <c r="F15">
        <v>74</v>
      </c>
      <c r="G15">
        <v>78</v>
      </c>
      <c r="H15">
        <v>76</v>
      </c>
      <c r="I15">
        <v>74</v>
      </c>
      <c r="J15">
        <f>SUM(E15:I15)</f>
        <v>380</v>
      </c>
      <c r="K15" s="2">
        <f>AVERAGE(E15:I15)</f>
        <v>76</v>
      </c>
    </row>
    <row r="16" hidden="1" spans="1:11">
      <c r="A16">
        <v>10003</v>
      </c>
      <c r="B16" t="s">
        <v>99</v>
      </c>
      <c r="C16" t="s">
        <v>15</v>
      </c>
      <c r="D16" t="s">
        <v>30</v>
      </c>
      <c r="E16">
        <v>72.5</v>
      </c>
      <c r="F16">
        <v>74.5</v>
      </c>
      <c r="G16">
        <v>72.5</v>
      </c>
      <c r="H16">
        <v>70.5</v>
      </c>
      <c r="I16">
        <v>67</v>
      </c>
      <c r="J16">
        <f>SUM(E16:I16)</f>
        <v>357</v>
      </c>
      <c r="K16" s="2">
        <f>AVERAGE(E16:I16)</f>
        <v>71.4</v>
      </c>
    </row>
    <row r="17" spans="1:11">
      <c r="A17">
        <v>10004</v>
      </c>
      <c r="B17" t="s">
        <v>101</v>
      </c>
      <c r="C17" t="s">
        <v>18</v>
      </c>
      <c r="D17" t="s">
        <v>30</v>
      </c>
      <c r="E17">
        <v>85.5</v>
      </c>
      <c r="F17">
        <v>66</v>
      </c>
      <c r="G17">
        <v>74</v>
      </c>
      <c r="H17">
        <v>72</v>
      </c>
      <c r="I17">
        <v>65.5</v>
      </c>
      <c r="J17">
        <f>SUM(E17:I17)</f>
        <v>363</v>
      </c>
      <c r="K17" s="2">
        <f>AVERAGE(E17:I17)</f>
        <v>72.6</v>
      </c>
    </row>
    <row r="18" spans="1:11">
      <c r="A18">
        <v>10016</v>
      </c>
      <c r="B18" t="s">
        <v>105</v>
      </c>
      <c r="C18" t="s">
        <v>18</v>
      </c>
      <c r="D18" t="s">
        <v>30</v>
      </c>
      <c r="E18">
        <v>74.5</v>
      </c>
      <c r="F18">
        <v>71.5</v>
      </c>
      <c r="G18">
        <v>82.5</v>
      </c>
      <c r="H18">
        <v>80.5</v>
      </c>
      <c r="I18">
        <v>83</v>
      </c>
      <c r="J18">
        <f>SUM(E18:I18)</f>
        <v>392</v>
      </c>
      <c r="K18" s="2">
        <f>AVERAGE(E18:I18)</f>
        <v>78.4</v>
      </c>
    </row>
    <row r="19" spans="1:11">
      <c r="A19">
        <v>10014</v>
      </c>
      <c r="B19" t="s">
        <v>107</v>
      </c>
      <c r="C19" t="s">
        <v>18</v>
      </c>
      <c r="D19" t="s">
        <v>30</v>
      </c>
      <c r="E19">
        <v>75.5</v>
      </c>
      <c r="F19">
        <v>74</v>
      </c>
      <c r="G19">
        <v>76</v>
      </c>
      <c r="H19">
        <v>74</v>
      </c>
      <c r="I19">
        <v>73.5</v>
      </c>
      <c r="J19">
        <f>SUM(E19:I19)</f>
        <v>373</v>
      </c>
      <c r="K19" s="2">
        <f>AVERAGE(E19:I19)</f>
        <v>74.6</v>
      </c>
    </row>
    <row r="20" hidden="1" spans="1:11">
      <c r="A20">
        <v>10012</v>
      </c>
      <c r="B20" t="s">
        <v>110</v>
      </c>
      <c r="C20" t="s">
        <v>15</v>
      </c>
      <c r="D20" t="s">
        <v>30</v>
      </c>
      <c r="E20">
        <v>83</v>
      </c>
      <c r="F20">
        <v>80</v>
      </c>
      <c r="G20">
        <v>72.5</v>
      </c>
      <c r="H20">
        <v>82</v>
      </c>
      <c r="I20">
        <v>93.5</v>
      </c>
      <c r="J20">
        <f>SUM(E20:I20)</f>
        <v>411</v>
      </c>
      <c r="K20" s="2">
        <f>AVERAGE(E20:I20)</f>
        <v>82.2</v>
      </c>
    </row>
    <row r="21" spans="1:11">
      <c r="A21">
        <v>10017</v>
      </c>
      <c r="B21" t="s">
        <v>120</v>
      </c>
      <c r="C21" t="s">
        <v>18</v>
      </c>
      <c r="D21" t="s">
        <v>30</v>
      </c>
      <c r="E21">
        <v>82</v>
      </c>
      <c r="F21">
        <v>80.5</v>
      </c>
      <c r="G21">
        <v>77.5</v>
      </c>
      <c r="H21">
        <v>75.5</v>
      </c>
      <c r="I21">
        <v>64</v>
      </c>
      <c r="J21">
        <f>SUM(E21:I21)</f>
        <v>379.5</v>
      </c>
      <c r="K21" s="2">
        <f>AVERAGE(E21:I21)</f>
        <v>75.9</v>
      </c>
    </row>
    <row r="22" spans="1:11">
      <c r="A22">
        <v>10006</v>
      </c>
      <c r="B22" t="s">
        <v>122</v>
      </c>
      <c r="C22" t="s">
        <v>18</v>
      </c>
      <c r="D22" t="s">
        <v>30</v>
      </c>
      <c r="E22">
        <v>65.5</v>
      </c>
      <c r="F22">
        <v>74</v>
      </c>
      <c r="G22">
        <v>69</v>
      </c>
      <c r="H22">
        <v>67</v>
      </c>
      <c r="I22">
        <v>70</v>
      </c>
      <c r="J22">
        <f>SUM(E22:I22)</f>
        <v>345.5</v>
      </c>
      <c r="K22" s="2">
        <f>AVERAGE(E22:I22)</f>
        <v>69.1</v>
      </c>
    </row>
    <row r="23" hidden="1" spans="1:11">
      <c r="A23">
        <v>10036</v>
      </c>
      <c r="B23" t="s">
        <v>22</v>
      </c>
      <c r="C23" t="s">
        <v>18</v>
      </c>
      <c r="D23" t="s">
        <v>23</v>
      </c>
      <c r="E23">
        <v>64</v>
      </c>
      <c r="F23">
        <v>70.5</v>
      </c>
      <c r="G23">
        <v>62</v>
      </c>
      <c r="H23">
        <v>85</v>
      </c>
      <c r="I23">
        <v>60</v>
      </c>
      <c r="J23">
        <f>SUM(E23:I23)</f>
        <v>341.5</v>
      </c>
      <c r="K23" s="2">
        <f>AVERAGE(E23:I23)</f>
        <v>68.3</v>
      </c>
    </row>
    <row r="24" hidden="1" spans="1:11">
      <c r="A24">
        <v>10040</v>
      </c>
      <c r="B24" t="s">
        <v>25</v>
      </c>
      <c r="C24" t="s">
        <v>18</v>
      </c>
      <c r="D24" t="s">
        <v>23</v>
      </c>
      <c r="E24">
        <v>81.5</v>
      </c>
      <c r="F24">
        <v>76.5</v>
      </c>
      <c r="G24">
        <v>72</v>
      </c>
      <c r="H24">
        <v>70</v>
      </c>
      <c r="I24">
        <v>82.5</v>
      </c>
      <c r="J24">
        <f>SUM(E24:I24)</f>
        <v>382.5</v>
      </c>
      <c r="K24" s="2">
        <f>AVERAGE(E24:I24)</f>
        <v>76.5</v>
      </c>
    </row>
    <row r="25" hidden="1" spans="1:11">
      <c r="A25">
        <v>10023</v>
      </c>
      <c r="B25" t="s">
        <v>31</v>
      </c>
      <c r="C25" t="s">
        <v>18</v>
      </c>
      <c r="D25" t="s">
        <v>23</v>
      </c>
      <c r="E25">
        <v>73.5</v>
      </c>
      <c r="F25">
        <v>78</v>
      </c>
      <c r="G25">
        <v>73</v>
      </c>
      <c r="H25">
        <v>71</v>
      </c>
      <c r="I25">
        <v>77.5</v>
      </c>
      <c r="J25">
        <f>SUM(E25:I25)</f>
        <v>373</v>
      </c>
      <c r="K25" s="2">
        <f>AVERAGE(E25:I25)</f>
        <v>74.6</v>
      </c>
    </row>
    <row r="26" hidden="1" spans="1:11">
      <c r="A26">
        <v>10042</v>
      </c>
      <c r="B26" t="s">
        <v>37</v>
      </c>
      <c r="C26" t="s">
        <v>15</v>
      </c>
      <c r="D26" t="s">
        <v>23</v>
      </c>
      <c r="E26">
        <v>74.5</v>
      </c>
      <c r="F26">
        <v>80.5</v>
      </c>
      <c r="G26">
        <v>81</v>
      </c>
      <c r="H26">
        <v>79</v>
      </c>
      <c r="I26">
        <v>75</v>
      </c>
      <c r="J26">
        <f>SUM(E26:I26)</f>
        <v>390</v>
      </c>
      <c r="K26" s="2">
        <f>AVERAGE(E26:I26)</f>
        <v>78</v>
      </c>
    </row>
    <row r="27" hidden="1" spans="1:11">
      <c r="A27">
        <v>10024</v>
      </c>
      <c r="B27" t="s">
        <v>55</v>
      </c>
      <c r="C27" t="s">
        <v>15</v>
      </c>
      <c r="D27" t="s">
        <v>23</v>
      </c>
      <c r="E27">
        <v>78</v>
      </c>
      <c r="F27">
        <v>86.5</v>
      </c>
      <c r="G27">
        <v>67</v>
      </c>
      <c r="H27">
        <v>65</v>
      </c>
      <c r="I27">
        <v>68</v>
      </c>
      <c r="J27">
        <f>SUM(E27:I27)</f>
        <v>364.5</v>
      </c>
      <c r="K27" s="2">
        <f>AVERAGE(E27:I27)</f>
        <v>72.9</v>
      </c>
    </row>
    <row r="28" hidden="1" spans="1:11">
      <c r="A28">
        <v>10028</v>
      </c>
      <c r="B28" t="s">
        <v>56</v>
      </c>
      <c r="C28" t="s">
        <v>15</v>
      </c>
      <c r="D28" t="s">
        <v>23</v>
      </c>
      <c r="E28">
        <v>63.5</v>
      </c>
      <c r="F28">
        <v>77.5</v>
      </c>
      <c r="G28">
        <v>84.5</v>
      </c>
      <c r="H28">
        <v>82.5</v>
      </c>
      <c r="I28">
        <v>80</v>
      </c>
      <c r="J28">
        <f>SUM(E28:I28)</f>
        <v>388</v>
      </c>
      <c r="K28" s="2">
        <f>AVERAGE(E28:I28)</f>
        <v>77.6</v>
      </c>
    </row>
    <row r="29" hidden="1" spans="1:11">
      <c r="A29">
        <v>10031</v>
      </c>
      <c r="B29" t="s">
        <v>58</v>
      </c>
      <c r="C29" t="s">
        <v>18</v>
      </c>
      <c r="D29" t="s">
        <v>23</v>
      </c>
      <c r="E29">
        <v>73.5</v>
      </c>
      <c r="F29">
        <v>69</v>
      </c>
      <c r="G29">
        <v>88.5</v>
      </c>
      <c r="H29">
        <v>86.5</v>
      </c>
      <c r="I29">
        <v>74</v>
      </c>
      <c r="J29">
        <f>SUM(E29:I29)</f>
        <v>391.5</v>
      </c>
      <c r="K29" s="2">
        <f>AVERAGE(E29:I29)</f>
        <v>78.3</v>
      </c>
    </row>
    <row r="30" hidden="1" spans="1:11">
      <c r="A30">
        <v>10027</v>
      </c>
      <c r="B30" t="s">
        <v>67</v>
      </c>
      <c r="C30" t="s">
        <v>15</v>
      </c>
      <c r="D30" t="s">
        <v>23</v>
      </c>
      <c r="E30">
        <v>78.5</v>
      </c>
      <c r="F30">
        <v>73</v>
      </c>
      <c r="G30">
        <v>83</v>
      </c>
      <c r="H30">
        <v>81</v>
      </c>
      <c r="I30">
        <v>73</v>
      </c>
      <c r="J30">
        <f>SUM(E30:I30)</f>
        <v>388.5</v>
      </c>
      <c r="K30" s="2">
        <f>AVERAGE(E30:I30)</f>
        <v>77.7</v>
      </c>
    </row>
    <row r="31" hidden="1" spans="1:11">
      <c r="A31">
        <v>10039</v>
      </c>
      <c r="B31" t="s">
        <v>68</v>
      </c>
      <c r="C31" t="s">
        <v>15</v>
      </c>
      <c r="D31" t="s">
        <v>23</v>
      </c>
      <c r="E31">
        <v>58.5</v>
      </c>
      <c r="F31">
        <v>82</v>
      </c>
      <c r="G31">
        <v>70</v>
      </c>
      <c r="H31">
        <v>60</v>
      </c>
      <c r="I31">
        <v>64.5</v>
      </c>
      <c r="J31">
        <f>SUM(E31:I31)</f>
        <v>335</v>
      </c>
      <c r="K31" s="2">
        <f>AVERAGE(E31:I31)</f>
        <v>67</v>
      </c>
    </row>
    <row r="32" hidden="1" spans="1:11">
      <c r="A32">
        <v>10041</v>
      </c>
      <c r="B32" t="s">
        <v>74</v>
      </c>
      <c r="C32" t="s">
        <v>15</v>
      </c>
      <c r="D32" t="s">
        <v>23</v>
      </c>
      <c r="E32">
        <v>80</v>
      </c>
      <c r="F32">
        <v>85</v>
      </c>
      <c r="G32">
        <v>97</v>
      </c>
      <c r="H32">
        <v>98</v>
      </c>
      <c r="I32">
        <v>95</v>
      </c>
      <c r="J32">
        <f>SUM(E32:I32)</f>
        <v>455</v>
      </c>
      <c r="K32" s="2">
        <f>AVERAGE(E32:I32)</f>
        <v>91</v>
      </c>
    </row>
    <row r="33" hidden="1" spans="1:11">
      <c r="A33">
        <v>10035</v>
      </c>
      <c r="B33" t="s">
        <v>75</v>
      </c>
      <c r="C33" t="s">
        <v>18</v>
      </c>
      <c r="D33" t="s">
        <v>23</v>
      </c>
      <c r="E33">
        <v>79.5</v>
      </c>
      <c r="F33">
        <v>73</v>
      </c>
      <c r="G33">
        <v>79.5</v>
      </c>
      <c r="H33">
        <v>77.5</v>
      </c>
      <c r="I33">
        <v>70.5</v>
      </c>
      <c r="J33">
        <f>SUM(E33:I33)</f>
        <v>380</v>
      </c>
      <c r="K33" s="2">
        <f>AVERAGE(E33:I33)</f>
        <v>76</v>
      </c>
    </row>
    <row r="34" hidden="1" spans="1:11">
      <c r="A34">
        <v>10029</v>
      </c>
      <c r="B34" t="s">
        <v>83</v>
      </c>
      <c r="C34" t="s">
        <v>15</v>
      </c>
      <c r="D34" t="s">
        <v>23</v>
      </c>
      <c r="E34">
        <v>52.5</v>
      </c>
      <c r="F34">
        <v>50</v>
      </c>
      <c r="G34">
        <v>64</v>
      </c>
      <c r="H34">
        <v>62</v>
      </c>
      <c r="I34">
        <v>60</v>
      </c>
      <c r="J34">
        <f>SUM(E34:I34)</f>
        <v>288.5</v>
      </c>
      <c r="K34" s="2">
        <f>AVERAGE(E34:I34)</f>
        <v>57.7</v>
      </c>
    </row>
    <row r="35" hidden="1" spans="1:11">
      <c r="A35">
        <v>10030</v>
      </c>
      <c r="B35" t="s">
        <v>86</v>
      </c>
      <c r="C35" t="s">
        <v>15</v>
      </c>
      <c r="D35" t="s">
        <v>23</v>
      </c>
      <c r="E35">
        <v>93</v>
      </c>
      <c r="F35">
        <v>82</v>
      </c>
      <c r="G35">
        <v>97</v>
      </c>
      <c r="H35">
        <v>97</v>
      </c>
      <c r="I35">
        <v>92</v>
      </c>
      <c r="J35">
        <f>SUM(E35:I35)</f>
        <v>461</v>
      </c>
      <c r="K35" s="2">
        <f>AVERAGE(E35:I35)</f>
        <v>92.2</v>
      </c>
    </row>
    <row r="36" hidden="1" spans="1:11">
      <c r="A36">
        <v>10026</v>
      </c>
      <c r="B36" t="s">
        <v>92</v>
      </c>
      <c r="C36" t="s">
        <v>18</v>
      </c>
      <c r="D36" t="s">
        <v>23</v>
      </c>
      <c r="E36">
        <v>82.5</v>
      </c>
      <c r="F36">
        <v>72</v>
      </c>
      <c r="G36">
        <v>67.5</v>
      </c>
      <c r="H36">
        <v>65.5</v>
      </c>
      <c r="I36">
        <v>77.5</v>
      </c>
      <c r="J36">
        <f>SUM(E36:I36)</f>
        <v>365</v>
      </c>
      <c r="K36" s="2">
        <f>AVERAGE(E36:I36)</f>
        <v>73</v>
      </c>
    </row>
    <row r="37" hidden="1" spans="1:11">
      <c r="A37">
        <v>10025</v>
      </c>
      <c r="B37" t="s">
        <v>102</v>
      </c>
      <c r="C37" t="s">
        <v>18</v>
      </c>
      <c r="D37" t="s">
        <v>23</v>
      </c>
      <c r="E37">
        <v>77</v>
      </c>
      <c r="F37">
        <v>90</v>
      </c>
      <c r="G37">
        <v>74.5</v>
      </c>
      <c r="H37">
        <v>72.5</v>
      </c>
      <c r="I37">
        <v>77.5</v>
      </c>
      <c r="J37">
        <f>SUM(E37:I37)</f>
        <v>391.5</v>
      </c>
      <c r="K37" s="2">
        <f>AVERAGE(E37:I37)</f>
        <v>78.3</v>
      </c>
    </row>
    <row r="38" hidden="1" spans="1:11">
      <c r="A38">
        <v>10037</v>
      </c>
      <c r="B38" t="s">
        <v>111</v>
      </c>
      <c r="C38" t="s">
        <v>15</v>
      </c>
      <c r="D38" t="s">
        <v>23</v>
      </c>
      <c r="E38">
        <v>56</v>
      </c>
      <c r="F38">
        <v>60.5</v>
      </c>
      <c r="G38">
        <v>54</v>
      </c>
      <c r="H38">
        <v>79</v>
      </c>
      <c r="I38">
        <v>76.5</v>
      </c>
      <c r="J38">
        <f>SUM(E38:I38)</f>
        <v>326</v>
      </c>
      <c r="K38" s="2">
        <f>AVERAGE(E38:I38)</f>
        <v>65.2</v>
      </c>
    </row>
    <row r="39" hidden="1" spans="1:11">
      <c r="A39">
        <v>10022</v>
      </c>
      <c r="B39" t="s">
        <v>112</v>
      </c>
      <c r="C39" t="s">
        <v>18</v>
      </c>
      <c r="D39" t="s">
        <v>23</v>
      </c>
      <c r="E39">
        <v>91</v>
      </c>
      <c r="F39">
        <v>98</v>
      </c>
      <c r="G39">
        <v>94</v>
      </c>
      <c r="H39">
        <v>92</v>
      </c>
      <c r="I39">
        <v>82</v>
      </c>
      <c r="J39">
        <f>SUM(E39:I39)</f>
        <v>457</v>
      </c>
      <c r="K39" s="2">
        <f>AVERAGE(E39:I39)</f>
        <v>91.4</v>
      </c>
    </row>
    <row r="40" hidden="1" spans="1:11">
      <c r="A40">
        <v>10032</v>
      </c>
      <c r="B40" t="s">
        <v>116</v>
      </c>
      <c r="C40" t="s">
        <v>15</v>
      </c>
      <c r="D40" t="s">
        <v>23</v>
      </c>
      <c r="E40">
        <v>76</v>
      </c>
      <c r="F40">
        <v>71.5</v>
      </c>
      <c r="G40">
        <v>76</v>
      </c>
      <c r="H40">
        <v>74</v>
      </c>
      <c r="I40">
        <v>72</v>
      </c>
      <c r="J40">
        <f>SUM(E40:I40)</f>
        <v>369.5</v>
      </c>
      <c r="K40" s="2">
        <f>AVERAGE(E40:I40)</f>
        <v>73.9</v>
      </c>
    </row>
    <row r="41" hidden="1" spans="1:11">
      <c r="A41">
        <v>10033</v>
      </c>
      <c r="B41" t="s">
        <v>118</v>
      </c>
      <c r="C41" t="s">
        <v>18</v>
      </c>
      <c r="D41" t="s">
        <v>23</v>
      </c>
      <c r="E41">
        <v>92.5</v>
      </c>
      <c r="F41">
        <v>82</v>
      </c>
      <c r="G41">
        <v>75</v>
      </c>
      <c r="H41">
        <v>73</v>
      </c>
      <c r="I41">
        <v>82</v>
      </c>
      <c r="J41">
        <f>SUM(E41:I41)</f>
        <v>404.5</v>
      </c>
      <c r="K41" s="2">
        <f>AVERAGE(E41:I41)</f>
        <v>80.9</v>
      </c>
    </row>
    <row r="42" hidden="1" spans="1:11">
      <c r="A42">
        <v>10034</v>
      </c>
      <c r="B42" t="s">
        <v>119</v>
      </c>
      <c r="C42" t="s">
        <v>15</v>
      </c>
      <c r="D42" t="s">
        <v>23</v>
      </c>
      <c r="E42">
        <v>93.5</v>
      </c>
      <c r="F42">
        <v>83</v>
      </c>
      <c r="G42">
        <v>73.5</v>
      </c>
      <c r="H42">
        <v>71.5</v>
      </c>
      <c r="I42">
        <v>91</v>
      </c>
      <c r="J42">
        <f>SUM(E42:I42)</f>
        <v>412.5</v>
      </c>
      <c r="K42" s="2">
        <f>AVERAGE(E42:I42)</f>
        <v>82.5</v>
      </c>
    </row>
    <row r="43" hidden="1" spans="1:11">
      <c r="A43">
        <v>10038</v>
      </c>
      <c r="B43" t="s">
        <v>121</v>
      </c>
      <c r="C43" t="s">
        <v>15</v>
      </c>
      <c r="D43" t="s">
        <v>23</v>
      </c>
      <c r="E43">
        <v>74</v>
      </c>
      <c r="F43">
        <v>85</v>
      </c>
      <c r="G43">
        <v>73</v>
      </c>
      <c r="H43">
        <v>71</v>
      </c>
      <c r="I43">
        <v>88</v>
      </c>
      <c r="J43">
        <f>SUM(E43:I43)</f>
        <v>391</v>
      </c>
      <c r="K43" s="2">
        <f>AVERAGE(E43:I43)</f>
        <v>78.2</v>
      </c>
    </row>
    <row r="44" hidden="1" spans="1:11">
      <c r="A44">
        <v>10046</v>
      </c>
      <c r="B44" t="s">
        <v>41</v>
      </c>
      <c r="C44" t="s">
        <v>18</v>
      </c>
      <c r="D44" t="s">
        <v>42</v>
      </c>
      <c r="E44">
        <v>84</v>
      </c>
      <c r="F44">
        <v>73</v>
      </c>
      <c r="G44">
        <v>70</v>
      </c>
      <c r="H44">
        <v>76</v>
      </c>
      <c r="I44">
        <v>88</v>
      </c>
      <c r="J44">
        <f>SUM(E44:I44)</f>
        <v>391</v>
      </c>
      <c r="K44" s="2">
        <f>AVERAGE(E44:I44)</f>
        <v>78.2</v>
      </c>
    </row>
    <row r="45" hidden="1" spans="1:11">
      <c r="A45">
        <v>10056</v>
      </c>
      <c r="B45" t="s">
        <v>44</v>
      </c>
      <c r="C45" t="s">
        <v>15</v>
      </c>
      <c r="D45" t="s">
        <v>42</v>
      </c>
      <c r="E45">
        <v>75.5</v>
      </c>
      <c r="F45">
        <v>82</v>
      </c>
      <c r="G45">
        <v>94.5</v>
      </c>
      <c r="H45">
        <v>92.5</v>
      </c>
      <c r="I45">
        <v>84.5</v>
      </c>
      <c r="J45">
        <f>SUM(E45:I45)</f>
        <v>429</v>
      </c>
      <c r="K45" s="2">
        <f>AVERAGE(E45:I45)</f>
        <v>85.8</v>
      </c>
    </row>
    <row r="46" hidden="1" spans="1:11">
      <c r="A46">
        <v>10044</v>
      </c>
      <c r="B46" t="s">
        <v>45</v>
      </c>
      <c r="C46" t="s">
        <v>18</v>
      </c>
      <c r="D46" t="s">
        <v>42</v>
      </c>
      <c r="E46">
        <v>73.5</v>
      </c>
      <c r="F46">
        <v>70</v>
      </c>
      <c r="G46">
        <v>80</v>
      </c>
      <c r="H46">
        <v>82.5</v>
      </c>
      <c r="I46">
        <v>84</v>
      </c>
      <c r="J46">
        <f>SUM(E46:I46)</f>
        <v>390</v>
      </c>
      <c r="K46" s="2">
        <f>AVERAGE(E46:I46)</f>
        <v>78</v>
      </c>
    </row>
    <row r="47" hidden="1" spans="1:11">
      <c r="A47">
        <v>10051</v>
      </c>
      <c r="B47" t="s">
        <v>50</v>
      </c>
      <c r="C47" t="s">
        <v>15</v>
      </c>
      <c r="D47" t="s">
        <v>42</v>
      </c>
      <c r="E47">
        <v>70.5</v>
      </c>
      <c r="F47">
        <v>74</v>
      </c>
      <c r="G47">
        <v>74</v>
      </c>
      <c r="H47">
        <v>72</v>
      </c>
      <c r="I47">
        <v>77</v>
      </c>
      <c r="J47">
        <f>SUM(E47:I47)</f>
        <v>367.5</v>
      </c>
      <c r="K47" s="2">
        <f>AVERAGE(E47:I47)</f>
        <v>73.5</v>
      </c>
    </row>
    <row r="48" hidden="1" spans="1:11">
      <c r="A48">
        <v>10049</v>
      </c>
      <c r="B48" t="s">
        <v>51</v>
      </c>
      <c r="C48" t="s">
        <v>15</v>
      </c>
      <c r="D48" t="s">
        <v>42</v>
      </c>
      <c r="E48">
        <v>76.5</v>
      </c>
      <c r="F48">
        <v>79.5</v>
      </c>
      <c r="G48">
        <v>68</v>
      </c>
      <c r="H48">
        <v>66</v>
      </c>
      <c r="I48">
        <v>71.5</v>
      </c>
      <c r="J48">
        <f>SUM(E48:I48)</f>
        <v>361.5</v>
      </c>
      <c r="K48" s="2">
        <f>AVERAGE(E48:I48)</f>
        <v>72.3</v>
      </c>
    </row>
    <row r="49" hidden="1" spans="1:11">
      <c r="A49">
        <v>10054</v>
      </c>
      <c r="B49" t="s">
        <v>52</v>
      </c>
      <c r="C49" t="s">
        <v>18</v>
      </c>
      <c r="D49" t="s">
        <v>42</v>
      </c>
      <c r="E49">
        <v>81</v>
      </c>
      <c r="F49">
        <v>74.5</v>
      </c>
      <c r="G49">
        <v>75</v>
      </c>
      <c r="H49">
        <v>88</v>
      </c>
      <c r="I49">
        <v>90</v>
      </c>
      <c r="J49">
        <f>SUM(E49:I49)</f>
        <v>408.5</v>
      </c>
      <c r="K49" s="2">
        <f>AVERAGE(E49:I49)</f>
        <v>81.7</v>
      </c>
    </row>
    <row r="50" hidden="1" spans="1:11">
      <c r="A50">
        <v>10043</v>
      </c>
      <c r="B50" t="s">
        <v>53</v>
      </c>
      <c r="C50" t="s">
        <v>15</v>
      </c>
      <c r="D50" t="s">
        <v>42</v>
      </c>
      <c r="E50">
        <v>86.5</v>
      </c>
      <c r="F50">
        <v>65</v>
      </c>
      <c r="G50">
        <v>62.5</v>
      </c>
      <c r="H50">
        <v>60.5</v>
      </c>
      <c r="I50">
        <v>58.5</v>
      </c>
      <c r="J50">
        <f>SUM(E50:I50)</f>
        <v>333</v>
      </c>
      <c r="K50" s="2">
        <f>AVERAGE(E50:I50)</f>
        <v>66.6</v>
      </c>
    </row>
    <row r="51" hidden="1" spans="1:11">
      <c r="A51">
        <v>10053</v>
      </c>
      <c r="B51" t="s">
        <v>54</v>
      </c>
      <c r="C51" t="s">
        <v>15</v>
      </c>
      <c r="D51" t="s">
        <v>42</v>
      </c>
      <c r="E51">
        <v>87</v>
      </c>
      <c r="F51">
        <v>80</v>
      </c>
      <c r="G51">
        <v>82</v>
      </c>
      <c r="H51">
        <v>72</v>
      </c>
      <c r="I51">
        <v>84</v>
      </c>
      <c r="J51">
        <f>SUM(E51:I51)</f>
        <v>405</v>
      </c>
      <c r="K51" s="2">
        <f>AVERAGE(E51:I51)</f>
        <v>81</v>
      </c>
    </row>
    <row r="52" hidden="1" spans="1:11">
      <c r="A52">
        <v>10057</v>
      </c>
      <c r="B52" t="s">
        <v>62</v>
      </c>
      <c r="C52" t="s">
        <v>18</v>
      </c>
      <c r="D52" t="s">
        <v>42</v>
      </c>
      <c r="E52">
        <v>93</v>
      </c>
      <c r="F52">
        <v>92</v>
      </c>
      <c r="G52">
        <v>86.5</v>
      </c>
      <c r="H52">
        <v>84.5</v>
      </c>
      <c r="I52">
        <v>97</v>
      </c>
      <c r="J52">
        <f>SUM(E52:I52)</f>
        <v>453</v>
      </c>
      <c r="K52" s="2">
        <f>AVERAGE(E52:I52)</f>
        <v>90.6</v>
      </c>
    </row>
    <row r="53" hidden="1" spans="1:11">
      <c r="A53">
        <v>10050</v>
      </c>
      <c r="B53" t="s">
        <v>72</v>
      </c>
      <c r="C53" t="s">
        <v>18</v>
      </c>
      <c r="D53" t="s">
        <v>42</v>
      </c>
      <c r="E53">
        <v>77</v>
      </c>
      <c r="F53">
        <v>77</v>
      </c>
      <c r="G53">
        <v>73</v>
      </c>
      <c r="H53">
        <v>71</v>
      </c>
      <c r="I53">
        <v>73</v>
      </c>
      <c r="J53">
        <f>SUM(E53:I53)</f>
        <v>371</v>
      </c>
      <c r="K53" s="2">
        <f>AVERAGE(E53:I53)</f>
        <v>74.2</v>
      </c>
    </row>
    <row r="54" hidden="1" spans="1:11">
      <c r="A54">
        <v>10055</v>
      </c>
      <c r="B54" t="s">
        <v>77</v>
      </c>
      <c r="C54" t="s">
        <v>18</v>
      </c>
      <c r="D54" t="s">
        <v>42</v>
      </c>
      <c r="E54">
        <v>72</v>
      </c>
      <c r="F54">
        <v>94.5</v>
      </c>
      <c r="G54">
        <v>70.5</v>
      </c>
      <c r="H54">
        <v>68.5</v>
      </c>
      <c r="I54">
        <v>84.5</v>
      </c>
      <c r="J54">
        <f>SUM(E54:I54)</f>
        <v>390</v>
      </c>
      <c r="K54" s="2">
        <f>AVERAGE(E54:I54)</f>
        <v>78</v>
      </c>
    </row>
    <row r="55" hidden="1" spans="1:11">
      <c r="A55">
        <v>10047</v>
      </c>
      <c r="B55" t="s">
        <v>82</v>
      </c>
      <c r="C55" t="s">
        <v>15</v>
      </c>
      <c r="D55" t="s">
        <v>42</v>
      </c>
      <c r="E55">
        <v>71</v>
      </c>
      <c r="F55">
        <v>82.5</v>
      </c>
      <c r="G55">
        <v>89</v>
      </c>
      <c r="H55">
        <v>87</v>
      </c>
      <c r="I55">
        <v>79</v>
      </c>
      <c r="J55">
        <f>SUM(E55:I55)</f>
        <v>408.5</v>
      </c>
      <c r="K55" s="2">
        <f>AVERAGE(E55:I55)</f>
        <v>81.7</v>
      </c>
    </row>
    <row r="56" hidden="1" spans="1:11">
      <c r="A56">
        <v>10048</v>
      </c>
      <c r="B56" t="s">
        <v>85</v>
      </c>
      <c r="C56" t="s">
        <v>15</v>
      </c>
      <c r="D56" t="s">
        <v>42</v>
      </c>
      <c r="E56">
        <v>93</v>
      </c>
      <c r="F56">
        <v>86</v>
      </c>
      <c r="G56">
        <v>94.5</v>
      </c>
      <c r="H56">
        <v>92.5</v>
      </c>
      <c r="I56">
        <v>93</v>
      </c>
      <c r="J56">
        <f>SUM(E56:I56)</f>
        <v>459</v>
      </c>
      <c r="K56" s="2">
        <f>AVERAGE(E56:I56)</f>
        <v>91.8</v>
      </c>
    </row>
    <row r="57" hidden="1" spans="1:11">
      <c r="A57">
        <v>10052</v>
      </c>
      <c r="B57" t="s">
        <v>89</v>
      </c>
      <c r="C57" t="s">
        <v>18</v>
      </c>
      <c r="D57" t="s">
        <v>42</v>
      </c>
      <c r="E57">
        <v>89</v>
      </c>
      <c r="F57">
        <v>75</v>
      </c>
      <c r="G57">
        <v>61</v>
      </c>
      <c r="H57">
        <v>59</v>
      </c>
      <c r="I57">
        <v>76.5</v>
      </c>
      <c r="J57">
        <f>SUM(E57:I57)</f>
        <v>360.5</v>
      </c>
      <c r="K57" s="2">
        <f>AVERAGE(E57:I57)</f>
        <v>72.1</v>
      </c>
    </row>
    <row r="58" hidden="1" spans="1:11">
      <c r="A58">
        <v>10045</v>
      </c>
      <c r="B58" t="s">
        <v>97</v>
      </c>
      <c r="C58" t="s">
        <v>15</v>
      </c>
      <c r="D58" t="s">
        <v>42</v>
      </c>
      <c r="E58">
        <v>80</v>
      </c>
      <c r="F58">
        <v>90</v>
      </c>
      <c r="G58">
        <v>83</v>
      </c>
      <c r="H58">
        <v>81</v>
      </c>
      <c r="I58">
        <v>84</v>
      </c>
      <c r="J58">
        <f>SUM(E58:I58)</f>
        <v>418</v>
      </c>
      <c r="K58" s="2">
        <f>AVERAGE(E58:I58)</f>
        <v>83.6</v>
      </c>
    </row>
    <row r="59" hidden="1" spans="1:11">
      <c r="A59">
        <v>10058</v>
      </c>
      <c r="B59" t="s">
        <v>123</v>
      </c>
      <c r="C59" t="s">
        <v>15</v>
      </c>
      <c r="D59" t="s">
        <v>42</v>
      </c>
      <c r="E59">
        <v>74.5</v>
      </c>
      <c r="F59">
        <v>77.5</v>
      </c>
      <c r="G59">
        <v>67.5</v>
      </c>
      <c r="H59">
        <v>65.5</v>
      </c>
      <c r="I59">
        <v>71.5</v>
      </c>
      <c r="J59">
        <f>SUM(E59:I59)</f>
        <v>356.5</v>
      </c>
      <c r="K59" s="2">
        <f>AVERAGE(E59:I59)</f>
        <v>71.3</v>
      </c>
    </row>
    <row r="60" hidden="1" spans="1:11">
      <c r="A60">
        <v>10066</v>
      </c>
      <c r="B60" t="s">
        <v>27</v>
      </c>
      <c r="C60" t="s">
        <v>15</v>
      </c>
      <c r="D60" t="s">
        <v>28</v>
      </c>
      <c r="E60">
        <v>64.5</v>
      </c>
      <c r="F60">
        <v>66.5</v>
      </c>
      <c r="G60">
        <v>75.5</v>
      </c>
      <c r="H60">
        <v>73.5</v>
      </c>
      <c r="I60">
        <v>90</v>
      </c>
      <c r="J60">
        <f>SUM(E60:I60)</f>
        <v>370</v>
      </c>
      <c r="K60" s="2">
        <f>AVERAGE(E60:I60)</f>
        <v>74</v>
      </c>
    </row>
    <row r="61" hidden="1" spans="1:11">
      <c r="A61">
        <v>10064</v>
      </c>
      <c r="B61" t="s">
        <v>33</v>
      </c>
      <c r="C61" t="s">
        <v>18</v>
      </c>
      <c r="D61" t="s">
        <v>28</v>
      </c>
      <c r="E61">
        <v>71.5</v>
      </c>
      <c r="F61">
        <v>88</v>
      </c>
      <c r="G61">
        <v>81</v>
      </c>
      <c r="H61">
        <v>85</v>
      </c>
      <c r="I61">
        <v>82.5</v>
      </c>
      <c r="J61">
        <f>SUM(E61:I61)</f>
        <v>408</v>
      </c>
      <c r="K61" s="2">
        <f>AVERAGE(E61:I61)</f>
        <v>81.6</v>
      </c>
    </row>
    <row r="62" hidden="1" spans="1:11">
      <c r="A62">
        <v>10069</v>
      </c>
      <c r="B62" t="s">
        <v>39</v>
      </c>
      <c r="C62" t="s">
        <v>15</v>
      </c>
      <c r="D62" t="s">
        <v>28</v>
      </c>
      <c r="E62">
        <v>74</v>
      </c>
      <c r="F62">
        <v>85.5</v>
      </c>
      <c r="G62">
        <v>73.5</v>
      </c>
      <c r="H62">
        <v>71.5</v>
      </c>
      <c r="I62">
        <v>79</v>
      </c>
      <c r="J62">
        <f>SUM(E62:I62)</f>
        <v>383.5</v>
      </c>
      <c r="K62" s="2">
        <f>AVERAGE(E62:I62)</f>
        <v>76.7</v>
      </c>
    </row>
    <row r="63" hidden="1" spans="1:11">
      <c r="A63">
        <v>10068</v>
      </c>
      <c r="B63" t="s">
        <v>49</v>
      </c>
      <c r="C63" t="s">
        <v>18</v>
      </c>
      <c r="D63" t="s">
        <v>28</v>
      </c>
      <c r="E63">
        <v>71</v>
      </c>
      <c r="F63">
        <v>60</v>
      </c>
      <c r="G63">
        <v>66.5</v>
      </c>
      <c r="H63">
        <v>64.5</v>
      </c>
      <c r="I63">
        <v>85</v>
      </c>
      <c r="J63">
        <f>SUM(E63:I63)</f>
        <v>347</v>
      </c>
      <c r="K63" s="2">
        <f>AVERAGE(E63:I63)</f>
        <v>69.4</v>
      </c>
    </row>
    <row r="64" hidden="1" spans="1:11">
      <c r="A64">
        <v>10062</v>
      </c>
      <c r="B64" t="s">
        <v>65</v>
      </c>
      <c r="C64" t="s">
        <v>18</v>
      </c>
      <c r="D64" t="s">
        <v>28</v>
      </c>
      <c r="E64">
        <v>73</v>
      </c>
      <c r="F64">
        <v>76</v>
      </c>
      <c r="G64">
        <v>56</v>
      </c>
      <c r="H64">
        <v>54</v>
      </c>
      <c r="I64">
        <v>73</v>
      </c>
      <c r="J64">
        <f>SUM(E64:I64)</f>
        <v>332</v>
      </c>
      <c r="K64" s="2">
        <f>AVERAGE(E64:I64)</f>
        <v>66.4</v>
      </c>
    </row>
    <row r="65" hidden="1" spans="1:11">
      <c r="A65">
        <v>10070</v>
      </c>
      <c r="B65" t="s">
        <v>79</v>
      </c>
      <c r="C65" t="s">
        <v>15</v>
      </c>
      <c r="D65" t="s">
        <v>28</v>
      </c>
      <c r="E65">
        <v>79.5</v>
      </c>
      <c r="F65">
        <v>86</v>
      </c>
      <c r="G65">
        <v>85</v>
      </c>
      <c r="H65">
        <v>83</v>
      </c>
      <c r="I65">
        <v>61</v>
      </c>
      <c r="J65">
        <f>SUM(E65:I65)</f>
        <v>394.5</v>
      </c>
      <c r="K65" s="2">
        <f>AVERAGE(E65:I65)</f>
        <v>78.9</v>
      </c>
    </row>
    <row r="66" hidden="1" spans="1:11">
      <c r="A66">
        <v>10059</v>
      </c>
      <c r="B66" t="s">
        <v>81</v>
      </c>
      <c r="C66" t="s">
        <v>18</v>
      </c>
      <c r="D66" t="s">
        <v>28</v>
      </c>
      <c r="E66">
        <v>90.5</v>
      </c>
      <c r="F66">
        <v>50</v>
      </c>
      <c r="G66">
        <v>88</v>
      </c>
      <c r="H66">
        <v>72</v>
      </c>
      <c r="I66">
        <v>91.5</v>
      </c>
      <c r="J66">
        <f>SUM(E66:I66)</f>
        <v>392</v>
      </c>
      <c r="K66" s="2">
        <f>AVERAGE(E66:I66)</f>
        <v>78.4</v>
      </c>
    </row>
    <row r="67" hidden="1" spans="1:11">
      <c r="A67">
        <v>10060</v>
      </c>
      <c r="B67" t="s">
        <v>90</v>
      </c>
      <c r="C67" t="s">
        <v>15</v>
      </c>
      <c r="D67" t="s">
        <v>28</v>
      </c>
      <c r="E67">
        <v>90.5</v>
      </c>
      <c r="F67">
        <v>88</v>
      </c>
      <c r="G67">
        <v>95</v>
      </c>
      <c r="H67">
        <v>90</v>
      </c>
      <c r="I67">
        <v>94.5</v>
      </c>
      <c r="J67">
        <f>SUM(E67:I67)</f>
        <v>458</v>
      </c>
      <c r="K67" s="2">
        <f>AVERAGE(E67:I67)</f>
        <v>91.6</v>
      </c>
    </row>
    <row r="68" hidden="1" spans="1:11">
      <c r="A68">
        <v>10063</v>
      </c>
      <c r="B68" t="s">
        <v>100</v>
      </c>
      <c r="C68" t="s">
        <v>15</v>
      </c>
      <c r="D68" t="s">
        <v>28</v>
      </c>
      <c r="E68">
        <v>78</v>
      </c>
      <c r="F68">
        <v>61.5</v>
      </c>
      <c r="G68">
        <v>66</v>
      </c>
      <c r="H68">
        <v>64</v>
      </c>
      <c r="I68">
        <v>69</v>
      </c>
      <c r="J68">
        <f>SUM(E68:I68)</f>
        <v>338.5</v>
      </c>
      <c r="K68" s="2">
        <f>AVERAGE(E68:I68)</f>
        <v>67.7</v>
      </c>
    </row>
    <row r="69" hidden="1" spans="1:11">
      <c r="A69">
        <v>10071</v>
      </c>
      <c r="B69" t="s">
        <v>108</v>
      </c>
      <c r="C69" t="s">
        <v>15</v>
      </c>
      <c r="D69" t="s">
        <v>28</v>
      </c>
      <c r="E69">
        <v>85.5</v>
      </c>
      <c r="F69">
        <v>94</v>
      </c>
      <c r="G69">
        <v>94</v>
      </c>
      <c r="H69">
        <v>75.5</v>
      </c>
      <c r="I69">
        <v>70</v>
      </c>
      <c r="J69">
        <f>SUM(E69:I69)</f>
        <v>419</v>
      </c>
      <c r="K69" s="2">
        <f>AVERAGE(E69:I69)</f>
        <v>83.8</v>
      </c>
    </row>
    <row r="70" hidden="1" spans="1:11">
      <c r="A70">
        <v>10065</v>
      </c>
      <c r="B70" t="s">
        <v>113</v>
      </c>
      <c r="C70" t="s">
        <v>18</v>
      </c>
      <c r="D70" t="s">
        <v>28</v>
      </c>
      <c r="E70">
        <v>80.5</v>
      </c>
      <c r="F70">
        <v>90</v>
      </c>
      <c r="G70">
        <v>63.5</v>
      </c>
      <c r="H70">
        <v>85</v>
      </c>
      <c r="I70">
        <v>92.5</v>
      </c>
      <c r="J70">
        <f>SUM(E70:I70)</f>
        <v>411.5</v>
      </c>
      <c r="K70" s="2">
        <f>AVERAGE(E70:I70)</f>
        <v>82.3</v>
      </c>
    </row>
    <row r="71" hidden="1" spans="1:11">
      <c r="A71">
        <v>10061</v>
      </c>
      <c r="B71" t="s">
        <v>114</v>
      </c>
      <c r="C71" t="s">
        <v>15</v>
      </c>
      <c r="D71" t="s">
        <v>28</v>
      </c>
      <c r="E71">
        <v>94</v>
      </c>
      <c r="F71">
        <v>90</v>
      </c>
      <c r="G71">
        <v>96</v>
      </c>
      <c r="H71">
        <v>83.5</v>
      </c>
      <c r="I71">
        <v>93</v>
      </c>
      <c r="J71">
        <f>SUM(E71:I71)</f>
        <v>456.5</v>
      </c>
      <c r="K71" s="2">
        <f>AVERAGE(E71:I71)</f>
        <v>91.3</v>
      </c>
    </row>
    <row r="72" hidden="1" spans="1:11">
      <c r="A72">
        <v>10067</v>
      </c>
      <c r="B72" t="s">
        <v>115</v>
      </c>
      <c r="C72" t="s">
        <v>15</v>
      </c>
      <c r="D72" t="s">
        <v>28</v>
      </c>
      <c r="E72">
        <v>77.5</v>
      </c>
      <c r="F72">
        <v>72.5</v>
      </c>
      <c r="G72">
        <v>73.5</v>
      </c>
      <c r="H72">
        <v>71.5</v>
      </c>
      <c r="I72">
        <v>65</v>
      </c>
      <c r="J72">
        <f>SUM(E72:I72)</f>
        <v>360</v>
      </c>
      <c r="K72" s="2">
        <f>AVERAGE(E72:I72)</f>
        <v>72</v>
      </c>
    </row>
    <row r="73" hidden="1" spans="1:11">
      <c r="A73">
        <v>10077</v>
      </c>
      <c r="B73" t="s">
        <v>14</v>
      </c>
      <c r="C73" t="s">
        <v>15</v>
      </c>
      <c r="D73" t="s">
        <v>16</v>
      </c>
      <c r="E73">
        <v>96</v>
      </c>
      <c r="F73">
        <v>88</v>
      </c>
      <c r="G73">
        <v>93</v>
      </c>
      <c r="H73">
        <v>88</v>
      </c>
      <c r="I73">
        <v>92</v>
      </c>
      <c r="J73">
        <f>SUM(E73:I73)</f>
        <v>457</v>
      </c>
      <c r="K73" s="2">
        <f>AVERAGE(E73:I73)</f>
        <v>91.4</v>
      </c>
    </row>
    <row r="74" hidden="1" spans="1:11">
      <c r="A74">
        <v>10076</v>
      </c>
      <c r="B74" t="s">
        <v>36</v>
      </c>
      <c r="C74" t="s">
        <v>18</v>
      </c>
      <c r="D74" t="s">
        <v>16</v>
      </c>
      <c r="E74">
        <v>63.5</v>
      </c>
      <c r="F74">
        <v>83</v>
      </c>
      <c r="G74">
        <v>63.5</v>
      </c>
      <c r="H74">
        <v>61.5</v>
      </c>
      <c r="I74">
        <v>70</v>
      </c>
      <c r="J74">
        <f>SUM(E74:I74)</f>
        <v>341.5</v>
      </c>
      <c r="K74" s="2">
        <f>AVERAGE(E74:I74)</f>
        <v>68.3</v>
      </c>
    </row>
    <row r="75" hidden="1" spans="1:11">
      <c r="A75">
        <v>10072</v>
      </c>
      <c r="B75" t="s">
        <v>47</v>
      </c>
      <c r="C75" t="s">
        <v>15</v>
      </c>
      <c r="D75" t="s">
        <v>16</v>
      </c>
      <c r="E75">
        <v>67</v>
      </c>
      <c r="F75">
        <v>86</v>
      </c>
      <c r="G75">
        <v>70.5</v>
      </c>
      <c r="H75">
        <v>68.5</v>
      </c>
      <c r="I75">
        <v>62.5</v>
      </c>
      <c r="J75">
        <f>SUM(E75:I75)</f>
        <v>354.5</v>
      </c>
      <c r="K75" s="2">
        <f>AVERAGE(E75:I75)</f>
        <v>70.9</v>
      </c>
    </row>
    <row r="76" hidden="1" spans="1:11">
      <c r="A76">
        <v>10078</v>
      </c>
      <c r="B76" t="s">
        <v>48</v>
      </c>
      <c r="C76" t="s">
        <v>15</v>
      </c>
      <c r="D76" t="s">
        <v>16</v>
      </c>
      <c r="E76">
        <v>79.5</v>
      </c>
      <c r="F76">
        <v>87.5</v>
      </c>
      <c r="G76">
        <v>74.5</v>
      </c>
      <c r="H76">
        <v>72.5</v>
      </c>
      <c r="I76">
        <v>75</v>
      </c>
      <c r="J76">
        <f>SUM(E76:I76)</f>
        <v>389</v>
      </c>
      <c r="K76" s="2">
        <f>AVERAGE(E76:I76)</f>
        <v>77.8</v>
      </c>
    </row>
    <row r="77" hidden="1" spans="1:11">
      <c r="A77">
        <v>10073</v>
      </c>
      <c r="B77" t="s">
        <v>59</v>
      </c>
      <c r="C77" t="s">
        <v>15</v>
      </c>
      <c r="D77" t="s">
        <v>16</v>
      </c>
      <c r="E77">
        <v>77.5</v>
      </c>
      <c r="F77">
        <v>75.5</v>
      </c>
      <c r="G77">
        <v>79</v>
      </c>
      <c r="H77">
        <v>77</v>
      </c>
      <c r="I77">
        <v>80</v>
      </c>
      <c r="J77">
        <f>SUM(E77:I77)</f>
        <v>389</v>
      </c>
      <c r="K77" s="2">
        <f>AVERAGE(E77:I77)</f>
        <v>77.8</v>
      </c>
    </row>
    <row r="78" hidden="1" spans="1:11">
      <c r="A78">
        <v>10079</v>
      </c>
      <c r="B78" t="s">
        <v>61</v>
      </c>
      <c r="C78" t="s">
        <v>18</v>
      </c>
      <c r="D78" t="s">
        <v>16</v>
      </c>
      <c r="E78">
        <v>68</v>
      </c>
      <c r="F78">
        <v>81</v>
      </c>
      <c r="G78">
        <v>85.5</v>
      </c>
      <c r="H78">
        <v>83.5</v>
      </c>
      <c r="I78">
        <v>65.5</v>
      </c>
      <c r="J78">
        <f>SUM(E78:I78)</f>
        <v>383.5</v>
      </c>
      <c r="K78" s="2">
        <f>AVERAGE(E78:I78)</f>
        <v>76.7</v>
      </c>
    </row>
    <row r="79" hidden="1" spans="1:11">
      <c r="A79">
        <v>10074</v>
      </c>
      <c r="B79" t="s">
        <v>73</v>
      </c>
      <c r="C79" t="s">
        <v>18</v>
      </c>
      <c r="D79" t="s">
        <v>16</v>
      </c>
      <c r="E79">
        <v>60.5</v>
      </c>
      <c r="F79">
        <v>80</v>
      </c>
      <c r="G79">
        <v>80.5</v>
      </c>
      <c r="H79">
        <v>78.5</v>
      </c>
      <c r="I79">
        <v>76</v>
      </c>
      <c r="J79">
        <f>SUM(E79:I79)</f>
        <v>375.5</v>
      </c>
      <c r="K79" s="2">
        <f>AVERAGE(E79:I79)</f>
        <v>75.1</v>
      </c>
    </row>
    <row r="80" hidden="1" spans="1:11">
      <c r="A80">
        <v>10080</v>
      </c>
      <c r="B80" t="s">
        <v>78</v>
      </c>
      <c r="C80" t="s">
        <v>18</v>
      </c>
      <c r="D80" t="s">
        <v>16</v>
      </c>
      <c r="E80">
        <v>81</v>
      </c>
      <c r="F80">
        <v>83</v>
      </c>
      <c r="G80">
        <v>75.5</v>
      </c>
      <c r="H80">
        <v>73.5</v>
      </c>
      <c r="I80">
        <v>62.5</v>
      </c>
      <c r="J80">
        <f>SUM(E80:I80)</f>
        <v>375.5</v>
      </c>
      <c r="K80" s="2">
        <f>AVERAGE(E80:I80)</f>
        <v>75.1</v>
      </c>
    </row>
    <row r="81" hidden="1" spans="1:11">
      <c r="A81">
        <v>10081</v>
      </c>
      <c r="B81" t="s">
        <v>87</v>
      </c>
      <c r="C81" t="s">
        <v>15</v>
      </c>
      <c r="D81" t="s">
        <v>16</v>
      </c>
      <c r="E81">
        <v>71.5</v>
      </c>
      <c r="F81">
        <v>79.5</v>
      </c>
      <c r="G81">
        <v>75.5</v>
      </c>
      <c r="H81">
        <v>73.5</v>
      </c>
      <c r="I81">
        <v>87.5</v>
      </c>
      <c r="J81">
        <f>SUM(E81:I81)</f>
        <v>387.5</v>
      </c>
      <c r="K81" s="2">
        <f>AVERAGE(E81:I81)</f>
        <v>77.5</v>
      </c>
    </row>
    <row r="82" hidden="1" spans="1:11">
      <c r="A82">
        <v>10075</v>
      </c>
      <c r="B82" t="s">
        <v>98</v>
      </c>
      <c r="C82" t="s">
        <v>15</v>
      </c>
      <c r="D82" t="s">
        <v>16</v>
      </c>
      <c r="E82">
        <v>92</v>
      </c>
      <c r="F82">
        <v>93</v>
      </c>
      <c r="G82">
        <v>92</v>
      </c>
      <c r="H82">
        <v>63.5</v>
      </c>
      <c r="I82">
        <v>65</v>
      </c>
      <c r="J82">
        <f>SUM(E82:I82)</f>
        <v>405.5</v>
      </c>
      <c r="K82" s="2">
        <f>AVERAGE(E82:I82)</f>
        <v>81.1</v>
      </c>
    </row>
    <row r="83" hidden="1" spans="1:11">
      <c r="A83">
        <v>10082</v>
      </c>
      <c r="B83" t="s">
        <v>17</v>
      </c>
      <c r="C83" t="s">
        <v>18</v>
      </c>
      <c r="D83" t="s">
        <v>19</v>
      </c>
      <c r="E83">
        <v>66</v>
      </c>
      <c r="F83">
        <v>66</v>
      </c>
      <c r="G83">
        <v>74</v>
      </c>
      <c r="H83">
        <v>72</v>
      </c>
      <c r="I83">
        <v>83</v>
      </c>
      <c r="J83">
        <f>SUM(E83:I83)</f>
        <v>361</v>
      </c>
      <c r="K83" s="2">
        <f>AVERAGE(E83:I83)</f>
        <v>72.2</v>
      </c>
    </row>
    <row r="84" hidden="1" spans="1:11">
      <c r="A84">
        <v>10088</v>
      </c>
      <c r="B84" t="s">
        <v>20</v>
      </c>
      <c r="C84" t="s">
        <v>15</v>
      </c>
      <c r="D84" t="s">
        <v>19</v>
      </c>
      <c r="E84">
        <v>77</v>
      </c>
      <c r="F84">
        <v>85.5</v>
      </c>
      <c r="G84">
        <v>63.5</v>
      </c>
      <c r="H84">
        <v>61.5</v>
      </c>
      <c r="I84">
        <v>72</v>
      </c>
      <c r="J84">
        <f>SUM(E84:I84)</f>
        <v>359.5</v>
      </c>
      <c r="K84" s="2">
        <f>AVERAGE(E84:I84)</f>
        <v>71.9</v>
      </c>
    </row>
    <row r="85" hidden="1" spans="1:11">
      <c r="A85">
        <v>10097</v>
      </c>
      <c r="B85" t="s">
        <v>32</v>
      </c>
      <c r="C85" t="s">
        <v>18</v>
      </c>
      <c r="D85" t="s">
        <v>19</v>
      </c>
      <c r="E85">
        <v>68.5</v>
      </c>
      <c r="F85">
        <v>63</v>
      </c>
      <c r="G85">
        <v>88</v>
      </c>
      <c r="H85">
        <v>86</v>
      </c>
      <c r="I85">
        <v>73</v>
      </c>
      <c r="J85">
        <f>SUM(E85:I85)</f>
        <v>378.5</v>
      </c>
      <c r="K85" s="2">
        <f>AVERAGE(E85:I85)</f>
        <v>75.7</v>
      </c>
    </row>
    <row r="86" hidden="1" spans="1:11">
      <c r="A86">
        <v>10098</v>
      </c>
      <c r="B86" t="s">
        <v>34</v>
      </c>
      <c r="C86" t="s">
        <v>18</v>
      </c>
      <c r="D86" t="s">
        <v>19</v>
      </c>
      <c r="E86">
        <v>82</v>
      </c>
      <c r="F86">
        <v>81</v>
      </c>
      <c r="G86">
        <v>62.5</v>
      </c>
      <c r="H86">
        <v>60.5</v>
      </c>
      <c r="I86">
        <v>92</v>
      </c>
      <c r="J86">
        <f>SUM(E86:I86)</f>
        <v>378</v>
      </c>
      <c r="K86" s="2">
        <f>AVERAGE(E86:I86)</f>
        <v>75.6</v>
      </c>
    </row>
    <row r="87" hidden="1" spans="1:11">
      <c r="A87">
        <v>10092</v>
      </c>
      <c r="B87" t="s">
        <v>57</v>
      </c>
      <c r="C87" t="s">
        <v>15</v>
      </c>
      <c r="D87" t="s">
        <v>19</v>
      </c>
      <c r="E87">
        <v>85.5</v>
      </c>
      <c r="F87">
        <v>91.5</v>
      </c>
      <c r="G87">
        <v>56.5</v>
      </c>
      <c r="H87">
        <v>54.5</v>
      </c>
      <c r="I87">
        <v>76.5</v>
      </c>
      <c r="J87">
        <f>SUM(E87:I87)</f>
        <v>364.5</v>
      </c>
      <c r="K87" s="2">
        <f>AVERAGE(E87:I87)</f>
        <v>72.9</v>
      </c>
    </row>
    <row r="88" hidden="1" spans="1:11">
      <c r="A88">
        <v>10086</v>
      </c>
      <c r="B88" t="s">
        <v>64</v>
      </c>
      <c r="C88" t="s">
        <v>18</v>
      </c>
      <c r="D88" t="s">
        <v>19</v>
      </c>
      <c r="E88">
        <v>69</v>
      </c>
      <c r="F88">
        <v>68.5</v>
      </c>
      <c r="G88">
        <v>92</v>
      </c>
      <c r="H88">
        <v>90</v>
      </c>
      <c r="I88">
        <v>94.5</v>
      </c>
      <c r="J88">
        <f>SUM(E88:I88)</f>
        <v>414</v>
      </c>
      <c r="K88" s="2">
        <f>AVERAGE(E88:I88)</f>
        <v>82.8</v>
      </c>
    </row>
    <row r="89" hidden="1" spans="1:11">
      <c r="A89">
        <v>10095</v>
      </c>
      <c r="B89" t="s">
        <v>70</v>
      </c>
      <c r="C89" t="s">
        <v>15</v>
      </c>
      <c r="D89" t="s">
        <v>19</v>
      </c>
      <c r="E89">
        <v>96</v>
      </c>
      <c r="F89">
        <v>84</v>
      </c>
      <c r="G89">
        <v>98</v>
      </c>
      <c r="H89">
        <v>96</v>
      </c>
      <c r="I89">
        <v>69.5</v>
      </c>
      <c r="J89">
        <f>SUM(E89:I89)</f>
        <v>443.5</v>
      </c>
      <c r="K89" s="2">
        <f>AVERAGE(E89:I89)</f>
        <v>88.7</v>
      </c>
    </row>
    <row r="90" hidden="1" spans="1:11">
      <c r="A90">
        <v>10089</v>
      </c>
      <c r="B90" t="s">
        <v>71</v>
      </c>
      <c r="C90" t="s">
        <v>18</v>
      </c>
      <c r="D90" t="s">
        <v>19</v>
      </c>
      <c r="E90">
        <v>85</v>
      </c>
      <c r="F90">
        <v>95</v>
      </c>
      <c r="G90">
        <v>94</v>
      </c>
      <c r="H90">
        <v>86.5</v>
      </c>
      <c r="I90">
        <v>92</v>
      </c>
      <c r="J90">
        <f>SUM(E90:I90)</f>
        <v>452.5</v>
      </c>
      <c r="K90" s="2">
        <f>AVERAGE(E90:I90)</f>
        <v>90.5</v>
      </c>
    </row>
    <row r="91" hidden="1" spans="1:11">
      <c r="A91">
        <v>10091</v>
      </c>
      <c r="B91" t="s">
        <v>80</v>
      </c>
      <c r="C91" t="s">
        <v>15</v>
      </c>
      <c r="D91" t="s">
        <v>19</v>
      </c>
      <c r="E91">
        <v>65</v>
      </c>
      <c r="F91">
        <v>60</v>
      </c>
      <c r="G91">
        <v>50</v>
      </c>
      <c r="H91">
        <v>52.5</v>
      </c>
      <c r="I91">
        <v>62</v>
      </c>
      <c r="J91">
        <f>SUM(E91:I91)</f>
        <v>289.5</v>
      </c>
      <c r="K91" s="2">
        <f>AVERAGE(E91:I91)</f>
        <v>57.9</v>
      </c>
    </row>
    <row r="92" hidden="1" spans="1:11">
      <c r="A92">
        <v>10083</v>
      </c>
      <c r="B92" t="s">
        <v>84</v>
      </c>
      <c r="C92" t="s">
        <v>15</v>
      </c>
      <c r="D92" t="s">
        <v>19</v>
      </c>
      <c r="E92">
        <v>84</v>
      </c>
      <c r="F92">
        <v>70.5</v>
      </c>
      <c r="G92">
        <v>75</v>
      </c>
      <c r="H92">
        <v>73</v>
      </c>
      <c r="I92">
        <v>75</v>
      </c>
      <c r="J92">
        <f>SUM(E92:I92)</f>
        <v>377.5</v>
      </c>
      <c r="K92" s="2">
        <f>AVERAGE(E92:I92)</f>
        <v>75.5</v>
      </c>
    </row>
    <row r="93" hidden="1" spans="1:11">
      <c r="A93">
        <v>10099</v>
      </c>
      <c r="B93" t="s">
        <v>91</v>
      </c>
      <c r="C93" t="s">
        <v>15</v>
      </c>
      <c r="D93" t="s">
        <v>19</v>
      </c>
      <c r="E93">
        <v>81</v>
      </c>
      <c r="F93">
        <v>91.5</v>
      </c>
      <c r="G93">
        <v>97</v>
      </c>
      <c r="H93">
        <v>95</v>
      </c>
      <c r="I93">
        <v>92</v>
      </c>
      <c r="J93">
        <f>SUM(E93:I93)</f>
        <v>456.5</v>
      </c>
      <c r="K93" s="2">
        <f>AVERAGE(E93:I93)</f>
        <v>91.3</v>
      </c>
    </row>
    <row r="94" hidden="1" spans="1:11">
      <c r="A94">
        <v>10096</v>
      </c>
      <c r="B94" t="s">
        <v>93</v>
      </c>
      <c r="C94" t="s">
        <v>15</v>
      </c>
      <c r="D94" t="s">
        <v>19</v>
      </c>
      <c r="E94">
        <v>71.5</v>
      </c>
      <c r="F94">
        <v>73</v>
      </c>
      <c r="G94">
        <v>77</v>
      </c>
      <c r="H94">
        <v>75</v>
      </c>
      <c r="I94">
        <v>78.5</v>
      </c>
      <c r="J94">
        <f>SUM(E94:I94)</f>
        <v>375</v>
      </c>
      <c r="K94" s="2">
        <f>AVERAGE(E94:I94)</f>
        <v>75</v>
      </c>
    </row>
    <row r="95" hidden="1" spans="1:11">
      <c r="A95">
        <v>10085</v>
      </c>
      <c r="B95" t="s">
        <v>96</v>
      </c>
      <c r="C95" t="s">
        <v>15</v>
      </c>
      <c r="D95" t="s">
        <v>19</v>
      </c>
      <c r="E95">
        <v>91</v>
      </c>
      <c r="F95">
        <v>68.5</v>
      </c>
      <c r="G95">
        <v>64.5</v>
      </c>
      <c r="H95">
        <v>62.5</v>
      </c>
      <c r="I95">
        <v>76.5</v>
      </c>
      <c r="J95">
        <f>SUM(E95:I95)</f>
        <v>363</v>
      </c>
      <c r="K95" s="2">
        <f>AVERAGE(E95:I95)</f>
        <v>72.6</v>
      </c>
    </row>
    <row r="96" hidden="1" spans="1:11">
      <c r="A96">
        <v>10090</v>
      </c>
      <c r="B96" t="s">
        <v>103</v>
      </c>
      <c r="C96" t="s">
        <v>15</v>
      </c>
      <c r="D96" t="s">
        <v>19</v>
      </c>
      <c r="E96">
        <v>80</v>
      </c>
      <c r="F96">
        <v>76.5</v>
      </c>
      <c r="G96">
        <v>89.5</v>
      </c>
      <c r="H96">
        <v>87.5</v>
      </c>
      <c r="I96">
        <v>80</v>
      </c>
      <c r="J96">
        <f>SUM(E96:I96)</f>
        <v>413.5</v>
      </c>
      <c r="K96" s="2">
        <f>AVERAGE(E96:I96)</f>
        <v>82.7</v>
      </c>
    </row>
    <row r="97" hidden="1" spans="1:11">
      <c r="A97">
        <v>10094</v>
      </c>
      <c r="B97" t="s">
        <v>104</v>
      </c>
      <c r="C97" t="s">
        <v>18</v>
      </c>
      <c r="D97" t="s">
        <v>19</v>
      </c>
      <c r="E97">
        <v>81.5</v>
      </c>
      <c r="F97">
        <v>94</v>
      </c>
      <c r="G97">
        <v>94</v>
      </c>
      <c r="H97">
        <v>90</v>
      </c>
      <c r="I97">
        <v>95</v>
      </c>
      <c r="J97">
        <f>SUM(E97:I97)</f>
        <v>454.5</v>
      </c>
      <c r="K97" s="2">
        <f>AVERAGE(E97:I97)</f>
        <v>90.9</v>
      </c>
    </row>
    <row r="98" hidden="1" spans="1:11">
      <c r="A98">
        <v>10084</v>
      </c>
      <c r="B98" t="s">
        <v>106</v>
      </c>
      <c r="C98" t="s">
        <v>15</v>
      </c>
      <c r="D98" t="s">
        <v>19</v>
      </c>
      <c r="E98">
        <v>65</v>
      </c>
      <c r="F98">
        <v>64</v>
      </c>
      <c r="G98">
        <v>75.5</v>
      </c>
      <c r="H98">
        <v>73.5</v>
      </c>
      <c r="I98">
        <v>83.5</v>
      </c>
      <c r="J98">
        <f>SUM(E98:I98)</f>
        <v>361.5</v>
      </c>
      <c r="K98" s="2">
        <f>AVERAGE(E98:I98)</f>
        <v>72.3</v>
      </c>
    </row>
    <row r="99" hidden="1" spans="1:11">
      <c r="A99">
        <v>10093</v>
      </c>
      <c r="B99" t="s">
        <v>109</v>
      </c>
      <c r="C99" t="s">
        <v>18</v>
      </c>
      <c r="D99" t="s">
        <v>19</v>
      </c>
      <c r="E99">
        <v>71.5</v>
      </c>
      <c r="F99">
        <v>60</v>
      </c>
      <c r="G99">
        <v>52</v>
      </c>
      <c r="H99">
        <v>50</v>
      </c>
      <c r="I99">
        <v>58</v>
      </c>
      <c r="J99">
        <f>SUM(E99:I99)</f>
        <v>291.5</v>
      </c>
      <c r="K99" s="2">
        <f>AVERAGE(E99:I99)</f>
        <v>58.3</v>
      </c>
    </row>
    <row r="100" hidden="1" spans="1:11">
      <c r="A100">
        <v>10087</v>
      </c>
      <c r="B100" t="s">
        <v>117</v>
      </c>
      <c r="C100" t="s">
        <v>18</v>
      </c>
      <c r="D100" t="s">
        <v>19</v>
      </c>
      <c r="E100">
        <v>69</v>
      </c>
      <c r="F100">
        <v>75</v>
      </c>
      <c r="G100">
        <v>89</v>
      </c>
      <c r="H100">
        <v>80</v>
      </c>
      <c r="I100">
        <v>75</v>
      </c>
      <c r="J100">
        <f>SUM(E100:I100)</f>
        <v>388</v>
      </c>
      <c r="K100" s="2">
        <f>AVERAGE(E100:I100)</f>
        <v>77.6</v>
      </c>
    </row>
  </sheetData>
  <sortState ref="A2:K100">
    <sortCondition ref="D2:D100" customList="一班,二班,三班,四班,五班,六班"/>
  </sortState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05"/>
  <sheetViews>
    <sheetView workbookViewId="0">
      <selection activeCell="A6" sqref="A6:I105"/>
    </sheetView>
  </sheetViews>
  <sheetFormatPr defaultColWidth="9" defaultRowHeight="13.5"/>
  <cols>
    <col min="1" max="1" width="6.375" customWidth="1"/>
    <col min="2" max="2" width="7" customWidth="1"/>
    <col min="3" max="4" width="5.125" customWidth="1"/>
    <col min="5" max="6" width="8.875" customWidth="1"/>
    <col min="7" max="7" width="7" customWidth="1"/>
    <col min="8" max="8" width="10.875" customWidth="1"/>
    <col min="9" max="9" width="12.875" customWidth="1"/>
  </cols>
  <sheetData>
    <row r="1" spans="1:2">
      <c r="A1" t="s">
        <v>4</v>
      </c>
      <c r="B1" t="s">
        <v>6</v>
      </c>
    </row>
    <row r="2" spans="1:2">
      <c r="A2" t="s">
        <v>30</v>
      </c>
      <c r="B2" t="s">
        <v>126</v>
      </c>
    </row>
    <row r="3" spans="1:2">
      <c r="A3" t="s">
        <v>16</v>
      </c>
      <c r="B3" t="s">
        <v>126</v>
      </c>
    </row>
    <row r="6" spans="1:9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</row>
    <row r="7" hidden="1" spans="1:9">
      <c r="A7">
        <v>10077</v>
      </c>
      <c r="B7" t="s">
        <v>14</v>
      </c>
      <c r="C7" t="s">
        <v>15</v>
      </c>
      <c r="D7" t="s">
        <v>16</v>
      </c>
      <c r="E7">
        <v>96</v>
      </c>
      <c r="F7">
        <v>88</v>
      </c>
      <c r="G7">
        <v>93</v>
      </c>
      <c r="H7">
        <v>88</v>
      </c>
      <c r="I7">
        <v>92</v>
      </c>
    </row>
    <row r="8" hidden="1" spans="1:9">
      <c r="A8">
        <v>10082</v>
      </c>
      <c r="B8" t="s">
        <v>17</v>
      </c>
      <c r="C8" t="s">
        <v>18</v>
      </c>
      <c r="D8" t="s">
        <v>19</v>
      </c>
      <c r="E8">
        <v>66</v>
      </c>
      <c r="F8">
        <v>66</v>
      </c>
      <c r="G8">
        <v>74</v>
      </c>
      <c r="H8">
        <v>72</v>
      </c>
      <c r="I8">
        <v>83</v>
      </c>
    </row>
    <row r="9" hidden="1" spans="1:9">
      <c r="A9">
        <v>10088</v>
      </c>
      <c r="B9" t="s">
        <v>20</v>
      </c>
      <c r="C9" t="s">
        <v>15</v>
      </c>
      <c r="D9" t="s">
        <v>19</v>
      </c>
      <c r="E9">
        <v>77</v>
      </c>
      <c r="F9">
        <v>85.5</v>
      </c>
      <c r="G9">
        <v>63.5</v>
      </c>
      <c r="H9">
        <v>61.5</v>
      </c>
      <c r="I9">
        <v>72</v>
      </c>
    </row>
    <row r="10" hidden="1" spans="1:9">
      <c r="A10">
        <v>10036</v>
      </c>
      <c r="B10" t="s">
        <v>22</v>
      </c>
      <c r="C10" t="s">
        <v>18</v>
      </c>
      <c r="D10" t="s">
        <v>23</v>
      </c>
      <c r="E10">
        <v>64</v>
      </c>
      <c r="F10">
        <v>70.5</v>
      </c>
      <c r="G10">
        <v>62</v>
      </c>
      <c r="H10">
        <v>85</v>
      </c>
      <c r="I10">
        <v>60</v>
      </c>
    </row>
    <row r="11" hidden="1" spans="1:9">
      <c r="A11">
        <v>10040</v>
      </c>
      <c r="B11" t="s">
        <v>25</v>
      </c>
      <c r="C11" t="s">
        <v>18</v>
      </c>
      <c r="D11" t="s">
        <v>23</v>
      </c>
      <c r="E11">
        <v>81.5</v>
      </c>
      <c r="F11">
        <v>76.5</v>
      </c>
      <c r="G11">
        <v>72</v>
      </c>
      <c r="H11">
        <v>70</v>
      </c>
      <c r="I11">
        <v>82.5</v>
      </c>
    </row>
    <row r="12" hidden="1" spans="1:9">
      <c r="A12">
        <v>10066</v>
      </c>
      <c r="B12" t="s">
        <v>27</v>
      </c>
      <c r="C12" t="s">
        <v>15</v>
      </c>
      <c r="D12" t="s">
        <v>28</v>
      </c>
      <c r="E12">
        <v>64.5</v>
      </c>
      <c r="F12">
        <v>66.5</v>
      </c>
      <c r="G12">
        <v>75.5</v>
      </c>
      <c r="H12">
        <v>73.5</v>
      </c>
      <c r="I12">
        <v>90</v>
      </c>
    </row>
    <row r="13" hidden="1" spans="1:9">
      <c r="A13">
        <v>10011</v>
      </c>
      <c r="B13" t="s">
        <v>29</v>
      </c>
      <c r="C13" t="s">
        <v>18</v>
      </c>
      <c r="D13" t="s">
        <v>30</v>
      </c>
      <c r="E13">
        <v>75.5</v>
      </c>
      <c r="F13">
        <v>65.5</v>
      </c>
      <c r="G13">
        <v>73.5</v>
      </c>
      <c r="H13">
        <v>71.5</v>
      </c>
      <c r="I13">
        <v>71.5</v>
      </c>
    </row>
    <row r="14" hidden="1" spans="1:9">
      <c r="A14">
        <v>10023</v>
      </c>
      <c r="B14" t="s">
        <v>31</v>
      </c>
      <c r="C14" t="s">
        <v>18</v>
      </c>
      <c r="D14" t="s">
        <v>23</v>
      </c>
      <c r="E14">
        <v>73.5</v>
      </c>
      <c r="F14">
        <v>78</v>
      </c>
      <c r="G14">
        <v>73</v>
      </c>
      <c r="H14">
        <v>71</v>
      </c>
      <c r="I14">
        <v>77.5</v>
      </c>
    </row>
    <row r="15" hidden="1" spans="1:9">
      <c r="A15">
        <v>10097</v>
      </c>
      <c r="B15" t="s">
        <v>32</v>
      </c>
      <c r="C15" t="s">
        <v>18</v>
      </c>
      <c r="D15" t="s">
        <v>19</v>
      </c>
      <c r="E15">
        <v>68.5</v>
      </c>
      <c r="F15">
        <v>63</v>
      </c>
      <c r="G15">
        <v>88</v>
      </c>
      <c r="H15">
        <v>86</v>
      </c>
      <c r="I15">
        <v>73</v>
      </c>
    </row>
    <row r="16" hidden="1" spans="1:9">
      <c r="A16">
        <v>10064</v>
      </c>
      <c r="B16" t="s">
        <v>33</v>
      </c>
      <c r="C16" t="s">
        <v>18</v>
      </c>
      <c r="D16" t="s">
        <v>28</v>
      </c>
      <c r="E16">
        <v>71.5</v>
      </c>
      <c r="F16">
        <v>88</v>
      </c>
      <c r="G16">
        <v>81</v>
      </c>
      <c r="H16">
        <v>85</v>
      </c>
      <c r="I16">
        <v>82.5</v>
      </c>
    </row>
    <row r="17" hidden="1" spans="1:9">
      <c r="A17">
        <v>10098</v>
      </c>
      <c r="B17" t="s">
        <v>34</v>
      </c>
      <c r="C17" t="s">
        <v>18</v>
      </c>
      <c r="D17" t="s">
        <v>19</v>
      </c>
      <c r="E17">
        <v>82</v>
      </c>
      <c r="F17">
        <v>81</v>
      </c>
      <c r="G17">
        <v>62.5</v>
      </c>
      <c r="H17">
        <v>60.5</v>
      </c>
      <c r="I17">
        <v>92</v>
      </c>
    </row>
    <row r="18" hidden="1" spans="1:9">
      <c r="A18">
        <v>10015</v>
      </c>
      <c r="B18" t="s">
        <v>35</v>
      </c>
      <c r="C18" t="s">
        <v>15</v>
      </c>
      <c r="D18" t="s">
        <v>30</v>
      </c>
      <c r="E18">
        <v>88</v>
      </c>
      <c r="F18">
        <v>77.5</v>
      </c>
      <c r="G18">
        <v>77.5</v>
      </c>
      <c r="H18">
        <v>75.5</v>
      </c>
      <c r="I18">
        <v>61</v>
      </c>
    </row>
    <row r="19" hidden="1" spans="1:9">
      <c r="A19">
        <v>10076</v>
      </c>
      <c r="B19" t="s">
        <v>36</v>
      </c>
      <c r="C19" t="s">
        <v>18</v>
      </c>
      <c r="D19" t="s">
        <v>16</v>
      </c>
      <c r="E19">
        <v>63.5</v>
      </c>
      <c r="F19">
        <v>83</v>
      </c>
      <c r="G19">
        <v>63.5</v>
      </c>
      <c r="H19">
        <v>61.5</v>
      </c>
      <c r="I19">
        <v>70</v>
      </c>
    </row>
    <row r="20" hidden="1" spans="1:9">
      <c r="A20">
        <v>10042</v>
      </c>
      <c r="B20" t="s">
        <v>37</v>
      </c>
      <c r="C20" t="s">
        <v>15</v>
      </c>
      <c r="D20" t="s">
        <v>23</v>
      </c>
      <c r="E20">
        <v>74.5</v>
      </c>
      <c r="F20">
        <v>80.5</v>
      </c>
      <c r="G20">
        <v>81</v>
      </c>
      <c r="H20">
        <v>79</v>
      </c>
      <c r="I20">
        <v>75</v>
      </c>
    </row>
    <row r="21" hidden="1" spans="1:9">
      <c r="A21">
        <v>10005</v>
      </c>
      <c r="B21" t="s">
        <v>38</v>
      </c>
      <c r="C21" t="s">
        <v>18</v>
      </c>
      <c r="D21" t="s">
        <v>30</v>
      </c>
      <c r="E21">
        <v>79.5</v>
      </c>
      <c r="F21">
        <v>81.5</v>
      </c>
      <c r="G21">
        <v>71.5</v>
      </c>
      <c r="H21">
        <v>69.5</v>
      </c>
      <c r="I21">
        <v>62</v>
      </c>
    </row>
    <row r="22" hidden="1" spans="1:9">
      <c r="A22">
        <v>10069</v>
      </c>
      <c r="B22" t="s">
        <v>39</v>
      </c>
      <c r="C22" t="s">
        <v>15</v>
      </c>
      <c r="D22" t="s">
        <v>28</v>
      </c>
      <c r="E22">
        <v>74</v>
      </c>
      <c r="F22">
        <v>85.5</v>
      </c>
      <c r="G22">
        <v>73.5</v>
      </c>
      <c r="H22">
        <v>71.5</v>
      </c>
      <c r="I22">
        <v>79</v>
      </c>
    </row>
    <row r="23" hidden="1" spans="1:9">
      <c r="A23">
        <v>10018</v>
      </c>
      <c r="B23" t="s">
        <v>40</v>
      </c>
      <c r="C23" t="s">
        <v>15</v>
      </c>
      <c r="D23" t="s">
        <v>30</v>
      </c>
      <c r="E23">
        <v>59.5</v>
      </c>
      <c r="F23">
        <v>78.5</v>
      </c>
      <c r="G23">
        <v>79.5</v>
      </c>
      <c r="H23">
        <v>77.5</v>
      </c>
      <c r="I23">
        <v>68</v>
      </c>
    </row>
    <row r="24" hidden="1" spans="1:9">
      <c r="A24">
        <v>10046</v>
      </c>
      <c r="B24" t="s">
        <v>41</v>
      </c>
      <c r="C24" t="s">
        <v>18</v>
      </c>
      <c r="D24" t="s">
        <v>42</v>
      </c>
      <c r="E24">
        <v>84</v>
      </c>
      <c r="F24">
        <v>73</v>
      </c>
      <c r="G24">
        <v>70</v>
      </c>
      <c r="H24">
        <v>76</v>
      </c>
      <c r="I24">
        <v>88</v>
      </c>
    </row>
    <row r="25" spans="1:9">
      <c r="A25">
        <v>10019</v>
      </c>
      <c r="B25" t="s">
        <v>43</v>
      </c>
      <c r="C25" t="s">
        <v>18</v>
      </c>
      <c r="D25" t="s">
        <v>30</v>
      </c>
      <c r="E25">
        <v>72.5</v>
      </c>
      <c r="F25">
        <v>91.5</v>
      </c>
      <c r="G25">
        <v>72</v>
      </c>
      <c r="H25">
        <v>70</v>
      </c>
      <c r="I25">
        <v>82</v>
      </c>
    </row>
    <row r="26" hidden="1" spans="1:9">
      <c r="A26">
        <v>10056</v>
      </c>
      <c r="B26" t="s">
        <v>44</v>
      </c>
      <c r="C26" t="s">
        <v>15</v>
      </c>
      <c r="D26" t="s">
        <v>42</v>
      </c>
      <c r="E26">
        <v>75.5</v>
      </c>
      <c r="F26">
        <v>82</v>
      </c>
      <c r="G26">
        <v>94.5</v>
      </c>
      <c r="H26">
        <v>92.5</v>
      </c>
      <c r="I26">
        <v>84.5</v>
      </c>
    </row>
    <row r="27" hidden="1" spans="1:9">
      <c r="A27">
        <v>10044</v>
      </c>
      <c r="B27" t="s">
        <v>45</v>
      </c>
      <c r="C27" t="s">
        <v>18</v>
      </c>
      <c r="D27" t="s">
        <v>42</v>
      </c>
      <c r="E27">
        <v>73.5</v>
      </c>
      <c r="F27">
        <v>70</v>
      </c>
      <c r="G27">
        <v>80</v>
      </c>
      <c r="H27">
        <v>82.5</v>
      </c>
      <c r="I27">
        <v>84</v>
      </c>
    </row>
    <row r="28" hidden="1" spans="1:9">
      <c r="A28">
        <v>10002</v>
      </c>
      <c r="B28" t="s">
        <v>46</v>
      </c>
      <c r="C28" t="s">
        <v>15</v>
      </c>
      <c r="D28" t="s">
        <v>30</v>
      </c>
      <c r="E28">
        <v>89</v>
      </c>
      <c r="F28">
        <v>72</v>
      </c>
      <c r="G28">
        <v>79</v>
      </c>
      <c r="H28">
        <v>87</v>
      </c>
      <c r="I28">
        <v>97</v>
      </c>
    </row>
    <row r="29" hidden="1" spans="1:9">
      <c r="A29">
        <v>10072</v>
      </c>
      <c r="B29" t="s">
        <v>47</v>
      </c>
      <c r="C29" t="s">
        <v>15</v>
      </c>
      <c r="D29" t="s">
        <v>16</v>
      </c>
      <c r="E29">
        <v>67</v>
      </c>
      <c r="F29">
        <v>86</v>
      </c>
      <c r="G29">
        <v>70.5</v>
      </c>
      <c r="H29">
        <v>68.5</v>
      </c>
      <c r="I29">
        <v>62.5</v>
      </c>
    </row>
    <row r="30" hidden="1" spans="1:9">
      <c r="A30">
        <v>10078</v>
      </c>
      <c r="B30" t="s">
        <v>48</v>
      </c>
      <c r="C30" t="s">
        <v>15</v>
      </c>
      <c r="D30" t="s">
        <v>16</v>
      </c>
      <c r="E30">
        <v>79.5</v>
      </c>
      <c r="F30">
        <v>87.5</v>
      </c>
      <c r="G30">
        <v>74.5</v>
      </c>
      <c r="H30">
        <v>72.5</v>
      </c>
      <c r="I30">
        <v>75</v>
      </c>
    </row>
    <row r="31" hidden="1" spans="1:9">
      <c r="A31">
        <v>10068</v>
      </c>
      <c r="B31" t="s">
        <v>49</v>
      </c>
      <c r="C31" t="s">
        <v>18</v>
      </c>
      <c r="D31" t="s">
        <v>28</v>
      </c>
      <c r="E31">
        <v>71</v>
      </c>
      <c r="F31">
        <v>60</v>
      </c>
      <c r="G31">
        <v>66.5</v>
      </c>
      <c r="H31">
        <v>64.5</v>
      </c>
      <c r="I31">
        <v>85</v>
      </c>
    </row>
    <row r="32" hidden="1" spans="1:9">
      <c r="A32">
        <v>10051</v>
      </c>
      <c r="B32" t="s">
        <v>50</v>
      </c>
      <c r="C32" t="s">
        <v>15</v>
      </c>
      <c r="D32" t="s">
        <v>42</v>
      </c>
      <c r="E32">
        <v>70.5</v>
      </c>
      <c r="F32">
        <v>74</v>
      </c>
      <c r="G32">
        <v>74</v>
      </c>
      <c r="H32">
        <v>72</v>
      </c>
      <c r="I32">
        <v>77</v>
      </c>
    </row>
    <row r="33" hidden="1" spans="1:9">
      <c r="A33">
        <v>10049</v>
      </c>
      <c r="B33" t="s">
        <v>51</v>
      </c>
      <c r="C33" t="s">
        <v>15</v>
      </c>
      <c r="D33" t="s">
        <v>42</v>
      </c>
      <c r="E33">
        <v>76.5</v>
      </c>
      <c r="F33">
        <v>79.5</v>
      </c>
      <c r="G33">
        <v>68</v>
      </c>
      <c r="H33">
        <v>66</v>
      </c>
      <c r="I33">
        <v>71.5</v>
      </c>
    </row>
    <row r="34" hidden="1" spans="1:9">
      <c r="A34">
        <v>10054</v>
      </c>
      <c r="B34" t="s">
        <v>52</v>
      </c>
      <c r="C34" t="s">
        <v>18</v>
      </c>
      <c r="D34" t="s">
        <v>42</v>
      </c>
      <c r="E34">
        <v>81</v>
      </c>
      <c r="F34">
        <v>74.5</v>
      </c>
      <c r="G34">
        <v>75</v>
      </c>
      <c r="H34">
        <v>88</v>
      </c>
      <c r="I34">
        <v>90</v>
      </c>
    </row>
    <row r="35" hidden="1" spans="1:9">
      <c r="A35">
        <v>10043</v>
      </c>
      <c r="B35" t="s">
        <v>53</v>
      </c>
      <c r="C35" t="s">
        <v>15</v>
      </c>
      <c r="D35" t="s">
        <v>42</v>
      </c>
      <c r="E35">
        <v>86.5</v>
      </c>
      <c r="F35">
        <v>65</v>
      </c>
      <c r="G35">
        <v>62.5</v>
      </c>
      <c r="H35">
        <v>60.5</v>
      </c>
      <c r="I35">
        <v>58.5</v>
      </c>
    </row>
    <row r="36" hidden="1" spans="1:9">
      <c r="A36">
        <v>10053</v>
      </c>
      <c r="B36" t="s">
        <v>54</v>
      </c>
      <c r="C36" t="s">
        <v>15</v>
      </c>
      <c r="D36" t="s">
        <v>42</v>
      </c>
      <c r="E36">
        <v>87</v>
      </c>
      <c r="F36">
        <v>80</v>
      </c>
      <c r="G36">
        <v>82</v>
      </c>
      <c r="H36">
        <v>72</v>
      </c>
      <c r="I36">
        <v>84</v>
      </c>
    </row>
    <row r="37" hidden="1" spans="1:9">
      <c r="A37">
        <v>10024</v>
      </c>
      <c r="B37" t="s">
        <v>55</v>
      </c>
      <c r="C37" t="s">
        <v>15</v>
      </c>
      <c r="D37" t="s">
        <v>23</v>
      </c>
      <c r="E37">
        <v>78</v>
      </c>
      <c r="F37">
        <v>86.5</v>
      </c>
      <c r="G37">
        <v>67</v>
      </c>
      <c r="H37">
        <v>65</v>
      </c>
      <c r="I37">
        <v>68</v>
      </c>
    </row>
    <row r="38" hidden="1" spans="1:9">
      <c r="A38">
        <v>10028</v>
      </c>
      <c r="B38" t="s">
        <v>56</v>
      </c>
      <c r="C38" t="s">
        <v>15</v>
      </c>
      <c r="D38" t="s">
        <v>23</v>
      </c>
      <c r="E38">
        <v>63.5</v>
      </c>
      <c r="F38">
        <v>77.5</v>
      </c>
      <c r="G38">
        <v>84.5</v>
      </c>
      <c r="H38">
        <v>82.5</v>
      </c>
      <c r="I38">
        <v>80</v>
      </c>
    </row>
    <row r="39" hidden="1" spans="1:9">
      <c r="A39">
        <v>10092</v>
      </c>
      <c r="B39" t="s">
        <v>57</v>
      </c>
      <c r="C39" t="s">
        <v>15</v>
      </c>
      <c r="D39" t="s">
        <v>19</v>
      </c>
      <c r="E39">
        <v>85.5</v>
      </c>
      <c r="F39">
        <v>91.5</v>
      </c>
      <c r="G39">
        <v>56.5</v>
      </c>
      <c r="H39">
        <v>54.5</v>
      </c>
      <c r="I39">
        <v>76.5</v>
      </c>
    </row>
    <row r="40" hidden="1" spans="1:9">
      <c r="A40">
        <v>10031</v>
      </c>
      <c r="B40" t="s">
        <v>58</v>
      </c>
      <c r="C40" t="s">
        <v>18</v>
      </c>
      <c r="D40" t="s">
        <v>23</v>
      </c>
      <c r="E40">
        <v>73.5</v>
      </c>
      <c r="F40">
        <v>69</v>
      </c>
      <c r="G40">
        <v>88.5</v>
      </c>
      <c r="H40">
        <v>86.5</v>
      </c>
      <c r="I40">
        <v>74</v>
      </c>
    </row>
    <row r="41" hidden="1" spans="1:9">
      <c r="A41">
        <v>10073</v>
      </c>
      <c r="B41" t="s">
        <v>59</v>
      </c>
      <c r="C41" t="s">
        <v>15</v>
      </c>
      <c r="D41" t="s">
        <v>16</v>
      </c>
      <c r="E41">
        <v>77.5</v>
      </c>
      <c r="F41">
        <v>75.5</v>
      </c>
      <c r="G41">
        <v>79</v>
      </c>
      <c r="H41">
        <v>77</v>
      </c>
      <c r="I41">
        <v>80</v>
      </c>
    </row>
    <row r="42" hidden="1" spans="1:9">
      <c r="A42">
        <v>10020</v>
      </c>
      <c r="B42" t="s">
        <v>60</v>
      </c>
      <c r="C42" t="s">
        <v>15</v>
      </c>
      <c r="D42" t="s">
        <v>30</v>
      </c>
      <c r="E42">
        <v>77.5</v>
      </c>
      <c r="F42">
        <v>79.5</v>
      </c>
      <c r="G42">
        <v>71.5</v>
      </c>
      <c r="H42">
        <v>69.5</v>
      </c>
      <c r="I42">
        <v>84.5</v>
      </c>
    </row>
    <row r="43" hidden="1" spans="1:9">
      <c r="A43">
        <v>10079</v>
      </c>
      <c r="B43" t="s">
        <v>61</v>
      </c>
      <c r="C43" t="s">
        <v>18</v>
      </c>
      <c r="D43" t="s">
        <v>16</v>
      </c>
      <c r="E43">
        <v>68</v>
      </c>
      <c r="F43">
        <v>81</v>
      </c>
      <c r="G43">
        <v>85.5</v>
      </c>
      <c r="H43">
        <v>83.5</v>
      </c>
      <c r="I43">
        <v>65.5</v>
      </c>
    </row>
    <row r="44" hidden="1" spans="1:9">
      <c r="A44">
        <v>10057</v>
      </c>
      <c r="B44" t="s">
        <v>62</v>
      </c>
      <c r="C44" t="s">
        <v>18</v>
      </c>
      <c r="D44" t="s">
        <v>42</v>
      </c>
      <c r="E44">
        <v>93</v>
      </c>
      <c r="F44">
        <v>92</v>
      </c>
      <c r="G44">
        <v>86.5</v>
      </c>
      <c r="H44">
        <v>84.5</v>
      </c>
      <c r="I44">
        <v>97</v>
      </c>
    </row>
    <row r="45" hidden="1" spans="1:9">
      <c r="A45">
        <v>10021</v>
      </c>
      <c r="B45" t="s">
        <v>63</v>
      </c>
      <c r="C45" t="s">
        <v>18</v>
      </c>
      <c r="D45" t="s">
        <v>30</v>
      </c>
      <c r="E45">
        <v>82.5</v>
      </c>
      <c r="F45">
        <v>68.5</v>
      </c>
      <c r="G45">
        <v>82</v>
      </c>
      <c r="H45">
        <v>80</v>
      </c>
      <c r="I45">
        <v>79</v>
      </c>
    </row>
    <row r="46" hidden="1" spans="1:9">
      <c r="A46">
        <v>10086</v>
      </c>
      <c r="B46" t="s">
        <v>64</v>
      </c>
      <c r="C46" t="s">
        <v>18</v>
      </c>
      <c r="D46" t="s">
        <v>19</v>
      </c>
      <c r="E46">
        <v>69</v>
      </c>
      <c r="F46">
        <v>68.5</v>
      </c>
      <c r="G46">
        <v>92</v>
      </c>
      <c r="H46">
        <v>90</v>
      </c>
      <c r="I46">
        <v>94.5</v>
      </c>
    </row>
    <row r="47" hidden="1" spans="1:9">
      <c r="A47">
        <v>10062</v>
      </c>
      <c r="B47" t="s">
        <v>65</v>
      </c>
      <c r="C47" t="s">
        <v>18</v>
      </c>
      <c r="D47" t="s">
        <v>28</v>
      </c>
      <c r="E47">
        <v>73</v>
      </c>
      <c r="F47">
        <v>76</v>
      </c>
      <c r="G47">
        <v>56</v>
      </c>
      <c r="H47">
        <v>54</v>
      </c>
      <c r="I47">
        <v>73</v>
      </c>
    </row>
    <row r="48" spans="1:9">
      <c r="A48">
        <v>10001</v>
      </c>
      <c r="B48" t="s">
        <v>66</v>
      </c>
      <c r="C48" t="s">
        <v>15</v>
      </c>
      <c r="D48" t="s">
        <v>30</v>
      </c>
      <c r="E48">
        <v>87</v>
      </c>
      <c r="F48">
        <v>90</v>
      </c>
      <c r="G48">
        <v>97</v>
      </c>
      <c r="H48">
        <v>69.5</v>
      </c>
      <c r="I48">
        <v>88.5</v>
      </c>
    </row>
    <row r="49" hidden="1" spans="1:9">
      <c r="A49">
        <v>10027</v>
      </c>
      <c r="B49" t="s">
        <v>67</v>
      </c>
      <c r="C49" t="s">
        <v>15</v>
      </c>
      <c r="D49" t="s">
        <v>23</v>
      </c>
      <c r="E49">
        <v>78.5</v>
      </c>
      <c r="F49">
        <v>73</v>
      </c>
      <c r="G49">
        <v>83</v>
      </c>
      <c r="H49">
        <v>81</v>
      </c>
      <c r="I49">
        <v>73</v>
      </c>
    </row>
    <row r="50" hidden="1" spans="1:9">
      <c r="A50">
        <v>10039</v>
      </c>
      <c r="B50" t="s">
        <v>68</v>
      </c>
      <c r="C50" t="s">
        <v>15</v>
      </c>
      <c r="D50" t="s">
        <v>23</v>
      </c>
      <c r="E50">
        <v>58.5</v>
      </c>
      <c r="F50">
        <v>82</v>
      </c>
      <c r="G50">
        <v>70</v>
      </c>
      <c r="H50">
        <v>60</v>
      </c>
      <c r="I50">
        <v>64.5</v>
      </c>
    </row>
    <row r="51" hidden="1" spans="1:9">
      <c r="A51">
        <v>10010</v>
      </c>
      <c r="B51" t="s">
        <v>69</v>
      </c>
      <c r="C51" t="s">
        <v>15</v>
      </c>
      <c r="D51" t="s">
        <v>30</v>
      </c>
      <c r="E51">
        <v>82.5</v>
      </c>
      <c r="F51">
        <v>80</v>
      </c>
      <c r="G51">
        <v>92.5</v>
      </c>
      <c r="H51">
        <v>90.5</v>
      </c>
      <c r="I51">
        <v>73.5</v>
      </c>
    </row>
    <row r="52" hidden="1" spans="1:9">
      <c r="A52">
        <v>10095</v>
      </c>
      <c r="B52" t="s">
        <v>70</v>
      </c>
      <c r="C52" t="s">
        <v>15</v>
      </c>
      <c r="D52" t="s">
        <v>19</v>
      </c>
      <c r="E52">
        <v>96</v>
      </c>
      <c r="F52">
        <v>84</v>
      </c>
      <c r="G52">
        <v>98</v>
      </c>
      <c r="H52">
        <v>96</v>
      </c>
      <c r="I52">
        <v>69.5</v>
      </c>
    </row>
    <row r="53" hidden="1" spans="1:9">
      <c r="A53">
        <v>10089</v>
      </c>
      <c r="B53" t="s">
        <v>71</v>
      </c>
      <c r="C53" t="s">
        <v>18</v>
      </c>
      <c r="D53" t="s">
        <v>19</v>
      </c>
      <c r="E53">
        <v>85</v>
      </c>
      <c r="F53">
        <v>95</v>
      </c>
      <c r="G53">
        <v>94</v>
      </c>
      <c r="H53">
        <v>86.5</v>
      </c>
      <c r="I53">
        <v>92</v>
      </c>
    </row>
    <row r="54" hidden="1" spans="1:9">
      <c r="A54">
        <v>10050</v>
      </c>
      <c r="B54" t="s">
        <v>72</v>
      </c>
      <c r="C54" t="s">
        <v>18</v>
      </c>
      <c r="D54" t="s">
        <v>42</v>
      </c>
      <c r="E54">
        <v>77</v>
      </c>
      <c r="F54">
        <v>77</v>
      </c>
      <c r="G54">
        <v>73</v>
      </c>
      <c r="H54">
        <v>71</v>
      </c>
      <c r="I54">
        <v>73</v>
      </c>
    </row>
    <row r="55" hidden="1" spans="1:9">
      <c r="A55">
        <v>10074</v>
      </c>
      <c r="B55" t="s">
        <v>73</v>
      </c>
      <c r="C55" t="s">
        <v>18</v>
      </c>
      <c r="D55" t="s">
        <v>16</v>
      </c>
      <c r="E55">
        <v>60.5</v>
      </c>
      <c r="F55">
        <v>80</v>
      </c>
      <c r="G55">
        <v>80.5</v>
      </c>
      <c r="H55">
        <v>78.5</v>
      </c>
      <c r="I55">
        <v>76</v>
      </c>
    </row>
    <row r="56" hidden="1" spans="1:9">
      <c r="A56">
        <v>10041</v>
      </c>
      <c r="B56" t="s">
        <v>74</v>
      </c>
      <c r="C56" t="s">
        <v>15</v>
      </c>
      <c r="D56" t="s">
        <v>23</v>
      </c>
      <c r="E56">
        <v>80</v>
      </c>
      <c r="F56">
        <v>85</v>
      </c>
      <c r="G56">
        <v>97</v>
      </c>
      <c r="H56">
        <v>98</v>
      </c>
      <c r="I56">
        <v>95</v>
      </c>
    </row>
    <row r="57" hidden="1" spans="1:9">
      <c r="A57">
        <v>10035</v>
      </c>
      <c r="B57" t="s">
        <v>75</v>
      </c>
      <c r="C57" t="s">
        <v>18</v>
      </c>
      <c r="D57" t="s">
        <v>23</v>
      </c>
      <c r="E57">
        <v>79.5</v>
      </c>
      <c r="F57">
        <v>73</v>
      </c>
      <c r="G57">
        <v>79.5</v>
      </c>
      <c r="H57">
        <v>77.5</v>
      </c>
      <c r="I57">
        <v>70.5</v>
      </c>
    </row>
    <row r="58" hidden="1" spans="1:9">
      <c r="A58">
        <v>10009</v>
      </c>
      <c r="B58" t="s">
        <v>76</v>
      </c>
      <c r="C58" t="s">
        <v>15</v>
      </c>
      <c r="D58" t="s">
        <v>30</v>
      </c>
      <c r="E58">
        <v>62</v>
      </c>
      <c r="F58">
        <v>75</v>
      </c>
      <c r="G58">
        <v>84.5</v>
      </c>
      <c r="H58">
        <v>82.5</v>
      </c>
      <c r="I58">
        <v>67.5</v>
      </c>
    </row>
    <row r="59" hidden="1" spans="1:9">
      <c r="A59">
        <v>10055</v>
      </c>
      <c r="B59" t="s">
        <v>77</v>
      </c>
      <c r="C59" t="s">
        <v>18</v>
      </c>
      <c r="D59" t="s">
        <v>42</v>
      </c>
      <c r="E59">
        <v>72</v>
      </c>
      <c r="F59">
        <v>94.5</v>
      </c>
      <c r="G59">
        <v>70.5</v>
      </c>
      <c r="H59">
        <v>68.5</v>
      </c>
      <c r="I59">
        <v>84.5</v>
      </c>
    </row>
    <row r="60" hidden="1" spans="1:9">
      <c r="A60">
        <v>10080</v>
      </c>
      <c r="B60" t="s">
        <v>78</v>
      </c>
      <c r="C60" t="s">
        <v>18</v>
      </c>
      <c r="D60" t="s">
        <v>16</v>
      </c>
      <c r="E60">
        <v>81</v>
      </c>
      <c r="F60">
        <v>83</v>
      </c>
      <c r="G60">
        <v>75.5</v>
      </c>
      <c r="H60">
        <v>73.5</v>
      </c>
      <c r="I60">
        <v>62.5</v>
      </c>
    </row>
    <row r="61" hidden="1" spans="1:9">
      <c r="A61">
        <v>10070</v>
      </c>
      <c r="B61" t="s">
        <v>79</v>
      </c>
      <c r="C61" t="s">
        <v>15</v>
      </c>
      <c r="D61" t="s">
        <v>28</v>
      </c>
      <c r="E61">
        <v>79.5</v>
      </c>
      <c r="F61">
        <v>86</v>
      </c>
      <c r="G61">
        <v>85</v>
      </c>
      <c r="H61">
        <v>83</v>
      </c>
      <c r="I61">
        <v>61</v>
      </c>
    </row>
    <row r="62" hidden="1" spans="1:9">
      <c r="A62">
        <v>10091</v>
      </c>
      <c r="B62" t="s">
        <v>80</v>
      </c>
      <c r="C62" t="s">
        <v>15</v>
      </c>
      <c r="D62" t="s">
        <v>19</v>
      </c>
      <c r="E62">
        <v>65</v>
      </c>
      <c r="F62">
        <v>60</v>
      </c>
      <c r="G62">
        <v>50</v>
      </c>
      <c r="H62">
        <v>52.5</v>
      </c>
      <c r="I62">
        <v>62</v>
      </c>
    </row>
    <row r="63" hidden="1" spans="1:9">
      <c r="A63">
        <v>10059</v>
      </c>
      <c r="B63" t="s">
        <v>81</v>
      </c>
      <c r="C63" t="s">
        <v>18</v>
      </c>
      <c r="D63" t="s">
        <v>28</v>
      </c>
      <c r="E63">
        <v>90.5</v>
      </c>
      <c r="F63">
        <v>50</v>
      </c>
      <c r="G63">
        <v>88</v>
      </c>
      <c r="H63">
        <v>72</v>
      </c>
      <c r="I63">
        <v>91.5</v>
      </c>
    </row>
    <row r="64" hidden="1" spans="1:9">
      <c r="A64">
        <v>10047</v>
      </c>
      <c r="B64" t="s">
        <v>82</v>
      </c>
      <c r="C64" t="s">
        <v>15</v>
      </c>
      <c r="D64" t="s">
        <v>42</v>
      </c>
      <c r="E64">
        <v>71</v>
      </c>
      <c r="F64">
        <v>82.5</v>
      </c>
      <c r="G64">
        <v>89</v>
      </c>
      <c r="H64">
        <v>87</v>
      </c>
      <c r="I64">
        <v>79</v>
      </c>
    </row>
    <row r="65" hidden="1" spans="1:9">
      <c r="A65">
        <v>10029</v>
      </c>
      <c r="B65" t="s">
        <v>83</v>
      </c>
      <c r="C65" t="s">
        <v>15</v>
      </c>
      <c r="D65" t="s">
        <v>23</v>
      </c>
      <c r="E65">
        <v>52.5</v>
      </c>
      <c r="F65">
        <v>50</v>
      </c>
      <c r="G65">
        <v>64</v>
      </c>
      <c r="H65">
        <v>62</v>
      </c>
      <c r="I65">
        <v>60</v>
      </c>
    </row>
    <row r="66" hidden="1" spans="1:9">
      <c r="A66">
        <v>10083</v>
      </c>
      <c r="B66" t="s">
        <v>84</v>
      </c>
      <c r="C66" t="s">
        <v>15</v>
      </c>
      <c r="D66" t="s">
        <v>19</v>
      </c>
      <c r="E66">
        <v>84</v>
      </c>
      <c r="F66">
        <v>70.5</v>
      </c>
      <c r="G66">
        <v>75</v>
      </c>
      <c r="H66">
        <v>73</v>
      </c>
      <c r="I66">
        <v>75</v>
      </c>
    </row>
    <row r="67" hidden="1" spans="1:9">
      <c r="A67">
        <v>10048</v>
      </c>
      <c r="B67" t="s">
        <v>85</v>
      </c>
      <c r="C67" t="s">
        <v>15</v>
      </c>
      <c r="D67" t="s">
        <v>42</v>
      </c>
      <c r="E67">
        <v>93</v>
      </c>
      <c r="F67">
        <v>86</v>
      </c>
      <c r="G67">
        <v>94.5</v>
      </c>
      <c r="H67">
        <v>92.5</v>
      </c>
      <c r="I67">
        <v>93</v>
      </c>
    </row>
    <row r="68" hidden="1" spans="1:9">
      <c r="A68">
        <v>10030</v>
      </c>
      <c r="B68" t="s">
        <v>86</v>
      </c>
      <c r="C68" t="s">
        <v>15</v>
      </c>
      <c r="D68" t="s">
        <v>23</v>
      </c>
      <c r="E68">
        <v>93</v>
      </c>
      <c r="F68">
        <v>82</v>
      </c>
      <c r="G68">
        <v>97</v>
      </c>
      <c r="H68">
        <v>97</v>
      </c>
      <c r="I68">
        <v>92</v>
      </c>
    </row>
    <row r="69" hidden="1" spans="1:9">
      <c r="A69">
        <v>10081</v>
      </c>
      <c r="B69" t="s">
        <v>87</v>
      </c>
      <c r="C69" t="s">
        <v>15</v>
      </c>
      <c r="D69" t="s">
        <v>16</v>
      </c>
      <c r="E69">
        <v>71.5</v>
      </c>
      <c r="F69">
        <v>79.5</v>
      </c>
      <c r="G69">
        <v>75.5</v>
      </c>
      <c r="H69">
        <v>73.5</v>
      </c>
      <c r="I69">
        <v>87.5</v>
      </c>
    </row>
    <row r="70" hidden="1" spans="1:9">
      <c r="A70">
        <v>10013</v>
      </c>
      <c r="B70" t="s">
        <v>88</v>
      </c>
      <c r="C70" t="s">
        <v>18</v>
      </c>
      <c r="D70" t="s">
        <v>30</v>
      </c>
      <c r="E70">
        <v>91</v>
      </c>
      <c r="F70">
        <v>83.5</v>
      </c>
      <c r="G70">
        <v>82.5</v>
      </c>
      <c r="H70">
        <v>80.5</v>
      </c>
      <c r="I70">
        <v>84</v>
      </c>
    </row>
    <row r="71" hidden="1" spans="1:9">
      <c r="A71">
        <v>10052</v>
      </c>
      <c r="B71" t="s">
        <v>89</v>
      </c>
      <c r="C71" t="s">
        <v>18</v>
      </c>
      <c r="D71" t="s">
        <v>42</v>
      </c>
      <c r="E71">
        <v>89</v>
      </c>
      <c r="F71">
        <v>75</v>
      </c>
      <c r="G71">
        <v>61</v>
      </c>
      <c r="H71">
        <v>59</v>
      </c>
      <c r="I71">
        <v>76.5</v>
      </c>
    </row>
    <row r="72" hidden="1" spans="1:9">
      <c r="A72">
        <v>10060</v>
      </c>
      <c r="B72" t="s">
        <v>90</v>
      </c>
      <c r="C72" t="s">
        <v>15</v>
      </c>
      <c r="D72" t="s">
        <v>28</v>
      </c>
      <c r="E72">
        <v>90.5</v>
      </c>
      <c r="F72">
        <v>88</v>
      </c>
      <c r="G72">
        <v>95</v>
      </c>
      <c r="H72">
        <v>90</v>
      </c>
      <c r="I72">
        <v>94.5</v>
      </c>
    </row>
    <row r="73" hidden="1" spans="1:9">
      <c r="A73">
        <v>10099</v>
      </c>
      <c r="B73" t="s">
        <v>91</v>
      </c>
      <c r="C73" t="s">
        <v>15</v>
      </c>
      <c r="D73" t="s">
        <v>19</v>
      </c>
      <c r="E73">
        <v>81</v>
      </c>
      <c r="F73">
        <v>91.5</v>
      </c>
      <c r="G73">
        <v>97</v>
      </c>
      <c r="H73">
        <v>95</v>
      </c>
      <c r="I73">
        <v>92</v>
      </c>
    </row>
    <row r="74" hidden="1" spans="1:9">
      <c r="A74">
        <v>10026</v>
      </c>
      <c r="B74" t="s">
        <v>92</v>
      </c>
      <c r="C74" t="s">
        <v>18</v>
      </c>
      <c r="D74" t="s">
        <v>23</v>
      </c>
      <c r="E74">
        <v>82.5</v>
      </c>
      <c r="F74">
        <v>72</v>
      </c>
      <c r="G74">
        <v>67.5</v>
      </c>
      <c r="H74">
        <v>65.5</v>
      </c>
      <c r="I74">
        <v>77.5</v>
      </c>
    </row>
    <row r="75" hidden="1" spans="1:9">
      <c r="A75">
        <v>10096</v>
      </c>
      <c r="B75" t="s">
        <v>93</v>
      </c>
      <c r="C75" t="s">
        <v>15</v>
      </c>
      <c r="D75" t="s">
        <v>19</v>
      </c>
      <c r="E75">
        <v>71.5</v>
      </c>
      <c r="F75">
        <v>73</v>
      </c>
      <c r="G75">
        <v>77</v>
      </c>
      <c r="H75">
        <v>75</v>
      </c>
      <c r="I75">
        <v>78.5</v>
      </c>
    </row>
    <row r="76" hidden="1" spans="1:9">
      <c r="A76">
        <v>10008</v>
      </c>
      <c r="B76" t="s">
        <v>94</v>
      </c>
      <c r="C76" t="s">
        <v>18</v>
      </c>
      <c r="D76" t="s">
        <v>30</v>
      </c>
      <c r="E76">
        <v>91</v>
      </c>
      <c r="F76">
        <v>86</v>
      </c>
      <c r="G76">
        <v>73</v>
      </c>
      <c r="H76">
        <v>71</v>
      </c>
      <c r="I76">
        <v>67.5</v>
      </c>
    </row>
    <row r="77" hidden="1" spans="1:9">
      <c r="A77">
        <v>10007</v>
      </c>
      <c r="B77" t="s">
        <v>95</v>
      </c>
      <c r="C77" t="s">
        <v>15</v>
      </c>
      <c r="D77" t="s">
        <v>30</v>
      </c>
      <c r="E77">
        <v>78</v>
      </c>
      <c r="F77">
        <v>74</v>
      </c>
      <c r="G77">
        <v>78</v>
      </c>
      <c r="H77">
        <v>76</v>
      </c>
      <c r="I77">
        <v>74</v>
      </c>
    </row>
    <row r="78" hidden="1" spans="1:9">
      <c r="A78">
        <v>10085</v>
      </c>
      <c r="B78" t="s">
        <v>96</v>
      </c>
      <c r="C78" t="s">
        <v>15</v>
      </c>
      <c r="D78" t="s">
        <v>19</v>
      </c>
      <c r="E78">
        <v>91</v>
      </c>
      <c r="F78">
        <v>68.5</v>
      </c>
      <c r="G78">
        <v>64.5</v>
      </c>
      <c r="H78">
        <v>62.5</v>
      </c>
      <c r="I78">
        <v>76.5</v>
      </c>
    </row>
    <row r="79" hidden="1" spans="1:9">
      <c r="A79">
        <v>10045</v>
      </c>
      <c r="B79" t="s">
        <v>97</v>
      </c>
      <c r="C79" t="s">
        <v>15</v>
      </c>
      <c r="D79" t="s">
        <v>42</v>
      </c>
      <c r="E79">
        <v>80</v>
      </c>
      <c r="F79">
        <v>90</v>
      </c>
      <c r="G79">
        <v>83</v>
      </c>
      <c r="H79">
        <v>81</v>
      </c>
      <c r="I79">
        <v>84</v>
      </c>
    </row>
    <row r="80" spans="1:9">
      <c r="A80">
        <v>10075</v>
      </c>
      <c r="B80" t="s">
        <v>98</v>
      </c>
      <c r="C80" t="s">
        <v>15</v>
      </c>
      <c r="D80" t="s">
        <v>16</v>
      </c>
      <c r="E80">
        <v>92</v>
      </c>
      <c r="F80">
        <v>93</v>
      </c>
      <c r="G80">
        <v>92</v>
      </c>
      <c r="H80">
        <v>63.5</v>
      </c>
      <c r="I80">
        <v>65</v>
      </c>
    </row>
    <row r="81" hidden="1" spans="1:9">
      <c r="A81">
        <v>10003</v>
      </c>
      <c r="B81" t="s">
        <v>99</v>
      </c>
      <c r="C81" t="s">
        <v>15</v>
      </c>
      <c r="D81" t="s">
        <v>30</v>
      </c>
      <c r="E81">
        <v>72.5</v>
      </c>
      <c r="F81">
        <v>74.5</v>
      </c>
      <c r="G81">
        <v>72.5</v>
      </c>
      <c r="H81">
        <v>70.5</v>
      </c>
      <c r="I81">
        <v>67</v>
      </c>
    </row>
    <row r="82" hidden="1" spans="1:9">
      <c r="A82">
        <v>10063</v>
      </c>
      <c r="B82" t="s">
        <v>100</v>
      </c>
      <c r="C82" t="s">
        <v>15</v>
      </c>
      <c r="D82" t="s">
        <v>28</v>
      </c>
      <c r="E82">
        <v>78</v>
      </c>
      <c r="F82">
        <v>61.5</v>
      </c>
      <c r="G82">
        <v>66</v>
      </c>
      <c r="H82">
        <v>64</v>
      </c>
      <c r="I82">
        <v>69</v>
      </c>
    </row>
    <row r="83" hidden="1" spans="1:9">
      <c r="A83">
        <v>10004</v>
      </c>
      <c r="B83" t="s">
        <v>101</v>
      </c>
      <c r="C83" t="s">
        <v>18</v>
      </c>
      <c r="D83" t="s">
        <v>30</v>
      </c>
      <c r="E83">
        <v>85.5</v>
      </c>
      <c r="F83">
        <v>66</v>
      </c>
      <c r="G83">
        <v>74</v>
      </c>
      <c r="H83">
        <v>72</v>
      </c>
      <c r="I83">
        <v>65.5</v>
      </c>
    </row>
    <row r="84" hidden="1" spans="1:9">
      <c r="A84">
        <v>10025</v>
      </c>
      <c r="B84" t="s">
        <v>102</v>
      </c>
      <c r="C84" t="s">
        <v>18</v>
      </c>
      <c r="D84" t="s">
        <v>23</v>
      </c>
      <c r="E84">
        <v>77</v>
      </c>
      <c r="F84">
        <v>90</v>
      </c>
      <c r="G84">
        <v>74.5</v>
      </c>
      <c r="H84">
        <v>72.5</v>
      </c>
      <c r="I84">
        <v>77.5</v>
      </c>
    </row>
    <row r="85" hidden="1" spans="1:9">
      <c r="A85">
        <v>10090</v>
      </c>
      <c r="B85" t="s">
        <v>103</v>
      </c>
      <c r="C85" t="s">
        <v>15</v>
      </c>
      <c r="D85" t="s">
        <v>19</v>
      </c>
      <c r="E85">
        <v>80</v>
      </c>
      <c r="F85">
        <v>76.5</v>
      </c>
      <c r="G85">
        <v>89.5</v>
      </c>
      <c r="H85">
        <v>87.5</v>
      </c>
      <c r="I85">
        <v>80</v>
      </c>
    </row>
    <row r="86" hidden="1" spans="1:9">
      <c r="A86">
        <v>10094</v>
      </c>
      <c r="B86" t="s">
        <v>104</v>
      </c>
      <c r="C86" t="s">
        <v>18</v>
      </c>
      <c r="D86" t="s">
        <v>19</v>
      </c>
      <c r="E86">
        <v>81.5</v>
      </c>
      <c r="F86">
        <v>94</v>
      </c>
      <c r="G86">
        <v>94</v>
      </c>
      <c r="H86">
        <v>90</v>
      </c>
      <c r="I86">
        <v>95</v>
      </c>
    </row>
    <row r="87" hidden="1" spans="1:9">
      <c r="A87">
        <v>10016</v>
      </c>
      <c r="B87" t="s">
        <v>105</v>
      </c>
      <c r="C87" t="s">
        <v>18</v>
      </c>
      <c r="D87" t="s">
        <v>30</v>
      </c>
      <c r="E87">
        <v>74.5</v>
      </c>
      <c r="F87">
        <v>71.5</v>
      </c>
      <c r="G87">
        <v>82.5</v>
      </c>
      <c r="H87">
        <v>80.5</v>
      </c>
      <c r="I87">
        <v>83</v>
      </c>
    </row>
    <row r="88" hidden="1" spans="1:9">
      <c r="A88">
        <v>10084</v>
      </c>
      <c r="B88" t="s">
        <v>106</v>
      </c>
      <c r="C88" t="s">
        <v>15</v>
      </c>
      <c r="D88" t="s">
        <v>19</v>
      </c>
      <c r="E88">
        <v>65</v>
      </c>
      <c r="F88">
        <v>64</v>
      </c>
      <c r="G88">
        <v>75.5</v>
      </c>
      <c r="H88">
        <v>73.5</v>
      </c>
      <c r="I88">
        <v>83.5</v>
      </c>
    </row>
    <row r="89" hidden="1" spans="1:9">
      <c r="A89">
        <v>10014</v>
      </c>
      <c r="B89" t="s">
        <v>107</v>
      </c>
      <c r="C89" t="s">
        <v>18</v>
      </c>
      <c r="D89" t="s">
        <v>30</v>
      </c>
      <c r="E89">
        <v>75.5</v>
      </c>
      <c r="F89">
        <v>74</v>
      </c>
      <c r="G89">
        <v>76</v>
      </c>
      <c r="H89">
        <v>74</v>
      </c>
      <c r="I89">
        <v>73.5</v>
      </c>
    </row>
    <row r="90" hidden="1" spans="1:9">
      <c r="A90">
        <v>10071</v>
      </c>
      <c r="B90" t="s">
        <v>108</v>
      </c>
      <c r="C90" t="s">
        <v>15</v>
      </c>
      <c r="D90" t="s">
        <v>28</v>
      </c>
      <c r="E90">
        <v>85.5</v>
      </c>
      <c r="F90">
        <v>94</v>
      </c>
      <c r="G90">
        <v>94</v>
      </c>
      <c r="H90">
        <v>75.5</v>
      </c>
      <c r="I90">
        <v>70</v>
      </c>
    </row>
    <row r="91" hidden="1" spans="1:9">
      <c r="A91">
        <v>10093</v>
      </c>
      <c r="B91" t="s">
        <v>109</v>
      </c>
      <c r="C91" t="s">
        <v>18</v>
      </c>
      <c r="D91" t="s">
        <v>19</v>
      </c>
      <c r="E91">
        <v>71.5</v>
      </c>
      <c r="F91">
        <v>60</v>
      </c>
      <c r="G91">
        <v>52</v>
      </c>
      <c r="H91">
        <v>50</v>
      </c>
      <c r="I91">
        <v>58</v>
      </c>
    </row>
    <row r="92" hidden="1" spans="1:9">
      <c r="A92">
        <v>10012</v>
      </c>
      <c r="B92" t="s">
        <v>110</v>
      </c>
      <c r="C92" t="s">
        <v>15</v>
      </c>
      <c r="D92" t="s">
        <v>30</v>
      </c>
      <c r="E92">
        <v>83</v>
      </c>
      <c r="F92">
        <v>80</v>
      </c>
      <c r="G92">
        <v>72.5</v>
      </c>
      <c r="H92">
        <v>82</v>
      </c>
      <c r="I92">
        <v>93.5</v>
      </c>
    </row>
    <row r="93" hidden="1" spans="1:9">
      <c r="A93">
        <v>10037</v>
      </c>
      <c r="B93" t="s">
        <v>111</v>
      </c>
      <c r="C93" t="s">
        <v>15</v>
      </c>
      <c r="D93" t="s">
        <v>23</v>
      </c>
      <c r="E93">
        <v>56</v>
      </c>
      <c r="F93">
        <v>60.5</v>
      </c>
      <c r="G93">
        <v>54</v>
      </c>
      <c r="H93">
        <v>79</v>
      </c>
      <c r="I93">
        <v>76.5</v>
      </c>
    </row>
    <row r="94" hidden="1" spans="1:9">
      <c r="A94">
        <v>10022</v>
      </c>
      <c r="B94" t="s">
        <v>112</v>
      </c>
      <c r="C94" t="s">
        <v>18</v>
      </c>
      <c r="D94" t="s">
        <v>23</v>
      </c>
      <c r="E94">
        <v>91</v>
      </c>
      <c r="F94">
        <v>98</v>
      </c>
      <c r="G94">
        <v>94</v>
      </c>
      <c r="H94">
        <v>92</v>
      </c>
      <c r="I94">
        <v>82</v>
      </c>
    </row>
    <row r="95" hidden="1" spans="1:9">
      <c r="A95">
        <v>10065</v>
      </c>
      <c r="B95" t="s">
        <v>113</v>
      </c>
      <c r="C95" t="s">
        <v>18</v>
      </c>
      <c r="D95" t="s">
        <v>28</v>
      </c>
      <c r="E95">
        <v>80.5</v>
      </c>
      <c r="F95">
        <v>90</v>
      </c>
      <c r="G95">
        <v>63.5</v>
      </c>
      <c r="H95">
        <v>85</v>
      </c>
      <c r="I95">
        <v>92.5</v>
      </c>
    </row>
    <row r="96" hidden="1" spans="1:9">
      <c r="A96">
        <v>10061</v>
      </c>
      <c r="B96" t="s">
        <v>114</v>
      </c>
      <c r="C96" t="s">
        <v>15</v>
      </c>
      <c r="D96" t="s">
        <v>28</v>
      </c>
      <c r="E96">
        <v>94</v>
      </c>
      <c r="F96">
        <v>90</v>
      </c>
      <c r="G96">
        <v>96</v>
      </c>
      <c r="H96">
        <v>83.5</v>
      </c>
      <c r="I96">
        <v>93</v>
      </c>
    </row>
    <row r="97" hidden="1" spans="1:9">
      <c r="A97">
        <v>10067</v>
      </c>
      <c r="B97" t="s">
        <v>115</v>
      </c>
      <c r="C97" t="s">
        <v>15</v>
      </c>
      <c r="D97" t="s">
        <v>28</v>
      </c>
      <c r="E97">
        <v>77.5</v>
      </c>
      <c r="F97">
        <v>72.5</v>
      </c>
      <c r="G97">
        <v>73.5</v>
      </c>
      <c r="H97">
        <v>71.5</v>
      </c>
      <c r="I97">
        <v>65</v>
      </c>
    </row>
    <row r="98" hidden="1" spans="1:9">
      <c r="A98">
        <v>10032</v>
      </c>
      <c r="B98" t="s">
        <v>116</v>
      </c>
      <c r="C98" t="s">
        <v>15</v>
      </c>
      <c r="D98" t="s">
        <v>23</v>
      </c>
      <c r="E98">
        <v>76</v>
      </c>
      <c r="F98">
        <v>71.5</v>
      </c>
      <c r="G98">
        <v>76</v>
      </c>
      <c r="H98">
        <v>74</v>
      </c>
      <c r="I98">
        <v>72</v>
      </c>
    </row>
    <row r="99" hidden="1" spans="1:9">
      <c r="A99">
        <v>10087</v>
      </c>
      <c r="B99" t="s">
        <v>117</v>
      </c>
      <c r="C99" t="s">
        <v>18</v>
      </c>
      <c r="D99" t="s">
        <v>19</v>
      </c>
      <c r="E99">
        <v>69</v>
      </c>
      <c r="F99">
        <v>75</v>
      </c>
      <c r="G99">
        <v>89</v>
      </c>
      <c r="H99">
        <v>80</v>
      </c>
      <c r="I99">
        <v>75</v>
      </c>
    </row>
    <row r="100" hidden="1" spans="1:9">
      <c r="A100">
        <v>10033</v>
      </c>
      <c r="B100" t="s">
        <v>118</v>
      </c>
      <c r="C100" t="s">
        <v>18</v>
      </c>
      <c r="D100" t="s">
        <v>23</v>
      </c>
      <c r="E100">
        <v>92.5</v>
      </c>
      <c r="F100">
        <v>82</v>
      </c>
      <c r="G100">
        <v>75</v>
      </c>
      <c r="H100">
        <v>73</v>
      </c>
      <c r="I100">
        <v>82</v>
      </c>
    </row>
    <row r="101" hidden="1" spans="1:9">
      <c r="A101">
        <v>10034</v>
      </c>
      <c r="B101" t="s">
        <v>119</v>
      </c>
      <c r="C101" t="s">
        <v>15</v>
      </c>
      <c r="D101" t="s">
        <v>23</v>
      </c>
      <c r="E101">
        <v>93.5</v>
      </c>
      <c r="F101">
        <v>83</v>
      </c>
      <c r="G101">
        <v>73.5</v>
      </c>
      <c r="H101">
        <v>71.5</v>
      </c>
      <c r="I101">
        <v>91</v>
      </c>
    </row>
    <row r="102" hidden="1" spans="1:9">
      <c r="A102">
        <v>10017</v>
      </c>
      <c r="B102" t="s">
        <v>120</v>
      </c>
      <c r="C102" t="s">
        <v>18</v>
      </c>
      <c r="D102" t="s">
        <v>30</v>
      </c>
      <c r="E102">
        <v>82</v>
      </c>
      <c r="F102">
        <v>80.5</v>
      </c>
      <c r="G102">
        <v>77.5</v>
      </c>
      <c r="H102">
        <v>75.5</v>
      </c>
      <c r="I102">
        <v>64</v>
      </c>
    </row>
    <row r="103" hidden="1" spans="1:9">
      <c r="A103">
        <v>10038</v>
      </c>
      <c r="B103" t="s">
        <v>121</v>
      </c>
      <c r="C103" t="s">
        <v>15</v>
      </c>
      <c r="D103" t="s">
        <v>23</v>
      </c>
      <c r="E103">
        <v>74</v>
      </c>
      <c r="F103">
        <v>85</v>
      </c>
      <c r="G103">
        <v>73</v>
      </c>
      <c r="H103">
        <v>71</v>
      </c>
      <c r="I103">
        <v>88</v>
      </c>
    </row>
    <row r="104" hidden="1" spans="1:9">
      <c r="A104">
        <v>10006</v>
      </c>
      <c r="B104" t="s">
        <v>122</v>
      </c>
      <c r="C104" t="s">
        <v>18</v>
      </c>
      <c r="D104" t="s">
        <v>30</v>
      </c>
      <c r="E104">
        <v>65.5</v>
      </c>
      <c r="F104">
        <v>74</v>
      </c>
      <c r="G104">
        <v>69</v>
      </c>
      <c r="H104">
        <v>67</v>
      </c>
      <c r="I104">
        <v>70</v>
      </c>
    </row>
    <row r="105" hidden="1" spans="1:9">
      <c r="A105">
        <v>10058</v>
      </c>
      <c r="B105" t="s">
        <v>123</v>
      </c>
      <c r="C105" t="s">
        <v>15</v>
      </c>
      <c r="D105" t="s">
        <v>42</v>
      </c>
      <c r="E105">
        <v>74.5</v>
      </c>
      <c r="F105">
        <v>77.5</v>
      </c>
      <c r="G105">
        <v>67.5</v>
      </c>
      <c r="H105">
        <v>65.5</v>
      </c>
      <c r="I105">
        <v>71.5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3"/>
  <sheetViews>
    <sheetView workbookViewId="0">
      <selection activeCell="K25" sqref="K25"/>
    </sheetView>
  </sheetViews>
  <sheetFormatPr defaultColWidth="9" defaultRowHeight="13.5"/>
  <cols>
    <col min="1" max="1" width="6.375" customWidth="1"/>
    <col min="2" max="2" width="7" customWidth="1"/>
    <col min="3" max="4" width="5.125" customWidth="1"/>
    <col min="5" max="6" width="8.875" customWidth="1"/>
    <col min="7" max="7" width="7" customWidth="1"/>
    <col min="8" max="8" width="10.875" customWidth="1"/>
    <col min="9" max="9" width="12.875" customWidth="1"/>
  </cols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outlineLevel="2" spans="1:9">
      <c r="A2">
        <v>10077</v>
      </c>
      <c r="B2" t="s">
        <v>14</v>
      </c>
      <c r="C2" t="s">
        <v>15</v>
      </c>
      <c r="D2" t="s">
        <v>16</v>
      </c>
      <c r="E2">
        <v>96</v>
      </c>
      <c r="F2">
        <v>88</v>
      </c>
      <c r="G2">
        <v>93</v>
      </c>
      <c r="H2">
        <v>88</v>
      </c>
      <c r="I2">
        <v>92</v>
      </c>
    </row>
    <row r="3" outlineLevel="2" spans="1:9">
      <c r="A3">
        <v>10088</v>
      </c>
      <c r="B3" t="s">
        <v>20</v>
      </c>
      <c r="C3" t="s">
        <v>15</v>
      </c>
      <c r="D3" t="s">
        <v>19</v>
      </c>
      <c r="E3">
        <v>77</v>
      </c>
      <c r="F3">
        <v>85.5</v>
      </c>
      <c r="G3">
        <v>63.5</v>
      </c>
      <c r="H3">
        <v>61.5</v>
      </c>
      <c r="I3">
        <v>72</v>
      </c>
    </row>
    <row r="4" outlineLevel="2" spans="1:9">
      <c r="A4">
        <v>10066</v>
      </c>
      <c r="B4" t="s">
        <v>27</v>
      </c>
      <c r="C4" t="s">
        <v>15</v>
      </c>
      <c r="D4" t="s">
        <v>28</v>
      </c>
      <c r="E4">
        <v>64.5</v>
      </c>
      <c r="F4">
        <v>66.5</v>
      </c>
      <c r="G4">
        <v>75.5</v>
      </c>
      <c r="H4">
        <v>73.5</v>
      </c>
      <c r="I4">
        <v>90</v>
      </c>
    </row>
    <row r="5" outlineLevel="2" spans="1:9">
      <c r="A5">
        <v>10015</v>
      </c>
      <c r="B5" t="s">
        <v>35</v>
      </c>
      <c r="C5" t="s">
        <v>15</v>
      </c>
      <c r="D5" t="s">
        <v>30</v>
      </c>
      <c r="E5">
        <v>88</v>
      </c>
      <c r="F5">
        <v>77.5</v>
      </c>
      <c r="G5">
        <v>77.5</v>
      </c>
      <c r="H5">
        <v>75.5</v>
      </c>
      <c r="I5">
        <v>61</v>
      </c>
    </row>
    <row r="6" outlineLevel="2" spans="1:9">
      <c r="A6">
        <v>10042</v>
      </c>
      <c r="B6" t="s">
        <v>37</v>
      </c>
      <c r="C6" t="s">
        <v>15</v>
      </c>
      <c r="D6" t="s">
        <v>23</v>
      </c>
      <c r="E6">
        <v>74.5</v>
      </c>
      <c r="F6">
        <v>80.5</v>
      </c>
      <c r="G6">
        <v>81</v>
      </c>
      <c r="H6">
        <v>79</v>
      </c>
      <c r="I6">
        <v>75</v>
      </c>
    </row>
    <row r="7" outlineLevel="2" spans="1:9">
      <c r="A7">
        <v>10069</v>
      </c>
      <c r="B7" t="s">
        <v>39</v>
      </c>
      <c r="C7" t="s">
        <v>15</v>
      </c>
      <c r="D7" t="s">
        <v>28</v>
      </c>
      <c r="E7">
        <v>74</v>
      </c>
      <c r="F7">
        <v>85.5</v>
      </c>
      <c r="G7">
        <v>73.5</v>
      </c>
      <c r="H7">
        <v>71.5</v>
      </c>
      <c r="I7">
        <v>79</v>
      </c>
    </row>
    <row r="8" outlineLevel="2" spans="1:9">
      <c r="A8">
        <v>10018</v>
      </c>
      <c r="B8" t="s">
        <v>40</v>
      </c>
      <c r="C8" t="s">
        <v>15</v>
      </c>
      <c r="D8" t="s">
        <v>30</v>
      </c>
      <c r="E8">
        <v>59.5</v>
      </c>
      <c r="F8">
        <v>78.5</v>
      </c>
      <c r="G8">
        <v>79.5</v>
      </c>
      <c r="H8">
        <v>77.5</v>
      </c>
      <c r="I8">
        <v>68</v>
      </c>
    </row>
    <row r="9" outlineLevel="2" spans="1:9">
      <c r="A9">
        <v>10056</v>
      </c>
      <c r="B9" t="s">
        <v>44</v>
      </c>
      <c r="C9" t="s">
        <v>15</v>
      </c>
      <c r="D9" t="s">
        <v>42</v>
      </c>
      <c r="E9">
        <v>75.5</v>
      </c>
      <c r="F9">
        <v>82</v>
      </c>
      <c r="G9">
        <v>94.5</v>
      </c>
      <c r="H9">
        <v>92.5</v>
      </c>
      <c r="I9">
        <v>84.5</v>
      </c>
    </row>
    <row r="10" outlineLevel="2" spans="1:9">
      <c r="A10">
        <v>10002</v>
      </c>
      <c r="B10" t="s">
        <v>46</v>
      </c>
      <c r="C10" t="s">
        <v>15</v>
      </c>
      <c r="D10" t="s">
        <v>30</v>
      </c>
      <c r="E10">
        <v>89</v>
      </c>
      <c r="F10">
        <v>72</v>
      </c>
      <c r="G10">
        <v>79</v>
      </c>
      <c r="H10">
        <v>87</v>
      </c>
      <c r="I10">
        <v>97</v>
      </c>
    </row>
    <row r="11" outlineLevel="2" spans="1:9">
      <c r="A11">
        <v>10072</v>
      </c>
      <c r="B11" t="s">
        <v>47</v>
      </c>
      <c r="C11" t="s">
        <v>15</v>
      </c>
      <c r="D11" t="s">
        <v>16</v>
      </c>
      <c r="E11">
        <v>67</v>
      </c>
      <c r="F11">
        <v>86</v>
      </c>
      <c r="G11">
        <v>70.5</v>
      </c>
      <c r="H11">
        <v>68.5</v>
      </c>
      <c r="I11">
        <v>62.5</v>
      </c>
    </row>
    <row r="12" outlineLevel="2" spans="1:9">
      <c r="A12">
        <v>10078</v>
      </c>
      <c r="B12" t="s">
        <v>48</v>
      </c>
      <c r="C12" t="s">
        <v>15</v>
      </c>
      <c r="D12" t="s">
        <v>16</v>
      </c>
      <c r="E12">
        <v>79.5</v>
      </c>
      <c r="F12">
        <v>87.5</v>
      </c>
      <c r="G12">
        <v>74.5</v>
      </c>
      <c r="H12">
        <v>72.5</v>
      </c>
      <c r="I12">
        <v>75</v>
      </c>
    </row>
    <row r="13" outlineLevel="2" spans="1:9">
      <c r="A13">
        <v>10051</v>
      </c>
      <c r="B13" t="s">
        <v>50</v>
      </c>
      <c r="C13" t="s">
        <v>15</v>
      </c>
      <c r="D13" t="s">
        <v>42</v>
      </c>
      <c r="E13">
        <v>70.5</v>
      </c>
      <c r="F13">
        <v>74</v>
      </c>
      <c r="G13">
        <v>74</v>
      </c>
      <c r="H13">
        <v>72</v>
      </c>
      <c r="I13">
        <v>77</v>
      </c>
    </row>
    <row r="14" outlineLevel="2" spans="1:9">
      <c r="A14">
        <v>10049</v>
      </c>
      <c r="B14" t="s">
        <v>51</v>
      </c>
      <c r="C14" t="s">
        <v>15</v>
      </c>
      <c r="D14" t="s">
        <v>42</v>
      </c>
      <c r="E14">
        <v>76.5</v>
      </c>
      <c r="F14">
        <v>79.5</v>
      </c>
      <c r="G14">
        <v>68</v>
      </c>
      <c r="H14">
        <v>66</v>
      </c>
      <c r="I14">
        <v>71.5</v>
      </c>
    </row>
    <row r="15" outlineLevel="2" spans="1:9">
      <c r="A15">
        <v>10043</v>
      </c>
      <c r="B15" t="s">
        <v>53</v>
      </c>
      <c r="C15" t="s">
        <v>15</v>
      </c>
      <c r="D15" t="s">
        <v>42</v>
      </c>
      <c r="E15">
        <v>86.5</v>
      </c>
      <c r="F15">
        <v>65</v>
      </c>
      <c r="G15">
        <v>62.5</v>
      </c>
      <c r="H15">
        <v>60.5</v>
      </c>
      <c r="I15">
        <v>58.5</v>
      </c>
    </row>
    <row r="16" outlineLevel="2" spans="1:9">
      <c r="A16">
        <v>10053</v>
      </c>
      <c r="B16" t="s">
        <v>54</v>
      </c>
      <c r="C16" t="s">
        <v>15</v>
      </c>
      <c r="D16" t="s">
        <v>42</v>
      </c>
      <c r="E16">
        <v>87</v>
      </c>
      <c r="F16">
        <v>80</v>
      </c>
      <c r="G16">
        <v>82</v>
      </c>
      <c r="H16">
        <v>72</v>
      </c>
      <c r="I16">
        <v>84</v>
      </c>
    </row>
    <row r="17" outlineLevel="2" spans="1:9">
      <c r="A17">
        <v>10024</v>
      </c>
      <c r="B17" t="s">
        <v>55</v>
      </c>
      <c r="C17" t="s">
        <v>15</v>
      </c>
      <c r="D17" t="s">
        <v>23</v>
      </c>
      <c r="E17">
        <v>78</v>
      </c>
      <c r="F17">
        <v>86.5</v>
      </c>
      <c r="G17">
        <v>67</v>
      </c>
      <c r="H17">
        <v>65</v>
      </c>
      <c r="I17">
        <v>68</v>
      </c>
    </row>
    <row r="18" outlineLevel="2" spans="1:9">
      <c r="A18">
        <v>10028</v>
      </c>
      <c r="B18" t="s">
        <v>56</v>
      </c>
      <c r="C18" t="s">
        <v>15</v>
      </c>
      <c r="D18" t="s">
        <v>23</v>
      </c>
      <c r="E18">
        <v>63.5</v>
      </c>
      <c r="F18">
        <v>77.5</v>
      </c>
      <c r="G18">
        <v>84.5</v>
      </c>
      <c r="H18">
        <v>82.5</v>
      </c>
      <c r="I18">
        <v>80</v>
      </c>
    </row>
    <row r="19" outlineLevel="2" spans="1:9">
      <c r="A19">
        <v>10092</v>
      </c>
      <c r="B19" t="s">
        <v>57</v>
      </c>
      <c r="C19" t="s">
        <v>15</v>
      </c>
      <c r="D19" t="s">
        <v>19</v>
      </c>
      <c r="E19">
        <v>85.5</v>
      </c>
      <c r="F19">
        <v>91.5</v>
      </c>
      <c r="G19">
        <v>56.5</v>
      </c>
      <c r="H19">
        <v>54.5</v>
      </c>
      <c r="I19">
        <v>76.5</v>
      </c>
    </row>
    <row r="20" outlineLevel="2" spans="1:9">
      <c r="A20">
        <v>10073</v>
      </c>
      <c r="B20" t="s">
        <v>59</v>
      </c>
      <c r="C20" t="s">
        <v>15</v>
      </c>
      <c r="D20" t="s">
        <v>16</v>
      </c>
      <c r="E20">
        <v>77.5</v>
      </c>
      <c r="F20">
        <v>75.5</v>
      </c>
      <c r="G20">
        <v>79</v>
      </c>
      <c r="H20">
        <v>77</v>
      </c>
      <c r="I20">
        <v>80</v>
      </c>
    </row>
    <row r="21" outlineLevel="2" spans="1:9">
      <c r="A21">
        <v>10020</v>
      </c>
      <c r="B21" t="s">
        <v>60</v>
      </c>
      <c r="C21" t="s">
        <v>15</v>
      </c>
      <c r="D21" t="s">
        <v>30</v>
      </c>
      <c r="E21">
        <v>77.5</v>
      </c>
      <c r="F21">
        <v>79.5</v>
      </c>
      <c r="G21">
        <v>71.5</v>
      </c>
      <c r="H21">
        <v>69.5</v>
      </c>
      <c r="I21">
        <v>84.5</v>
      </c>
    </row>
    <row r="22" outlineLevel="2" spans="1:9">
      <c r="A22">
        <v>10001</v>
      </c>
      <c r="B22" t="s">
        <v>66</v>
      </c>
      <c r="C22" t="s">
        <v>15</v>
      </c>
      <c r="D22" t="s">
        <v>30</v>
      </c>
      <c r="E22">
        <v>87</v>
      </c>
      <c r="F22">
        <v>90</v>
      </c>
      <c r="G22">
        <v>97</v>
      </c>
      <c r="H22">
        <v>69.5</v>
      </c>
      <c r="I22">
        <v>88.5</v>
      </c>
    </row>
    <row r="23" outlineLevel="2" spans="1:9">
      <c r="A23">
        <v>10027</v>
      </c>
      <c r="B23" t="s">
        <v>67</v>
      </c>
      <c r="C23" t="s">
        <v>15</v>
      </c>
      <c r="D23" t="s">
        <v>23</v>
      </c>
      <c r="E23">
        <v>78.5</v>
      </c>
      <c r="F23">
        <v>73</v>
      </c>
      <c r="G23">
        <v>83</v>
      </c>
      <c r="H23">
        <v>81</v>
      </c>
      <c r="I23">
        <v>73</v>
      </c>
    </row>
    <row r="24" outlineLevel="2" spans="1:9">
      <c r="A24">
        <v>10039</v>
      </c>
      <c r="B24" t="s">
        <v>68</v>
      </c>
      <c r="C24" t="s">
        <v>15</v>
      </c>
      <c r="D24" t="s">
        <v>23</v>
      </c>
      <c r="E24">
        <v>58.5</v>
      </c>
      <c r="F24">
        <v>82</v>
      </c>
      <c r="G24">
        <v>70</v>
      </c>
      <c r="H24">
        <v>60</v>
      </c>
      <c r="I24">
        <v>64.5</v>
      </c>
    </row>
    <row r="25" outlineLevel="2" spans="1:9">
      <c r="A25">
        <v>10010</v>
      </c>
      <c r="B25" t="s">
        <v>69</v>
      </c>
      <c r="C25" t="s">
        <v>15</v>
      </c>
      <c r="D25" t="s">
        <v>30</v>
      </c>
      <c r="E25">
        <v>82.5</v>
      </c>
      <c r="F25">
        <v>80</v>
      </c>
      <c r="G25">
        <v>92.5</v>
      </c>
      <c r="H25">
        <v>90.5</v>
      </c>
      <c r="I25">
        <v>73.5</v>
      </c>
    </row>
    <row r="26" outlineLevel="2" spans="1:9">
      <c r="A26">
        <v>10095</v>
      </c>
      <c r="B26" t="s">
        <v>70</v>
      </c>
      <c r="C26" t="s">
        <v>15</v>
      </c>
      <c r="D26" t="s">
        <v>19</v>
      </c>
      <c r="E26">
        <v>96</v>
      </c>
      <c r="F26">
        <v>84</v>
      </c>
      <c r="G26">
        <v>98</v>
      </c>
      <c r="H26">
        <v>96</v>
      </c>
      <c r="I26">
        <v>69.5</v>
      </c>
    </row>
    <row r="27" outlineLevel="2" spans="1:9">
      <c r="A27">
        <v>10041</v>
      </c>
      <c r="B27" t="s">
        <v>74</v>
      </c>
      <c r="C27" t="s">
        <v>15</v>
      </c>
      <c r="D27" t="s">
        <v>23</v>
      </c>
      <c r="E27">
        <v>80</v>
      </c>
      <c r="F27">
        <v>85</v>
      </c>
      <c r="G27">
        <v>97</v>
      </c>
      <c r="H27">
        <v>98</v>
      </c>
      <c r="I27">
        <v>95</v>
      </c>
    </row>
    <row r="28" outlineLevel="2" spans="1:9">
      <c r="A28">
        <v>10009</v>
      </c>
      <c r="B28" t="s">
        <v>76</v>
      </c>
      <c r="C28" t="s">
        <v>15</v>
      </c>
      <c r="D28" t="s">
        <v>30</v>
      </c>
      <c r="E28">
        <v>62</v>
      </c>
      <c r="F28">
        <v>75</v>
      </c>
      <c r="G28">
        <v>84.5</v>
      </c>
      <c r="H28">
        <v>82.5</v>
      </c>
      <c r="I28">
        <v>67.5</v>
      </c>
    </row>
    <row r="29" outlineLevel="2" spans="1:9">
      <c r="A29">
        <v>10070</v>
      </c>
      <c r="B29" t="s">
        <v>79</v>
      </c>
      <c r="C29" t="s">
        <v>15</v>
      </c>
      <c r="D29" t="s">
        <v>28</v>
      </c>
      <c r="E29">
        <v>79.5</v>
      </c>
      <c r="F29">
        <v>86</v>
      </c>
      <c r="G29">
        <v>85</v>
      </c>
      <c r="H29">
        <v>83</v>
      </c>
      <c r="I29">
        <v>61</v>
      </c>
    </row>
    <row r="30" outlineLevel="2" spans="1:9">
      <c r="A30">
        <v>10091</v>
      </c>
      <c r="B30" t="s">
        <v>80</v>
      </c>
      <c r="C30" t="s">
        <v>15</v>
      </c>
      <c r="D30" t="s">
        <v>19</v>
      </c>
      <c r="E30">
        <v>65</v>
      </c>
      <c r="F30">
        <v>60</v>
      </c>
      <c r="G30">
        <v>50</v>
      </c>
      <c r="H30">
        <v>52.5</v>
      </c>
      <c r="I30">
        <v>62</v>
      </c>
    </row>
    <row r="31" outlineLevel="2" spans="1:9">
      <c r="A31">
        <v>10047</v>
      </c>
      <c r="B31" t="s">
        <v>82</v>
      </c>
      <c r="C31" t="s">
        <v>15</v>
      </c>
      <c r="D31" t="s">
        <v>42</v>
      </c>
      <c r="E31">
        <v>71</v>
      </c>
      <c r="F31">
        <v>82.5</v>
      </c>
      <c r="G31">
        <v>89</v>
      </c>
      <c r="H31">
        <v>87</v>
      </c>
      <c r="I31">
        <v>79</v>
      </c>
    </row>
    <row r="32" outlineLevel="2" spans="1:9">
      <c r="A32">
        <v>10029</v>
      </c>
      <c r="B32" t="s">
        <v>83</v>
      </c>
      <c r="C32" t="s">
        <v>15</v>
      </c>
      <c r="D32" t="s">
        <v>23</v>
      </c>
      <c r="E32">
        <v>52.5</v>
      </c>
      <c r="F32">
        <v>50</v>
      </c>
      <c r="G32">
        <v>64</v>
      </c>
      <c r="H32">
        <v>62</v>
      </c>
      <c r="I32">
        <v>60</v>
      </c>
    </row>
    <row r="33" outlineLevel="2" spans="1:9">
      <c r="A33">
        <v>10083</v>
      </c>
      <c r="B33" t="s">
        <v>84</v>
      </c>
      <c r="C33" t="s">
        <v>15</v>
      </c>
      <c r="D33" t="s">
        <v>19</v>
      </c>
      <c r="E33">
        <v>84</v>
      </c>
      <c r="F33">
        <v>70.5</v>
      </c>
      <c r="G33">
        <v>75</v>
      </c>
      <c r="H33">
        <v>73</v>
      </c>
      <c r="I33">
        <v>75</v>
      </c>
    </row>
    <row r="34" outlineLevel="2" spans="1:9">
      <c r="A34">
        <v>10048</v>
      </c>
      <c r="B34" t="s">
        <v>85</v>
      </c>
      <c r="C34" t="s">
        <v>15</v>
      </c>
      <c r="D34" t="s">
        <v>42</v>
      </c>
      <c r="E34">
        <v>93</v>
      </c>
      <c r="F34">
        <v>86</v>
      </c>
      <c r="G34">
        <v>94.5</v>
      </c>
      <c r="H34">
        <v>92.5</v>
      </c>
      <c r="I34">
        <v>93</v>
      </c>
    </row>
    <row r="35" outlineLevel="2" spans="1:9">
      <c r="A35">
        <v>10030</v>
      </c>
      <c r="B35" t="s">
        <v>86</v>
      </c>
      <c r="C35" t="s">
        <v>15</v>
      </c>
      <c r="D35" t="s">
        <v>23</v>
      </c>
      <c r="E35">
        <v>93</v>
      </c>
      <c r="F35">
        <v>82</v>
      </c>
      <c r="G35">
        <v>97</v>
      </c>
      <c r="H35">
        <v>97</v>
      </c>
      <c r="I35">
        <v>92</v>
      </c>
    </row>
    <row r="36" outlineLevel="2" spans="1:9">
      <c r="A36">
        <v>10081</v>
      </c>
      <c r="B36" t="s">
        <v>87</v>
      </c>
      <c r="C36" t="s">
        <v>15</v>
      </c>
      <c r="D36" t="s">
        <v>16</v>
      </c>
      <c r="E36">
        <v>71.5</v>
      </c>
      <c r="F36">
        <v>79.5</v>
      </c>
      <c r="G36">
        <v>75.5</v>
      </c>
      <c r="H36">
        <v>73.5</v>
      </c>
      <c r="I36">
        <v>87.5</v>
      </c>
    </row>
    <row r="37" outlineLevel="2" spans="1:9">
      <c r="A37">
        <v>10060</v>
      </c>
      <c r="B37" t="s">
        <v>90</v>
      </c>
      <c r="C37" t="s">
        <v>15</v>
      </c>
      <c r="D37" t="s">
        <v>28</v>
      </c>
      <c r="E37">
        <v>90.5</v>
      </c>
      <c r="F37">
        <v>88</v>
      </c>
      <c r="G37">
        <v>95</v>
      </c>
      <c r="H37">
        <v>90</v>
      </c>
      <c r="I37">
        <v>94.5</v>
      </c>
    </row>
    <row r="38" outlineLevel="2" spans="1:9">
      <c r="A38">
        <v>10099</v>
      </c>
      <c r="B38" t="s">
        <v>91</v>
      </c>
      <c r="C38" t="s">
        <v>15</v>
      </c>
      <c r="D38" t="s">
        <v>19</v>
      </c>
      <c r="E38">
        <v>81</v>
      </c>
      <c r="F38">
        <v>91.5</v>
      </c>
      <c r="G38">
        <v>97</v>
      </c>
      <c r="H38">
        <v>95</v>
      </c>
      <c r="I38">
        <v>92</v>
      </c>
    </row>
    <row r="39" outlineLevel="2" spans="1:9">
      <c r="A39">
        <v>10096</v>
      </c>
      <c r="B39" t="s">
        <v>93</v>
      </c>
      <c r="C39" t="s">
        <v>15</v>
      </c>
      <c r="D39" t="s">
        <v>19</v>
      </c>
      <c r="E39">
        <v>71.5</v>
      </c>
      <c r="F39">
        <v>73</v>
      </c>
      <c r="G39">
        <v>77</v>
      </c>
      <c r="H39">
        <v>75</v>
      </c>
      <c r="I39">
        <v>78.5</v>
      </c>
    </row>
    <row r="40" outlineLevel="2" spans="1:9">
      <c r="A40">
        <v>10007</v>
      </c>
      <c r="B40" t="s">
        <v>95</v>
      </c>
      <c r="C40" t="s">
        <v>15</v>
      </c>
      <c r="D40" t="s">
        <v>30</v>
      </c>
      <c r="E40">
        <v>78</v>
      </c>
      <c r="F40">
        <v>74</v>
      </c>
      <c r="G40">
        <v>78</v>
      </c>
      <c r="H40">
        <v>76</v>
      </c>
      <c r="I40">
        <v>74</v>
      </c>
    </row>
    <row r="41" outlineLevel="2" spans="1:9">
      <c r="A41">
        <v>10085</v>
      </c>
      <c r="B41" t="s">
        <v>96</v>
      </c>
      <c r="C41" t="s">
        <v>15</v>
      </c>
      <c r="D41" t="s">
        <v>19</v>
      </c>
      <c r="E41">
        <v>91</v>
      </c>
      <c r="F41">
        <v>68.5</v>
      </c>
      <c r="G41">
        <v>64.5</v>
      </c>
      <c r="H41">
        <v>62.5</v>
      </c>
      <c r="I41">
        <v>76.5</v>
      </c>
    </row>
    <row r="42" outlineLevel="2" spans="1:9">
      <c r="A42">
        <v>10045</v>
      </c>
      <c r="B42" t="s">
        <v>97</v>
      </c>
      <c r="C42" t="s">
        <v>15</v>
      </c>
      <c r="D42" t="s">
        <v>42</v>
      </c>
      <c r="E42">
        <v>80</v>
      </c>
      <c r="F42">
        <v>90</v>
      </c>
      <c r="G42">
        <v>83</v>
      </c>
      <c r="H42">
        <v>81</v>
      </c>
      <c r="I42">
        <v>84</v>
      </c>
    </row>
    <row r="43" outlineLevel="2" spans="1:9">
      <c r="A43">
        <v>10075</v>
      </c>
      <c r="B43" t="s">
        <v>98</v>
      </c>
      <c r="C43" t="s">
        <v>15</v>
      </c>
      <c r="D43" t="s">
        <v>16</v>
      </c>
      <c r="E43">
        <v>92</v>
      </c>
      <c r="F43">
        <v>93</v>
      </c>
      <c r="G43">
        <v>92</v>
      </c>
      <c r="H43">
        <v>63.5</v>
      </c>
      <c r="I43">
        <v>65</v>
      </c>
    </row>
    <row r="44" outlineLevel="2" spans="1:9">
      <c r="A44">
        <v>10003</v>
      </c>
      <c r="B44" t="s">
        <v>99</v>
      </c>
      <c r="C44" t="s">
        <v>15</v>
      </c>
      <c r="D44" t="s">
        <v>30</v>
      </c>
      <c r="E44">
        <v>72.5</v>
      </c>
      <c r="F44">
        <v>74.5</v>
      </c>
      <c r="G44">
        <v>72.5</v>
      </c>
      <c r="H44">
        <v>70.5</v>
      </c>
      <c r="I44">
        <v>67</v>
      </c>
    </row>
    <row r="45" outlineLevel="2" spans="1:9">
      <c r="A45">
        <v>10063</v>
      </c>
      <c r="B45" t="s">
        <v>100</v>
      </c>
      <c r="C45" t="s">
        <v>15</v>
      </c>
      <c r="D45" t="s">
        <v>28</v>
      </c>
      <c r="E45">
        <v>78</v>
      </c>
      <c r="F45">
        <v>61.5</v>
      </c>
      <c r="G45">
        <v>66</v>
      </c>
      <c r="H45">
        <v>64</v>
      </c>
      <c r="I45">
        <v>69</v>
      </c>
    </row>
    <row r="46" outlineLevel="2" spans="1:9">
      <c r="A46">
        <v>10090</v>
      </c>
      <c r="B46" t="s">
        <v>103</v>
      </c>
      <c r="C46" t="s">
        <v>15</v>
      </c>
      <c r="D46" t="s">
        <v>19</v>
      </c>
      <c r="E46">
        <v>80</v>
      </c>
      <c r="F46">
        <v>76.5</v>
      </c>
      <c r="G46">
        <v>89.5</v>
      </c>
      <c r="H46">
        <v>87.5</v>
      </c>
      <c r="I46">
        <v>80</v>
      </c>
    </row>
    <row r="47" outlineLevel="2" spans="1:9">
      <c r="A47">
        <v>10084</v>
      </c>
      <c r="B47" t="s">
        <v>106</v>
      </c>
      <c r="C47" t="s">
        <v>15</v>
      </c>
      <c r="D47" t="s">
        <v>19</v>
      </c>
      <c r="E47">
        <v>65</v>
      </c>
      <c r="F47">
        <v>64</v>
      </c>
      <c r="G47">
        <v>75.5</v>
      </c>
      <c r="H47">
        <v>73.5</v>
      </c>
      <c r="I47">
        <v>83.5</v>
      </c>
    </row>
    <row r="48" outlineLevel="2" spans="1:9">
      <c r="A48">
        <v>10071</v>
      </c>
      <c r="B48" t="s">
        <v>108</v>
      </c>
      <c r="C48" t="s">
        <v>15</v>
      </c>
      <c r="D48" t="s">
        <v>28</v>
      </c>
      <c r="E48">
        <v>85.5</v>
      </c>
      <c r="F48">
        <v>94</v>
      </c>
      <c r="G48">
        <v>94</v>
      </c>
      <c r="H48">
        <v>75.5</v>
      </c>
      <c r="I48">
        <v>70</v>
      </c>
    </row>
    <row r="49" outlineLevel="2" spans="1:9">
      <c r="A49">
        <v>10012</v>
      </c>
      <c r="B49" t="s">
        <v>110</v>
      </c>
      <c r="C49" t="s">
        <v>15</v>
      </c>
      <c r="D49" t="s">
        <v>30</v>
      </c>
      <c r="E49">
        <v>83</v>
      </c>
      <c r="F49">
        <v>80</v>
      </c>
      <c r="G49">
        <v>72.5</v>
      </c>
      <c r="H49">
        <v>82</v>
      </c>
      <c r="I49">
        <v>93.5</v>
      </c>
    </row>
    <row r="50" outlineLevel="2" spans="1:9">
      <c r="A50">
        <v>10037</v>
      </c>
      <c r="B50" t="s">
        <v>111</v>
      </c>
      <c r="C50" t="s">
        <v>15</v>
      </c>
      <c r="D50" t="s">
        <v>23</v>
      </c>
      <c r="E50">
        <v>56</v>
      </c>
      <c r="F50">
        <v>60.5</v>
      </c>
      <c r="G50">
        <v>54</v>
      </c>
      <c r="H50">
        <v>79</v>
      </c>
      <c r="I50">
        <v>76.5</v>
      </c>
    </row>
    <row r="51" outlineLevel="2" spans="1:9">
      <c r="A51">
        <v>10061</v>
      </c>
      <c r="B51" t="s">
        <v>114</v>
      </c>
      <c r="C51" t="s">
        <v>15</v>
      </c>
      <c r="D51" t="s">
        <v>28</v>
      </c>
      <c r="E51">
        <v>94</v>
      </c>
      <c r="F51">
        <v>90</v>
      </c>
      <c r="G51">
        <v>96</v>
      </c>
      <c r="H51">
        <v>83.5</v>
      </c>
      <c r="I51">
        <v>93</v>
      </c>
    </row>
    <row r="52" outlineLevel="2" spans="1:9">
      <c r="A52">
        <v>10067</v>
      </c>
      <c r="B52" t="s">
        <v>115</v>
      </c>
      <c r="C52" t="s">
        <v>15</v>
      </c>
      <c r="D52" t="s">
        <v>28</v>
      </c>
      <c r="E52">
        <v>77.5</v>
      </c>
      <c r="F52">
        <v>72.5</v>
      </c>
      <c r="G52">
        <v>73.5</v>
      </c>
      <c r="H52">
        <v>71.5</v>
      </c>
      <c r="I52">
        <v>65</v>
      </c>
    </row>
    <row r="53" outlineLevel="2" spans="1:9">
      <c r="A53">
        <v>10032</v>
      </c>
      <c r="B53" t="s">
        <v>116</v>
      </c>
      <c r="C53" t="s">
        <v>15</v>
      </c>
      <c r="D53" t="s">
        <v>23</v>
      </c>
      <c r="E53">
        <v>76</v>
      </c>
      <c r="F53">
        <v>71.5</v>
      </c>
      <c r="G53">
        <v>76</v>
      </c>
      <c r="H53">
        <v>74</v>
      </c>
      <c r="I53">
        <v>72</v>
      </c>
    </row>
    <row r="54" outlineLevel="2" spans="1:9">
      <c r="A54">
        <v>10034</v>
      </c>
      <c r="B54" t="s">
        <v>119</v>
      </c>
      <c r="C54" t="s">
        <v>15</v>
      </c>
      <c r="D54" t="s">
        <v>23</v>
      </c>
      <c r="E54">
        <v>93.5</v>
      </c>
      <c r="F54">
        <v>83</v>
      </c>
      <c r="G54">
        <v>73.5</v>
      </c>
      <c r="H54">
        <v>71.5</v>
      </c>
      <c r="I54">
        <v>91</v>
      </c>
    </row>
    <row r="55" outlineLevel="2" spans="1:9">
      <c r="A55">
        <v>10038</v>
      </c>
      <c r="B55" t="s">
        <v>121</v>
      </c>
      <c r="C55" t="s">
        <v>15</v>
      </c>
      <c r="D55" t="s">
        <v>23</v>
      </c>
      <c r="E55">
        <v>74</v>
      </c>
      <c r="F55">
        <v>85</v>
      </c>
      <c r="G55">
        <v>73</v>
      </c>
      <c r="H55">
        <v>71</v>
      </c>
      <c r="I55">
        <v>88</v>
      </c>
    </row>
    <row r="56" outlineLevel="2" spans="1:9">
      <c r="A56">
        <v>10058</v>
      </c>
      <c r="B56" t="s">
        <v>123</v>
      </c>
      <c r="C56" t="s">
        <v>15</v>
      </c>
      <c r="D56" t="s">
        <v>42</v>
      </c>
      <c r="E56">
        <v>74.5</v>
      </c>
      <c r="F56">
        <v>77.5</v>
      </c>
      <c r="G56">
        <v>67.5</v>
      </c>
      <c r="H56">
        <v>65.5</v>
      </c>
      <c r="I56">
        <v>71.5</v>
      </c>
    </row>
    <row r="57" outlineLevel="1" spans="3:9">
      <c r="C57" s="1" t="s">
        <v>127</v>
      </c>
      <c r="F57">
        <f>SUBTOTAL(1,F2:F56)</f>
        <v>78.7727272727273</v>
      </c>
      <c r="I57">
        <f>SUBTOTAL(1,I2:I56)</f>
        <v>77.4818181818182</v>
      </c>
    </row>
    <row r="58" outlineLevel="2" spans="1:9">
      <c r="A58">
        <v>10082</v>
      </c>
      <c r="B58" t="s">
        <v>17</v>
      </c>
      <c r="C58" t="s">
        <v>18</v>
      </c>
      <c r="D58" t="s">
        <v>19</v>
      </c>
      <c r="E58">
        <v>66</v>
      </c>
      <c r="F58">
        <v>66</v>
      </c>
      <c r="G58">
        <v>74</v>
      </c>
      <c r="H58">
        <v>72</v>
      </c>
      <c r="I58">
        <v>83</v>
      </c>
    </row>
    <row r="59" outlineLevel="2" spans="1:9">
      <c r="A59">
        <v>10036</v>
      </c>
      <c r="B59" t="s">
        <v>22</v>
      </c>
      <c r="C59" t="s">
        <v>18</v>
      </c>
      <c r="D59" t="s">
        <v>23</v>
      </c>
      <c r="E59">
        <v>64</v>
      </c>
      <c r="F59">
        <v>70.5</v>
      </c>
      <c r="G59">
        <v>62</v>
      </c>
      <c r="H59">
        <v>85</v>
      </c>
      <c r="I59">
        <v>60</v>
      </c>
    </row>
    <row r="60" outlineLevel="2" spans="1:9">
      <c r="A60">
        <v>10040</v>
      </c>
      <c r="B60" t="s">
        <v>25</v>
      </c>
      <c r="C60" t="s">
        <v>18</v>
      </c>
      <c r="D60" t="s">
        <v>23</v>
      </c>
      <c r="E60">
        <v>81.5</v>
      </c>
      <c r="F60">
        <v>76.5</v>
      </c>
      <c r="G60">
        <v>72</v>
      </c>
      <c r="H60">
        <v>70</v>
      </c>
      <c r="I60">
        <v>82.5</v>
      </c>
    </row>
    <row r="61" outlineLevel="2" spans="1:9">
      <c r="A61">
        <v>10011</v>
      </c>
      <c r="B61" t="s">
        <v>29</v>
      </c>
      <c r="C61" t="s">
        <v>18</v>
      </c>
      <c r="D61" t="s">
        <v>30</v>
      </c>
      <c r="E61">
        <v>75.5</v>
      </c>
      <c r="F61">
        <v>65.5</v>
      </c>
      <c r="G61">
        <v>73.5</v>
      </c>
      <c r="H61">
        <v>71.5</v>
      </c>
      <c r="I61">
        <v>71.5</v>
      </c>
    </row>
    <row r="62" outlineLevel="2" spans="1:9">
      <c r="A62">
        <v>10023</v>
      </c>
      <c r="B62" t="s">
        <v>31</v>
      </c>
      <c r="C62" t="s">
        <v>18</v>
      </c>
      <c r="D62" t="s">
        <v>23</v>
      </c>
      <c r="E62">
        <v>73.5</v>
      </c>
      <c r="F62">
        <v>78</v>
      </c>
      <c r="G62">
        <v>73</v>
      </c>
      <c r="H62">
        <v>71</v>
      </c>
      <c r="I62">
        <v>77.5</v>
      </c>
    </row>
    <row r="63" outlineLevel="2" spans="1:9">
      <c r="A63">
        <v>10097</v>
      </c>
      <c r="B63" t="s">
        <v>32</v>
      </c>
      <c r="C63" t="s">
        <v>18</v>
      </c>
      <c r="D63" t="s">
        <v>19</v>
      </c>
      <c r="E63">
        <v>68.5</v>
      </c>
      <c r="F63">
        <v>63</v>
      </c>
      <c r="G63">
        <v>88</v>
      </c>
      <c r="H63">
        <v>86</v>
      </c>
      <c r="I63">
        <v>73</v>
      </c>
    </row>
    <row r="64" outlineLevel="2" spans="1:9">
      <c r="A64">
        <v>10064</v>
      </c>
      <c r="B64" t="s">
        <v>33</v>
      </c>
      <c r="C64" t="s">
        <v>18</v>
      </c>
      <c r="D64" t="s">
        <v>28</v>
      </c>
      <c r="E64">
        <v>71.5</v>
      </c>
      <c r="F64">
        <v>88</v>
      </c>
      <c r="G64">
        <v>81</v>
      </c>
      <c r="H64">
        <v>85</v>
      </c>
      <c r="I64">
        <v>82.5</v>
      </c>
    </row>
    <row r="65" outlineLevel="2" spans="1:9">
      <c r="A65">
        <v>10098</v>
      </c>
      <c r="B65" t="s">
        <v>34</v>
      </c>
      <c r="C65" t="s">
        <v>18</v>
      </c>
      <c r="D65" t="s">
        <v>19</v>
      </c>
      <c r="E65">
        <v>82</v>
      </c>
      <c r="F65">
        <v>81</v>
      </c>
      <c r="G65">
        <v>62.5</v>
      </c>
      <c r="H65">
        <v>60.5</v>
      </c>
      <c r="I65">
        <v>92</v>
      </c>
    </row>
    <row r="66" outlineLevel="2" spans="1:9">
      <c r="A66">
        <v>10076</v>
      </c>
      <c r="B66" t="s">
        <v>36</v>
      </c>
      <c r="C66" t="s">
        <v>18</v>
      </c>
      <c r="D66" t="s">
        <v>16</v>
      </c>
      <c r="E66">
        <v>63.5</v>
      </c>
      <c r="F66">
        <v>83</v>
      </c>
      <c r="G66">
        <v>63.5</v>
      </c>
      <c r="H66">
        <v>61.5</v>
      </c>
      <c r="I66">
        <v>70</v>
      </c>
    </row>
    <row r="67" outlineLevel="2" spans="1:9">
      <c r="A67">
        <v>10005</v>
      </c>
      <c r="B67" t="s">
        <v>38</v>
      </c>
      <c r="C67" t="s">
        <v>18</v>
      </c>
      <c r="D67" t="s">
        <v>30</v>
      </c>
      <c r="E67">
        <v>79.5</v>
      </c>
      <c r="F67">
        <v>81.5</v>
      </c>
      <c r="G67">
        <v>71.5</v>
      </c>
      <c r="H67">
        <v>69.5</v>
      </c>
      <c r="I67">
        <v>62</v>
      </c>
    </row>
    <row r="68" outlineLevel="2" spans="1:9">
      <c r="A68">
        <v>10046</v>
      </c>
      <c r="B68" t="s">
        <v>41</v>
      </c>
      <c r="C68" t="s">
        <v>18</v>
      </c>
      <c r="D68" t="s">
        <v>42</v>
      </c>
      <c r="E68">
        <v>84</v>
      </c>
      <c r="F68">
        <v>73</v>
      </c>
      <c r="G68">
        <v>70</v>
      </c>
      <c r="H68">
        <v>76</v>
      </c>
      <c r="I68">
        <v>88</v>
      </c>
    </row>
    <row r="69" outlineLevel="2" spans="1:9">
      <c r="A69">
        <v>10019</v>
      </c>
      <c r="B69" t="s">
        <v>43</v>
      </c>
      <c r="C69" t="s">
        <v>18</v>
      </c>
      <c r="D69" t="s">
        <v>30</v>
      </c>
      <c r="E69">
        <v>72.5</v>
      </c>
      <c r="F69">
        <v>91.5</v>
      </c>
      <c r="G69">
        <v>72</v>
      </c>
      <c r="H69">
        <v>70</v>
      </c>
      <c r="I69">
        <v>82</v>
      </c>
    </row>
    <row r="70" outlineLevel="2" spans="1:9">
      <c r="A70">
        <v>10044</v>
      </c>
      <c r="B70" t="s">
        <v>45</v>
      </c>
      <c r="C70" t="s">
        <v>18</v>
      </c>
      <c r="D70" t="s">
        <v>42</v>
      </c>
      <c r="E70">
        <v>73.5</v>
      </c>
      <c r="F70">
        <v>70</v>
      </c>
      <c r="G70">
        <v>80</v>
      </c>
      <c r="H70">
        <v>82.5</v>
      </c>
      <c r="I70">
        <v>84</v>
      </c>
    </row>
    <row r="71" outlineLevel="2" spans="1:9">
      <c r="A71">
        <v>10068</v>
      </c>
      <c r="B71" t="s">
        <v>49</v>
      </c>
      <c r="C71" t="s">
        <v>18</v>
      </c>
      <c r="D71" t="s">
        <v>28</v>
      </c>
      <c r="E71">
        <v>71</v>
      </c>
      <c r="F71">
        <v>60</v>
      </c>
      <c r="G71">
        <v>66.5</v>
      </c>
      <c r="H71">
        <v>64.5</v>
      </c>
      <c r="I71">
        <v>85</v>
      </c>
    </row>
    <row r="72" outlineLevel="2" spans="1:9">
      <c r="A72">
        <v>10054</v>
      </c>
      <c r="B72" t="s">
        <v>52</v>
      </c>
      <c r="C72" t="s">
        <v>18</v>
      </c>
      <c r="D72" t="s">
        <v>42</v>
      </c>
      <c r="E72">
        <v>81</v>
      </c>
      <c r="F72">
        <v>74.5</v>
      </c>
      <c r="G72">
        <v>75</v>
      </c>
      <c r="H72">
        <v>88</v>
      </c>
      <c r="I72">
        <v>90</v>
      </c>
    </row>
    <row r="73" outlineLevel="2" spans="1:9">
      <c r="A73">
        <v>10031</v>
      </c>
      <c r="B73" t="s">
        <v>58</v>
      </c>
      <c r="C73" t="s">
        <v>18</v>
      </c>
      <c r="D73" t="s">
        <v>23</v>
      </c>
      <c r="E73">
        <v>73.5</v>
      </c>
      <c r="F73">
        <v>69</v>
      </c>
      <c r="G73">
        <v>88.5</v>
      </c>
      <c r="H73">
        <v>86.5</v>
      </c>
      <c r="I73">
        <v>74</v>
      </c>
    </row>
    <row r="74" outlineLevel="2" spans="1:9">
      <c r="A74">
        <v>10079</v>
      </c>
      <c r="B74" t="s">
        <v>61</v>
      </c>
      <c r="C74" t="s">
        <v>18</v>
      </c>
      <c r="D74" t="s">
        <v>16</v>
      </c>
      <c r="E74">
        <v>68</v>
      </c>
      <c r="F74">
        <v>81</v>
      </c>
      <c r="G74">
        <v>85.5</v>
      </c>
      <c r="H74">
        <v>83.5</v>
      </c>
      <c r="I74">
        <v>65.5</v>
      </c>
    </row>
    <row r="75" outlineLevel="2" spans="1:9">
      <c r="A75">
        <v>10057</v>
      </c>
      <c r="B75" t="s">
        <v>62</v>
      </c>
      <c r="C75" t="s">
        <v>18</v>
      </c>
      <c r="D75" t="s">
        <v>42</v>
      </c>
      <c r="E75">
        <v>93</v>
      </c>
      <c r="F75">
        <v>92</v>
      </c>
      <c r="G75">
        <v>86.5</v>
      </c>
      <c r="H75">
        <v>84.5</v>
      </c>
      <c r="I75">
        <v>97</v>
      </c>
    </row>
    <row r="76" outlineLevel="2" spans="1:9">
      <c r="A76">
        <v>10021</v>
      </c>
      <c r="B76" t="s">
        <v>63</v>
      </c>
      <c r="C76" t="s">
        <v>18</v>
      </c>
      <c r="D76" t="s">
        <v>30</v>
      </c>
      <c r="E76">
        <v>82.5</v>
      </c>
      <c r="F76">
        <v>68.5</v>
      </c>
      <c r="G76">
        <v>82</v>
      </c>
      <c r="H76">
        <v>80</v>
      </c>
      <c r="I76">
        <v>79</v>
      </c>
    </row>
    <row r="77" outlineLevel="2" spans="1:9">
      <c r="A77">
        <v>10086</v>
      </c>
      <c r="B77" t="s">
        <v>64</v>
      </c>
      <c r="C77" t="s">
        <v>18</v>
      </c>
      <c r="D77" t="s">
        <v>19</v>
      </c>
      <c r="E77">
        <v>69</v>
      </c>
      <c r="F77">
        <v>68.5</v>
      </c>
      <c r="G77">
        <v>92</v>
      </c>
      <c r="H77">
        <v>90</v>
      </c>
      <c r="I77">
        <v>94.5</v>
      </c>
    </row>
    <row r="78" outlineLevel="2" spans="1:9">
      <c r="A78">
        <v>10062</v>
      </c>
      <c r="B78" t="s">
        <v>65</v>
      </c>
      <c r="C78" t="s">
        <v>18</v>
      </c>
      <c r="D78" t="s">
        <v>28</v>
      </c>
      <c r="E78">
        <v>73</v>
      </c>
      <c r="F78">
        <v>76</v>
      </c>
      <c r="G78">
        <v>56</v>
      </c>
      <c r="H78">
        <v>54</v>
      </c>
      <c r="I78">
        <v>73</v>
      </c>
    </row>
    <row r="79" outlineLevel="2" spans="1:9">
      <c r="A79">
        <v>10089</v>
      </c>
      <c r="B79" t="s">
        <v>71</v>
      </c>
      <c r="C79" t="s">
        <v>18</v>
      </c>
      <c r="D79" t="s">
        <v>19</v>
      </c>
      <c r="E79">
        <v>85</v>
      </c>
      <c r="F79">
        <v>95</v>
      </c>
      <c r="G79">
        <v>94</v>
      </c>
      <c r="H79">
        <v>86.5</v>
      </c>
      <c r="I79">
        <v>92</v>
      </c>
    </row>
    <row r="80" outlineLevel="2" spans="1:9">
      <c r="A80">
        <v>10050</v>
      </c>
      <c r="B80" t="s">
        <v>72</v>
      </c>
      <c r="C80" t="s">
        <v>18</v>
      </c>
      <c r="D80" t="s">
        <v>42</v>
      </c>
      <c r="E80">
        <v>77</v>
      </c>
      <c r="F80">
        <v>77</v>
      </c>
      <c r="G80">
        <v>73</v>
      </c>
      <c r="H80">
        <v>71</v>
      </c>
      <c r="I80">
        <v>73</v>
      </c>
    </row>
    <row r="81" outlineLevel="2" spans="1:9">
      <c r="A81">
        <v>10074</v>
      </c>
      <c r="B81" t="s">
        <v>73</v>
      </c>
      <c r="C81" t="s">
        <v>18</v>
      </c>
      <c r="D81" t="s">
        <v>16</v>
      </c>
      <c r="E81">
        <v>60.5</v>
      </c>
      <c r="F81">
        <v>80</v>
      </c>
      <c r="G81">
        <v>80.5</v>
      </c>
      <c r="H81">
        <v>78.5</v>
      </c>
      <c r="I81">
        <v>76</v>
      </c>
    </row>
    <row r="82" outlineLevel="2" spans="1:9">
      <c r="A82">
        <v>10035</v>
      </c>
      <c r="B82" t="s">
        <v>75</v>
      </c>
      <c r="C82" t="s">
        <v>18</v>
      </c>
      <c r="D82" t="s">
        <v>23</v>
      </c>
      <c r="E82">
        <v>79.5</v>
      </c>
      <c r="F82">
        <v>73</v>
      </c>
      <c r="G82">
        <v>79.5</v>
      </c>
      <c r="H82">
        <v>77.5</v>
      </c>
      <c r="I82">
        <v>70.5</v>
      </c>
    </row>
    <row r="83" outlineLevel="2" spans="1:9">
      <c r="A83">
        <v>10055</v>
      </c>
      <c r="B83" t="s">
        <v>77</v>
      </c>
      <c r="C83" t="s">
        <v>18</v>
      </c>
      <c r="D83" t="s">
        <v>42</v>
      </c>
      <c r="E83">
        <v>72</v>
      </c>
      <c r="F83">
        <v>94.5</v>
      </c>
      <c r="G83">
        <v>70.5</v>
      </c>
      <c r="H83">
        <v>68.5</v>
      </c>
      <c r="I83">
        <v>84.5</v>
      </c>
    </row>
    <row r="84" outlineLevel="2" spans="1:9">
      <c r="A84">
        <v>10080</v>
      </c>
      <c r="B84" t="s">
        <v>78</v>
      </c>
      <c r="C84" t="s">
        <v>18</v>
      </c>
      <c r="D84" t="s">
        <v>16</v>
      </c>
      <c r="E84">
        <v>81</v>
      </c>
      <c r="F84">
        <v>83</v>
      </c>
      <c r="G84">
        <v>75.5</v>
      </c>
      <c r="H84">
        <v>73.5</v>
      </c>
      <c r="I84">
        <v>62.5</v>
      </c>
    </row>
    <row r="85" outlineLevel="2" spans="1:9">
      <c r="A85">
        <v>10059</v>
      </c>
      <c r="B85" t="s">
        <v>81</v>
      </c>
      <c r="C85" t="s">
        <v>18</v>
      </c>
      <c r="D85" t="s">
        <v>28</v>
      </c>
      <c r="E85">
        <v>90.5</v>
      </c>
      <c r="F85">
        <v>50</v>
      </c>
      <c r="G85">
        <v>88</v>
      </c>
      <c r="H85">
        <v>72</v>
      </c>
      <c r="I85">
        <v>91.5</v>
      </c>
    </row>
    <row r="86" outlineLevel="2" spans="1:9">
      <c r="A86">
        <v>10013</v>
      </c>
      <c r="B86" t="s">
        <v>88</v>
      </c>
      <c r="C86" t="s">
        <v>18</v>
      </c>
      <c r="D86" t="s">
        <v>30</v>
      </c>
      <c r="E86">
        <v>91</v>
      </c>
      <c r="F86">
        <v>83.5</v>
      </c>
      <c r="G86">
        <v>82.5</v>
      </c>
      <c r="H86">
        <v>80.5</v>
      </c>
      <c r="I86">
        <v>84</v>
      </c>
    </row>
    <row r="87" outlineLevel="2" spans="1:9">
      <c r="A87">
        <v>10052</v>
      </c>
      <c r="B87" t="s">
        <v>89</v>
      </c>
      <c r="C87" t="s">
        <v>18</v>
      </c>
      <c r="D87" t="s">
        <v>42</v>
      </c>
      <c r="E87">
        <v>89</v>
      </c>
      <c r="F87">
        <v>75</v>
      </c>
      <c r="G87">
        <v>61</v>
      </c>
      <c r="H87">
        <v>59</v>
      </c>
      <c r="I87">
        <v>76.5</v>
      </c>
    </row>
    <row r="88" outlineLevel="2" spans="1:9">
      <c r="A88">
        <v>10026</v>
      </c>
      <c r="B88" t="s">
        <v>92</v>
      </c>
      <c r="C88" t="s">
        <v>18</v>
      </c>
      <c r="D88" t="s">
        <v>23</v>
      </c>
      <c r="E88">
        <v>82.5</v>
      </c>
      <c r="F88">
        <v>72</v>
      </c>
      <c r="G88">
        <v>67.5</v>
      </c>
      <c r="H88">
        <v>65.5</v>
      </c>
      <c r="I88">
        <v>77.5</v>
      </c>
    </row>
    <row r="89" outlineLevel="2" spans="1:9">
      <c r="A89">
        <v>10008</v>
      </c>
      <c r="B89" t="s">
        <v>94</v>
      </c>
      <c r="C89" t="s">
        <v>18</v>
      </c>
      <c r="D89" t="s">
        <v>30</v>
      </c>
      <c r="E89">
        <v>91</v>
      </c>
      <c r="F89">
        <v>86</v>
      </c>
      <c r="G89">
        <v>73</v>
      </c>
      <c r="H89">
        <v>71</v>
      </c>
      <c r="I89">
        <v>67.5</v>
      </c>
    </row>
    <row r="90" outlineLevel="2" spans="1:9">
      <c r="A90">
        <v>10004</v>
      </c>
      <c r="B90" t="s">
        <v>101</v>
      </c>
      <c r="C90" t="s">
        <v>18</v>
      </c>
      <c r="D90" t="s">
        <v>30</v>
      </c>
      <c r="E90">
        <v>85.5</v>
      </c>
      <c r="F90">
        <v>66</v>
      </c>
      <c r="G90">
        <v>74</v>
      </c>
      <c r="H90">
        <v>72</v>
      </c>
      <c r="I90">
        <v>65.5</v>
      </c>
    </row>
    <row r="91" outlineLevel="2" spans="1:9">
      <c r="A91">
        <v>10025</v>
      </c>
      <c r="B91" t="s">
        <v>102</v>
      </c>
      <c r="C91" t="s">
        <v>18</v>
      </c>
      <c r="D91" t="s">
        <v>23</v>
      </c>
      <c r="E91">
        <v>77</v>
      </c>
      <c r="F91">
        <v>90</v>
      </c>
      <c r="G91">
        <v>74.5</v>
      </c>
      <c r="H91">
        <v>72.5</v>
      </c>
      <c r="I91">
        <v>77.5</v>
      </c>
    </row>
    <row r="92" outlineLevel="2" spans="1:9">
      <c r="A92">
        <v>10094</v>
      </c>
      <c r="B92" t="s">
        <v>104</v>
      </c>
      <c r="C92" t="s">
        <v>18</v>
      </c>
      <c r="D92" t="s">
        <v>19</v>
      </c>
      <c r="E92">
        <v>81.5</v>
      </c>
      <c r="F92">
        <v>94</v>
      </c>
      <c r="G92">
        <v>94</v>
      </c>
      <c r="H92">
        <v>90</v>
      </c>
      <c r="I92">
        <v>95</v>
      </c>
    </row>
    <row r="93" outlineLevel="2" spans="1:9">
      <c r="A93">
        <v>10016</v>
      </c>
      <c r="B93" t="s">
        <v>105</v>
      </c>
      <c r="C93" t="s">
        <v>18</v>
      </c>
      <c r="D93" t="s">
        <v>30</v>
      </c>
      <c r="E93">
        <v>74.5</v>
      </c>
      <c r="F93">
        <v>71.5</v>
      </c>
      <c r="G93">
        <v>82.5</v>
      </c>
      <c r="H93">
        <v>80.5</v>
      </c>
      <c r="I93">
        <v>83</v>
      </c>
    </row>
    <row r="94" outlineLevel="2" spans="1:9">
      <c r="A94">
        <v>10014</v>
      </c>
      <c r="B94" t="s">
        <v>107</v>
      </c>
      <c r="C94" t="s">
        <v>18</v>
      </c>
      <c r="D94" t="s">
        <v>30</v>
      </c>
      <c r="E94">
        <v>75.5</v>
      </c>
      <c r="F94">
        <v>74</v>
      </c>
      <c r="G94">
        <v>76</v>
      </c>
      <c r="H94">
        <v>74</v>
      </c>
      <c r="I94">
        <v>73.5</v>
      </c>
    </row>
    <row r="95" outlineLevel="2" spans="1:9">
      <c r="A95">
        <v>10093</v>
      </c>
      <c r="B95" t="s">
        <v>109</v>
      </c>
      <c r="C95" t="s">
        <v>18</v>
      </c>
      <c r="D95" t="s">
        <v>19</v>
      </c>
      <c r="E95">
        <v>71.5</v>
      </c>
      <c r="F95">
        <v>60</v>
      </c>
      <c r="G95">
        <v>52</v>
      </c>
      <c r="H95">
        <v>50</v>
      </c>
      <c r="I95">
        <v>58</v>
      </c>
    </row>
    <row r="96" outlineLevel="2" spans="1:9">
      <c r="A96">
        <v>10022</v>
      </c>
      <c r="B96" t="s">
        <v>112</v>
      </c>
      <c r="C96" t="s">
        <v>18</v>
      </c>
      <c r="D96" t="s">
        <v>23</v>
      </c>
      <c r="E96">
        <v>91</v>
      </c>
      <c r="F96">
        <v>98</v>
      </c>
      <c r="G96">
        <v>94</v>
      </c>
      <c r="H96">
        <v>92</v>
      </c>
      <c r="I96">
        <v>82</v>
      </c>
    </row>
    <row r="97" outlineLevel="2" spans="1:9">
      <c r="A97">
        <v>10065</v>
      </c>
      <c r="B97" t="s">
        <v>113</v>
      </c>
      <c r="C97" t="s">
        <v>18</v>
      </c>
      <c r="D97" t="s">
        <v>28</v>
      </c>
      <c r="E97">
        <v>80.5</v>
      </c>
      <c r="F97">
        <v>90</v>
      </c>
      <c r="G97">
        <v>63.5</v>
      </c>
      <c r="H97">
        <v>85</v>
      </c>
      <c r="I97">
        <v>92.5</v>
      </c>
    </row>
    <row r="98" outlineLevel="2" spans="1:9">
      <c r="A98">
        <v>10087</v>
      </c>
      <c r="B98" t="s">
        <v>117</v>
      </c>
      <c r="C98" t="s">
        <v>18</v>
      </c>
      <c r="D98" t="s">
        <v>19</v>
      </c>
      <c r="E98">
        <v>69</v>
      </c>
      <c r="F98">
        <v>75</v>
      </c>
      <c r="G98">
        <v>89</v>
      </c>
      <c r="H98">
        <v>80</v>
      </c>
      <c r="I98">
        <v>75</v>
      </c>
    </row>
    <row r="99" outlineLevel="2" spans="1:9">
      <c r="A99">
        <v>10033</v>
      </c>
      <c r="B99" t="s">
        <v>118</v>
      </c>
      <c r="C99" t="s">
        <v>18</v>
      </c>
      <c r="D99" t="s">
        <v>23</v>
      </c>
      <c r="E99">
        <v>92.5</v>
      </c>
      <c r="F99">
        <v>82</v>
      </c>
      <c r="G99">
        <v>75</v>
      </c>
      <c r="H99">
        <v>73</v>
      </c>
      <c r="I99">
        <v>82</v>
      </c>
    </row>
    <row r="100" outlineLevel="2" spans="1:9">
      <c r="A100">
        <v>10017</v>
      </c>
      <c r="B100" t="s">
        <v>120</v>
      </c>
      <c r="C100" t="s">
        <v>18</v>
      </c>
      <c r="D100" t="s">
        <v>30</v>
      </c>
      <c r="E100">
        <v>82</v>
      </c>
      <c r="F100">
        <v>80.5</v>
      </c>
      <c r="G100">
        <v>77.5</v>
      </c>
      <c r="H100">
        <v>75.5</v>
      </c>
      <c r="I100">
        <v>64</v>
      </c>
    </row>
    <row r="101" outlineLevel="2" spans="1:9">
      <c r="A101">
        <v>10006</v>
      </c>
      <c r="B101" t="s">
        <v>122</v>
      </c>
      <c r="C101" t="s">
        <v>18</v>
      </c>
      <c r="D101" t="s">
        <v>30</v>
      </c>
      <c r="E101">
        <v>65.5</v>
      </c>
      <c r="F101">
        <v>74</v>
      </c>
      <c r="G101">
        <v>69</v>
      </c>
      <c r="H101">
        <v>67</v>
      </c>
      <c r="I101">
        <v>70</v>
      </c>
    </row>
    <row r="102" outlineLevel="1" spans="3:9">
      <c r="C102" s="1" t="s">
        <v>128</v>
      </c>
      <c r="F102">
        <f>SUBTOTAL(1,F58:F101)</f>
        <v>77.2954545454545</v>
      </c>
      <c r="I102">
        <f>SUBTOTAL(1,I58:I101)</f>
        <v>78.1704545454545</v>
      </c>
    </row>
    <row r="103" spans="3:9">
      <c r="C103" s="1" t="s">
        <v>129</v>
      </c>
      <c r="F103">
        <f>SUBTOTAL(1,F2:F101)</f>
        <v>78.1161616161616</v>
      </c>
      <c r="I103">
        <f>SUBTOTAL(1,I2:I101)</f>
        <v>77.7878787878788</v>
      </c>
    </row>
  </sheetData>
  <sortState ref="A2:I100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成绩排序</vt:lpstr>
      <vt:lpstr>成绩筛选</vt:lpstr>
      <vt:lpstr>成绩汇总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微信用户</cp:lastModifiedBy>
  <dcterms:created xsi:type="dcterms:W3CDTF">2020-11-10T11:51:00Z</dcterms:created>
  <dcterms:modified xsi:type="dcterms:W3CDTF">2024-11-20T01:57:11Z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194D54FCCB414F8AB0B190240CCF0C00_12</vt:lpwstr>
  </property>
</Properties>
</file>
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108" windowWidth="19392" windowHeight="7608"/>
  </bookViews>
  <sheets>
    <sheet name="1月加班记录" sheetId="1" r:id="rId1"/>
  </sheets>
  <calcPr calcId="144525"/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3" i="1"/>
</calcChain>
</file>

<file path=xl/sharedStrings.xml><?xml version="1.0" encoding="utf-8"?>
<sst xmlns="http://schemas.openxmlformats.org/spreadsheetml/2006/main" count="50" uniqueCount="39">
  <si>
    <t>序号</t>
    <phoneticPr fontId="3" type="noConversion"/>
  </si>
  <si>
    <t>加班人</t>
  </si>
  <si>
    <t>职务</t>
  </si>
  <si>
    <t>从何时开始</t>
  </si>
  <si>
    <t>到何时结束</t>
  </si>
  <si>
    <t>加班时间</t>
    <phoneticPr fontId="3" type="noConversion"/>
  </si>
  <si>
    <t>加班费</t>
  </si>
  <si>
    <t>林晓彤</t>
    <phoneticPr fontId="3" type="noConversion"/>
  </si>
  <si>
    <t>员工</t>
    <phoneticPr fontId="3" type="noConversion"/>
  </si>
  <si>
    <t>江雨薇</t>
  </si>
  <si>
    <t>主管</t>
    <phoneticPr fontId="3" type="noConversion"/>
  </si>
  <si>
    <t>郝思嘉</t>
  </si>
  <si>
    <t>章韦</t>
  </si>
  <si>
    <t>副主管</t>
    <phoneticPr fontId="3" type="noConversion"/>
  </si>
  <si>
    <t>曾云儿</t>
  </si>
  <si>
    <t>邱月清</t>
  </si>
  <si>
    <t>沈沉</t>
  </si>
  <si>
    <t>蔡小蓓</t>
  </si>
  <si>
    <t>尹南</t>
  </si>
  <si>
    <t>陈小旭</t>
  </si>
  <si>
    <t>薛婧</t>
  </si>
  <si>
    <t>乔小麦</t>
  </si>
  <si>
    <t>赵小若</t>
  </si>
  <si>
    <t>柳晓琳</t>
  </si>
  <si>
    <t>001</t>
    <phoneticPr fontId="2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</si>
  <si>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</si>
  <si>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</si>
  <si>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</si>
  <si>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</si>
  <si>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</si>
  <si>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</si>
  <si>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</si>
  <si>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</si>
  <si>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</si>
  <si>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</si>
  <si>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</si>
  <si>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</si>
  <si>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</si>
  <si>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员工加班记录表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</si>
</sst>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h:mm;@"/>
    <numFmt numFmtId="177" formatCode="0.0_ "/>
    <numFmt numFmtId="178" formatCode="0_ "/>
  </numFmts>
  <fonts count="6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8"/>
      <color theme="1"/>
      <name val="宋体"/>
      <family val="2"/>
      <charset val="134"/>
      <scheme val="minor"/>
    </font>
    <font>
      <sz val="1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horizontal="center" vertical="center" textRotation="255" wrapText="1" readingOrder="1"/>
    </xf>
    <xf numFmtId="0" fontId="0" fillId="0" borderId="0" xfId="0" applyBorder="1">
      <alignment vertical="center"/>
    </xf>
    <xf numFmtId="49" fontId="1" fillId="0" borderId="4" xfId="0" applyNumberFormat="1" applyFont="1" applyFill="1" applyBorder="1" applyAlignment="1">
      <alignment horizontal="center" vertical="top"/>
    </xf>
    <xf numFmtId="0" fontId="1" fillId="0" borderId="5" xfId="0" applyFont="1" applyFill="1" applyBorder="1" applyAlignment="1">
      <alignment horizontal="center" vertical="top"/>
    </xf>
    <xf numFmtId="176" fontId="1" fillId="0" borderId="5" xfId="0" applyNumberFormat="1" applyFont="1" applyFill="1" applyBorder="1" applyAlignment="1">
      <alignment horizontal="center" vertical="top"/>
    </xf>
    <xf numFmtId="49" fontId="1" fillId="0" borderId="7" xfId="0" applyNumberFormat="1" applyFont="1" applyFill="1" applyBorder="1" applyAlignment="1">
      <alignment horizontal="center" vertical="top"/>
    </xf>
    <xf numFmtId="0" fontId="1" fillId="0" borderId="8" xfId="0" applyFont="1" applyFill="1" applyBorder="1" applyAlignment="1">
      <alignment horizontal="center" vertical="top"/>
    </xf>
    <xf numFmtId="176" fontId="1" fillId="0" borderId="8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 shrinkToFit="1"/>
    </xf>
    <xf numFmtId="0" fontId="1" fillId="2" borderId="3" xfId="0" applyFont="1" applyFill="1" applyBorder="1" applyAlignment="1">
      <alignment horizontal="center" vertical="top"/>
    </xf>
    <xf numFmtId="177" fontId="1" fillId="0" borderId="5" xfId="0" applyNumberFormat="1" applyFont="1" applyFill="1" applyBorder="1" applyAlignment="1">
      <alignment horizontal="center" vertical="top"/>
    </xf>
    <xf numFmtId="178" fontId="1" fillId="0" borderId="6" xfId="0" applyNumberFormat="1" applyFont="1" applyFill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1" fillId="0" borderId="8" xfId="0" applyNumberFormat="1" applyFont="1" applyFill="1" applyBorder="1" applyAlignment="1">
      <alignment horizontal="center" vertical="top"/>
    </xf>
    <xf numFmtId="178" fontId="1" fillId="0" borderId="9" xfId="0" applyNumberFormat="1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'1月加班记录'!$G$2</c:f>
              <c:strCache>
                <c:ptCount val="1"/>
                <c:pt idx="0">
                  <c:v>加班费</c:v>
                </c:pt>
              </c:strCache>
            </c:strRef>
          </c:tx>
          <c:invertIfNegative val="0"/>
          <c:cat>
            <c:strRef>
              <c:f>'1月加班记录'!$B$3:$B$6</c:f>
              <c:strCache>
                <c:ptCount val="4"/>
                <c:pt idx="0">
                  <c:v>林晓彤</c:v>
                </c:pt>
                <c:pt idx="1">
                  <c:v>江雨薇</c:v>
                </c:pt>
                <c:pt idx="2">
                  <c:v>郝思嘉</c:v>
                </c:pt>
                <c:pt idx="3">
                  <c:v>章韦</c:v>
                </c:pt>
              </c:strCache>
            </c:strRef>
          </c:cat>
          <c:val>
            <c:numRef>
              <c:f>'1月加班记录'!$G$3:$G$6</c:f>
              <c:numCache>
                <c:formatCode>0_ </c:formatCode>
                <c:ptCount val="4"/>
                <c:pt idx="0">
                  <c:v>75.000000000000057</c:v>
                </c:pt>
                <c:pt idx="1">
                  <c:v>60</c:v>
                </c:pt>
                <c:pt idx="2">
                  <c:v>60.000000000000156</c:v>
                </c:pt>
                <c:pt idx="3">
                  <c:v>56.249999999999801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023616"/>
        <c:axId val="205237632"/>
        <c:axId val="0"/>
      </c:bar3DChart>
      <c:catAx>
        <c:axId val="197023616"/>
        <c:scaling>
          <c:orientation val="minMax"/>
        </c:scaling>
        <c:delete val="0"/>
        <c:axPos val="b"/>
        <c:majorTickMark val="out"/>
        <c:minorTickMark val="none"/>
        <c:tickLblPos val="nextTo"/>
        <c:crossAx val="205237632"/>
        <c:crosses val="autoZero"/>
        <c:auto val="1"/>
        <c:lblAlgn val="ctr"/>
        <c:lblOffset val="100"/>
        <c:noMultiLvlLbl val="0"/>
      </c:catAx>
      <c:valAx>
        <c:axId val="205237632"/>
        <c:scaling>
          <c:orientation val="minMax"/>
        </c:scaling>
        <c:delete val="0"/>
        <c:axPos val="l"/>
        <c:majorGridlines/>
        <c:numFmt formatCode="0_ " sourceLinked="1"/>
        <c:majorTickMark val="out"/>
        <c:minorTickMark val="none"/>
        <c:tickLblPos val="nextTo"/>
        <c:crossAx val="197023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2</xdr:row>
      <xdr:rowOff>41910</xdr:rowOff>
    </xdr:from>
    <xdr:to>
      <xdr:col>15</xdr:col>
      <xdr:colOff>76200</xdr:colOff>
      <xdr:row>16</xdr:row>
      <xdr:rowOff>3810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abSelected="1" workbookViewId="0">
      <selection activeCell="A6" sqref="A6"/>
    </sheetView>
  </sheetViews>
  <sheetFormatPr defaultRowHeight="14.4" x14ac:dyDescent="0.25"/>
  <cols>
    <col min="1" max="1" width="9.88671875" customWidth="1"/>
  </cols>
  <sheetData>
    <row r="1" spans="1:7" ht="22.8" thickBot="1" x14ac:dyDescent="0.3">
      <c r="A1" s="15" t="s">
        <v>38</v>
      </c>
      <c r="B1" s="16"/>
      <c r="C1" s="16"/>
      <c r="D1" s="16"/>
      <c r="E1" s="16"/>
      <c r="F1" s="16"/>
      <c r="G1" s="16"/>
    </row>
    <row r="2" spans="1:7" ht="18" customHeight="1" thickTop="1" x14ac:dyDescent="0.25">
      <c r="A2" s="9" t="s">
        <v>0</v>
      </c>
      <c r="B2" s="10" t="s">
        <v>1</v>
      </c>
      <c r="C2" s="10" t="s">
        <v>2</v>
      </c>
      <c r="D2" s="11" t="s">
        <v>3</v>
      </c>
      <c r="E2" s="11" t="s">
        <v>4</v>
      </c>
      <c r="F2" s="10" t="s">
        <v>5</v>
      </c>
      <c r="G2" s="12" t="s">
        <v>6</v>
      </c>
    </row>
    <row r="3" spans="1:7" ht="15.6" x14ac:dyDescent="0.25">
      <c r="A3" s="3" t="s">
        <v>24</v>
      </c>
      <c r="B3" s="4" t="s">
        <v>7</v>
      </c>
      <c r="C3" s="4" t="s">
        <v>8</v>
      </c>
      <c r="D3" s="5">
        <v>0.79166666666666663</v>
      </c>
      <c r="E3" s="5">
        <v>0.89583333333333337</v>
      </c>
      <c r="F3" s="13">
        <f>(E3-D3)*24</f>
        <v>2.5000000000000018</v>
      </c>
      <c r="G3" s="14">
        <f>IF(C3="员工",30,IF(C3="副主管",25,IF(C3="主管",20)))*F3</f>
        <v>75.000000000000057</v>
      </c>
    </row>
    <row r="4" spans="1:7" ht="15.6" x14ac:dyDescent="0.25">
      <c r="A4" s="3" t="s">
        <v>25</v>
      </c>
      <c r="B4" s="4" t="s">
        <v>9</v>
      </c>
      <c r="C4" s="4" t="s">
        <v>10</v>
      </c>
      <c r="D4" s="5">
        <v>0.75</v>
      </c>
      <c r="E4" s="5">
        <v>0.875</v>
      </c>
      <c r="F4" s="13">
        <f t="shared" ref="F4:F16" si="0">(E4-D4)*24</f>
        <v>3</v>
      </c>
      <c r="G4" s="14">
        <f t="shared" ref="G4:G16" si="1">IF(C4="员工",30,IF(C4="副主管",25,IF(C4="主管",20)))*F4</f>
        <v>60</v>
      </c>
    </row>
    <row r="5" spans="1:7" ht="15.6" x14ac:dyDescent="0.25">
      <c r="A5" s="3" t="s">
        <v>26</v>
      </c>
      <c r="B5" s="4" t="s">
        <v>11</v>
      </c>
      <c r="C5" s="4" t="s">
        <v>10</v>
      </c>
      <c r="D5" s="5">
        <v>0.79166666666666663</v>
      </c>
      <c r="E5" s="5">
        <v>0.91666666666666696</v>
      </c>
      <c r="F5" s="13">
        <f t="shared" si="0"/>
        <v>3.000000000000008</v>
      </c>
      <c r="G5" s="14">
        <f t="shared" si="1"/>
        <v>60.000000000000156</v>
      </c>
    </row>
    <row r="6" spans="1:7" ht="15.6" x14ac:dyDescent="0.25">
      <c r="A6" s="3" t="s">
        <v>27</v>
      </c>
      <c r="B6" s="4" t="s">
        <v>12</v>
      </c>
      <c r="C6" s="4" t="s">
        <v>13</v>
      </c>
      <c r="D6" s="5">
        <v>0.86458333333333337</v>
      </c>
      <c r="E6" s="5">
        <v>0.95833333333333304</v>
      </c>
      <c r="F6" s="13">
        <f t="shared" si="0"/>
        <v>2.249999999999992</v>
      </c>
      <c r="G6" s="14">
        <f t="shared" si="1"/>
        <v>56.249999999999801</v>
      </c>
    </row>
    <row r="7" spans="1:7" ht="15.6" x14ac:dyDescent="0.25">
      <c r="A7" s="3" t="s">
        <v>28</v>
      </c>
      <c r="B7" s="4" t="s">
        <v>14</v>
      </c>
      <c r="C7" s="4" t="s">
        <v>8</v>
      </c>
      <c r="D7" s="5">
        <v>0.77083333333333337</v>
      </c>
      <c r="E7" s="5">
        <v>0.85416666666666663</v>
      </c>
      <c r="F7" s="13">
        <f t="shared" si="0"/>
        <v>1.9999999999999982</v>
      </c>
      <c r="G7" s="14">
        <f t="shared" si="1"/>
        <v>59.999999999999943</v>
      </c>
    </row>
    <row r="8" spans="1:7" ht="15.6" x14ac:dyDescent="0.25">
      <c r="A8" s="3" t="s">
        <v>29</v>
      </c>
      <c r="B8" s="4" t="s">
        <v>15</v>
      </c>
      <c r="C8" s="4" t="s">
        <v>8</v>
      </c>
      <c r="D8" s="5">
        <v>0.8125</v>
      </c>
      <c r="E8" s="5">
        <v>0.875</v>
      </c>
      <c r="F8" s="13">
        <f t="shared" si="0"/>
        <v>1.5</v>
      </c>
      <c r="G8" s="14">
        <f t="shared" si="1"/>
        <v>45</v>
      </c>
    </row>
    <row r="9" spans="1:7" ht="15.6" x14ac:dyDescent="0.25">
      <c r="A9" s="3" t="s">
        <v>30</v>
      </c>
      <c r="B9" s="4" t="s">
        <v>16</v>
      </c>
      <c r="C9" s="4" t="s">
        <v>10</v>
      </c>
      <c r="D9" s="5">
        <v>0.85416666666666696</v>
      </c>
      <c r="E9" s="5">
        <v>0.91666666666666663</v>
      </c>
      <c r="F9" s="13">
        <f t="shared" si="0"/>
        <v>1.499999999999992</v>
      </c>
      <c r="G9" s="14">
        <f t="shared" si="1"/>
        <v>29.99999999999984</v>
      </c>
    </row>
    <row r="10" spans="1:7" ht="15.6" x14ac:dyDescent="0.25">
      <c r="A10" s="3" t="s">
        <v>31</v>
      </c>
      <c r="B10" s="4" t="s">
        <v>17</v>
      </c>
      <c r="C10" s="4" t="s">
        <v>13</v>
      </c>
      <c r="D10" s="5">
        <v>0.83333333333333337</v>
      </c>
      <c r="E10" s="5">
        <v>0.9375</v>
      </c>
      <c r="F10" s="13">
        <f t="shared" si="0"/>
        <v>2.4999999999999991</v>
      </c>
      <c r="G10" s="14">
        <f t="shared" si="1"/>
        <v>62.499999999999979</v>
      </c>
    </row>
    <row r="11" spans="1:7" ht="15.6" x14ac:dyDescent="0.25">
      <c r="A11" s="3" t="s">
        <v>32</v>
      </c>
      <c r="B11" s="4" t="s">
        <v>18</v>
      </c>
      <c r="C11" s="4" t="s">
        <v>8</v>
      </c>
      <c r="D11" s="5">
        <v>0.85416666666666696</v>
      </c>
      <c r="E11" s="5">
        <v>0.91666666666666663</v>
      </c>
      <c r="F11" s="13">
        <f t="shared" si="0"/>
        <v>1.499999999999992</v>
      </c>
      <c r="G11" s="14">
        <f t="shared" si="1"/>
        <v>44.999999999999758</v>
      </c>
    </row>
    <row r="12" spans="1:7" ht="15.6" x14ac:dyDescent="0.25">
      <c r="A12" s="3" t="s">
        <v>33</v>
      </c>
      <c r="B12" s="4" t="s">
        <v>19</v>
      </c>
      <c r="C12" s="4" t="s">
        <v>8</v>
      </c>
      <c r="D12" s="5">
        <v>0.83333333333333337</v>
      </c>
      <c r="E12" s="5">
        <v>0.9375</v>
      </c>
      <c r="F12" s="13">
        <f t="shared" si="0"/>
        <v>2.4999999999999991</v>
      </c>
      <c r="G12" s="14">
        <f t="shared" si="1"/>
        <v>74.999999999999972</v>
      </c>
    </row>
    <row r="13" spans="1:7" ht="15.6" x14ac:dyDescent="0.25">
      <c r="A13" s="3" t="s">
        <v>34</v>
      </c>
      <c r="B13" s="4" t="s">
        <v>20</v>
      </c>
      <c r="C13" s="4" t="s">
        <v>8</v>
      </c>
      <c r="D13" s="5">
        <v>0.83333333333333337</v>
      </c>
      <c r="E13" s="5">
        <v>0.9375</v>
      </c>
      <c r="F13" s="13">
        <f t="shared" si="0"/>
        <v>2.4999999999999991</v>
      </c>
      <c r="G13" s="14">
        <f t="shared" si="1"/>
        <v>74.999999999999972</v>
      </c>
    </row>
    <row r="14" spans="1:7" ht="15.6" x14ac:dyDescent="0.25">
      <c r="A14" s="3" t="s">
        <v>35</v>
      </c>
      <c r="B14" s="4" t="s">
        <v>21</v>
      </c>
      <c r="C14" s="4" t="s">
        <v>10</v>
      </c>
      <c r="D14" s="5">
        <v>0.83333333333333337</v>
      </c>
      <c r="E14" s="5">
        <v>0.91666666666666663</v>
      </c>
      <c r="F14" s="13">
        <f t="shared" si="0"/>
        <v>1.9999999999999982</v>
      </c>
      <c r="G14" s="14">
        <f t="shared" si="1"/>
        <v>39.999999999999964</v>
      </c>
    </row>
    <row r="15" spans="1:7" ht="15.6" x14ac:dyDescent="0.25">
      <c r="A15" s="3" t="s">
        <v>36</v>
      </c>
      <c r="B15" s="4" t="s">
        <v>22</v>
      </c>
      <c r="C15" s="4" t="s">
        <v>8</v>
      </c>
      <c r="D15" s="5">
        <v>0.83333333333333337</v>
      </c>
      <c r="E15" s="5">
        <v>0.9375</v>
      </c>
      <c r="F15" s="13">
        <f t="shared" si="0"/>
        <v>2.4999999999999991</v>
      </c>
      <c r="G15" s="14">
        <f t="shared" si="1"/>
        <v>74.999999999999972</v>
      </c>
    </row>
    <row r="16" spans="1:7" ht="16.2" thickBot="1" x14ac:dyDescent="0.3">
      <c r="A16" s="6" t="s">
        <v>37</v>
      </c>
      <c r="B16" s="7" t="s">
        <v>23</v>
      </c>
      <c r="C16" s="7" t="s">
        <v>10</v>
      </c>
      <c r="D16" s="8">
        <v>0.83333333333333337</v>
      </c>
      <c r="E16" s="8">
        <v>0.9375</v>
      </c>
      <c r="F16" s="17">
        <f t="shared" si="0"/>
        <v>2.4999999999999991</v>
      </c>
      <c r="G16" s="18">
        <f t="shared" si="1"/>
        <v>49.999999999999986</v>
      </c>
    </row>
    <row r="17" spans="1:7" ht="15" thickTop="1" x14ac:dyDescent="0.25">
      <c r="A17" s="1"/>
      <c r="B17" s="2"/>
      <c r="C17" s="2"/>
      <c r="D17" s="2"/>
      <c r="E17" s="2"/>
      <c r="F17" s="2"/>
      <c r="G17" s="2"/>
    </row>
  </sheetData>
  <mergeCells count="1">
    <mergeCell ref="A1:G1"/>
  </mergeCells>
  <phoneticPr fontId="2" type="noConversion"/>
  <pageMargins left="0.7" right="0.7" top="0.75" bottom="0.75" header="0.3" footer="0.3"/>
  <pageSetup paperSize="9" orientation="portrait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1月加班记录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陈歆</dc:creator>
  <cp:lastModifiedBy>Admin</cp:lastModifiedBy>
  <dcterms:created xsi:type="dcterms:W3CDTF">2011-11-16T14:35:09Z</dcterms:created>
  <dcterms:modified xsi:type="dcterms:W3CDTF">2021-05-07T02:13:36Z</dcterms:modified>
</cp:coreProperties>
</file>
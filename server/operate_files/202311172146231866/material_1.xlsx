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12" i="1"/>
  <c r="E11" i="1"/>
  <c r="E3" i="1"/>
  <c r="D10" i="1"/>
  <c r="E10" i="1" s="1"/>
  <c r="D4" i="1"/>
  <c r="D5" i="1"/>
  <c r="D7" i="1"/>
  <c r="E7" i="1" s="1"/>
  <c r="D8" i="1"/>
  <c r="E8" i="1" s="1"/>
  <c r="D12" i="1"/>
  <c r="D11" i="1"/>
  <c r="D9" i="1"/>
  <c r="E9" i="1" s="1"/>
  <c r="D6" i="1"/>
  <c r="E6" i="1" s="1"/>
  <c r="D3" i="1"/>
</calcChain>
</file>

<file path=xl/comments1.xml><?xml version="1.0" encoding="utf-8"?>
<comments xmlns="http://schemas.openxmlformats.org/spreadsheetml/2006/main">
  <authors>
    <author>Admin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需要锻炼减肥</t>
        </r>
      </text>
    </comment>
  </commentList>
</comments>
</file>

<file path=xl/sharedStrings.xml><?xml version="1.0" encoding="utf-8"?>
<sst xmlns="http://schemas.openxmlformats.org/spreadsheetml/2006/main" count="16" uniqueCount="16">
  <si>
    <t>体重指数</t>
    <phoneticPr fontId="1" type="noConversion"/>
  </si>
  <si>
    <t>备注</t>
  </si>
  <si>
    <t>学号</t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</si>
  <si>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</si>
  <si>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</si>
  <si>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</si>
  <si>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</si>
  <si>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</si>
  <si>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</si>
  <si>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</si>
  <si>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</si>
  <si>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</si>
  <si>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</si>
  <si>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体重（kg）</t>
    <phoneticPr fontId="1" type="noConversion"/>
  </si>
  <si>
    <t>身高(m)</t>
    <phoneticPr fontId="1" type="noConversion"/>
  </si>
  <si>
    <t>学生体重指数统计表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</si>
</sst>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FF0000"/>
      <name val="宋体"/>
      <family val="3"/>
      <charset val="134"/>
    </font>
    <font>
      <sz val="20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7030A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ck">
        <color rgb="FF7030A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ck">
        <color rgb="FF703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right"/>
    </xf>
    <xf numFmtId="0" fontId="0" fillId="0" borderId="5" xfId="0" applyBorder="1"/>
    <xf numFmtId="176" fontId="0" fillId="0" borderId="5" xfId="0" applyNumberFormat="1" applyBorder="1"/>
    <xf numFmtId="0" fontId="0" fillId="0" borderId="6" xfId="0" applyBorder="1"/>
    <xf numFmtId="49" fontId="0" fillId="0" borderId="7" xfId="0" applyNumberFormat="1" applyBorder="1" applyAlignment="1">
      <alignment horizontal="right"/>
    </xf>
    <xf numFmtId="0" fontId="0" fillId="0" borderId="8" xfId="0" applyBorder="1"/>
    <xf numFmtId="176" fontId="0" fillId="0" borderId="8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学生体重指数统计图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体重指数</c:v>
                </c:pt>
              </c:strCache>
            </c:strRef>
          </c:tx>
          <c:invertIfNegative val="0"/>
          <c:cat>
            <c:strRef>
              <c:f>Sheet1!$A$3:$A$12</c:f>
              <c:strCache>
                <c:ptCount val="10"/>
                <c:pt idx="0">
                  <c:v>001</c:v>
                </c:pt>
                <c:pt idx="1">
                  <c:v>003</c:v>
                </c:pt>
                <c:pt idx="2">
                  <c:v>004</c:v>
                </c:pt>
                <c:pt idx="3">
                  <c:v>010</c:v>
                </c:pt>
                <c:pt idx="4">
                  <c:v>005</c:v>
                </c:pt>
                <c:pt idx="5">
                  <c:v>006</c:v>
                </c:pt>
                <c:pt idx="6">
                  <c:v>009</c:v>
                </c:pt>
                <c:pt idx="7">
                  <c:v>002</c:v>
                </c:pt>
                <c:pt idx="8">
                  <c:v>008</c:v>
                </c:pt>
                <c:pt idx="9">
                  <c:v>007</c:v>
                </c:pt>
              </c:strCache>
            </c:strRef>
          </c:cat>
          <c:val>
            <c:numRef>
              <c:f>Sheet1!$D$3:$D$12</c:f>
              <c:numCache>
                <c:formatCode>0.00_ </c:formatCode>
                <c:ptCount val="10"/>
                <c:pt idx="0">
                  <c:v>29.068773297766839</c:v>
                </c:pt>
                <c:pt idx="1">
                  <c:v>25.535446391522228</c:v>
                </c:pt>
                <c:pt idx="2">
                  <c:v>24.489795918367346</c:v>
                </c:pt>
                <c:pt idx="3">
                  <c:v>24.221453287197235</c:v>
                </c:pt>
                <c:pt idx="4">
                  <c:v>22.491349480968861</c:v>
                </c:pt>
                <c:pt idx="5">
                  <c:v>22.309356408869661</c:v>
                </c:pt>
                <c:pt idx="6">
                  <c:v>21.829952199932254</c:v>
                </c:pt>
                <c:pt idx="7">
                  <c:v>20.07960127648894</c:v>
                </c:pt>
                <c:pt idx="8">
                  <c:v>19.486961451247168</c:v>
                </c:pt>
                <c:pt idx="9">
                  <c:v>19.100091827364558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683200"/>
        <c:axId val="219209088"/>
      </c:barChart>
      <c:catAx>
        <c:axId val="211683200"/>
        <c:scaling>
          <c:orientation val="minMax"/>
        </c:scaling>
        <c:delete val="0"/>
        <c:axPos val="l"/>
        <c:majorTickMark val="none"/>
        <c:minorTickMark val="none"/>
        <c:tickLblPos val="nextTo"/>
        <c:crossAx val="219209088"/>
        <c:crosses val="autoZero"/>
        <c:auto val="1"/>
        <c:lblAlgn val="ctr"/>
        <c:lblOffset val="100"/>
        <c:noMultiLvlLbl val="0"/>
      </c:catAx>
      <c:valAx>
        <c:axId val="219209088"/>
        <c:scaling>
          <c:orientation val="minMax"/>
        </c:scaling>
        <c:delete val="0"/>
        <c:axPos val="b"/>
        <c:majorGridlines/>
        <c:numFmt formatCode="0.00_ " sourceLinked="1"/>
        <c:majorTickMark val="none"/>
        <c:minorTickMark val="none"/>
        <c:tickLblPos val="nextTo"/>
        <c:crossAx val="211683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13</xdr:row>
      <xdr:rowOff>11430</xdr:rowOff>
    </xdr:from>
    <xdr:to>
      <xdr:col>7</xdr:col>
      <xdr:colOff>121920</xdr:colOff>
      <xdr:row>28</xdr:row>
      <xdr:rowOff>125730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F3" sqref="F3"/>
    </sheetView>
  </sheetViews>
  <sheetFormatPr defaultRowHeight="13.8" x14ac:dyDescent="0.25"/>
  <cols>
    <col min="3" max="3" width="11.6640625" bestFit="1" customWidth="1"/>
  </cols>
  <sheetData>
    <row r="1" spans="1:5" ht="26.4" thickBot="1" x14ac:dyDescent="0.45">
      <c r="A1" s="12" t="s">
        <v>15</v>
      </c>
      <c r="B1" s="13"/>
      <c r="C1" s="13"/>
      <c r="D1" s="13"/>
      <c r="E1" s="13"/>
    </row>
    <row r="2" spans="1:5" ht="14.4" thickTop="1" x14ac:dyDescent="0.25">
      <c r="A2" s="1" t="s">
        <v>2</v>
      </c>
      <c r="B2" s="2" t="s">
        <v>14</v>
      </c>
      <c r="C2" s="2" t="s">
        <v>13</v>
      </c>
      <c r="D2" s="2" t="s">
        <v>0</v>
      </c>
      <c r="E2" s="3" t="s">
        <v>1</v>
      </c>
    </row>
    <row r="3" spans="1:5" x14ac:dyDescent="0.25">
      <c r="A3" s="4" t="s">
        <v>3</v>
      </c>
      <c r="B3" s="5">
        <v>1.71</v>
      </c>
      <c r="C3" s="5">
        <v>85</v>
      </c>
      <c r="D3" s="6">
        <f t="shared" ref="D3:D12" si="0">C3/(B3*B3)</f>
        <v>29.068773297766839</v>
      </c>
      <c r="E3" s="7" t="str">
        <f t="shared" ref="E3:E12" si="1">IF(D3&lt;18.5,"偏瘦",IF(D3&lt;24,"正常",IF(D3&gt;=24,"偏胖")))</f>
        <v>偏胖</v>
      </c>
    </row>
    <row r="4" spans="1:5" x14ac:dyDescent="0.25">
      <c r="A4" s="4" t="s">
        <v>5</v>
      </c>
      <c r="B4" s="5">
        <v>1.77</v>
      </c>
      <c r="C4" s="5">
        <v>80</v>
      </c>
      <c r="D4" s="6">
        <f t="shared" si="0"/>
        <v>25.535446391522228</v>
      </c>
      <c r="E4" s="7" t="str">
        <f t="shared" si="1"/>
        <v>偏胖</v>
      </c>
    </row>
    <row r="5" spans="1:5" x14ac:dyDescent="0.25">
      <c r="A5" s="4" t="s">
        <v>6</v>
      </c>
      <c r="B5" s="5">
        <v>1.75</v>
      </c>
      <c r="C5" s="5">
        <v>75</v>
      </c>
      <c r="D5" s="6">
        <f t="shared" si="0"/>
        <v>24.489795918367346</v>
      </c>
      <c r="E5" s="7" t="str">
        <f t="shared" si="1"/>
        <v>偏胖</v>
      </c>
    </row>
    <row r="6" spans="1:5" x14ac:dyDescent="0.25">
      <c r="A6" s="4" t="s">
        <v>12</v>
      </c>
      <c r="B6" s="5">
        <v>1.7</v>
      </c>
      <c r="C6" s="5">
        <v>70</v>
      </c>
      <c r="D6" s="6">
        <f t="shared" si="0"/>
        <v>24.221453287197235</v>
      </c>
      <c r="E6" s="7" t="str">
        <f t="shared" si="1"/>
        <v>偏胖</v>
      </c>
    </row>
    <row r="7" spans="1:5" x14ac:dyDescent="0.25">
      <c r="A7" s="4" t="s">
        <v>7</v>
      </c>
      <c r="B7" s="5">
        <v>1.7</v>
      </c>
      <c r="C7" s="5">
        <v>65</v>
      </c>
      <c r="D7" s="6">
        <f t="shared" si="0"/>
        <v>22.491349480968861</v>
      </c>
      <c r="E7" s="7" t="str">
        <f t="shared" si="1"/>
        <v>正常</v>
      </c>
    </row>
    <row r="8" spans="1:5" x14ac:dyDescent="0.25">
      <c r="A8" s="4" t="s">
        <v>8</v>
      </c>
      <c r="B8" s="5">
        <v>1.72</v>
      </c>
      <c r="C8" s="5">
        <v>66</v>
      </c>
      <c r="D8" s="6">
        <f t="shared" si="0"/>
        <v>22.309356408869661</v>
      </c>
      <c r="E8" s="7" t="str">
        <f t="shared" si="1"/>
        <v>正常</v>
      </c>
    </row>
    <row r="9" spans="1:5" x14ac:dyDescent="0.25">
      <c r="A9" s="4" t="s">
        <v>11</v>
      </c>
      <c r="B9" s="5">
        <v>1.63</v>
      </c>
      <c r="C9" s="5">
        <v>58</v>
      </c>
      <c r="D9" s="6">
        <f t="shared" si="0"/>
        <v>21.829952199932254</v>
      </c>
      <c r="E9" s="7" t="str">
        <f t="shared" si="1"/>
        <v>正常</v>
      </c>
    </row>
    <row r="10" spans="1:5" x14ac:dyDescent="0.25">
      <c r="A10" s="4" t="s">
        <v>4</v>
      </c>
      <c r="B10" s="5">
        <v>1.67</v>
      </c>
      <c r="C10" s="5">
        <v>56</v>
      </c>
      <c r="D10" s="6">
        <f t="shared" si="0"/>
        <v>20.07960127648894</v>
      </c>
      <c r="E10" s="7" t="str">
        <f t="shared" si="1"/>
        <v>正常</v>
      </c>
    </row>
    <row r="11" spans="1:5" x14ac:dyDescent="0.25">
      <c r="A11" s="4" t="s">
        <v>10</v>
      </c>
      <c r="B11" s="5">
        <v>1.68</v>
      </c>
      <c r="C11" s="5">
        <v>55</v>
      </c>
      <c r="D11" s="6">
        <f t="shared" si="0"/>
        <v>19.486961451247168</v>
      </c>
      <c r="E11" s="7" t="str">
        <f t="shared" si="1"/>
        <v>正常</v>
      </c>
    </row>
    <row r="12" spans="1:5" ht="14.4" thickBot="1" x14ac:dyDescent="0.3">
      <c r="A12" s="8" t="s">
        <v>9</v>
      </c>
      <c r="B12" s="9">
        <v>1.65</v>
      </c>
      <c r="C12" s="9">
        <v>52</v>
      </c>
      <c r="D12" s="10">
        <f t="shared" si="0"/>
        <v>19.100091827364558</v>
      </c>
      <c r="E12" s="11" t="str">
        <f t="shared" si="1"/>
        <v>正常</v>
      </c>
    </row>
    <row r="13" spans="1:5" ht="14.4" thickTop="1" x14ac:dyDescent="0.25"/>
  </sheetData>
  <sortState ref="A3:E12">
    <sortCondition descending="1" ref="D3:D12"/>
  </sortState>
  <mergeCells count="1">
    <mergeCell ref="A1:E1"/>
  </mergeCells>
  <phoneticPr fontId="1" type="noConversion"/>
  <pageMargins left="0.98425196850393704" right="0.98425196850393704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2021-04-22T05:30:52Z</dcterms:modified>
</cp:coreProperties>
</file>
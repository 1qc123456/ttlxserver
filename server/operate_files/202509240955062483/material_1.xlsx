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350" windowHeight="11655" activeTab="1"/>
  </bookViews>
  <sheets>
    <sheet name="男女应聘人数" sheetId="10" r:id="rId1"/>
    <sheet name="应聘人员成绩表" sheetId="7" r:id="rId2"/>
    <sheet name="面试通过表" sheetId="8" r:id="rId3"/>
    <sheet name="汇总表" sheetId="9" r:id="rId4"/>
  </sheets>
  <definedNames>
    <definedName name="_xlnm.Criteria" localSheetId="2">面试通过表!$A$1:$A$2</definedName>
    <definedName name="_xlnm.Extract" localSheetId="2">面试通过表!$A$5</definedName>
    <definedName name="_xlnm.Print_Area" localSheetId="1">应聘人员成绩表!$B$1:$I$40</definedName>
  </definedNames>
  <calcPr calcId="144525"/>
  <pivotCaches>
    <pivotCache cacheId="0" r:id="rId5"/>
  </pivotCaches>
</workbook>
</file>

<file path=xl/sharedStrings.xml><?xml version="1.0" encoding="utf-8"?>
<sst xmlns="http://schemas.openxmlformats.org/spreadsheetml/2006/main" count="309" uniqueCount="84">
  <si>
    <t>性别</t>
  </si>
  <si>
    <t>面试人数</t>
  </si>
  <si>
    <t>男</t>
  </si>
  <si>
    <t>女</t>
  </si>
  <si>
    <t>总计</t>
  </si>
  <si>
    <t>应聘人员成绩表</t>
  </si>
  <si>
    <t>序号</t>
  </si>
  <si>
    <t>姓名</t>
  </si>
  <si>
    <t>笔试成绩</t>
  </si>
  <si>
    <t>操作成绩</t>
  </si>
  <si>
    <t>平均成绩</t>
  </si>
  <si>
    <t>名次</t>
  </si>
  <si>
    <t>是否通过</t>
  </si>
  <si>
    <t>笔试缺考人数</t>
  </si>
  <si>
    <t>操作缺考人数</t>
  </si>
  <si>
    <t>人员1</t>
  </si>
  <si>
    <t>人员2</t>
  </si>
  <si>
    <t>人员3</t>
  </si>
  <si>
    <t>人员4</t>
  </si>
  <si>
    <t>人员5</t>
  </si>
  <si>
    <t>人员6</t>
  </si>
  <si>
    <t>人员7</t>
  </si>
  <si>
    <t>人员8</t>
  </si>
  <si>
    <t>人员9</t>
  </si>
  <si>
    <t>人员10</t>
  </si>
  <si>
    <t>人员11</t>
  </si>
  <si>
    <t>人员12</t>
  </si>
  <si>
    <t>人员13</t>
  </si>
  <si>
    <t>人员14</t>
  </si>
  <si>
    <t>人员15</t>
  </si>
  <si>
    <t>人员16</t>
  </si>
  <si>
    <t>人员17</t>
  </si>
  <si>
    <t>人员18</t>
  </si>
  <si>
    <t>人员19</t>
  </si>
  <si>
    <t>人员20</t>
  </si>
  <si>
    <t>人员21</t>
  </si>
  <si>
    <t>人员22</t>
  </si>
  <si>
    <t>人员23</t>
  </si>
  <si>
    <t>人员24</t>
  </si>
  <si>
    <t>人员25</t>
  </si>
  <si>
    <t>人员26</t>
  </si>
  <si>
    <t>人员27</t>
  </si>
  <si>
    <t>人员28</t>
  </si>
  <si>
    <t>人员29</t>
  </si>
  <si>
    <t>人员30</t>
  </si>
  <si>
    <t>人员31</t>
  </si>
  <si>
    <t>人员32</t>
  </si>
  <si>
    <t>人员33</t>
  </si>
  <si>
    <t>人员34</t>
  </si>
  <si>
    <t>人员35</t>
  </si>
  <si>
    <t>人员36</t>
  </si>
  <si>
    <t>人员37</t>
  </si>
  <si>
    <t>人员38</t>
  </si>
  <si>
    <t>是</t>
  </si>
  <si>
    <t>第11名</t>
  </si>
  <si>
    <t>第7名</t>
  </si>
  <si>
    <t>第2名</t>
  </si>
  <si>
    <t>第1名</t>
  </si>
  <si>
    <t>第5名</t>
  </si>
  <si>
    <t>第8名</t>
  </si>
  <si>
    <t>第9名</t>
  </si>
  <si>
    <t>第6名</t>
  </si>
  <si>
    <t>第4名</t>
  </si>
  <si>
    <t>第30名</t>
  </si>
  <si>
    <t>否</t>
  </si>
  <si>
    <t>第15名</t>
  </si>
  <si>
    <t>第13名</t>
  </si>
  <si>
    <t>第21名</t>
  </si>
  <si>
    <t>第20名</t>
  </si>
  <si>
    <t>第23名</t>
  </si>
  <si>
    <t>第24名</t>
  </si>
  <si>
    <t>第26名</t>
  </si>
  <si>
    <t>第18名</t>
  </si>
  <si>
    <t>第28名</t>
  </si>
  <si>
    <t>第29名</t>
  </si>
  <si>
    <t>第19名</t>
  </si>
  <si>
    <t>男 最大值</t>
  </si>
  <si>
    <t>第17名</t>
  </si>
  <si>
    <t>第12名</t>
  </si>
  <si>
    <t>第14名</t>
  </si>
  <si>
    <t>第27名</t>
  </si>
  <si>
    <t>第22名</t>
  </si>
  <si>
    <t>女 最大值</t>
  </si>
  <si>
    <t>总最大值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</si>
</sst>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b/>
      <u/>
      <sz val="22"/>
      <color rgb="FFC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distributed"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1">
    <dxf>
      <font>
        <color theme="0"/>
      </font>
      <fill>
        <patternFill patternType="solid">
          <bgColor rgb="FFFF0000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i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i val="0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2" defaultTableStyle="TableStyleMedium2" defaultPivotStyle="PivotStyleLight16">
    <tableStyle name="自定义单元格格式" pivot="0" count="5" xr9:uid="{68693205-1021-4664-93F7-54002BDD551F}">
      <tableStyleElement type="wholeTable" dxfId="5"/>
      <tableStyleElement type="headerRow" dxfId="4"/>
      <tableStyleElement type="firstColumn" dxfId="3"/>
      <tableStyleElement type="lastColumn" dxfId="2"/>
      <tableStyleElement type="firstRowStripe" dxfId="1"/>
    </tableStyle>
    <tableStyle name="自定义单元格格式1" pivot="0" count="5" xr9:uid="{161793B4-A759-42EC-9ABD-2D66D2B2E003}">
      <tableStyleElement type="wholeTable" dxfId="10"/>
      <tableStyleElement type="headerRow" dxfId="9"/>
      <tableStyleElement type="firstColumn" dxfId="8"/>
      <tableStyleElement type="lastColumn" dxfId="7"/>
      <tableStyleElement type="firstRowStripe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汇总表!$D$1</c:f>
              <c:strCache>
                <c:ptCount val="1"/>
                <c:pt idx="0">
                  <c:v>笔试成绩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汇总表!$C$2:$C$41</c:f>
              <c:strCache>
                <c:ptCount val="2"/>
                <c:pt idx="0">
                  <c:v>男 最大值</c:v>
                </c:pt>
                <c:pt idx="1">
                  <c:v>女 最大值</c:v>
                </c:pt>
              </c:strCache>
            </c:strRef>
          </c:cat>
          <c:val>
            <c:numRef>
              <c:f>汇总表!$D$2:$D$41</c:f>
              <c:numCache>
                <c:formatCode>General</c:formatCode>
                <c:ptCount val="2"/>
                <c:pt idx="0">
                  <c:v>99</c:v>
                </c:pt>
                <c:pt idx="1">
                  <c:v>97</c:v>
                </c:pt>
              </c:numCache>
            </c:numRef>
          </c:val>
        </c:ser>
        <c:ser>
          <c:idx val="1"/>
          <c:order val="1"/>
          <c:tx>
            <c:strRef>
              <c:f>汇总表!$E$1</c:f>
              <c:strCache>
                <c:ptCount val="1"/>
                <c:pt idx="0">
                  <c:v>操作成绩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汇总表!$C$2:$C$41</c:f>
              <c:strCache>
                <c:ptCount val="2"/>
                <c:pt idx="0">
                  <c:v>男 最大值</c:v>
                </c:pt>
                <c:pt idx="1">
                  <c:v>女 最大值</c:v>
                </c:pt>
              </c:strCache>
            </c:strRef>
          </c:cat>
          <c:val>
            <c:numRef>
              <c:f>汇总表!$E$2:$E$41</c:f>
              <c:numCache>
                <c:formatCode>General</c:formatCode>
                <c:ptCount val="2"/>
                <c:pt idx="0">
                  <c:v>96</c:v>
                </c:pt>
                <c:pt idx="1">
                  <c:v>95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345936572"/>
        <c:axId val="950086200"/>
      </c:barChart>
      <c:catAx>
        <c:axId val="3459365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0086200"/>
        <c:crosses val="autoZero"/>
        <c:auto val="1"/>
        <c:lblAlgn val="ctr"/>
        <c:lblOffset val="100"/>
        <c:noMultiLvlLbl val="0"/>
      </c:catAx>
      <c:valAx>
        <c:axId val="9500862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9365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12700</xdr:colOff>
      <xdr:row>51</xdr:row>
      <xdr:rowOff>69850</xdr:rowOff>
    </xdr:from>
    <xdr:to>
      <xdr:col>9</xdr:col>
      <xdr:colOff>38100</xdr:colOff>
      <xdr:row>67</xdr:row>
      <xdr:rowOff>69850</xdr:rowOff>
    </xdr:to>
    <xdr:graphicFrame>
      <xdr:nvGraphicFramePr>
        <xdr:cNvPr id="2" name="图表 1"/>
        <xdr:cNvGraphicFramePr/>
      </xdr:nvGraphicFramePr>
      <xdr:xfrm>
        <a:off x="1384300" y="2298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2.6094444444" refreshedBy="25472" recordCount="38">
  <cacheSource type="worksheet">
    <worksheetSource ref="B2:I40" sheet="应聘人员成绩表"/>
  </cacheSource>
  <cacheFields count="8">
    <cacheField name="序号" numFmtId="0">
      <sharedItems containsSemiMixedTypes="0" containsString="0" containsNumber="1" containsInteger="1" minValue="0" maxValue="38" count="3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</sharedItems>
    </cacheField>
    <cacheField name="姓名" numFmtId="0">
      <sharedItems count="38">
        <s v="人员1"/>
        <s v="人员2"/>
        <s v="人员3"/>
        <s v="人员4"/>
        <s v="人员5"/>
        <s v="人员6"/>
        <s v="人员7"/>
        <s v="人员8"/>
        <s v="人员9"/>
        <s v="人员10"/>
        <s v="人员11"/>
        <s v="人员12"/>
        <s v="人员13"/>
        <s v="人员14"/>
        <s v="人员15"/>
        <s v="人员16"/>
        <s v="人员17"/>
        <s v="人员18"/>
        <s v="人员19"/>
        <s v="人员20"/>
        <s v="人员21"/>
        <s v="人员22"/>
        <s v="人员23"/>
        <s v="人员24"/>
        <s v="人员25"/>
        <s v="人员26"/>
        <s v="人员27"/>
        <s v="人员28"/>
        <s v="人员29"/>
        <s v="人员30"/>
        <s v="人员31"/>
        <s v="人员32"/>
        <s v="人员33"/>
        <s v="人员34"/>
        <s v="人员35"/>
        <s v="人员36"/>
        <s v="人员37"/>
        <s v="人员38"/>
      </sharedItems>
    </cacheField>
    <cacheField name="性别" numFmtId="0">
      <sharedItems count="2">
        <s v="女"/>
        <s v="男"/>
      </sharedItems>
    </cacheField>
    <cacheField name="笔试成绩" numFmtId="0">
      <sharedItems containsString="0" containsBlank="1" containsNumber="1" containsInteger="1" minValue="0" maxValue="99" count="26">
        <n v="92"/>
        <n v="85"/>
        <n v="64"/>
        <n v="89"/>
        <n v="95"/>
        <m/>
        <n v="99"/>
        <n v="96"/>
        <n v="97"/>
        <n v="93"/>
        <n v="75"/>
        <n v="68"/>
        <n v="88"/>
        <n v="69"/>
        <n v="84"/>
        <n v="78"/>
        <n v="48"/>
        <n v="77"/>
        <n v="56"/>
        <n v="94"/>
        <n v="43"/>
        <n v="42"/>
        <n v="53"/>
        <n v="47"/>
        <n v="90"/>
        <n v="59"/>
      </sharedItems>
    </cacheField>
    <cacheField name="操作成绩" numFmtId="0">
      <sharedItems containsString="0" containsBlank="1" containsNumber="1" containsInteger="1" minValue="0" maxValue="96" count="23">
        <n v="78"/>
        <m/>
        <n v="96"/>
        <n v="84"/>
        <n v="68"/>
        <n v="57"/>
        <n v="86"/>
        <n v="89"/>
        <n v="95"/>
        <n v="85"/>
        <n v="77"/>
        <n v="83"/>
        <n v="88"/>
        <n v="87"/>
        <n v="64"/>
        <n v="90"/>
        <n v="60"/>
        <n v="62"/>
        <n v="75"/>
        <n v="79"/>
        <n v="91"/>
        <n v="65"/>
        <n v="76"/>
      </sharedItems>
    </cacheField>
    <cacheField name="平均成绩" numFmtId="0">
      <sharedItems containsSemiMixedTypes="0" containsString="0" containsNumber="1" minValue="0" maxValue="96" count="26">
        <n v="85"/>
        <n v="0"/>
        <n v="80"/>
        <n v="86.5"/>
        <n v="81.5"/>
        <n v="74.5"/>
        <n v="92.5"/>
        <n v="96"/>
        <n v="89.5"/>
        <n v="76"/>
        <n v="86"/>
        <n v="85.5"/>
        <n v="78.5"/>
        <n v="71"/>
        <n v="67"/>
        <n v="87.5"/>
        <n v="66.5"/>
        <n v="78"/>
        <n v="84.5"/>
        <n v="61"/>
        <n v="80.5"/>
        <n v="63.5"/>
        <n v="71.5"/>
        <n v="57.5"/>
        <n v="90.5"/>
        <n v="77"/>
      </sharedItems>
    </cacheField>
    <cacheField name="名次" numFmtId="0">
      <sharedItems count="26">
        <s v="第11名"/>
        <s v="第30名"/>
        <s v="第15名"/>
        <s v="第7名"/>
        <s v="第13名"/>
        <s v="第21名"/>
        <s v="第2名"/>
        <s v="第1名"/>
        <s v="第5名"/>
        <s v="第20名"/>
        <s v="第8名"/>
        <s v="第9名"/>
        <s v="第17名"/>
        <s v="第23名"/>
        <s v="第24名"/>
        <s v="第6名"/>
        <s v="第26名"/>
        <s v="第18名"/>
        <s v="第12名"/>
        <s v="第28名"/>
        <s v="第14名"/>
        <s v="第27名"/>
        <s v="第22名"/>
        <s v="第29名"/>
        <s v="第4名"/>
        <s v="第19名"/>
      </sharedItems>
    </cacheField>
    <cacheField name="是否通过" numFmtId="0">
      <sharedItems count="2">
        <s v="是"/>
        <s v="否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">
  <r>
    <x v="0"/>
    <x v="0"/>
    <x v="0"/>
    <x v="0"/>
    <x v="0"/>
    <x v="0"/>
    <x v="0"/>
    <x v="0"/>
  </r>
  <r>
    <x v="1"/>
    <x v="1"/>
    <x v="1"/>
    <x v="1"/>
    <x v="1"/>
    <x v="1"/>
    <x v="1"/>
    <x v="1"/>
  </r>
  <r>
    <x v="2"/>
    <x v="2"/>
    <x v="1"/>
    <x v="2"/>
    <x v="2"/>
    <x v="2"/>
    <x v="2"/>
    <x v="1"/>
  </r>
  <r>
    <x v="3"/>
    <x v="3"/>
    <x v="1"/>
    <x v="3"/>
    <x v="3"/>
    <x v="3"/>
    <x v="3"/>
    <x v="0"/>
  </r>
  <r>
    <x v="4"/>
    <x v="4"/>
    <x v="1"/>
    <x v="4"/>
    <x v="4"/>
    <x v="4"/>
    <x v="4"/>
    <x v="1"/>
  </r>
  <r>
    <x v="5"/>
    <x v="5"/>
    <x v="1"/>
    <x v="0"/>
    <x v="5"/>
    <x v="5"/>
    <x v="5"/>
    <x v="1"/>
  </r>
  <r>
    <x v="6"/>
    <x v="6"/>
    <x v="1"/>
    <x v="5"/>
    <x v="3"/>
    <x v="1"/>
    <x v="1"/>
    <x v="1"/>
  </r>
  <r>
    <x v="7"/>
    <x v="7"/>
    <x v="1"/>
    <x v="6"/>
    <x v="6"/>
    <x v="6"/>
    <x v="6"/>
    <x v="0"/>
  </r>
  <r>
    <x v="8"/>
    <x v="8"/>
    <x v="1"/>
    <x v="7"/>
    <x v="7"/>
    <x v="6"/>
    <x v="6"/>
    <x v="0"/>
  </r>
  <r>
    <x v="9"/>
    <x v="9"/>
    <x v="0"/>
    <x v="8"/>
    <x v="8"/>
    <x v="7"/>
    <x v="7"/>
    <x v="0"/>
  </r>
  <r>
    <x v="10"/>
    <x v="10"/>
    <x v="0"/>
    <x v="4"/>
    <x v="1"/>
    <x v="1"/>
    <x v="1"/>
    <x v="1"/>
  </r>
  <r>
    <x v="11"/>
    <x v="11"/>
    <x v="1"/>
    <x v="9"/>
    <x v="6"/>
    <x v="8"/>
    <x v="8"/>
    <x v="0"/>
  </r>
  <r>
    <x v="12"/>
    <x v="12"/>
    <x v="0"/>
    <x v="10"/>
    <x v="9"/>
    <x v="2"/>
    <x v="2"/>
    <x v="1"/>
  </r>
  <r>
    <x v="13"/>
    <x v="13"/>
    <x v="1"/>
    <x v="11"/>
    <x v="3"/>
    <x v="9"/>
    <x v="9"/>
    <x v="1"/>
  </r>
  <r>
    <x v="14"/>
    <x v="14"/>
    <x v="1"/>
    <x v="4"/>
    <x v="10"/>
    <x v="10"/>
    <x v="10"/>
    <x v="0"/>
  </r>
  <r>
    <x v="15"/>
    <x v="15"/>
    <x v="0"/>
    <x v="5"/>
    <x v="4"/>
    <x v="1"/>
    <x v="1"/>
    <x v="1"/>
  </r>
  <r>
    <x v="16"/>
    <x v="16"/>
    <x v="0"/>
    <x v="12"/>
    <x v="11"/>
    <x v="11"/>
    <x v="11"/>
    <x v="0"/>
  </r>
  <r>
    <x v="17"/>
    <x v="17"/>
    <x v="0"/>
    <x v="13"/>
    <x v="12"/>
    <x v="12"/>
    <x v="12"/>
    <x v="1"/>
  </r>
  <r>
    <x v="18"/>
    <x v="18"/>
    <x v="0"/>
    <x v="5"/>
    <x v="12"/>
    <x v="1"/>
    <x v="1"/>
    <x v="1"/>
  </r>
  <r>
    <x v="19"/>
    <x v="19"/>
    <x v="1"/>
    <x v="14"/>
    <x v="13"/>
    <x v="11"/>
    <x v="11"/>
    <x v="0"/>
  </r>
  <r>
    <x v="20"/>
    <x v="20"/>
    <x v="1"/>
    <x v="15"/>
    <x v="14"/>
    <x v="13"/>
    <x v="13"/>
    <x v="1"/>
  </r>
  <r>
    <x v="21"/>
    <x v="21"/>
    <x v="1"/>
    <x v="16"/>
    <x v="1"/>
    <x v="1"/>
    <x v="1"/>
    <x v="1"/>
  </r>
  <r>
    <x v="22"/>
    <x v="22"/>
    <x v="1"/>
    <x v="17"/>
    <x v="5"/>
    <x v="14"/>
    <x v="14"/>
    <x v="1"/>
  </r>
  <r>
    <x v="23"/>
    <x v="23"/>
    <x v="1"/>
    <x v="1"/>
    <x v="15"/>
    <x v="15"/>
    <x v="15"/>
    <x v="0"/>
  </r>
  <r>
    <x v="24"/>
    <x v="24"/>
    <x v="1"/>
    <x v="18"/>
    <x v="10"/>
    <x v="16"/>
    <x v="16"/>
    <x v="1"/>
  </r>
  <r>
    <x v="25"/>
    <x v="25"/>
    <x v="1"/>
    <x v="7"/>
    <x v="16"/>
    <x v="17"/>
    <x v="17"/>
    <x v="1"/>
  </r>
  <r>
    <x v="26"/>
    <x v="26"/>
    <x v="1"/>
    <x v="5"/>
    <x v="17"/>
    <x v="1"/>
    <x v="1"/>
    <x v="1"/>
  </r>
  <r>
    <x v="27"/>
    <x v="27"/>
    <x v="0"/>
    <x v="19"/>
    <x v="18"/>
    <x v="18"/>
    <x v="18"/>
    <x v="1"/>
  </r>
  <r>
    <x v="28"/>
    <x v="28"/>
    <x v="1"/>
    <x v="20"/>
    <x v="19"/>
    <x v="19"/>
    <x v="19"/>
    <x v="1"/>
  </r>
  <r>
    <x v="29"/>
    <x v="29"/>
    <x v="0"/>
    <x v="9"/>
    <x v="4"/>
    <x v="20"/>
    <x v="20"/>
    <x v="1"/>
  </r>
  <r>
    <x v="30"/>
    <x v="30"/>
    <x v="0"/>
    <x v="21"/>
    <x v="9"/>
    <x v="21"/>
    <x v="21"/>
    <x v="1"/>
  </r>
  <r>
    <x v="31"/>
    <x v="31"/>
    <x v="0"/>
    <x v="2"/>
    <x v="19"/>
    <x v="22"/>
    <x v="22"/>
    <x v="1"/>
  </r>
  <r>
    <x v="32"/>
    <x v="32"/>
    <x v="1"/>
    <x v="22"/>
    <x v="1"/>
    <x v="1"/>
    <x v="1"/>
    <x v="1"/>
  </r>
  <r>
    <x v="33"/>
    <x v="33"/>
    <x v="1"/>
    <x v="23"/>
    <x v="4"/>
    <x v="23"/>
    <x v="23"/>
    <x v="1"/>
  </r>
  <r>
    <x v="34"/>
    <x v="34"/>
    <x v="1"/>
    <x v="24"/>
    <x v="20"/>
    <x v="24"/>
    <x v="24"/>
    <x v="0"/>
  </r>
  <r>
    <x v="35"/>
    <x v="35"/>
    <x v="1"/>
    <x v="25"/>
    <x v="8"/>
    <x v="25"/>
    <x v="25"/>
    <x v="1"/>
  </r>
  <r>
    <x v="36"/>
    <x v="36"/>
    <x v="1"/>
    <x v="13"/>
    <x v="21"/>
    <x v="14"/>
    <x v="14"/>
    <x v="1"/>
  </r>
  <r>
    <x v="37"/>
    <x v="37"/>
    <x v="1"/>
    <x v="5"/>
    <x v="22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8">
    <pivotField dataField="1" compact="0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/>
    <pivotField axis="axisRow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面试人数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D7" sqref="D7"/>
    </sheetView>
  </sheetViews>
  <sheetFormatPr defaultColWidth="9" defaultRowHeight="13.5" outlineLevelRow="5" outlineLevelCol="1"/>
  <cols>
    <col min="1" max="1" width="7.375"/>
    <col min="2" max="2" width="9.375"/>
  </cols>
  <sheetData>
    <row r="3" spans="1:2">
      <c r="A3" t="s">
        <v>0</v>
      </c>
      <c r="B3" t="s">
        <v>1</v>
      </c>
    </row>
    <row r="4" spans="1:2">
      <c r="A4" t="s">
        <v>2</v>
      </c>
      <c r="B4">
        <v>26</v>
      </c>
    </row>
    <row r="5" spans="1:2">
      <c r="A5" t="s">
        <v>3</v>
      </c>
      <c r="B5">
        <v>12</v>
      </c>
    </row>
    <row r="6" spans="1:2">
      <c r="A6" t="s">
        <v>4</v>
      </c>
      <c r="B6">
        <v>38</v>
      </c>
    </row>
  </sheetData>
  <printOptions horizontalCentered="1" verticalCentered="1"/>
  <pageMargins left="0.865972222222222" right="0.511805555555556" top="0.786805555555556" bottom="0.393055555555556" header="0.5" footer="0.5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40"/>
  <sheetViews>
    <sheetView showGridLines="0" tabSelected="1" workbookViewId="0">
      <selection activeCell="F7" sqref="F7"/>
    </sheetView>
  </sheetViews>
  <sheetFormatPr defaultColWidth="9" defaultRowHeight="13.5"/>
  <cols>
    <col min="1" max="1" width="3.5" customWidth="1"/>
    <col min="2" max="2" width="8.875" customWidth="1"/>
    <col min="3" max="3" width="12" customWidth="1"/>
    <col min="4" max="4" width="11.5" customWidth="1"/>
    <col min="5" max="5" width="11.125" customWidth="1"/>
    <col min="6" max="6" width="12.125" customWidth="1"/>
    <col min="7" max="7" width="11.75" customWidth="1"/>
    <col min="9" max="9" width="11.625" customWidth="1"/>
    <col min="12" max="13" width="16.625" customWidth="1"/>
  </cols>
  <sheetData>
    <row r="1" ht="27.75" customHeight="1" spans="2:9">
      <c r="B1" s="4" t="s">
        <v>5</v>
      </c>
      <c r="C1" s="4"/>
      <c r="D1" s="4"/>
      <c r="E1" s="4"/>
      <c r="F1" s="4"/>
      <c r="G1" s="4"/>
      <c r="H1" s="4"/>
      <c r="I1" s="4"/>
    </row>
    <row r="2" ht="25.5" customHeight="1" spans="2:13">
      <c r="B2" s="2" t="s">
        <v>6</v>
      </c>
      <c r="C2" s="2" t="s">
        <v>7</v>
      </c>
      <c r="D2" s="2" t="s">
        <v>0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L2" s="2" t="s">
        <v>13</v>
      </c>
      <c r="M2" s="2" t="s">
        <v>14</v>
      </c>
    </row>
    <row r="3" ht="18" customHeight="1" spans="2:13">
      <c r="B3" s="3">
        <v>1</v>
      </c>
      <c r="C3" s="3" t="s">
        <v>15</v>
      </c>
      <c r="D3" s="3" t="s">
        <v>3</v>
      </c>
      <c r="E3" s="3">
        <v>92</v>
      </c>
      <c r="F3" s="3">
        <v>78</v>
      </c>
      <c r="G3" s="3">
        <f>IF(OR(E3="",F3=""),0,AVERAGE(E3:F3))</f>
        <v>85</v>
      </c>
      <c r="H3" s="3" t="str">
        <f>"第"&amp;RANK(G3,$G$3:$G$40)&amp;"名"</f>
        <v>第11名</v>
      </c>
      <c r="I3" s="3" t="str">
        <f>IF(G3&gt;=85,"是","否")</f>
        <v>是</v>
      </c>
      <c r="L3" s="5">
        <f>COUNTBLANK(E3:E40)</f>
        <v>5</v>
      </c>
      <c r="M3" s="5">
        <f>COUNTBLANK(F3:F40)</f>
        <v>4</v>
      </c>
    </row>
    <row r="4" ht="18" customHeight="1" spans="2:9">
      <c r="B4" s="3">
        <v>2</v>
      </c>
      <c r="C4" s="3" t="s">
        <v>16</v>
      </c>
      <c r="D4" s="3" t="s">
        <v>2</v>
      </c>
      <c r="E4" s="3">
        <v>85</v>
      </c>
      <c r="F4" s="3"/>
      <c r="G4" s="3">
        <f t="shared" ref="G4:G40" si="0">IF(OR(E4="",F4=""),0,AVERAGE(E4:F4))</f>
        <v>0</v>
      </c>
      <c r="H4" s="3" t="str">
        <f t="shared" ref="H4:H40" si="1">"第"&amp;RANK(G4,$G$3:$G$40)&amp;"名"</f>
        <v>第30名</v>
      </c>
      <c r="I4" s="3" t="str">
        <f t="shared" ref="I4:I40" si="2">IF(G4&gt;=85,"是","否")</f>
        <v>否</v>
      </c>
    </row>
    <row r="5" ht="18" customHeight="1" spans="2:9">
      <c r="B5" s="3">
        <v>3</v>
      </c>
      <c r="C5" s="3" t="s">
        <v>17</v>
      </c>
      <c r="D5" s="3" t="s">
        <v>2</v>
      </c>
      <c r="E5" s="3">
        <v>64</v>
      </c>
      <c r="F5" s="3">
        <v>96</v>
      </c>
      <c r="G5" s="3">
        <f t="shared" si="0"/>
        <v>80</v>
      </c>
      <c r="H5" s="3" t="str">
        <f t="shared" si="1"/>
        <v>第15名</v>
      </c>
      <c r="I5" s="3" t="str">
        <f t="shared" si="2"/>
        <v>否</v>
      </c>
    </row>
    <row r="6" ht="18" customHeight="1" spans="2:9">
      <c r="B6" s="3">
        <v>4</v>
      </c>
      <c r="C6" s="3" t="s">
        <v>18</v>
      </c>
      <c r="D6" s="3" t="s">
        <v>2</v>
      </c>
      <c r="E6" s="3">
        <v>89</v>
      </c>
      <c r="F6" s="3">
        <v>84</v>
      </c>
      <c r="G6" s="3">
        <f t="shared" si="0"/>
        <v>86.5</v>
      </c>
      <c r="H6" s="3" t="str">
        <f t="shared" si="1"/>
        <v>第7名</v>
      </c>
      <c r="I6" s="3" t="str">
        <f t="shared" si="2"/>
        <v>是</v>
      </c>
    </row>
    <row r="7" ht="18" customHeight="1" spans="2:9">
      <c r="B7" s="3">
        <v>5</v>
      </c>
      <c r="C7" s="3" t="s">
        <v>19</v>
      </c>
      <c r="D7" s="3" t="s">
        <v>2</v>
      </c>
      <c r="E7" s="3">
        <v>95</v>
      </c>
      <c r="F7" s="3">
        <v>68</v>
      </c>
      <c r="G7" s="3">
        <f t="shared" si="0"/>
        <v>81.5</v>
      </c>
      <c r="H7" s="3" t="str">
        <f t="shared" si="1"/>
        <v>第13名</v>
      </c>
      <c r="I7" s="3" t="str">
        <f t="shared" si="2"/>
        <v>否</v>
      </c>
    </row>
    <row r="8" ht="18" customHeight="1" spans="2:9">
      <c r="B8" s="3">
        <v>6</v>
      </c>
      <c r="C8" s="3" t="s">
        <v>20</v>
      </c>
      <c r="D8" s="3" t="s">
        <v>2</v>
      </c>
      <c r="E8" s="3">
        <v>92</v>
      </c>
      <c r="F8" s="3">
        <v>57</v>
      </c>
      <c r="G8" s="3">
        <f t="shared" si="0"/>
        <v>74.5</v>
      </c>
      <c r="H8" s="3" t="str">
        <f t="shared" si="1"/>
        <v>第21名</v>
      </c>
      <c r="I8" s="3" t="str">
        <f t="shared" si="2"/>
        <v>否</v>
      </c>
    </row>
    <row r="9" ht="18" customHeight="1" spans="2:9">
      <c r="B9" s="3">
        <v>7</v>
      </c>
      <c r="C9" s="3" t="s">
        <v>21</v>
      </c>
      <c r="D9" s="3" t="s">
        <v>2</v>
      </c>
      <c r="E9" s="3"/>
      <c r="F9" s="3">
        <v>84</v>
      </c>
      <c r="G9" s="3">
        <f t="shared" si="0"/>
        <v>0</v>
      </c>
      <c r="H9" s="3" t="str">
        <f t="shared" si="1"/>
        <v>第30名</v>
      </c>
      <c r="I9" s="3" t="str">
        <f t="shared" si="2"/>
        <v>否</v>
      </c>
    </row>
    <row r="10" ht="18" customHeight="1" spans="2:9">
      <c r="B10" s="3">
        <v>8</v>
      </c>
      <c r="C10" s="3" t="s">
        <v>22</v>
      </c>
      <c r="D10" s="3" t="s">
        <v>2</v>
      </c>
      <c r="E10" s="3">
        <v>99</v>
      </c>
      <c r="F10" s="3">
        <v>86</v>
      </c>
      <c r="G10" s="3">
        <f t="shared" si="0"/>
        <v>92.5</v>
      </c>
      <c r="H10" s="3" t="str">
        <f t="shared" si="1"/>
        <v>第2名</v>
      </c>
      <c r="I10" s="3" t="str">
        <f t="shared" si="2"/>
        <v>是</v>
      </c>
    </row>
    <row r="11" ht="18" customHeight="1" spans="2:9">
      <c r="B11" s="3">
        <v>9</v>
      </c>
      <c r="C11" s="3" t="s">
        <v>23</v>
      </c>
      <c r="D11" s="3" t="s">
        <v>2</v>
      </c>
      <c r="E11" s="3">
        <v>96</v>
      </c>
      <c r="F11" s="3">
        <v>89</v>
      </c>
      <c r="G11" s="3">
        <f t="shared" si="0"/>
        <v>92.5</v>
      </c>
      <c r="H11" s="3" t="str">
        <f t="shared" si="1"/>
        <v>第2名</v>
      </c>
      <c r="I11" s="3" t="str">
        <f t="shared" si="2"/>
        <v>是</v>
      </c>
    </row>
    <row r="12" ht="18" customHeight="1" spans="2:9">
      <c r="B12" s="3">
        <v>10</v>
      </c>
      <c r="C12" s="3" t="s">
        <v>24</v>
      </c>
      <c r="D12" s="3" t="s">
        <v>3</v>
      </c>
      <c r="E12" s="3">
        <v>97</v>
      </c>
      <c r="F12" s="3">
        <v>95</v>
      </c>
      <c r="G12" s="3">
        <f t="shared" si="0"/>
        <v>96</v>
      </c>
      <c r="H12" s="3" t="str">
        <f t="shared" si="1"/>
        <v>第1名</v>
      </c>
      <c r="I12" s="3" t="str">
        <f t="shared" si="2"/>
        <v>是</v>
      </c>
    </row>
    <row r="13" ht="18" customHeight="1" spans="2:9">
      <c r="B13" s="3">
        <v>11</v>
      </c>
      <c r="C13" s="3" t="s">
        <v>25</v>
      </c>
      <c r="D13" s="3" t="s">
        <v>3</v>
      </c>
      <c r="E13" s="3">
        <v>95</v>
      </c>
      <c r="F13" s="3"/>
      <c r="G13" s="3">
        <f t="shared" si="0"/>
        <v>0</v>
      </c>
      <c r="H13" s="3" t="str">
        <f t="shared" si="1"/>
        <v>第30名</v>
      </c>
      <c r="I13" s="3" t="str">
        <f t="shared" si="2"/>
        <v>否</v>
      </c>
    </row>
    <row r="14" ht="18" customHeight="1" spans="2:9">
      <c r="B14" s="3">
        <v>12</v>
      </c>
      <c r="C14" s="3" t="s">
        <v>26</v>
      </c>
      <c r="D14" s="3" t="s">
        <v>2</v>
      </c>
      <c r="E14" s="3">
        <v>93</v>
      </c>
      <c r="F14" s="3">
        <v>86</v>
      </c>
      <c r="G14" s="3">
        <f t="shared" si="0"/>
        <v>89.5</v>
      </c>
      <c r="H14" s="3" t="str">
        <f t="shared" si="1"/>
        <v>第5名</v>
      </c>
      <c r="I14" s="3" t="str">
        <f t="shared" si="2"/>
        <v>是</v>
      </c>
    </row>
    <row r="15" ht="18" customHeight="1" spans="2:9">
      <c r="B15" s="3">
        <v>13</v>
      </c>
      <c r="C15" s="3" t="s">
        <v>27</v>
      </c>
      <c r="D15" s="3" t="s">
        <v>3</v>
      </c>
      <c r="E15" s="3">
        <v>75</v>
      </c>
      <c r="F15" s="3">
        <v>85</v>
      </c>
      <c r="G15" s="3">
        <f t="shared" si="0"/>
        <v>80</v>
      </c>
      <c r="H15" s="3" t="str">
        <f t="shared" si="1"/>
        <v>第15名</v>
      </c>
      <c r="I15" s="3" t="str">
        <f t="shared" si="2"/>
        <v>否</v>
      </c>
    </row>
    <row r="16" ht="18" customHeight="1" spans="2:9">
      <c r="B16" s="3">
        <v>14</v>
      </c>
      <c r="C16" s="3" t="s">
        <v>28</v>
      </c>
      <c r="D16" s="3" t="s">
        <v>2</v>
      </c>
      <c r="E16" s="3">
        <v>68</v>
      </c>
      <c r="F16" s="3">
        <v>84</v>
      </c>
      <c r="G16" s="3">
        <f t="shared" si="0"/>
        <v>76</v>
      </c>
      <c r="H16" s="3" t="str">
        <f t="shared" si="1"/>
        <v>第20名</v>
      </c>
      <c r="I16" s="3" t="str">
        <f t="shared" si="2"/>
        <v>否</v>
      </c>
    </row>
    <row r="17" ht="18" customHeight="1" spans="2:9">
      <c r="B17" s="3">
        <v>15</v>
      </c>
      <c r="C17" s="3" t="s">
        <v>29</v>
      </c>
      <c r="D17" s="3" t="s">
        <v>2</v>
      </c>
      <c r="E17" s="3">
        <v>95</v>
      </c>
      <c r="F17" s="3">
        <v>77</v>
      </c>
      <c r="G17" s="3">
        <f t="shared" si="0"/>
        <v>86</v>
      </c>
      <c r="H17" s="3" t="str">
        <f t="shared" si="1"/>
        <v>第8名</v>
      </c>
      <c r="I17" s="3" t="str">
        <f t="shared" si="2"/>
        <v>是</v>
      </c>
    </row>
    <row r="18" ht="18" customHeight="1" spans="2:9">
      <c r="B18" s="3">
        <v>16</v>
      </c>
      <c r="C18" s="3" t="s">
        <v>30</v>
      </c>
      <c r="D18" s="3" t="s">
        <v>3</v>
      </c>
      <c r="E18" s="3"/>
      <c r="F18" s="3">
        <v>68</v>
      </c>
      <c r="G18" s="3">
        <f t="shared" si="0"/>
        <v>0</v>
      </c>
      <c r="H18" s="3" t="str">
        <f t="shared" si="1"/>
        <v>第30名</v>
      </c>
      <c r="I18" s="3" t="str">
        <f t="shared" si="2"/>
        <v>否</v>
      </c>
    </row>
    <row r="19" ht="18" customHeight="1" spans="2:9">
      <c r="B19" s="3">
        <v>17</v>
      </c>
      <c r="C19" s="3" t="s">
        <v>31</v>
      </c>
      <c r="D19" s="3" t="s">
        <v>3</v>
      </c>
      <c r="E19" s="3">
        <v>88</v>
      </c>
      <c r="F19" s="3">
        <v>83</v>
      </c>
      <c r="G19" s="3">
        <f t="shared" si="0"/>
        <v>85.5</v>
      </c>
      <c r="H19" s="3" t="str">
        <f t="shared" si="1"/>
        <v>第9名</v>
      </c>
      <c r="I19" s="3" t="str">
        <f t="shared" si="2"/>
        <v>是</v>
      </c>
    </row>
    <row r="20" ht="18" customHeight="1" spans="2:9">
      <c r="B20" s="3">
        <v>18</v>
      </c>
      <c r="C20" s="3" t="s">
        <v>32</v>
      </c>
      <c r="D20" s="3" t="s">
        <v>3</v>
      </c>
      <c r="E20" s="3">
        <v>69</v>
      </c>
      <c r="F20" s="3">
        <v>88</v>
      </c>
      <c r="G20" s="3">
        <f t="shared" si="0"/>
        <v>78.5</v>
      </c>
      <c r="H20" s="3" t="str">
        <f t="shared" si="1"/>
        <v>第17名</v>
      </c>
      <c r="I20" s="3" t="str">
        <f t="shared" si="2"/>
        <v>否</v>
      </c>
    </row>
    <row r="21" ht="18" customHeight="1" spans="2:9">
      <c r="B21" s="3">
        <v>19</v>
      </c>
      <c r="C21" s="3" t="s">
        <v>33</v>
      </c>
      <c r="D21" s="3" t="s">
        <v>3</v>
      </c>
      <c r="E21" s="3"/>
      <c r="F21" s="3">
        <v>88</v>
      </c>
      <c r="G21" s="3">
        <f t="shared" si="0"/>
        <v>0</v>
      </c>
      <c r="H21" s="3" t="str">
        <f t="shared" si="1"/>
        <v>第30名</v>
      </c>
      <c r="I21" s="3" t="str">
        <f t="shared" si="2"/>
        <v>否</v>
      </c>
    </row>
    <row r="22" ht="18" customHeight="1" spans="2:9">
      <c r="B22" s="3">
        <v>20</v>
      </c>
      <c r="C22" s="3" t="s">
        <v>34</v>
      </c>
      <c r="D22" s="3" t="s">
        <v>2</v>
      </c>
      <c r="E22" s="3">
        <v>84</v>
      </c>
      <c r="F22" s="3">
        <v>87</v>
      </c>
      <c r="G22" s="3">
        <f t="shared" si="0"/>
        <v>85.5</v>
      </c>
      <c r="H22" s="3" t="str">
        <f t="shared" si="1"/>
        <v>第9名</v>
      </c>
      <c r="I22" s="3" t="str">
        <f t="shared" si="2"/>
        <v>是</v>
      </c>
    </row>
    <row r="23" ht="18" customHeight="1" spans="2:9">
      <c r="B23" s="3">
        <v>21</v>
      </c>
      <c r="C23" s="3" t="s">
        <v>35</v>
      </c>
      <c r="D23" s="3" t="s">
        <v>2</v>
      </c>
      <c r="E23" s="3">
        <v>78</v>
      </c>
      <c r="F23" s="3">
        <v>64</v>
      </c>
      <c r="G23" s="3">
        <f t="shared" si="0"/>
        <v>71</v>
      </c>
      <c r="H23" s="3" t="str">
        <f t="shared" si="1"/>
        <v>第23名</v>
      </c>
      <c r="I23" s="3" t="str">
        <f t="shared" si="2"/>
        <v>否</v>
      </c>
    </row>
    <row r="24" ht="18" customHeight="1" spans="2:9">
      <c r="B24" s="3">
        <v>22</v>
      </c>
      <c r="C24" s="3" t="s">
        <v>36</v>
      </c>
      <c r="D24" s="3" t="s">
        <v>2</v>
      </c>
      <c r="E24" s="3">
        <v>48</v>
      </c>
      <c r="F24" s="3"/>
      <c r="G24" s="3">
        <f t="shared" si="0"/>
        <v>0</v>
      </c>
      <c r="H24" s="3" t="str">
        <f t="shared" si="1"/>
        <v>第30名</v>
      </c>
      <c r="I24" s="3" t="str">
        <f t="shared" si="2"/>
        <v>否</v>
      </c>
    </row>
    <row r="25" ht="18" customHeight="1" spans="2:9">
      <c r="B25" s="3">
        <v>23</v>
      </c>
      <c r="C25" s="3" t="s">
        <v>37</v>
      </c>
      <c r="D25" s="3" t="s">
        <v>2</v>
      </c>
      <c r="E25" s="3">
        <v>77</v>
      </c>
      <c r="F25" s="3">
        <v>57</v>
      </c>
      <c r="G25" s="3">
        <f t="shared" si="0"/>
        <v>67</v>
      </c>
      <c r="H25" s="3" t="str">
        <f t="shared" si="1"/>
        <v>第24名</v>
      </c>
      <c r="I25" s="3" t="str">
        <f t="shared" si="2"/>
        <v>否</v>
      </c>
    </row>
    <row r="26" ht="18" customHeight="1" spans="2:9">
      <c r="B26" s="3">
        <v>24</v>
      </c>
      <c r="C26" s="3" t="s">
        <v>38</v>
      </c>
      <c r="D26" s="3" t="s">
        <v>2</v>
      </c>
      <c r="E26" s="3">
        <v>85</v>
      </c>
      <c r="F26" s="3">
        <v>90</v>
      </c>
      <c r="G26" s="3">
        <f t="shared" si="0"/>
        <v>87.5</v>
      </c>
      <c r="H26" s="3" t="str">
        <f t="shared" si="1"/>
        <v>第6名</v>
      </c>
      <c r="I26" s="3" t="str">
        <f t="shared" si="2"/>
        <v>是</v>
      </c>
    </row>
    <row r="27" ht="18" customHeight="1" spans="2:9">
      <c r="B27" s="3">
        <v>25</v>
      </c>
      <c r="C27" s="3" t="s">
        <v>39</v>
      </c>
      <c r="D27" s="3" t="s">
        <v>2</v>
      </c>
      <c r="E27" s="3">
        <v>56</v>
      </c>
      <c r="F27" s="3">
        <v>77</v>
      </c>
      <c r="G27" s="3">
        <f t="shared" si="0"/>
        <v>66.5</v>
      </c>
      <c r="H27" s="3" t="str">
        <f t="shared" si="1"/>
        <v>第26名</v>
      </c>
      <c r="I27" s="3" t="str">
        <f t="shared" si="2"/>
        <v>否</v>
      </c>
    </row>
    <row r="28" ht="18" customHeight="1" spans="2:9">
      <c r="B28" s="3">
        <v>26</v>
      </c>
      <c r="C28" s="3" t="s">
        <v>40</v>
      </c>
      <c r="D28" s="3" t="s">
        <v>2</v>
      </c>
      <c r="E28" s="3">
        <v>96</v>
      </c>
      <c r="F28" s="3">
        <v>60</v>
      </c>
      <c r="G28" s="3">
        <f t="shared" si="0"/>
        <v>78</v>
      </c>
      <c r="H28" s="3" t="str">
        <f t="shared" si="1"/>
        <v>第18名</v>
      </c>
      <c r="I28" s="3" t="str">
        <f t="shared" si="2"/>
        <v>否</v>
      </c>
    </row>
    <row r="29" ht="18" customHeight="1" spans="2:9">
      <c r="B29" s="3">
        <v>27</v>
      </c>
      <c r="C29" s="3" t="s">
        <v>41</v>
      </c>
      <c r="D29" s="3" t="s">
        <v>2</v>
      </c>
      <c r="E29" s="3"/>
      <c r="F29" s="3">
        <v>62</v>
      </c>
      <c r="G29" s="3">
        <f t="shared" si="0"/>
        <v>0</v>
      </c>
      <c r="H29" s="3" t="str">
        <f t="shared" si="1"/>
        <v>第30名</v>
      </c>
      <c r="I29" s="3" t="str">
        <f t="shared" si="2"/>
        <v>否</v>
      </c>
    </row>
    <row r="30" ht="18" customHeight="1" spans="2:9">
      <c r="B30" s="3">
        <v>28</v>
      </c>
      <c r="C30" s="3" t="s">
        <v>42</v>
      </c>
      <c r="D30" s="3" t="s">
        <v>3</v>
      </c>
      <c r="E30" s="3">
        <v>94</v>
      </c>
      <c r="F30" s="3">
        <v>75</v>
      </c>
      <c r="G30" s="3">
        <f t="shared" si="0"/>
        <v>84.5</v>
      </c>
      <c r="H30" s="3" t="str">
        <f t="shared" si="1"/>
        <v>第12名</v>
      </c>
      <c r="I30" s="3" t="str">
        <f t="shared" si="2"/>
        <v>否</v>
      </c>
    </row>
    <row r="31" ht="18" customHeight="1" spans="2:9">
      <c r="B31" s="3">
        <v>29</v>
      </c>
      <c r="C31" s="3" t="s">
        <v>43</v>
      </c>
      <c r="D31" s="3" t="s">
        <v>2</v>
      </c>
      <c r="E31" s="3">
        <v>43</v>
      </c>
      <c r="F31" s="3">
        <v>79</v>
      </c>
      <c r="G31" s="3">
        <f t="shared" si="0"/>
        <v>61</v>
      </c>
      <c r="H31" s="3" t="str">
        <f t="shared" si="1"/>
        <v>第28名</v>
      </c>
      <c r="I31" s="3" t="str">
        <f t="shared" si="2"/>
        <v>否</v>
      </c>
    </row>
    <row r="32" ht="18" customHeight="1" spans="2:9">
      <c r="B32" s="3">
        <v>30</v>
      </c>
      <c r="C32" s="3" t="s">
        <v>44</v>
      </c>
      <c r="D32" s="3" t="s">
        <v>3</v>
      </c>
      <c r="E32" s="3">
        <v>93</v>
      </c>
      <c r="F32" s="3">
        <v>68</v>
      </c>
      <c r="G32" s="3">
        <f t="shared" si="0"/>
        <v>80.5</v>
      </c>
      <c r="H32" s="3" t="str">
        <f t="shared" si="1"/>
        <v>第14名</v>
      </c>
      <c r="I32" s="3" t="str">
        <f t="shared" si="2"/>
        <v>否</v>
      </c>
    </row>
    <row r="33" ht="18" customHeight="1" spans="2:9">
      <c r="B33" s="3">
        <v>31</v>
      </c>
      <c r="C33" s="3" t="s">
        <v>45</v>
      </c>
      <c r="D33" s="3" t="s">
        <v>3</v>
      </c>
      <c r="E33" s="3">
        <v>42</v>
      </c>
      <c r="F33" s="3">
        <v>85</v>
      </c>
      <c r="G33" s="3">
        <f t="shared" si="0"/>
        <v>63.5</v>
      </c>
      <c r="H33" s="3" t="str">
        <f t="shared" si="1"/>
        <v>第27名</v>
      </c>
      <c r="I33" s="3" t="str">
        <f t="shared" si="2"/>
        <v>否</v>
      </c>
    </row>
    <row r="34" ht="18" customHeight="1" spans="2:9">
      <c r="B34" s="3">
        <v>32</v>
      </c>
      <c r="C34" s="3" t="s">
        <v>46</v>
      </c>
      <c r="D34" s="3" t="s">
        <v>3</v>
      </c>
      <c r="E34" s="3">
        <v>64</v>
      </c>
      <c r="F34" s="3">
        <v>79</v>
      </c>
      <c r="G34" s="3">
        <f t="shared" si="0"/>
        <v>71.5</v>
      </c>
      <c r="H34" s="3" t="str">
        <f t="shared" si="1"/>
        <v>第22名</v>
      </c>
      <c r="I34" s="3" t="str">
        <f t="shared" si="2"/>
        <v>否</v>
      </c>
    </row>
    <row r="35" ht="18" customHeight="1" spans="2:9">
      <c r="B35" s="3">
        <v>33</v>
      </c>
      <c r="C35" s="3" t="s">
        <v>47</v>
      </c>
      <c r="D35" s="3" t="s">
        <v>2</v>
      </c>
      <c r="E35" s="3">
        <v>53</v>
      </c>
      <c r="F35" s="3"/>
      <c r="G35" s="3">
        <f t="shared" si="0"/>
        <v>0</v>
      </c>
      <c r="H35" s="3" t="str">
        <f t="shared" si="1"/>
        <v>第30名</v>
      </c>
      <c r="I35" s="3" t="str">
        <f t="shared" si="2"/>
        <v>否</v>
      </c>
    </row>
    <row r="36" ht="18" customHeight="1" spans="2:9">
      <c r="B36" s="3">
        <v>34</v>
      </c>
      <c r="C36" s="3" t="s">
        <v>48</v>
      </c>
      <c r="D36" s="3" t="s">
        <v>2</v>
      </c>
      <c r="E36" s="3">
        <v>47</v>
      </c>
      <c r="F36" s="3">
        <v>68</v>
      </c>
      <c r="G36" s="3">
        <f t="shared" si="0"/>
        <v>57.5</v>
      </c>
      <c r="H36" s="3" t="str">
        <f t="shared" si="1"/>
        <v>第29名</v>
      </c>
      <c r="I36" s="3" t="str">
        <f t="shared" si="2"/>
        <v>否</v>
      </c>
    </row>
    <row r="37" ht="18" customHeight="1" spans="2:9">
      <c r="B37" s="3">
        <v>35</v>
      </c>
      <c r="C37" s="3" t="s">
        <v>49</v>
      </c>
      <c r="D37" s="3" t="s">
        <v>2</v>
      </c>
      <c r="E37" s="3">
        <v>90</v>
      </c>
      <c r="F37" s="3">
        <v>91</v>
      </c>
      <c r="G37" s="3">
        <f t="shared" si="0"/>
        <v>90.5</v>
      </c>
      <c r="H37" s="3" t="str">
        <f t="shared" si="1"/>
        <v>第4名</v>
      </c>
      <c r="I37" s="3" t="str">
        <f t="shared" si="2"/>
        <v>是</v>
      </c>
    </row>
    <row r="38" ht="18" customHeight="1" spans="2:9">
      <c r="B38" s="3">
        <v>36</v>
      </c>
      <c r="C38" s="3" t="s">
        <v>50</v>
      </c>
      <c r="D38" s="3" t="s">
        <v>2</v>
      </c>
      <c r="E38" s="3">
        <v>59</v>
      </c>
      <c r="F38" s="3">
        <v>95</v>
      </c>
      <c r="G38" s="3">
        <f t="shared" si="0"/>
        <v>77</v>
      </c>
      <c r="H38" s="3" t="str">
        <f t="shared" si="1"/>
        <v>第19名</v>
      </c>
      <c r="I38" s="3" t="str">
        <f t="shared" si="2"/>
        <v>否</v>
      </c>
    </row>
    <row r="39" ht="18" customHeight="1" spans="2:9">
      <c r="B39" s="3">
        <v>37</v>
      </c>
      <c r="C39" s="3" t="s">
        <v>51</v>
      </c>
      <c r="D39" s="3" t="s">
        <v>2</v>
      </c>
      <c r="E39" s="3">
        <v>69</v>
      </c>
      <c r="F39" s="3">
        <v>65</v>
      </c>
      <c r="G39" s="3">
        <f t="shared" si="0"/>
        <v>67</v>
      </c>
      <c r="H39" s="3" t="str">
        <f t="shared" si="1"/>
        <v>第24名</v>
      </c>
      <c r="I39" s="3" t="str">
        <f t="shared" si="2"/>
        <v>否</v>
      </c>
    </row>
    <row r="40" ht="18" customHeight="1" spans="2:9">
      <c r="B40" s="3">
        <v>38</v>
      </c>
      <c r="C40" s="3" t="s">
        <v>52</v>
      </c>
      <c r="D40" s="3" t="s">
        <v>2</v>
      </c>
      <c r="E40" s="3"/>
      <c r="F40" s="3">
        <v>76</v>
      </c>
      <c r="G40" s="3">
        <f t="shared" si="0"/>
        <v>0</v>
      </c>
      <c r="H40" s="3" t="str">
        <f t="shared" si="1"/>
        <v>第30名</v>
      </c>
      <c r="I40" s="3" t="str">
        <f t="shared" si="2"/>
        <v>否</v>
      </c>
    </row>
  </sheetData>
  <sortState ref="B3:H18">
    <sortCondition ref="H3"/>
  </sortState>
  <mergeCells count="1">
    <mergeCell ref="B1:I1"/>
  </mergeCells>
  <conditionalFormatting sqref="B3:I40">
    <cfRule type="expression" dxfId="0" priority="1">
      <formula>$G3=0</formula>
    </cfRule>
  </conditionalFormatting>
  <printOptions horizontalCentered="1" verticalCentered="1"/>
  <pageMargins left="0.865972222222222" right="0.511805555555556" top="0.786805555555556" bottom="0.393055555555556" header="0.298611111111111" footer="0.298611111111111"/>
  <pageSetup paperSize="9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6"/>
  <sheetViews>
    <sheetView workbookViewId="0">
      <selection activeCell="A6" sqref="A6"/>
    </sheetView>
  </sheetViews>
  <sheetFormatPr defaultColWidth="9" defaultRowHeight="13.5" outlineLevelCol="7"/>
  <sheetData>
    <row r="1" spans="1:1">
      <c r="A1" t="s">
        <v>12</v>
      </c>
    </row>
    <row r="2" spans="1:1">
      <c r="A2" t="s">
        <v>53</v>
      </c>
    </row>
    <row r="5" ht="14.25" spans="1:8">
      <c r="A5" s="2" t="s">
        <v>6</v>
      </c>
      <c r="B5" s="2" t="s">
        <v>7</v>
      </c>
      <c r="C5" s="2" t="s">
        <v>0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</row>
    <row r="6" ht="14.25" spans="1:8">
      <c r="A6" s="3">
        <v>1</v>
      </c>
      <c r="B6" s="3" t="s">
        <v>15</v>
      </c>
      <c r="C6" s="3" t="s">
        <v>3</v>
      </c>
      <c r="D6" s="3">
        <v>92</v>
      </c>
      <c r="E6" s="3">
        <v>78</v>
      </c>
      <c r="F6" s="3">
        <v>85</v>
      </c>
      <c r="G6" s="3" t="s">
        <v>54</v>
      </c>
      <c r="H6" s="3" t="s">
        <v>53</v>
      </c>
    </row>
    <row r="7" ht="14.25" spans="1:8">
      <c r="A7" s="3">
        <v>4</v>
      </c>
      <c r="B7" s="3" t="s">
        <v>18</v>
      </c>
      <c r="C7" s="3" t="s">
        <v>2</v>
      </c>
      <c r="D7" s="3">
        <v>89</v>
      </c>
      <c r="E7" s="3">
        <v>84</v>
      </c>
      <c r="F7" s="3">
        <v>86.5</v>
      </c>
      <c r="G7" s="3" t="s">
        <v>55</v>
      </c>
      <c r="H7" s="3" t="s">
        <v>53</v>
      </c>
    </row>
    <row r="8" ht="14.25" spans="1:8">
      <c r="A8" s="3">
        <v>8</v>
      </c>
      <c r="B8" s="3" t="s">
        <v>22</v>
      </c>
      <c r="C8" s="3" t="s">
        <v>2</v>
      </c>
      <c r="D8" s="3">
        <v>99</v>
      </c>
      <c r="E8" s="3">
        <v>86</v>
      </c>
      <c r="F8" s="3">
        <v>92.5</v>
      </c>
      <c r="G8" s="3" t="s">
        <v>56</v>
      </c>
      <c r="H8" s="3" t="s">
        <v>53</v>
      </c>
    </row>
    <row r="9" ht="14.25" spans="1:8">
      <c r="A9" s="3">
        <v>9</v>
      </c>
      <c r="B9" s="3" t="s">
        <v>23</v>
      </c>
      <c r="C9" s="3" t="s">
        <v>2</v>
      </c>
      <c r="D9" s="3">
        <v>96</v>
      </c>
      <c r="E9" s="3">
        <v>89</v>
      </c>
      <c r="F9" s="3">
        <v>92.5</v>
      </c>
      <c r="G9" s="3" t="s">
        <v>56</v>
      </c>
      <c r="H9" s="3" t="s">
        <v>53</v>
      </c>
    </row>
    <row r="10" ht="14.25" spans="1:8">
      <c r="A10" s="3">
        <v>10</v>
      </c>
      <c r="B10" s="3" t="s">
        <v>24</v>
      </c>
      <c r="C10" s="3" t="s">
        <v>3</v>
      </c>
      <c r="D10" s="3">
        <v>97</v>
      </c>
      <c r="E10" s="3">
        <v>95</v>
      </c>
      <c r="F10" s="3">
        <v>96</v>
      </c>
      <c r="G10" s="3" t="s">
        <v>57</v>
      </c>
      <c r="H10" s="3" t="s">
        <v>53</v>
      </c>
    </row>
    <row r="11" ht="14.25" spans="1:8">
      <c r="A11" s="3">
        <v>12</v>
      </c>
      <c r="B11" s="3" t="s">
        <v>26</v>
      </c>
      <c r="C11" s="3" t="s">
        <v>2</v>
      </c>
      <c r="D11" s="3">
        <v>93</v>
      </c>
      <c r="E11" s="3">
        <v>86</v>
      </c>
      <c r="F11" s="3">
        <v>89.5</v>
      </c>
      <c r="G11" s="3" t="s">
        <v>58</v>
      </c>
      <c r="H11" s="3" t="s">
        <v>53</v>
      </c>
    </row>
    <row r="12" ht="14.25" spans="1:8">
      <c r="A12" s="3">
        <v>15</v>
      </c>
      <c r="B12" s="3" t="s">
        <v>29</v>
      </c>
      <c r="C12" s="3" t="s">
        <v>2</v>
      </c>
      <c r="D12" s="3">
        <v>95</v>
      </c>
      <c r="E12" s="3">
        <v>77</v>
      </c>
      <c r="F12" s="3">
        <v>86</v>
      </c>
      <c r="G12" s="3" t="s">
        <v>59</v>
      </c>
      <c r="H12" s="3" t="s">
        <v>53</v>
      </c>
    </row>
    <row r="13" ht="14.25" spans="1:8">
      <c r="A13" s="3">
        <v>17</v>
      </c>
      <c r="B13" s="3" t="s">
        <v>31</v>
      </c>
      <c r="C13" s="3" t="s">
        <v>3</v>
      </c>
      <c r="D13" s="3">
        <v>88</v>
      </c>
      <c r="E13" s="3">
        <v>83</v>
      </c>
      <c r="F13" s="3">
        <v>85.5</v>
      </c>
      <c r="G13" s="3" t="s">
        <v>60</v>
      </c>
      <c r="H13" s="3" t="s">
        <v>53</v>
      </c>
    </row>
    <row r="14" ht="14.25" spans="1:8">
      <c r="A14" s="3">
        <v>20</v>
      </c>
      <c r="B14" s="3" t="s">
        <v>34</v>
      </c>
      <c r="C14" s="3" t="s">
        <v>2</v>
      </c>
      <c r="D14" s="3">
        <v>84</v>
      </c>
      <c r="E14" s="3">
        <v>87</v>
      </c>
      <c r="F14" s="3">
        <v>85.5</v>
      </c>
      <c r="G14" s="3" t="s">
        <v>60</v>
      </c>
      <c r="H14" s="3" t="s">
        <v>53</v>
      </c>
    </row>
    <row r="15" ht="14.25" spans="1:8">
      <c r="A15" s="3">
        <v>24</v>
      </c>
      <c r="B15" s="3" t="s">
        <v>38</v>
      </c>
      <c r="C15" s="3" t="s">
        <v>2</v>
      </c>
      <c r="D15" s="3">
        <v>85</v>
      </c>
      <c r="E15" s="3">
        <v>90</v>
      </c>
      <c r="F15" s="3">
        <v>87.5</v>
      </c>
      <c r="G15" s="3" t="s">
        <v>61</v>
      </c>
      <c r="H15" s="3" t="s">
        <v>53</v>
      </c>
    </row>
    <row r="16" ht="14.25" spans="1:8">
      <c r="A16" s="3">
        <v>35</v>
      </c>
      <c r="B16" s="3" t="s">
        <v>49</v>
      </c>
      <c r="C16" s="3" t="s">
        <v>2</v>
      </c>
      <c r="D16" s="3">
        <v>90</v>
      </c>
      <c r="E16" s="3">
        <v>91</v>
      </c>
      <c r="F16" s="3">
        <v>90.5</v>
      </c>
      <c r="G16" s="3" t="s">
        <v>62</v>
      </c>
      <c r="H16" s="3" t="s">
        <v>53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selection activeCell="C1" sqref="C1:E41"/>
    </sheetView>
  </sheetViews>
  <sheetFormatPr defaultColWidth="9" defaultRowHeight="13.5" outlineLevelCol="7"/>
  <sheetData>
    <row r="1" spans="1:8">
      <c r="A1" t="s">
        <v>6</v>
      </c>
      <c r="B1" t="s">
        <v>7</v>
      </c>
      <c r="C1" t="s">
        <v>0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hidden="1" outlineLevel="2" spans="1:8">
      <c r="A2">
        <v>2</v>
      </c>
      <c r="B2" t="s">
        <v>16</v>
      </c>
      <c r="C2" t="s">
        <v>2</v>
      </c>
      <c r="D2">
        <v>85</v>
      </c>
      <c r="F2">
        <v>0</v>
      </c>
      <c r="G2" t="s">
        <v>63</v>
      </c>
      <c r="H2" t="s">
        <v>64</v>
      </c>
    </row>
    <row r="3" hidden="1" outlineLevel="2" spans="1:8">
      <c r="A3">
        <v>3</v>
      </c>
      <c r="B3" t="s">
        <v>17</v>
      </c>
      <c r="C3" t="s">
        <v>2</v>
      </c>
      <c r="D3">
        <v>64</v>
      </c>
      <c r="E3">
        <v>96</v>
      </c>
      <c r="F3">
        <v>80</v>
      </c>
      <c r="G3" t="s">
        <v>65</v>
      </c>
      <c r="H3" t="s">
        <v>64</v>
      </c>
    </row>
    <row r="4" hidden="1" outlineLevel="2" spans="1:8">
      <c r="A4">
        <v>4</v>
      </c>
      <c r="B4" t="s">
        <v>18</v>
      </c>
      <c r="C4" t="s">
        <v>2</v>
      </c>
      <c r="D4">
        <v>89</v>
      </c>
      <c r="E4">
        <v>84</v>
      </c>
      <c r="F4">
        <v>86.5</v>
      </c>
      <c r="G4" t="s">
        <v>55</v>
      </c>
      <c r="H4" t="s">
        <v>53</v>
      </c>
    </row>
    <row r="5" hidden="1" outlineLevel="2" spans="1:8">
      <c r="A5">
        <v>5</v>
      </c>
      <c r="B5" t="s">
        <v>19</v>
      </c>
      <c r="C5" t="s">
        <v>2</v>
      </c>
      <c r="D5">
        <v>95</v>
      </c>
      <c r="E5">
        <v>68</v>
      </c>
      <c r="F5">
        <v>81.5</v>
      </c>
      <c r="G5" t="s">
        <v>66</v>
      </c>
      <c r="H5" t="s">
        <v>64</v>
      </c>
    </row>
    <row r="6" hidden="1" outlineLevel="2" spans="1:8">
      <c r="A6">
        <v>6</v>
      </c>
      <c r="B6" t="s">
        <v>20</v>
      </c>
      <c r="C6" t="s">
        <v>2</v>
      </c>
      <c r="D6">
        <v>92</v>
      </c>
      <c r="E6">
        <v>57</v>
      </c>
      <c r="F6">
        <v>74.5</v>
      </c>
      <c r="G6" t="s">
        <v>67</v>
      </c>
      <c r="H6" t="s">
        <v>64</v>
      </c>
    </row>
    <row r="7" hidden="1" outlineLevel="2" spans="1:8">
      <c r="A7">
        <v>7</v>
      </c>
      <c r="B7" t="s">
        <v>21</v>
      </c>
      <c r="C7" t="s">
        <v>2</v>
      </c>
      <c r="E7">
        <v>84</v>
      </c>
      <c r="F7">
        <v>0</v>
      </c>
      <c r="G7" t="s">
        <v>63</v>
      </c>
      <c r="H7" t="s">
        <v>64</v>
      </c>
    </row>
    <row r="8" hidden="1" outlineLevel="2" spans="1:8">
      <c r="A8">
        <v>8</v>
      </c>
      <c r="B8" t="s">
        <v>22</v>
      </c>
      <c r="C8" t="s">
        <v>2</v>
      </c>
      <c r="D8">
        <v>99</v>
      </c>
      <c r="E8">
        <v>86</v>
      </c>
      <c r="F8">
        <v>92.5</v>
      </c>
      <c r="G8" t="s">
        <v>56</v>
      </c>
      <c r="H8" t="s">
        <v>53</v>
      </c>
    </row>
    <row r="9" hidden="1" outlineLevel="2" spans="1:8">
      <c r="A9">
        <v>9</v>
      </c>
      <c r="B9" t="s">
        <v>23</v>
      </c>
      <c r="C9" t="s">
        <v>2</v>
      </c>
      <c r="D9">
        <v>96</v>
      </c>
      <c r="E9">
        <v>89</v>
      </c>
      <c r="F9">
        <v>92.5</v>
      </c>
      <c r="G9" t="s">
        <v>56</v>
      </c>
      <c r="H9" t="s">
        <v>53</v>
      </c>
    </row>
    <row r="10" hidden="1" outlineLevel="2" spans="1:8">
      <c r="A10">
        <v>12</v>
      </c>
      <c r="B10" t="s">
        <v>26</v>
      </c>
      <c r="C10" t="s">
        <v>2</v>
      </c>
      <c r="D10">
        <v>93</v>
      </c>
      <c r="E10">
        <v>86</v>
      </c>
      <c r="F10">
        <v>89.5</v>
      </c>
      <c r="G10" t="s">
        <v>58</v>
      </c>
      <c r="H10" t="s">
        <v>53</v>
      </c>
    </row>
    <row r="11" hidden="1" outlineLevel="2" spans="1:8">
      <c r="A11">
        <v>14</v>
      </c>
      <c r="B11" t="s">
        <v>28</v>
      </c>
      <c r="C11" t="s">
        <v>2</v>
      </c>
      <c r="D11">
        <v>68</v>
      </c>
      <c r="E11">
        <v>84</v>
      </c>
      <c r="F11">
        <v>76</v>
      </c>
      <c r="G11" t="s">
        <v>68</v>
      </c>
      <c r="H11" t="s">
        <v>64</v>
      </c>
    </row>
    <row r="12" hidden="1" outlineLevel="2" spans="1:8">
      <c r="A12">
        <v>15</v>
      </c>
      <c r="B12" t="s">
        <v>29</v>
      </c>
      <c r="C12" t="s">
        <v>2</v>
      </c>
      <c r="D12">
        <v>95</v>
      </c>
      <c r="E12">
        <v>77</v>
      </c>
      <c r="F12">
        <v>86</v>
      </c>
      <c r="G12" t="s">
        <v>59</v>
      </c>
      <c r="H12" t="s">
        <v>53</v>
      </c>
    </row>
    <row r="13" hidden="1" outlineLevel="2" spans="1:8">
      <c r="A13">
        <v>20</v>
      </c>
      <c r="B13" t="s">
        <v>34</v>
      </c>
      <c r="C13" t="s">
        <v>2</v>
      </c>
      <c r="D13">
        <v>84</v>
      </c>
      <c r="E13">
        <v>87</v>
      </c>
      <c r="F13">
        <v>85.5</v>
      </c>
      <c r="G13" t="s">
        <v>60</v>
      </c>
      <c r="H13" t="s">
        <v>53</v>
      </c>
    </row>
    <row r="14" hidden="1" outlineLevel="2" spans="1:8">
      <c r="A14">
        <v>21</v>
      </c>
      <c r="B14" t="s">
        <v>35</v>
      </c>
      <c r="C14" t="s">
        <v>2</v>
      </c>
      <c r="D14">
        <v>78</v>
      </c>
      <c r="E14">
        <v>64</v>
      </c>
      <c r="F14">
        <v>71</v>
      </c>
      <c r="G14" t="s">
        <v>69</v>
      </c>
      <c r="H14" t="s">
        <v>64</v>
      </c>
    </row>
    <row r="15" hidden="1" outlineLevel="2" spans="1:8">
      <c r="A15">
        <v>22</v>
      </c>
      <c r="B15" t="s">
        <v>36</v>
      </c>
      <c r="C15" t="s">
        <v>2</v>
      </c>
      <c r="D15">
        <v>48</v>
      </c>
      <c r="F15">
        <v>0</v>
      </c>
      <c r="G15" t="s">
        <v>63</v>
      </c>
      <c r="H15" t="s">
        <v>64</v>
      </c>
    </row>
    <row r="16" hidden="1" outlineLevel="2" spans="1:8">
      <c r="A16">
        <v>23</v>
      </c>
      <c r="B16" t="s">
        <v>37</v>
      </c>
      <c r="C16" t="s">
        <v>2</v>
      </c>
      <c r="D16">
        <v>77</v>
      </c>
      <c r="E16">
        <v>57</v>
      </c>
      <c r="F16">
        <v>67</v>
      </c>
      <c r="G16" t="s">
        <v>70</v>
      </c>
      <c r="H16" t="s">
        <v>64</v>
      </c>
    </row>
    <row r="17" hidden="1" outlineLevel="2" spans="1:8">
      <c r="A17">
        <v>24</v>
      </c>
      <c r="B17" t="s">
        <v>38</v>
      </c>
      <c r="C17" t="s">
        <v>2</v>
      </c>
      <c r="D17">
        <v>85</v>
      </c>
      <c r="E17">
        <v>90</v>
      </c>
      <c r="F17">
        <v>87.5</v>
      </c>
      <c r="G17" t="s">
        <v>61</v>
      </c>
      <c r="H17" t="s">
        <v>53</v>
      </c>
    </row>
    <row r="18" hidden="1" outlineLevel="2" spans="1:8">
      <c r="A18">
        <v>25</v>
      </c>
      <c r="B18" t="s">
        <v>39</v>
      </c>
      <c r="C18" t="s">
        <v>2</v>
      </c>
      <c r="D18">
        <v>56</v>
      </c>
      <c r="E18">
        <v>77</v>
      </c>
      <c r="F18">
        <v>66.5</v>
      </c>
      <c r="G18" t="s">
        <v>71</v>
      </c>
      <c r="H18" t="s">
        <v>64</v>
      </c>
    </row>
    <row r="19" hidden="1" outlineLevel="2" spans="1:8">
      <c r="A19">
        <v>26</v>
      </c>
      <c r="B19" t="s">
        <v>40</v>
      </c>
      <c r="C19" t="s">
        <v>2</v>
      </c>
      <c r="D19">
        <v>96</v>
      </c>
      <c r="E19">
        <v>60</v>
      </c>
      <c r="F19">
        <v>78</v>
      </c>
      <c r="G19" t="s">
        <v>72</v>
      </c>
      <c r="H19" t="s">
        <v>64</v>
      </c>
    </row>
    <row r="20" hidden="1" outlineLevel="2" spans="1:8">
      <c r="A20">
        <v>27</v>
      </c>
      <c r="B20" t="s">
        <v>41</v>
      </c>
      <c r="C20" t="s">
        <v>2</v>
      </c>
      <c r="E20">
        <v>62</v>
      </c>
      <c r="F20">
        <v>0</v>
      </c>
      <c r="G20" t="s">
        <v>63</v>
      </c>
      <c r="H20" t="s">
        <v>64</v>
      </c>
    </row>
    <row r="21" hidden="1" outlineLevel="2" spans="1:8">
      <c r="A21">
        <v>29</v>
      </c>
      <c r="B21" t="s">
        <v>43</v>
      </c>
      <c r="C21" t="s">
        <v>2</v>
      </c>
      <c r="D21">
        <v>43</v>
      </c>
      <c r="E21">
        <v>79</v>
      </c>
      <c r="F21">
        <v>61</v>
      </c>
      <c r="G21" t="s">
        <v>73</v>
      </c>
      <c r="H21" t="s">
        <v>64</v>
      </c>
    </row>
    <row r="22" hidden="1" outlineLevel="2" spans="1:8">
      <c r="A22">
        <v>33</v>
      </c>
      <c r="B22" t="s">
        <v>47</v>
      </c>
      <c r="C22" t="s">
        <v>2</v>
      </c>
      <c r="D22">
        <v>53</v>
      </c>
      <c r="F22">
        <v>0</v>
      </c>
      <c r="G22" t="s">
        <v>63</v>
      </c>
      <c r="H22" t="s">
        <v>64</v>
      </c>
    </row>
    <row r="23" hidden="1" outlineLevel="2" spans="1:8">
      <c r="A23">
        <v>34</v>
      </c>
      <c r="B23" t="s">
        <v>48</v>
      </c>
      <c r="C23" t="s">
        <v>2</v>
      </c>
      <c r="D23">
        <v>47</v>
      </c>
      <c r="E23">
        <v>68</v>
      </c>
      <c r="F23">
        <v>57.5</v>
      </c>
      <c r="G23" t="s">
        <v>74</v>
      </c>
      <c r="H23" t="s">
        <v>64</v>
      </c>
    </row>
    <row r="24" hidden="1" outlineLevel="2" spans="1:8">
      <c r="A24">
        <v>35</v>
      </c>
      <c r="B24" t="s">
        <v>49</v>
      </c>
      <c r="C24" t="s">
        <v>2</v>
      </c>
      <c r="D24">
        <v>90</v>
      </c>
      <c r="E24">
        <v>91</v>
      </c>
      <c r="F24">
        <v>90.5</v>
      </c>
      <c r="G24" t="s">
        <v>62</v>
      </c>
      <c r="H24" t="s">
        <v>53</v>
      </c>
    </row>
    <row r="25" hidden="1" outlineLevel="2" spans="1:8">
      <c r="A25">
        <v>36</v>
      </c>
      <c r="B25" t="s">
        <v>50</v>
      </c>
      <c r="C25" t="s">
        <v>2</v>
      </c>
      <c r="D25">
        <v>59</v>
      </c>
      <c r="E25">
        <v>95</v>
      </c>
      <c r="F25">
        <v>77</v>
      </c>
      <c r="G25" t="s">
        <v>75</v>
      </c>
      <c r="H25" t="s">
        <v>64</v>
      </c>
    </row>
    <row r="26" hidden="1" outlineLevel="2" spans="1:8">
      <c r="A26">
        <v>37</v>
      </c>
      <c r="B26" t="s">
        <v>51</v>
      </c>
      <c r="C26" t="s">
        <v>2</v>
      </c>
      <c r="D26">
        <v>69</v>
      </c>
      <c r="E26">
        <v>65</v>
      </c>
      <c r="F26">
        <v>67</v>
      </c>
      <c r="G26" t="s">
        <v>70</v>
      </c>
      <c r="H26" t="s">
        <v>64</v>
      </c>
    </row>
    <row r="27" hidden="1" outlineLevel="2" spans="1:8">
      <c r="A27">
        <v>38</v>
      </c>
      <c r="B27" t="s">
        <v>52</v>
      </c>
      <c r="C27" t="s">
        <v>2</v>
      </c>
      <c r="E27">
        <v>76</v>
      </c>
      <c r="F27">
        <v>0</v>
      </c>
      <c r="G27" t="s">
        <v>63</v>
      </c>
      <c r="H27" t="s">
        <v>64</v>
      </c>
    </row>
    <row r="28" outlineLevel="1" collapsed="1" spans="3:5">
      <c r="C28" s="1" t="s">
        <v>76</v>
      </c>
      <c r="D28">
        <f>SUBTOTAL(4,D2:D27)</f>
        <v>99</v>
      </c>
      <c r="E28">
        <f>SUBTOTAL(4,E2:E27)</f>
        <v>96</v>
      </c>
    </row>
    <row r="29" hidden="1" outlineLevel="2" spans="1:8">
      <c r="A29">
        <v>1</v>
      </c>
      <c r="B29" t="s">
        <v>15</v>
      </c>
      <c r="C29" t="s">
        <v>3</v>
      </c>
      <c r="D29">
        <v>92</v>
      </c>
      <c r="E29">
        <v>78</v>
      </c>
      <c r="F29">
        <v>85</v>
      </c>
      <c r="G29" t="s">
        <v>54</v>
      </c>
      <c r="H29" t="s">
        <v>53</v>
      </c>
    </row>
    <row r="30" hidden="1" outlineLevel="2" spans="1:8">
      <c r="A30">
        <v>10</v>
      </c>
      <c r="B30" t="s">
        <v>24</v>
      </c>
      <c r="C30" t="s">
        <v>3</v>
      </c>
      <c r="D30">
        <v>97</v>
      </c>
      <c r="E30">
        <v>95</v>
      </c>
      <c r="F30">
        <v>96</v>
      </c>
      <c r="G30" t="s">
        <v>57</v>
      </c>
      <c r="H30" t="s">
        <v>53</v>
      </c>
    </row>
    <row r="31" hidden="1" outlineLevel="2" spans="1:8">
      <c r="A31">
        <v>11</v>
      </c>
      <c r="B31" t="s">
        <v>25</v>
      </c>
      <c r="C31" t="s">
        <v>3</v>
      </c>
      <c r="D31">
        <v>95</v>
      </c>
      <c r="F31">
        <v>0</v>
      </c>
      <c r="G31" t="s">
        <v>63</v>
      </c>
      <c r="H31" t="s">
        <v>64</v>
      </c>
    </row>
    <row r="32" hidden="1" outlineLevel="2" spans="1:8">
      <c r="A32">
        <v>13</v>
      </c>
      <c r="B32" t="s">
        <v>27</v>
      </c>
      <c r="C32" t="s">
        <v>3</v>
      </c>
      <c r="D32">
        <v>75</v>
      </c>
      <c r="E32">
        <v>85</v>
      </c>
      <c r="F32">
        <v>80</v>
      </c>
      <c r="G32" t="s">
        <v>65</v>
      </c>
      <c r="H32" t="s">
        <v>64</v>
      </c>
    </row>
    <row r="33" hidden="1" outlineLevel="2" spans="1:8">
      <c r="A33">
        <v>16</v>
      </c>
      <c r="B33" t="s">
        <v>30</v>
      </c>
      <c r="C33" t="s">
        <v>3</v>
      </c>
      <c r="E33">
        <v>68</v>
      </c>
      <c r="F33">
        <v>0</v>
      </c>
      <c r="G33" t="s">
        <v>63</v>
      </c>
      <c r="H33" t="s">
        <v>64</v>
      </c>
    </row>
    <row r="34" hidden="1" outlineLevel="2" spans="1:8">
      <c r="A34">
        <v>17</v>
      </c>
      <c r="B34" t="s">
        <v>31</v>
      </c>
      <c r="C34" t="s">
        <v>3</v>
      </c>
      <c r="D34">
        <v>88</v>
      </c>
      <c r="E34">
        <v>83</v>
      </c>
      <c r="F34">
        <v>85.5</v>
      </c>
      <c r="G34" t="s">
        <v>60</v>
      </c>
      <c r="H34" t="s">
        <v>53</v>
      </c>
    </row>
    <row r="35" hidden="1" outlineLevel="2" spans="1:8">
      <c r="A35">
        <v>18</v>
      </c>
      <c r="B35" t="s">
        <v>32</v>
      </c>
      <c r="C35" t="s">
        <v>3</v>
      </c>
      <c r="D35">
        <v>69</v>
      </c>
      <c r="E35">
        <v>88</v>
      </c>
      <c r="F35">
        <v>78.5</v>
      </c>
      <c r="G35" t="s">
        <v>77</v>
      </c>
      <c r="H35" t="s">
        <v>64</v>
      </c>
    </row>
    <row r="36" hidden="1" outlineLevel="2" spans="1:8">
      <c r="A36">
        <v>19</v>
      </c>
      <c r="B36" t="s">
        <v>33</v>
      </c>
      <c r="C36" t="s">
        <v>3</v>
      </c>
      <c r="E36">
        <v>88</v>
      </c>
      <c r="F36">
        <v>0</v>
      </c>
      <c r="G36" t="s">
        <v>63</v>
      </c>
      <c r="H36" t="s">
        <v>64</v>
      </c>
    </row>
    <row r="37" hidden="1" outlineLevel="2" spans="1:8">
      <c r="A37">
        <v>28</v>
      </c>
      <c r="B37" t="s">
        <v>42</v>
      </c>
      <c r="C37" t="s">
        <v>3</v>
      </c>
      <c r="D37">
        <v>94</v>
      </c>
      <c r="E37">
        <v>75</v>
      </c>
      <c r="F37">
        <v>84.5</v>
      </c>
      <c r="G37" t="s">
        <v>78</v>
      </c>
      <c r="H37" t="s">
        <v>64</v>
      </c>
    </row>
    <row r="38" hidden="1" outlineLevel="2" spans="1:8">
      <c r="A38">
        <v>30</v>
      </c>
      <c r="B38" t="s">
        <v>44</v>
      </c>
      <c r="C38" t="s">
        <v>3</v>
      </c>
      <c r="D38">
        <v>93</v>
      </c>
      <c r="E38">
        <v>68</v>
      </c>
      <c r="F38">
        <v>80.5</v>
      </c>
      <c r="G38" t="s">
        <v>79</v>
      </c>
      <c r="H38" t="s">
        <v>64</v>
      </c>
    </row>
    <row r="39" hidden="1" outlineLevel="2" spans="1:8">
      <c r="A39">
        <v>31</v>
      </c>
      <c r="B39" t="s">
        <v>45</v>
      </c>
      <c r="C39" t="s">
        <v>3</v>
      </c>
      <c r="D39">
        <v>42</v>
      </c>
      <c r="E39">
        <v>85</v>
      </c>
      <c r="F39">
        <v>63.5</v>
      </c>
      <c r="G39" t="s">
        <v>80</v>
      </c>
      <c r="H39" t="s">
        <v>64</v>
      </c>
    </row>
    <row r="40" hidden="1" outlineLevel="2" spans="1:8">
      <c r="A40">
        <v>32</v>
      </c>
      <c r="B40" t="s">
        <v>46</v>
      </c>
      <c r="C40" t="s">
        <v>3</v>
      </c>
      <c r="D40">
        <v>64</v>
      </c>
      <c r="E40">
        <v>79</v>
      </c>
      <c r="F40">
        <v>71.5</v>
      </c>
      <c r="G40" t="s">
        <v>81</v>
      </c>
      <c r="H40" t="s">
        <v>64</v>
      </c>
    </row>
    <row r="41" outlineLevel="1" collapsed="1" spans="3:5">
      <c r="C41" s="1" t="s">
        <v>82</v>
      </c>
      <c r="D41">
        <f>SUBTOTAL(4,D29:D40)</f>
        <v>97</v>
      </c>
      <c r="E41">
        <f>SUBTOTAL(4,E29:E40)</f>
        <v>95</v>
      </c>
    </row>
    <row r="42" spans="3:5">
      <c r="C42" s="1" t="s">
        <v>83</v>
      </c>
      <c r="D42">
        <f>SUBTOTAL(4,D2:D40)</f>
        <v>99</v>
      </c>
      <c r="E42">
        <f>SUBTOTAL(4,E2:E40)</f>
        <v>96</v>
      </c>
    </row>
  </sheetData>
  <sortState ref="A2:H39">
    <sortCondition ref="C2"/>
  </sortState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雨林木风封装组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男女应聘人数</vt:lpstr>
      <vt:lpstr>应聘人员成绩表</vt:lpstr>
      <vt:lpstr>面试通过表</vt:lpstr>
      <vt:lpstr>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</dc:creator>
  <cp:lastModifiedBy>25472</cp:lastModifiedBy>
  <dcterms:created xsi:type="dcterms:W3CDTF">2012-08-21T09:34:00Z</dcterms:created>
  <dcterms:modified xsi:type="dcterms:W3CDTF">2025-12-11T06:50:16Z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3CA5F98F706E40A3902B9682621725E0_12</vt:lpwstr>
  </property>
</Properties>
</file>
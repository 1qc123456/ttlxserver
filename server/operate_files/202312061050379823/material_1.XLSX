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725" windowHeight="9825" activeTab="2"/>
  </bookViews>
  <sheets>
    <sheet name="Sheet1" sheetId="1" r:id="rId1"/>
    <sheet name="Sheet2" sheetId="2" r:id="rId2"/>
    <sheet name="图表" sheetId="3" r:id="rId3"/>
  </sheets>
  <definedNames>
    <definedName name="_xlchart.0" hidden="1">图表!$A$2:$A$10</definedName>
    <definedName name="_xlchart.1" hidden="1">图表!$E$1</definedName>
    <definedName name="_xlchart.2" hidden="1">图表!$E$2:$E$10</definedName>
  </definedNames>
  <calcPr calcId="144525"/>
</workbook>
</file>

<file path=xl/sharedStrings.xml><?xml version="1.0" encoding="utf-8"?>
<sst xmlns="http://schemas.openxmlformats.org/spreadsheetml/2006/main" count="61" uniqueCount="48">
  <si>
    <t>股票</t>
  </si>
  <si>
    <t>日期</t>
  </si>
  <si>
    <t>价格</t>
  </si>
  <si>
    <t>股数</t>
  </si>
  <si>
    <t>A</t>
  </si>
  <si>
    <t>A 平均值</t>
  </si>
  <si>
    <t>B</t>
  </si>
  <si>
    <t>B 平均值</t>
  </si>
  <si>
    <t>C</t>
  </si>
  <si>
    <t>C 平均值</t>
  </si>
  <si>
    <t>D</t>
  </si>
  <si>
    <t>D 平均值</t>
  </si>
  <si>
    <t>E</t>
  </si>
  <si>
    <t>E 平均值</t>
  </si>
  <si>
    <t>总计平均值</t>
  </si>
  <si>
    <t>学生基本情况表</t>
  </si>
  <si>
    <t>学号</t>
  </si>
  <si>
    <t>姓名</t>
  </si>
  <si>
    <t>性别</t>
  </si>
  <si>
    <t>出生年月</t>
  </si>
  <si>
    <t>奖学金</t>
  </si>
  <si>
    <t>王  伟</t>
  </si>
  <si>
    <t>T</t>
  </si>
  <si>
    <t>李  丽</t>
  </si>
  <si>
    <t>F</t>
  </si>
  <si>
    <t>张  晋</t>
  </si>
  <si>
    <t>赵永红</t>
  </si>
  <si>
    <t>胡  敏</t>
  </si>
  <si>
    <t>刘  宇</t>
  </si>
  <si>
    <t>韩晓炳</t>
  </si>
  <si>
    <t>朱泽源</t>
  </si>
  <si>
    <t>裴  勇</t>
  </si>
  <si>
    <t>贾丽霞</t>
  </si>
  <si>
    <t xml:space="preserve"> 奖学金总额</t>
  </si>
  <si>
    <t>行业</t>
  </si>
  <si>
    <t>流动比</t>
  </si>
  <si>
    <t>速度比</t>
  </si>
  <si>
    <t>存货周转率</t>
  </si>
  <si>
    <t>营运资金比率</t>
  </si>
  <si>
    <t>石油与煤产品</t>
  </si>
  <si>
    <t>食品类产品</t>
  </si>
  <si>
    <t>化工产品</t>
  </si>
  <si>
    <t>制造公司</t>
  </si>
  <si>
    <t>印刷与出版</t>
  </si>
  <si>
    <t>电子与电子设备</t>
  </si>
  <si>
    <t xml:space="preserve">医药产品 </t>
  </si>
  <si>
    <t>零售</t>
  </si>
  <si>
    <t>机械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</si>
</sst>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8"/>
      <color theme="1"/>
      <name val="黑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3" applyNumberFormat="0" applyAlignment="0" applyProtection="0">
      <alignment vertical="center"/>
    </xf>
    <xf numFmtId="0" fontId="12" fillId="4" borderId="14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5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>
      <alignment vertical="center"/>
    </xf>
    <xf numFmtId="5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4" fontId="0" fillId="0" borderId="5" xfId="0" applyNumberForma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2" fillId="0" borderId="4" xfId="0" applyFont="1" applyBorder="1">
      <alignment vertical="center"/>
    </xf>
    <xf numFmtId="0" fontId="2" fillId="0" borderId="7" xfId="0" applyFont="1" applyBorder="1">
      <alignment vertical="center"/>
    </xf>
    <xf numFmtId="14" fontId="0" fillId="0" borderId="8" xfId="0" applyNumberFormat="1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图表!$E$1</c:f>
              <c:strCache>
                <c:ptCount val="1"/>
                <c:pt idx="0">
                  <c:v>营运资金比率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图表!$A$2:$A$10</c:f>
              <c:strCache>
                <c:ptCount val="9"/>
                <c:pt idx="0">
                  <c:v>石油与煤产品</c:v>
                </c:pt>
                <c:pt idx="1">
                  <c:v>食品类产品</c:v>
                </c:pt>
                <c:pt idx="2">
                  <c:v>化工产品</c:v>
                </c:pt>
                <c:pt idx="3">
                  <c:v>制造公司</c:v>
                </c:pt>
                <c:pt idx="4">
                  <c:v>印刷与出版</c:v>
                </c:pt>
                <c:pt idx="5">
                  <c:v>电子与电子设备</c:v>
                </c:pt>
                <c:pt idx="6">
                  <c:v>医药产品 </c:v>
                </c:pt>
                <c:pt idx="7">
                  <c:v>零售</c:v>
                </c:pt>
                <c:pt idx="8">
                  <c:v>机械</c:v>
                </c:pt>
              </c:strCache>
            </c:strRef>
          </c:cat>
          <c:val>
            <c:numRef>
              <c:f>图表!$E$2:$E$10</c:f>
              <c:numCache>
                <c:formatCode>General</c:formatCode>
                <c:ptCount val="9"/>
                <c:pt idx="0">
                  <c:v>2</c:v>
                </c:pt>
                <c:pt idx="1">
                  <c:v>11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20</c:v>
                </c:pt>
                <c:pt idx="6">
                  <c:v>20</c:v>
                </c:pt>
                <c:pt idx="7">
                  <c:v>21</c:v>
                </c:pt>
                <c:pt idx="8">
                  <c:v>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307975</xdr:colOff>
      <xdr:row>13</xdr:row>
      <xdr:rowOff>25400</xdr:rowOff>
    </xdr:from>
    <xdr:to>
      <xdr:col>7</xdr:col>
      <xdr:colOff>136525</xdr:colOff>
      <xdr:row>29</xdr:row>
      <xdr:rowOff>25400</xdr:rowOff>
    </xdr:to>
    <xdr:graphicFrame>
      <xdr:nvGraphicFramePr>
        <xdr:cNvPr id="4" name="图表 3"/>
        <xdr:cNvGraphicFramePr/>
      </xdr:nvGraphicFramePr>
      <xdr:xfrm>
        <a:off x="1431925" y="225425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T56" sqref="T56"/>
    </sheetView>
  </sheetViews>
  <sheetFormatPr defaultColWidth="9" defaultRowHeight="13.5" outlineLevelCol="3"/>
  <cols>
    <col min="2" max="2" width="12.75" customWidth="1"/>
  </cols>
  <sheetData>
    <row r="1" ht="14.25" spans="1:4">
      <c r="A1" s="6" t="s">
        <v>0</v>
      </c>
      <c r="B1" s="7" t="s">
        <v>1</v>
      </c>
      <c r="C1" s="7" t="s">
        <v>2</v>
      </c>
      <c r="D1" s="8" t="s">
        <v>3</v>
      </c>
    </row>
    <row r="2" outlineLevel="2" spans="1:4">
      <c r="A2" s="9" t="s">
        <v>4</v>
      </c>
      <c r="B2" s="10">
        <v>43466</v>
      </c>
      <c r="C2" s="11">
        <v>13.38</v>
      </c>
      <c r="D2" s="12">
        <v>100</v>
      </c>
    </row>
    <row r="3" outlineLevel="2" spans="1:4">
      <c r="A3" s="9" t="s">
        <v>4</v>
      </c>
      <c r="B3" s="10">
        <v>43830</v>
      </c>
      <c r="C3" s="11">
        <v>21.77</v>
      </c>
      <c r="D3" s="12">
        <v>100</v>
      </c>
    </row>
    <row r="4" outlineLevel="1" spans="1:4">
      <c r="A4" s="13" t="s">
        <v>5</v>
      </c>
      <c r="B4" s="10"/>
      <c r="C4" s="11">
        <f>SUBTOTAL(1,C2:C3)</f>
        <v>17.575</v>
      </c>
      <c r="D4" s="12"/>
    </row>
    <row r="5" outlineLevel="2" spans="1:4">
      <c r="A5" s="9" t="s">
        <v>6</v>
      </c>
      <c r="B5" s="10">
        <v>43466</v>
      </c>
      <c r="C5" s="11">
        <v>30.7</v>
      </c>
      <c r="D5" s="12">
        <v>200</v>
      </c>
    </row>
    <row r="6" outlineLevel="2" spans="1:4">
      <c r="A6" s="9" t="s">
        <v>6</v>
      </c>
      <c r="B6" s="10">
        <v>43830</v>
      </c>
      <c r="C6" s="11">
        <v>38.77</v>
      </c>
      <c r="D6" s="12">
        <v>200</v>
      </c>
    </row>
    <row r="7" outlineLevel="1" spans="1:4">
      <c r="A7" s="13" t="s">
        <v>7</v>
      </c>
      <c r="B7" s="10"/>
      <c r="C7" s="11">
        <f>SUBTOTAL(1,C5:C6)</f>
        <v>34.735</v>
      </c>
      <c r="D7" s="12"/>
    </row>
    <row r="8" outlineLevel="2" spans="1:4">
      <c r="A8" s="9" t="s">
        <v>8</v>
      </c>
      <c r="B8" s="10">
        <v>43466</v>
      </c>
      <c r="C8" s="11">
        <v>12.88</v>
      </c>
      <c r="D8" s="12">
        <v>300</v>
      </c>
    </row>
    <row r="9" outlineLevel="2" spans="1:4">
      <c r="A9" s="9" t="s">
        <v>8</v>
      </c>
      <c r="B9" s="10">
        <v>43830</v>
      </c>
      <c r="C9" s="11">
        <v>21.24</v>
      </c>
      <c r="D9" s="12">
        <v>300</v>
      </c>
    </row>
    <row r="10" outlineLevel="1" spans="1:4">
      <c r="A10" s="13" t="s">
        <v>9</v>
      </c>
      <c r="B10" s="10"/>
      <c r="C10" s="11">
        <f>SUBTOTAL(1,C8:C9)</f>
        <v>17.06</v>
      </c>
      <c r="D10" s="12"/>
    </row>
    <row r="11" outlineLevel="2" spans="1:4">
      <c r="A11" s="9" t="s">
        <v>10</v>
      </c>
      <c r="B11" s="10">
        <v>43466</v>
      </c>
      <c r="C11" s="11">
        <v>11.36</v>
      </c>
      <c r="D11" s="12">
        <v>200</v>
      </c>
    </row>
    <row r="12" outlineLevel="2" spans="1:4">
      <c r="A12" s="9" t="s">
        <v>10</v>
      </c>
      <c r="B12" s="10">
        <v>43830</v>
      </c>
      <c r="C12" s="11">
        <v>17.46</v>
      </c>
      <c r="D12" s="12">
        <v>200</v>
      </c>
    </row>
    <row r="13" outlineLevel="1" spans="1:4">
      <c r="A13" s="13" t="s">
        <v>11</v>
      </c>
      <c r="B13" s="10"/>
      <c r="C13" s="11">
        <f>SUBTOTAL(1,C11:C12)</f>
        <v>14.41</v>
      </c>
      <c r="D13" s="12"/>
    </row>
    <row r="14" outlineLevel="2" spans="1:4">
      <c r="A14" s="9" t="s">
        <v>12</v>
      </c>
      <c r="B14" s="10">
        <v>43466</v>
      </c>
      <c r="C14" s="11">
        <v>37.34</v>
      </c>
      <c r="D14" s="12">
        <v>300</v>
      </c>
    </row>
    <row r="15" outlineLevel="2" spans="1:4">
      <c r="A15" s="9" t="s">
        <v>12</v>
      </c>
      <c r="B15" s="10">
        <v>43830</v>
      </c>
      <c r="C15" s="11">
        <v>46.43</v>
      </c>
      <c r="D15" s="12">
        <v>300</v>
      </c>
    </row>
    <row r="16" outlineLevel="1" spans="1:4">
      <c r="A16" s="13" t="s">
        <v>13</v>
      </c>
      <c r="B16" s="10"/>
      <c r="C16" s="11">
        <f>SUBTOTAL(1,C14:C15)</f>
        <v>41.885</v>
      </c>
      <c r="D16" s="12"/>
    </row>
    <row r="17" ht="14.25" spans="1:4">
      <c r="A17" s="14" t="s">
        <v>14</v>
      </c>
      <c r="B17" s="15"/>
      <c r="C17" s="16">
        <f>SUBTOTAL(1,C2:C15)</f>
        <v>25.133</v>
      </c>
      <c r="D17" s="17"/>
    </row>
    <row r="18" ht="14.25"/>
  </sheetData>
  <sortState ref="A2:D11">
    <sortCondition ref="A2:A11"/>
  </sortState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G23" sqref="G23"/>
    </sheetView>
  </sheetViews>
  <sheetFormatPr defaultColWidth="9" defaultRowHeight="13.5" outlineLevelCol="4"/>
  <cols>
    <col min="4" max="4" width="13" customWidth="1"/>
  </cols>
  <sheetData>
    <row r="1" spans="1:5">
      <c r="A1" s="2" t="s">
        <v>15</v>
      </c>
      <c r="B1" s="2"/>
      <c r="C1" s="2"/>
      <c r="D1" s="2"/>
      <c r="E1" s="2"/>
    </row>
    <row r="2" spans="1:5">
      <c r="A2" s="2"/>
      <c r="B2" s="2"/>
      <c r="C2" s="2"/>
      <c r="D2" s="2"/>
      <c r="E2" s="2"/>
    </row>
    <row r="3" spans="1:5">
      <c r="A3" s="3" t="s">
        <v>16</v>
      </c>
      <c r="B3" t="s">
        <v>17</v>
      </c>
      <c r="C3" t="s">
        <v>18</v>
      </c>
      <c r="D3" t="s">
        <v>19</v>
      </c>
      <c r="E3" t="s">
        <v>20</v>
      </c>
    </row>
    <row r="4" spans="1:5">
      <c r="A4" s="3">
        <v>951001</v>
      </c>
      <c r="B4" t="s">
        <v>21</v>
      </c>
      <c r="C4" t="s">
        <v>22</v>
      </c>
      <c r="D4" s="4">
        <v>27155</v>
      </c>
      <c r="E4" s="5">
        <v>500</v>
      </c>
    </row>
    <row r="5" spans="1:5">
      <c r="A5" s="3">
        <v>951002</v>
      </c>
      <c r="B5" t="s">
        <v>23</v>
      </c>
      <c r="C5" t="s">
        <v>24</v>
      </c>
      <c r="D5" s="4">
        <v>26703</v>
      </c>
      <c r="E5" s="5">
        <v>250</v>
      </c>
    </row>
    <row r="6" spans="1:5">
      <c r="A6" s="3">
        <v>951003</v>
      </c>
      <c r="B6" t="s">
        <v>25</v>
      </c>
      <c r="C6" t="s">
        <v>24</v>
      </c>
      <c r="D6" s="4">
        <v>27314</v>
      </c>
      <c r="E6" s="5">
        <v>500</v>
      </c>
    </row>
    <row r="7" spans="1:5">
      <c r="A7" s="3">
        <v>951004</v>
      </c>
      <c r="B7" t="s">
        <v>26</v>
      </c>
      <c r="C7" t="s">
        <v>22</v>
      </c>
      <c r="D7" s="4">
        <v>26828</v>
      </c>
      <c r="E7" s="5">
        <v>750</v>
      </c>
    </row>
    <row r="8" spans="1:5">
      <c r="A8" s="3">
        <v>951005</v>
      </c>
      <c r="B8" t="s">
        <v>27</v>
      </c>
      <c r="C8" t="s">
        <v>22</v>
      </c>
      <c r="D8" s="4">
        <v>26591</v>
      </c>
      <c r="E8" s="5">
        <v>0</v>
      </c>
    </row>
    <row r="9" spans="1:5">
      <c r="A9" s="3">
        <v>951006</v>
      </c>
      <c r="B9" t="s">
        <v>28</v>
      </c>
      <c r="C9" t="s">
        <v>22</v>
      </c>
      <c r="D9" s="4">
        <v>26892</v>
      </c>
      <c r="E9" s="5">
        <v>500</v>
      </c>
    </row>
    <row r="10" spans="1:5">
      <c r="A10" s="3">
        <v>951007</v>
      </c>
      <c r="B10" t="s">
        <v>29</v>
      </c>
      <c r="C10" t="s">
        <v>22</v>
      </c>
      <c r="D10" s="4">
        <v>26525</v>
      </c>
      <c r="E10" s="5">
        <v>750</v>
      </c>
    </row>
    <row r="11" spans="1:5">
      <c r="A11" s="3">
        <v>951008</v>
      </c>
      <c r="B11" t="s">
        <v>30</v>
      </c>
      <c r="C11" t="s">
        <v>22</v>
      </c>
      <c r="D11" s="4">
        <v>26560</v>
      </c>
      <c r="E11" s="5">
        <v>0</v>
      </c>
    </row>
    <row r="12" spans="1:5">
      <c r="A12" s="3">
        <v>951009</v>
      </c>
      <c r="B12" t="s">
        <v>31</v>
      </c>
      <c r="C12" t="s">
        <v>22</v>
      </c>
      <c r="D12" s="4">
        <v>26163</v>
      </c>
      <c r="E12" s="5">
        <v>0</v>
      </c>
    </row>
    <row r="13" spans="1:5">
      <c r="A13" s="3">
        <v>951010</v>
      </c>
      <c r="B13" t="s">
        <v>32</v>
      </c>
      <c r="C13" t="s">
        <v>24</v>
      </c>
      <c r="D13" s="4">
        <v>26792</v>
      </c>
      <c r="E13" s="5">
        <v>750</v>
      </c>
    </row>
    <row r="14" spans="1:5">
      <c r="A14" s="1" t="s">
        <v>33</v>
      </c>
      <c r="B14" s="1"/>
      <c r="C14" s="1"/>
      <c r="D14" s="1"/>
      <c r="E14" s="5">
        <f>SUM(E4:E13)</f>
        <v>4000</v>
      </c>
    </row>
    <row r="16" spans="1:1">
      <c r="A16">
        <f>COUNTIF(E4:E13,"&gt;=500")</f>
        <v>6</v>
      </c>
    </row>
  </sheetData>
  <mergeCells count="2">
    <mergeCell ref="A14:D14"/>
    <mergeCell ref="A1:E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J14" sqref="J14"/>
    </sheetView>
  </sheetViews>
  <sheetFormatPr defaultColWidth="9" defaultRowHeight="13.5" outlineLevelCol="4"/>
  <cols>
    <col min="1" max="1" width="14.75" style="1" customWidth="1"/>
    <col min="4" max="4" width="12" customWidth="1"/>
    <col min="5" max="5" width="14.25" customWidth="1"/>
  </cols>
  <sheetData>
    <row r="1" s="1" customFormat="1" spans="1: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</row>
    <row r="2" spans="1:5">
      <c r="A2" s="1" t="s">
        <v>39</v>
      </c>
      <c r="B2">
        <v>1.13</v>
      </c>
      <c r="C2">
        <v>0.67</v>
      </c>
      <c r="D2" s="1">
        <v>9.6</v>
      </c>
      <c r="E2" s="1">
        <v>2</v>
      </c>
    </row>
    <row r="3" spans="1:5">
      <c r="A3" s="1" t="s">
        <v>40</v>
      </c>
      <c r="B3">
        <v>1.45</v>
      </c>
      <c r="C3">
        <v>0.83</v>
      </c>
      <c r="D3" s="1">
        <v>9</v>
      </c>
      <c r="E3" s="1">
        <v>11</v>
      </c>
    </row>
    <row r="4" spans="1:5">
      <c r="A4" s="1" t="s">
        <v>41</v>
      </c>
      <c r="B4">
        <v>1.52</v>
      </c>
      <c r="C4">
        <v>0.96</v>
      </c>
      <c r="D4" s="1">
        <v>6.3</v>
      </c>
      <c r="E4" s="1">
        <v>12</v>
      </c>
    </row>
    <row r="5" spans="1:5">
      <c r="A5" s="1" t="s">
        <v>42</v>
      </c>
      <c r="B5">
        <v>1.57</v>
      </c>
      <c r="C5">
        <v>0.95</v>
      </c>
      <c r="D5" s="1">
        <v>6.3</v>
      </c>
      <c r="E5" s="1">
        <v>15</v>
      </c>
    </row>
    <row r="6" spans="1:5">
      <c r="A6" s="1" t="s">
        <v>43</v>
      </c>
      <c r="B6">
        <v>1.84</v>
      </c>
      <c r="C6">
        <v>1.43</v>
      </c>
      <c r="D6" s="1">
        <v>12.4</v>
      </c>
      <c r="E6" s="1">
        <v>19</v>
      </c>
    </row>
    <row r="7" spans="1:5">
      <c r="A7" s="1" t="s">
        <v>44</v>
      </c>
      <c r="B7">
        <v>1.64</v>
      </c>
      <c r="C7">
        <v>0.93</v>
      </c>
      <c r="D7" s="1">
        <v>4.6</v>
      </c>
      <c r="E7" s="1">
        <v>20</v>
      </c>
    </row>
    <row r="8" spans="1:5">
      <c r="A8" s="1" t="s">
        <v>45</v>
      </c>
      <c r="B8">
        <v>1.23</v>
      </c>
      <c r="C8">
        <v>0.89</v>
      </c>
      <c r="D8" s="1">
        <v>8.4</v>
      </c>
      <c r="E8" s="1">
        <v>20</v>
      </c>
    </row>
    <row r="9" spans="1:5">
      <c r="A9" s="1" t="s">
        <v>46</v>
      </c>
      <c r="B9">
        <v>1.74</v>
      </c>
      <c r="C9">
        <v>0.77</v>
      </c>
      <c r="D9" s="1">
        <v>6.9</v>
      </c>
      <c r="E9" s="1">
        <v>21</v>
      </c>
    </row>
    <row r="10" spans="1:5">
      <c r="A10" s="1" t="s">
        <v>47</v>
      </c>
      <c r="B10">
        <v>1.92</v>
      </c>
      <c r="C10">
        <v>1.16</v>
      </c>
      <c r="D10" s="1">
        <v>4.8</v>
      </c>
      <c r="E10" s="1">
        <v>23</v>
      </c>
    </row>
  </sheetData>
  <sortState ref="A2:E10">
    <sortCondition ref="E2:E10"/>
  </sortState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WwW.YlmF.CoM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zy</cp:lastModifiedBy>
  <dcterms:created xsi:type="dcterms:W3CDTF">2011-11-04T02:37:00Z</dcterms:created>
  <dcterms:modified xsi:type="dcterms:W3CDTF">2023-12-02T08:23:51Z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E19757E1D7C44E049369253638D5DCCF_12</vt:lpwstr>
  </property>
  <property fmtid="{D5CDD505-2E9C-101B-9397-08002B2CF9AE}" pid="3" name="KSOProductBuildVer">
    <vt:lpwstr>2052-12.1.0.15712</vt:lpwstr>
  </property>
</Properties>
</file>
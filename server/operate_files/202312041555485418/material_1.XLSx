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基本工资表" sheetId="1" r:id="rId1"/>
    <sheet name="筛选" sheetId="2" r:id="rId2"/>
    <sheet name="分类汇总" sheetId="3" r:id="rId3"/>
    <sheet name="数据透视表" sheetId="4" r:id="rId4"/>
  </sheets>
  <definedNames>
    <definedName name="_xlnm._FilterDatabase" localSheetId="1" hidden="1">筛选!$A$2:$I$19</definedName>
    <definedName name="_xlnm.Criteria" localSheetId="1">筛选!$C$22:$D$24</definedName>
    <definedName name="excel第一题素材" localSheetId="0">基本工资表!$A$2:$I$29</definedName>
  </definedNames>
  <calcPr calcId="144525"/>
  <pivotCaches>
    <pivotCache cacheId="0" r:id="rId6"/>
  </pivotCaches>
</workbook>
</file>

<file path=xl/connections.xml><?xml version="1.0" encoding="utf-8"?>
<connections xmlns="http://schemas.openxmlformats.org/spreadsheetml/2006/main">
  <connection id="1" name="excel第一题素材" type="6" background="1" refreshedVersion="2" saveData="1">
    <textPr sourceFile="C:\Users\Administrator\Desktop\11月月考计算机操作\excel第一题素材.txt">
      <textFields>
        <textField/>
      </textFields>
    </textPr>
  </connection>
</connections>
</file>

<file path=xl/sharedStrings.xml><?xml version="1.0" encoding="utf-8"?>
<sst xmlns="http://schemas.openxmlformats.org/spreadsheetml/2006/main" count="438" uniqueCount="91">
  <si>
    <t>员工工资表</t>
  </si>
  <si>
    <t>序号</t>
  </si>
  <si>
    <t>部门</t>
  </si>
  <si>
    <t>员工编号</t>
  </si>
  <si>
    <t>身份证号</t>
  </si>
  <si>
    <t>性别</t>
  </si>
  <si>
    <t>年龄</t>
  </si>
  <si>
    <t>籍贯</t>
  </si>
  <si>
    <t>工龄</t>
  </si>
  <si>
    <t>工资</t>
  </si>
  <si>
    <t>001</t>
  </si>
  <si>
    <t>开发部</t>
  </si>
  <si>
    <t>K12</t>
  </si>
  <si>
    <t>421102198103057914</t>
  </si>
  <si>
    <t>陕西</t>
  </si>
  <si>
    <t>002</t>
  </si>
  <si>
    <t>测试部</t>
  </si>
  <si>
    <t>C24</t>
  </si>
  <si>
    <t>360730199111140612</t>
  </si>
  <si>
    <t>江西</t>
  </si>
  <si>
    <t>003</t>
  </si>
  <si>
    <t>文档部</t>
  </si>
  <si>
    <t>W24</t>
  </si>
  <si>
    <t>610424199101170840</t>
  </si>
  <si>
    <t>河北</t>
  </si>
  <si>
    <t>004</t>
  </si>
  <si>
    <t>市场部</t>
  </si>
  <si>
    <t>S21</t>
  </si>
  <si>
    <t>362202198706172031</t>
  </si>
  <si>
    <t>山东</t>
  </si>
  <si>
    <t>005</t>
  </si>
  <si>
    <t>S20</t>
  </si>
  <si>
    <t>362531199102072416</t>
  </si>
  <si>
    <t>006</t>
  </si>
  <si>
    <t>K01</t>
  </si>
  <si>
    <t>360735199310031218</t>
  </si>
  <si>
    <t>007</t>
  </si>
  <si>
    <t>W08</t>
  </si>
  <si>
    <t>362202199005122524</t>
  </si>
  <si>
    <t>广东</t>
  </si>
  <si>
    <t>008</t>
  </si>
  <si>
    <t>C04</t>
  </si>
  <si>
    <t>341004198610030410</t>
  </si>
  <si>
    <t>上海</t>
  </si>
  <si>
    <t>009</t>
  </si>
  <si>
    <t>S14</t>
  </si>
  <si>
    <t>341224199202083310</t>
  </si>
  <si>
    <t>010</t>
  </si>
  <si>
    <t>S22</t>
  </si>
  <si>
    <t>522324198804154011</t>
  </si>
  <si>
    <t>北京</t>
  </si>
  <si>
    <t>011</t>
  </si>
  <si>
    <t>C16</t>
  </si>
  <si>
    <t>362526199209210339</t>
  </si>
  <si>
    <t>湖北</t>
  </si>
  <si>
    <t>012</t>
  </si>
  <si>
    <t>W04</t>
  </si>
  <si>
    <t>360732199103170022</t>
  </si>
  <si>
    <t>山西</t>
  </si>
  <si>
    <t>013</t>
  </si>
  <si>
    <t>K02</t>
  </si>
  <si>
    <t>612429198010126338</t>
  </si>
  <si>
    <t>014</t>
  </si>
  <si>
    <t>C29</t>
  </si>
  <si>
    <t>341222198509289418</t>
  </si>
  <si>
    <t>015</t>
  </si>
  <si>
    <t>K11</t>
  </si>
  <si>
    <t>340621197810108166</t>
  </si>
  <si>
    <t>辽宁</t>
  </si>
  <si>
    <t>016</t>
  </si>
  <si>
    <t>S17</t>
  </si>
  <si>
    <t>360735198806010038</t>
  </si>
  <si>
    <t>四川</t>
  </si>
  <si>
    <t>017</t>
  </si>
  <si>
    <t>W18</t>
  </si>
  <si>
    <t>360724199112065022</t>
  </si>
  <si>
    <t>江苏</t>
  </si>
  <si>
    <t>基本工资</t>
  </si>
  <si>
    <t>工龄工资</t>
  </si>
  <si>
    <t>k*</t>
  </si>
  <si>
    <t>男</t>
  </si>
  <si>
    <t>女</t>
  </si>
  <si>
    <t>测试部 平均值</t>
  </si>
  <si>
    <t>开发部 平均值</t>
  </si>
  <si>
    <t>市场部 平均值</t>
  </si>
  <si>
    <t>文档部 平均值</t>
  </si>
  <si>
    <t>总计平均值</t>
  </si>
  <si>
    <t>行标签</t>
  </si>
  <si>
    <t>计数项:序号</t>
  </si>
  <si>
    <t>平均值项:工资</t>
  </si>
  <si>
    <t>总计</t>
  </si>
</sst>
</file>

<file path=xl/styles.xml><?xml version="1.0" encoding="utf-8"?>
<styleSheet xmlns="http://schemas.openxmlformats.org/spreadsheetml/2006/main">
  <numFmts count="8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\¥#,##0;\¥\-#,##0"/>
    <numFmt numFmtId="178" formatCode="0.0_ "/>
  </numFmts>
  <fonts count="26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b/>
      <sz val="14"/>
      <color theme="1"/>
      <name val="宋体"/>
      <charset val="134"/>
      <scheme val="minor"/>
    </font>
    <font>
      <sz val="12"/>
      <color theme="1"/>
      <name val="楷体"/>
      <charset val="134"/>
    </font>
    <font>
      <b/>
      <sz val="12"/>
      <color theme="1"/>
      <name val="楷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rgb="FFFF0000"/>
      </left>
      <right style="thin">
        <color rgb="FF0070C0"/>
      </right>
      <top style="thick">
        <color rgb="FFFF000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ck">
        <color rgb="FFFF0000"/>
      </top>
      <bottom style="thin">
        <color rgb="FF0070C0"/>
      </bottom>
      <diagonal/>
    </border>
    <border>
      <left style="thick">
        <color rgb="FFFF000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ck">
        <color rgb="FFFF0000"/>
      </left>
      <right style="thin">
        <color rgb="FF0070C0"/>
      </right>
      <top style="thin">
        <color rgb="FF0070C0"/>
      </top>
      <bottom style="thick">
        <color rgb="FFFF000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ck">
        <color rgb="FFFF0000"/>
      </bottom>
      <diagonal/>
    </border>
    <border>
      <left style="thin">
        <color rgb="FF0070C0"/>
      </left>
      <right style="thick">
        <color rgb="FFFF0000"/>
      </right>
      <top style="thick">
        <color rgb="FFFF0000"/>
      </top>
      <bottom style="thin">
        <color rgb="FF0070C0"/>
      </bottom>
      <diagonal/>
    </border>
    <border>
      <left style="thin">
        <color rgb="FF0070C0"/>
      </left>
      <right style="thick">
        <color rgb="FFFF000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FF0000"/>
      </right>
      <top style="thin">
        <color rgb="FF0070C0"/>
      </top>
      <bottom style="thick">
        <color rgb="FFFF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10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4" applyNumberFormat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2" borderId="15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176" fontId="0" fillId="0" borderId="0" xfId="0" applyNumberFormat="1"/>
    <xf numFmtId="0" fontId="2" fillId="0" borderId="7" xfId="0" applyFont="1" applyBorder="1" applyAlignment="1">
      <alignment horizontal="center"/>
    </xf>
    <xf numFmtId="177" fontId="3" fillId="0" borderId="8" xfId="0" applyNumberFormat="1" applyFont="1" applyBorder="1" applyAlignment="1">
      <alignment horizontal="center"/>
    </xf>
    <xf numFmtId="177" fontId="3" fillId="0" borderId="9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5" fontId="3" fillId="0" borderId="8" xfId="0" applyNumberFormat="1" applyFont="1" applyBorder="1" applyAlignment="1">
      <alignment horizontal="center"/>
    </xf>
    <xf numFmtId="0" fontId="3" fillId="0" borderId="3" xfId="0" applyFont="1" applyBorder="1" applyAlignment="1" quotePrefix="1">
      <alignment horizontal="center"/>
    </xf>
    <xf numFmtId="0" fontId="3" fillId="0" borderId="5" xfId="0" applyFont="1" applyBorder="1" applyAlignment="1" quotePrefix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mediumGray">
          <f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1970.3806667824" refreshedBy="作者" recordCount="17">
  <cacheSource type="worksheet">
    <worksheetSource ref="A2:I19" sheet="数据透视表"/>
  </cacheSource>
  <cacheFields count="9">
    <cacheField name="序号" numFmtId="0"/>
    <cacheField name="部门" numFmtId="0">
      <sharedItems count="4">
        <s v="开发部"/>
        <s v="测试部"/>
        <s v="文档部"/>
        <s v="市场部"/>
      </sharedItems>
    </cacheField>
    <cacheField name="员工编号" numFmtId="0"/>
    <cacheField name="身份证号" numFmtId="49"/>
    <cacheField name="性别" numFmtId="0">
      <sharedItems count="2">
        <s v="男"/>
        <s v="女"/>
      </sharedItems>
    </cacheField>
    <cacheField name="年龄" numFmtId="49"/>
    <cacheField name="籍贯" numFmtId="0"/>
    <cacheField name="工龄" numFmtId="0"/>
    <cacheField name="工资" numFmtId="177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">
  <r>
    <s v="001"/>
    <x v="0"/>
    <s v="K12"/>
    <s v="421102198103057914"/>
    <x v="0"/>
    <n v="33"/>
    <s v="陕西"/>
    <n v="5"/>
    <n v="5000"/>
  </r>
  <r>
    <s v="002"/>
    <x v="1"/>
    <s v="C24"/>
    <s v="360730199111140612"/>
    <x v="0"/>
    <n v="23"/>
    <s v="江西"/>
    <n v="4"/>
    <n v="4600"/>
  </r>
  <r>
    <s v="003"/>
    <x v="2"/>
    <s v="W24"/>
    <s v="610424199101170840"/>
    <x v="1"/>
    <n v="23"/>
    <s v="河北"/>
    <n v="2"/>
    <n v="3800"/>
  </r>
  <r>
    <s v="004"/>
    <x v="3"/>
    <s v="S21"/>
    <s v="362202198706172031"/>
    <x v="0"/>
    <n v="27"/>
    <s v="山东"/>
    <n v="4"/>
    <n v="4600"/>
  </r>
  <r>
    <s v="005"/>
    <x v="3"/>
    <s v="S20"/>
    <s v="362531199102072416"/>
    <x v="0"/>
    <n v="23"/>
    <s v="江西"/>
    <n v="2"/>
    <n v="3800"/>
  </r>
  <r>
    <s v="006"/>
    <x v="0"/>
    <s v="K01"/>
    <s v="360735199310031218"/>
    <x v="0"/>
    <n v="21"/>
    <s v="陕西"/>
    <n v="2"/>
    <n v="3800"/>
  </r>
  <r>
    <s v="007"/>
    <x v="2"/>
    <s v="W08"/>
    <s v="362202199005122524"/>
    <x v="1"/>
    <n v="24"/>
    <s v="广东"/>
    <n v="1"/>
    <n v="3400"/>
  </r>
  <r>
    <s v="008"/>
    <x v="1"/>
    <s v="C04"/>
    <s v="341004198610030410"/>
    <x v="0"/>
    <n v="28"/>
    <s v="上海"/>
    <n v="5"/>
    <n v="5000"/>
  </r>
  <r>
    <s v="009"/>
    <x v="3"/>
    <s v="S14"/>
    <s v="341224199202083310"/>
    <x v="0"/>
    <n v="22"/>
    <s v="山东"/>
    <n v="4"/>
    <n v="4600"/>
  </r>
  <r>
    <s v="010"/>
    <x v="3"/>
    <s v="S22"/>
    <s v="522324198804154011"/>
    <x v="0"/>
    <n v="26"/>
    <s v="北京"/>
    <n v="2"/>
    <n v="3800"/>
  </r>
  <r>
    <s v="011"/>
    <x v="1"/>
    <s v="C16"/>
    <s v="362526199209210339"/>
    <x v="0"/>
    <n v="22"/>
    <s v="湖北"/>
    <n v="4"/>
    <n v="4600"/>
  </r>
  <r>
    <s v="012"/>
    <x v="2"/>
    <s v="W04"/>
    <s v="360732199103170022"/>
    <x v="1"/>
    <n v="23"/>
    <s v="山西"/>
    <n v="3"/>
    <n v="4200"/>
  </r>
  <r>
    <s v="013"/>
    <x v="0"/>
    <s v="K02"/>
    <s v="612429198010126338"/>
    <x v="0"/>
    <n v="34"/>
    <s v="陕西"/>
    <n v="6"/>
    <n v="5400"/>
  </r>
  <r>
    <s v="014"/>
    <x v="1"/>
    <s v="C29"/>
    <s v="341222198509289418"/>
    <x v="0"/>
    <n v="29"/>
    <s v="江西"/>
    <n v="5"/>
    <n v="5000"/>
  </r>
  <r>
    <s v="015"/>
    <x v="0"/>
    <s v="K11"/>
    <s v="340621197810108166"/>
    <x v="1"/>
    <n v="36"/>
    <s v="辽宁"/>
    <n v="3"/>
    <n v="4200"/>
  </r>
  <r>
    <s v="016"/>
    <x v="3"/>
    <s v="S17"/>
    <s v="360735198806010038"/>
    <x v="0"/>
    <n v="26"/>
    <s v="四川"/>
    <n v="5"/>
    <n v="5000"/>
  </r>
  <r>
    <s v="017"/>
    <x v="2"/>
    <s v="W18"/>
    <s v="360724199112065022"/>
    <x v="1"/>
    <n v="23"/>
    <s v="江苏"/>
    <n v="2"/>
    <n v="3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4" minRefreshableVersion="3" createdVersion="4" useAutoFormatting="1" indent="0" outline="1" outlineData="1" showDrill="1" multipleFieldFilters="0">
  <location ref="E22:G27" firstHeaderRow="0" firstDataRow="1" firstDataCol="1"/>
  <pivotFields count="9">
    <pivotField dataField="1"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numFmtId="49" showAll="0"/>
    <pivotField showAll="0"/>
    <pivotField showAll="0"/>
    <pivotField dataField="1" numFmtId="177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序号" fld="0" subtotal="count" baseField="0" baseItem="0"/>
    <dataField name="平均值项:工资" fld="8" subtotal="average" baseField="1" baseItem="0" numFmtId="176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cel第一题素材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L12" sqref="L12"/>
    </sheetView>
  </sheetViews>
  <sheetFormatPr defaultColWidth="9" defaultRowHeight="13.5"/>
  <cols>
    <col min="1" max="1" width="6.75" customWidth="1"/>
    <col min="2" max="2" width="7.125" customWidth="1"/>
    <col min="3" max="3" width="11.875" customWidth="1"/>
    <col min="4" max="4" width="20.5" customWidth="1"/>
    <col min="5" max="8" width="6.75" customWidth="1"/>
    <col min="9" max="9" width="7.5" customWidth="1"/>
  </cols>
  <sheetData>
    <row r="1" ht="23.25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9.5" spans="1:9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13" t="s">
        <v>9</v>
      </c>
    </row>
    <row r="3" ht="14.25" spans="1:9">
      <c r="A3" s="25" t="s">
        <v>10</v>
      </c>
      <c r="B3" s="6" t="s">
        <v>11</v>
      </c>
      <c r="C3" s="6" t="s">
        <v>12</v>
      </c>
      <c r="D3" s="7" t="s">
        <v>13</v>
      </c>
      <c r="E3" s="6" t="str">
        <f>IF(MOD(MID(D3,17,1),2)=1,"男","女")</f>
        <v>男</v>
      </c>
      <c r="F3" s="7">
        <f ca="1">YEAR(NOW())-MID(D3,7,4)</f>
        <v>42</v>
      </c>
      <c r="G3" s="6" t="s">
        <v>14</v>
      </c>
      <c r="H3" s="6">
        <v>5</v>
      </c>
      <c r="I3" s="24">
        <f>$E$21+H3*$E$22</f>
        <v>5000</v>
      </c>
    </row>
    <row r="4" ht="14.25" spans="1:9">
      <c r="A4" s="25" t="s">
        <v>15</v>
      </c>
      <c r="B4" s="6" t="s">
        <v>16</v>
      </c>
      <c r="C4" s="6" t="s">
        <v>17</v>
      </c>
      <c r="D4" s="7" t="s">
        <v>18</v>
      </c>
      <c r="E4" s="6" t="str">
        <f t="shared" ref="E4:E19" si="0">IF(MOD(MID(D4,17,1),2)=1,"男","女")</f>
        <v>男</v>
      </c>
      <c r="F4" s="7">
        <f ca="1" t="shared" ref="F4:F19" si="1">YEAR(NOW())-MID(D4,7,4)</f>
        <v>32</v>
      </c>
      <c r="G4" s="6" t="s">
        <v>19</v>
      </c>
      <c r="H4" s="6">
        <v>4</v>
      </c>
      <c r="I4" s="24">
        <f t="shared" ref="I4:I19" si="2">$E$21+H4*$E$22</f>
        <v>4600</v>
      </c>
    </row>
    <row r="5" ht="14.25" spans="1:9">
      <c r="A5" s="25" t="s">
        <v>20</v>
      </c>
      <c r="B5" s="6" t="s">
        <v>21</v>
      </c>
      <c r="C5" s="6" t="s">
        <v>22</v>
      </c>
      <c r="D5" s="7" t="s">
        <v>23</v>
      </c>
      <c r="E5" s="6" t="str">
        <f t="shared" si="0"/>
        <v>女</v>
      </c>
      <c r="F5" s="7">
        <f ca="1" t="shared" si="1"/>
        <v>32</v>
      </c>
      <c r="G5" s="6" t="s">
        <v>24</v>
      </c>
      <c r="H5" s="6">
        <v>2</v>
      </c>
      <c r="I5" s="24">
        <f t="shared" si="2"/>
        <v>3800</v>
      </c>
    </row>
    <row r="6" ht="14.25" spans="1:9">
      <c r="A6" s="25" t="s">
        <v>25</v>
      </c>
      <c r="B6" s="6" t="s">
        <v>26</v>
      </c>
      <c r="C6" s="6" t="s">
        <v>27</v>
      </c>
      <c r="D6" s="7" t="s">
        <v>28</v>
      </c>
      <c r="E6" s="6" t="str">
        <f t="shared" si="0"/>
        <v>男</v>
      </c>
      <c r="F6" s="7">
        <f ca="1" t="shared" si="1"/>
        <v>36</v>
      </c>
      <c r="G6" s="6" t="s">
        <v>29</v>
      </c>
      <c r="H6" s="6">
        <v>4</v>
      </c>
      <c r="I6" s="24">
        <f t="shared" si="2"/>
        <v>4600</v>
      </c>
    </row>
    <row r="7" ht="14.25" spans="1:9">
      <c r="A7" s="25" t="s">
        <v>30</v>
      </c>
      <c r="B7" s="6" t="s">
        <v>26</v>
      </c>
      <c r="C7" s="6" t="s">
        <v>31</v>
      </c>
      <c r="D7" s="7" t="s">
        <v>32</v>
      </c>
      <c r="E7" s="6" t="str">
        <f t="shared" si="0"/>
        <v>男</v>
      </c>
      <c r="F7" s="7">
        <f ca="1" t="shared" si="1"/>
        <v>32</v>
      </c>
      <c r="G7" s="6" t="s">
        <v>19</v>
      </c>
      <c r="H7" s="6">
        <v>2</v>
      </c>
      <c r="I7" s="24">
        <f t="shared" si="2"/>
        <v>3800</v>
      </c>
    </row>
    <row r="8" ht="14.25" spans="1:9">
      <c r="A8" s="25" t="s">
        <v>33</v>
      </c>
      <c r="B8" s="6" t="s">
        <v>11</v>
      </c>
      <c r="C8" s="6" t="s">
        <v>34</v>
      </c>
      <c r="D8" s="7" t="s">
        <v>35</v>
      </c>
      <c r="E8" s="6" t="str">
        <f t="shared" si="0"/>
        <v>男</v>
      </c>
      <c r="F8" s="7">
        <f ca="1" t="shared" si="1"/>
        <v>30</v>
      </c>
      <c r="G8" s="6" t="s">
        <v>14</v>
      </c>
      <c r="H8" s="6">
        <v>2</v>
      </c>
      <c r="I8" s="24">
        <f t="shared" si="2"/>
        <v>3800</v>
      </c>
    </row>
    <row r="9" ht="14.25" spans="1:9">
      <c r="A9" s="25" t="s">
        <v>36</v>
      </c>
      <c r="B9" s="6" t="s">
        <v>21</v>
      </c>
      <c r="C9" s="6" t="s">
        <v>37</v>
      </c>
      <c r="D9" s="7" t="s">
        <v>38</v>
      </c>
      <c r="E9" s="6" t="str">
        <f t="shared" si="0"/>
        <v>女</v>
      </c>
      <c r="F9" s="7">
        <f ca="1" t="shared" si="1"/>
        <v>33</v>
      </c>
      <c r="G9" s="6" t="s">
        <v>39</v>
      </c>
      <c r="H9" s="6">
        <v>1</v>
      </c>
      <c r="I9" s="24">
        <f t="shared" si="2"/>
        <v>3400</v>
      </c>
    </row>
    <row r="10" ht="14.25" spans="1:9">
      <c r="A10" s="25" t="s">
        <v>40</v>
      </c>
      <c r="B10" s="6" t="s">
        <v>16</v>
      </c>
      <c r="C10" s="6" t="s">
        <v>41</v>
      </c>
      <c r="D10" s="7" t="s">
        <v>42</v>
      </c>
      <c r="E10" s="6" t="str">
        <f t="shared" si="0"/>
        <v>男</v>
      </c>
      <c r="F10" s="7">
        <f ca="1" t="shared" si="1"/>
        <v>37</v>
      </c>
      <c r="G10" s="6" t="s">
        <v>43</v>
      </c>
      <c r="H10" s="6">
        <v>5</v>
      </c>
      <c r="I10" s="24">
        <f t="shared" si="2"/>
        <v>5000</v>
      </c>
    </row>
    <row r="11" ht="14.25" spans="1:9">
      <c r="A11" s="25" t="s">
        <v>44</v>
      </c>
      <c r="B11" s="6" t="s">
        <v>26</v>
      </c>
      <c r="C11" s="6" t="s">
        <v>45</v>
      </c>
      <c r="D11" s="7" t="s">
        <v>46</v>
      </c>
      <c r="E11" s="6" t="str">
        <f t="shared" si="0"/>
        <v>男</v>
      </c>
      <c r="F11" s="7">
        <f ca="1" t="shared" si="1"/>
        <v>31</v>
      </c>
      <c r="G11" s="6" t="s">
        <v>29</v>
      </c>
      <c r="H11" s="6">
        <v>4</v>
      </c>
      <c r="I11" s="24">
        <f t="shared" si="2"/>
        <v>4600</v>
      </c>
    </row>
    <row r="12" ht="14.25" spans="1:9">
      <c r="A12" s="25" t="s">
        <v>47</v>
      </c>
      <c r="B12" s="6" t="s">
        <v>26</v>
      </c>
      <c r="C12" s="6" t="s">
        <v>48</v>
      </c>
      <c r="D12" s="7" t="s">
        <v>49</v>
      </c>
      <c r="E12" s="6" t="str">
        <f t="shared" si="0"/>
        <v>男</v>
      </c>
      <c r="F12" s="7">
        <f ca="1" t="shared" si="1"/>
        <v>35</v>
      </c>
      <c r="G12" s="6" t="s">
        <v>50</v>
      </c>
      <c r="H12" s="6">
        <v>2</v>
      </c>
      <c r="I12" s="24">
        <f t="shared" si="2"/>
        <v>3800</v>
      </c>
    </row>
    <row r="13" ht="14.25" spans="1:9">
      <c r="A13" s="25" t="s">
        <v>51</v>
      </c>
      <c r="B13" s="6" t="s">
        <v>16</v>
      </c>
      <c r="C13" s="6" t="s">
        <v>52</v>
      </c>
      <c r="D13" s="7" t="s">
        <v>53</v>
      </c>
      <c r="E13" s="6" t="str">
        <f t="shared" si="0"/>
        <v>男</v>
      </c>
      <c r="F13" s="7">
        <f ca="1" t="shared" si="1"/>
        <v>31</v>
      </c>
      <c r="G13" s="6" t="s">
        <v>54</v>
      </c>
      <c r="H13" s="6">
        <v>4</v>
      </c>
      <c r="I13" s="24">
        <f t="shared" si="2"/>
        <v>4600</v>
      </c>
    </row>
    <row r="14" ht="14.25" spans="1:9">
      <c r="A14" s="25" t="s">
        <v>55</v>
      </c>
      <c r="B14" s="6" t="s">
        <v>21</v>
      </c>
      <c r="C14" s="6" t="s">
        <v>56</v>
      </c>
      <c r="D14" s="7" t="s">
        <v>57</v>
      </c>
      <c r="E14" s="6" t="str">
        <f t="shared" si="0"/>
        <v>女</v>
      </c>
      <c r="F14" s="7">
        <f ca="1" t="shared" si="1"/>
        <v>32</v>
      </c>
      <c r="G14" s="6" t="s">
        <v>58</v>
      </c>
      <c r="H14" s="6">
        <v>3</v>
      </c>
      <c r="I14" s="24">
        <f t="shared" si="2"/>
        <v>4200</v>
      </c>
    </row>
    <row r="15" ht="14.25" spans="1:9">
      <c r="A15" s="25" t="s">
        <v>59</v>
      </c>
      <c r="B15" s="6" t="s">
        <v>11</v>
      </c>
      <c r="C15" s="6" t="s">
        <v>60</v>
      </c>
      <c r="D15" s="7" t="s">
        <v>61</v>
      </c>
      <c r="E15" s="6" t="str">
        <f t="shared" si="0"/>
        <v>男</v>
      </c>
      <c r="F15" s="7">
        <f ca="1" t="shared" si="1"/>
        <v>43</v>
      </c>
      <c r="G15" s="6" t="s">
        <v>14</v>
      </c>
      <c r="H15" s="6">
        <v>6</v>
      </c>
      <c r="I15" s="24">
        <f t="shared" si="2"/>
        <v>5400</v>
      </c>
    </row>
    <row r="16" ht="14.25" spans="1:9">
      <c r="A16" s="25" t="s">
        <v>62</v>
      </c>
      <c r="B16" s="6" t="s">
        <v>16</v>
      </c>
      <c r="C16" s="6" t="s">
        <v>63</v>
      </c>
      <c r="D16" s="7" t="s">
        <v>64</v>
      </c>
      <c r="E16" s="6" t="str">
        <f t="shared" si="0"/>
        <v>男</v>
      </c>
      <c r="F16" s="7">
        <f ca="1" t="shared" si="1"/>
        <v>38</v>
      </c>
      <c r="G16" s="6" t="s">
        <v>19</v>
      </c>
      <c r="H16" s="6">
        <v>5</v>
      </c>
      <c r="I16" s="24">
        <f t="shared" si="2"/>
        <v>5000</v>
      </c>
    </row>
    <row r="17" ht="14.25" spans="1:9">
      <c r="A17" s="25" t="s">
        <v>65</v>
      </c>
      <c r="B17" s="6" t="s">
        <v>11</v>
      </c>
      <c r="C17" s="6" t="s">
        <v>66</v>
      </c>
      <c r="D17" s="7" t="s">
        <v>67</v>
      </c>
      <c r="E17" s="6" t="str">
        <f t="shared" si="0"/>
        <v>女</v>
      </c>
      <c r="F17" s="7">
        <f ca="1" t="shared" si="1"/>
        <v>45</v>
      </c>
      <c r="G17" s="6" t="s">
        <v>68</v>
      </c>
      <c r="H17" s="6">
        <v>3</v>
      </c>
      <c r="I17" s="24">
        <f t="shared" si="2"/>
        <v>4200</v>
      </c>
    </row>
    <row r="18" ht="14.25" spans="1:9">
      <c r="A18" s="25" t="s">
        <v>69</v>
      </c>
      <c r="B18" s="6" t="s">
        <v>26</v>
      </c>
      <c r="C18" s="6" t="s">
        <v>70</v>
      </c>
      <c r="D18" s="7" t="s">
        <v>71</v>
      </c>
      <c r="E18" s="6" t="str">
        <f t="shared" si="0"/>
        <v>男</v>
      </c>
      <c r="F18" s="7">
        <f ca="1" t="shared" si="1"/>
        <v>35</v>
      </c>
      <c r="G18" s="6" t="s">
        <v>72</v>
      </c>
      <c r="H18" s="6">
        <v>5</v>
      </c>
      <c r="I18" s="24">
        <f t="shared" si="2"/>
        <v>5000</v>
      </c>
    </row>
    <row r="19" ht="15" spans="1:9">
      <c r="A19" s="26" t="s">
        <v>73</v>
      </c>
      <c r="B19" s="9" t="s">
        <v>21</v>
      </c>
      <c r="C19" s="9" t="s">
        <v>74</v>
      </c>
      <c r="D19" s="10" t="s">
        <v>75</v>
      </c>
      <c r="E19" s="9" t="str">
        <f t="shared" si="0"/>
        <v>女</v>
      </c>
      <c r="F19" s="10">
        <f ca="1" t="shared" si="1"/>
        <v>32</v>
      </c>
      <c r="G19" s="9" t="s">
        <v>76</v>
      </c>
      <c r="H19" s="9">
        <v>2</v>
      </c>
      <c r="I19" s="24">
        <f t="shared" si="2"/>
        <v>3800</v>
      </c>
    </row>
    <row r="21" ht="14.25" spans="4:5">
      <c r="D21" s="22" t="s">
        <v>77</v>
      </c>
      <c r="E21">
        <v>3000</v>
      </c>
    </row>
    <row r="22" ht="14.25" spans="4:5">
      <c r="D22" s="23" t="s">
        <v>78</v>
      </c>
      <c r="E22">
        <v>400</v>
      </c>
    </row>
  </sheetData>
  <mergeCells count="1">
    <mergeCell ref="A1:I1"/>
  </mergeCells>
  <conditionalFormatting sqref="I3:I19">
    <cfRule type="cellIs" dxfId="0" priority="1" operator="lessThan">
      <formula>4000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33"/>
  <sheetViews>
    <sheetView workbookViewId="0">
      <selection activeCell="A28" sqref="A28:I33"/>
    </sheetView>
  </sheetViews>
  <sheetFormatPr defaultColWidth="9" defaultRowHeight="13.5"/>
  <cols>
    <col min="3" max="3" width="9.75" customWidth="1"/>
    <col min="4" max="4" width="22" customWidth="1"/>
  </cols>
  <sheetData>
    <row r="1" ht="23.25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9.5" spans="1:9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13" t="s">
        <v>9</v>
      </c>
    </row>
    <row r="3" ht="14.25" spans="1:9">
      <c r="A3" s="25" t="s">
        <v>10</v>
      </c>
      <c r="B3" s="6" t="s">
        <v>11</v>
      </c>
      <c r="C3" s="6" t="s">
        <v>12</v>
      </c>
      <c r="D3" s="7" t="s">
        <v>13</v>
      </c>
      <c r="E3" s="6" t="str">
        <f>IF(MOD(MID(D3,17,1),2)=1,"男","女")</f>
        <v>男</v>
      </c>
      <c r="F3" s="7">
        <f ca="1">YEAR(NOW())-MID(D3,7,4)</f>
        <v>42</v>
      </c>
      <c r="G3" s="6" t="s">
        <v>14</v>
      </c>
      <c r="H3" s="6">
        <v>5</v>
      </c>
      <c r="I3" s="14">
        <f>3000+H3*400</f>
        <v>5000</v>
      </c>
    </row>
    <row r="4" ht="14.25" hidden="1" spans="1:9">
      <c r="A4" s="25" t="s">
        <v>15</v>
      </c>
      <c r="B4" s="6" t="s">
        <v>16</v>
      </c>
      <c r="C4" s="6" t="s">
        <v>17</v>
      </c>
      <c r="D4" s="7" t="s">
        <v>18</v>
      </c>
      <c r="E4" s="6" t="str">
        <f t="shared" ref="E4:E19" si="0">IF(MOD(MID(D4,17,1),2)=1,"男","女")</f>
        <v>男</v>
      </c>
      <c r="F4" s="7">
        <f ca="1" t="shared" ref="F4:F19" si="1">YEAR(NOW())-MID(D4,7,4)</f>
        <v>32</v>
      </c>
      <c r="G4" s="6" t="s">
        <v>19</v>
      </c>
      <c r="H4" s="6">
        <v>4</v>
      </c>
      <c r="I4" s="14">
        <f t="shared" ref="I4:I19" si="2">3000+H4*400</f>
        <v>4600</v>
      </c>
    </row>
    <row r="5" ht="14.25" hidden="1" spans="1:9">
      <c r="A5" s="25" t="s">
        <v>20</v>
      </c>
      <c r="B5" s="6" t="s">
        <v>21</v>
      </c>
      <c r="C5" s="6" t="s">
        <v>22</v>
      </c>
      <c r="D5" s="7" t="s">
        <v>23</v>
      </c>
      <c r="E5" s="6" t="str">
        <f t="shared" si="0"/>
        <v>女</v>
      </c>
      <c r="F5" s="7">
        <f ca="1" t="shared" si="1"/>
        <v>32</v>
      </c>
      <c r="G5" s="6" t="s">
        <v>24</v>
      </c>
      <c r="H5" s="6">
        <v>2</v>
      </c>
      <c r="I5" s="14">
        <f t="shared" si="2"/>
        <v>3800</v>
      </c>
    </row>
    <row r="6" ht="14.25" hidden="1" spans="1:9">
      <c r="A6" s="25" t="s">
        <v>25</v>
      </c>
      <c r="B6" s="6" t="s">
        <v>26</v>
      </c>
      <c r="C6" s="6" t="s">
        <v>27</v>
      </c>
      <c r="D6" s="7" t="s">
        <v>28</v>
      </c>
      <c r="E6" s="6" t="str">
        <f t="shared" si="0"/>
        <v>男</v>
      </c>
      <c r="F6" s="7">
        <f ca="1" t="shared" si="1"/>
        <v>36</v>
      </c>
      <c r="G6" s="6" t="s">
        <v>29</v>
      </c>
      <c r="H6" s="6">
        <v>4</v>
      </c>
      <c r="I6" s="14">
        <f t="shared" si="2"/>
        <v>4600</v>
      </c>
    </row>
    <row r="7" ht="14.25" hidden="1" spans="1:9">
      <c r="A7" s="25" t="s">
        <v>30</v>
      </c>
      <c r="B7" s="6" t="s">
        <v>26</v>
      </c>
      <c r="C7" s="6" t="s">
        <v>31</v>
      </c>
      <c r="D7" s="7" t="s">
        <v>32</v>
      </c>
      <c r="E7" s="6" t="str">
        <f t="shared" si="0"/>
        <v>男</v>
      </c>
      <c r="F7" s="7">
        <f ca="1" t="shared" si="1"/>
        <v>32</v>
      </c>
      <c r="G7" s="6" t="s">
        <v>19</v>
      </c>
      <c r="H7" s="6">
        <v>2</v>
      </c>
      <c r="I7" s="14">
        <f t="shared" si="2"/>
        <v>3800</v>
      </c>
    </row>
    <row r="8" ht="14.25" spans="1:9">
      <c r="A8" s="25" t="s">
        <v>33</v>
      </c>
      <c r="B8" s="6" t="s">
        <v>11</v>
      </c>
      <c r="C8" s="6" t="s">
        <v>34</v>
      </c>
      <c r="D8" s="7" t="s">
        <v>35</v>
      </c>
      <c r="E8" s="6" t="str">
        <f t="shared" si="0"/>
        <v>男</v>
      </c>
      <c r="F8" s="7">
        <f ca="1" t="shared" si="1"/>
        <v>30</v>
      </c>
      <c r="G8" s="6" t="s">
        <v>14</v>
      </c>
      <c r="H8" s="6">
        <v>2</v>
      </c>
      <c r="I8" s="14">
        <f t="shared" si="2"/>
        <v>3800</v>
      </c>
    </row>
    <row r="9" ht="14.25" hidden="1" spans="1:9">
      <c r="A9" s="25" t="s">
        <v>36</v>
      </c>
      <c r="B9" s="6" t="s">
        <v>21</v>
      </c>
      <c r="C9" s="6" t="s">
        <v>37</v>
      </c>
      <c r="D9" s="7" t="s">
        <v>38</v>
      </c>
      <c r="E9" s="6" t="str">
        <f t="shared" si="0"/>
        <v>女</v>
      </c>
      <c r="F9" s="7">
        <f ca="1" t="shared" si="1"/>
        <v>33</v>
      </c>
      <c r="G9" s="6" t="s">
        <v>39</v>
      </c>
      <c r="H9" s="6">
        <v>1</v>
      </c>
      <c r="I9" s="14">
        <f t="shared" si="2"/>
        <v>3400</v>
      </c>
    </row>
    <row r="10" ht="14.25" hidden="1" spans="1:9">
      <c r="A10" s="25" t="s">
        <v>40</v>
      </c>
      <c r="B10" s="6" t="s">
        <v>16</v>
      </c>
      <c r="C10" s="6" t="s">
        <v>41</v>
      </c>
      <c r="D10" s="7" t="s">
        <v>42</v>
      </c>
      <c r="E10" s="6" t="str">
        <f t="shared" si="0"/>
        <v>男</v>
      </c>
      <c r="F10" s="7">
        <f ca="1" t="shared" si="1"/>
        <v>37</v>
      </c>
      <c r="G10" s="6" t="s">
        <v>43</v>
      </c>
      <c r="H10" s="6">
        <v>5</v>
      </c>
      <c r="I10" s="14">
        <f t="shared" si="2"/>
        <v>5000</v>
      </c>
    </row>
    <row r="11" ht="14.25" hidden="1" spans="1:9">
      <c r="A11" s="25" t="s">
        <v>44</v>
      </c>
      <c r="B11" s="6" t="s">
        <v>26</v>
      </c>
      <c r="C11" s="6" t="s">
        <v>45</v>
      </c>
      <c r="D11" s="7" t="s">
        <v>46</v>
      </c>
      <c r="E11" s="6" t="str">
        <f t="shared" si="0"/>
        <v>男</v>
      </c>
      <c r="F11" s="7">
        <f ca="1" t="shared" si="1"/>
        <v>31</v>
      </c>
      <c r="G11" s="6" t="s">
        <v>29</v>
      </c>
      <c r="H11" s="6">
        <v>4</v>
      </c>
      <c r="I11" s="14">
        <f t="shared" si="2"/>
        <v>4600</v>
      </c>
    </row>
    <row r="12" ht="14.25" hidden="1" spans="1:9">
      <c r="A12" s="25" t="s">
        <v>47</v>
      </c>
      <c r="B12" s="6" t="s">
        <v>26</v>
      </c>
      <c r="C12" s="6" t="s">
        <v>48</v>
      </c>
      <c r="D12" s="7" t="s">
        <v>49</v>
      </c>
      <c r="E12" s="6" t="str">
        <f t="shared" si="0"/>
        <v>男</v>
      </c>
      <c r="F12" s="7">
        <f ca="1" t="shared" si="1"/>
        <v>35</v>
      </c>
      <c r="G12" s="6" t="s">
        <v>50</v>
      </c>
      <c r="H12" s="6">
        <v>2</v>
      </c>
      <c r="I12" s="14">
        <f t="shared" si="2"/>
        <v>3800</v>
      </c>
    </row>
    <row r="13" ht="14.25" hidden="1" spans="1:9">
      <c r="A13" s="25" t="s">
        <v>51</v>
      </c>
      <c r="B13" s="6" t="s">
        <v>16</v>
      </c>
      <c r="C13" s="6" t="s">
        <v>52</v>
      </c>
      <c r="D13" s="7" t="s">
        <v>53</v>
      </c>
      <c r="E13" s="6" t="str">
        <f t="shared" si="0"/>
        <v>男</v>
      </c>
      <c r="F13" s="7">
        <f ca="1" t="shared" si="1"/>
        <v>31</v>
      </c>
      <c r="G13" s="6" t="s">
        <v>54</v>
      </c>
      <c r="H13" s="6">
        <v>4</v>
      </c>
      <c r="I13" s="14">
        <f t="shared" si="2"/>
        <v>4600</v>
      </c>
    </row>
    <row r="14" ht="14.25" spans="1:9">
      <c r="A14" s="25" t="s">
        <v>55</v>
      </c>
      <c r="B14" s="6" t="s">
        <v>21</v>
      </c>
      <c r="C14" s="6" t="s">
        <v>56</v>
      </c>
      <c r="D14" s="7" t="s">
        <v>57</v>
      </c>
      <c r="E14" s="6" t="str">
        <f t="shared" si="0"/>
        <v>女</v>
      </c>
      <c r="F14" s="7">
        <f ca="1" t="shared" si="1"/>
        <v>32</v>
      </c>
      <c r="G14" s="6" t="s">
        <v>58</v>
      </c>
      <c r="H14" s="6">
        <v>3</v>
      </c>
      <c r="I14" s="14">
        <f t="shared" si="2"/>
        <v>4200</v>
      </c>
    </row>
    <row r="15" ht="14.25" spans="1:9">
      <c r="A15" s="25" t="s">
        <v>59</v>
      </c>
      <c r="B15" s="6" t="s">
        <v>11</v>
      </c>
      <c r="C15" s="6" t="s">
        <v>60</v>
      </c>
      <c r="D15" s="7" t="s">
        <v>61</v>
      </c>
      <c r="E15" s="6" t="str">
        <f t="shared" si="0"/>
        <v>男</v>
      </c>
      <c r="F15" s="7">
        <f ca="1" t="shared" si="1"/>
        <v>43</v>
      </c>
      <c r="G15" s="6" t="s">
        <v>14</v>
      </c>
      <c r="H15" s="6">
        <v>6</v>
      </c>
      <c r="I15" s="14">
        <f t="shared" si="2"/>
        <v>5400</v>
      </c>
    </row>
    <row r="16" ht="14.25" hidden="1" spans="1:9">
      <c r="A16" s="25" t="s">
        <v>62</v>
      </c>
      <c r="B16" s="6" t="s">
        <v>16</v>
      </c>
      <c r="C16" s="6" t="s">
        <v>63</v>
      </c>
      <c r="D16" s="7" t="s">
        <v>64</v>
      </c>
      <c r="E16" s="6" t="str">
        <f t="shared" si="0"/>
        <v>男</v>
      </c>
      <c r="F16" s="7">
        <f ca="1" t="shared" si="1"/>
        <v>38</v>
      </c>
      <c r="G16" s="6" t="s">
        <v>19</v>
      </c>
      <c r="H16" s="6">
        <v>5</v>
      </c>
      <c r="I16" s="14">
        <f t="shared" si="2"/>
        <v>5000</v>
      </c>
    </row>
    <row r="17" ht="14.25" spans="1:9">
      <c r="A17" s="25" t="s">
        <v>65</v>
      </c>
      <c r="B17" s="6" t="s">
        <v>11</v>
      </c>
      <c r="C17" s="6" t="s">
        <v>66</v>
      </c>
      <c r="D17" s="7" t="s">
        <v>67</v>
      </c>
      <c r="E17" s="6" t="str">
        <f t="shared" si="0"/>
        <v>女</v>
      </c>
      <c r="F17" s="7">
        <f ca="1" t="shared" si="1"/>
        <v>45</v>
      </c>
      <c r="G17" s="6" t="s">
        <v>68</v>
      </c>
      <c r="H17" s="6">
        <v>3</v>
      </c>
      <c r="I17" s="14">
        <f t="shared" si="2"/>
        <v>4200</v>
      </c>
    </row>
    <row r="18" ht="14.25" hidden="1" spans="1:9">
      <c r="A18" s="25" t="s">
        <v>69</v>
      </c>
      <c r="B18" s="6" t="s">
        <v>26</v>
      </c>
      <c r="C18" s="6" t="s">
        <v>70</v>
      </c>
      <c r="D18" s="7" t="s">
        <v>71</v>
      </c>
      <c r="E18" s="6" t="str">
        <f t="shared" si="0"/>
        <v>男</v>
      </c>
      <c r="F18" s="7">
        <f ca="1" t="shared" si="1"/>
        <v>35</v>
      </c>
      <c r="G18" s="6" t="s">
        <v>72</v>
      </c>
      <c r="H18" s="6">
        <v>5</v>
      </c>
      <c r="I18" s="14">
        <f t="shared" si="2"/>
        <v>5000</v>
      </c>
    </row>
    <row r="19" ht="15" hidden="1" spans="1:9">
      <c r="A19" s="26" t="s">
        <v>73</v>
      </c>
      <c r="B19" s="9" t="s">
        <v>21</v>
      </c>
      <c r="C19" s="9" t="s">
        <v>74</v>
      </c>
      <c r="D19" s="10" t="s">
        <v>75</v>
      </c>
      <c r="E19" s="9" t="str">
        <f t="shared" si="0"/>
        <v>女</v>
      </c>
      <c r="F19" s="10">
        <f ca="1" t="shared" si="1"/>
        <v>32</v>
      </c>
      <c r="G19" s="9" t="s">
        <v>76</v>
      </c>
      <c r="H19" s="9">
        <v>2</v>
      </c>
      <c r="I19" s="15">
        <f t="shared" si="2"/>
        <v>3800</v>
      </c>
    </row>
    <row r="21" ht="14.25"/>
    <row r="22" ht="19.5" spans="3:4">
      <c r="C22" s="3" t="s">
        <v>3</v>
      </c>
      <c r="D22" s="3" t="s">
        <v>7</v>
      </c>
    </row>
    <row r="23" spans="3:3">
      <c r="C23" t="s">
        <v>79</v>
      </c>
    </row>
    <row r="24" ht="14.25" spans="4:4">
      <c r="D24" s="6" t="s">
        <v>58</v>
      </c>
    </row>
    <row r="27" ht="14.25"/>
    <row r="28" ht="19.5" spans="1:9">
      <c r="A28" s="2" t="s">
        <v>1</v>
      </c>
      <c r="B28" s="3" t="s">
        <v>2</v>
      </c>
      <c r="C28" s="3" t="s">
        <v>3</v>
      </c>
      <c r="D28" s="4" t="s">
        <v>4</v>
      </c>
      <c r="E28" s="4" t="s">
        <v>5</v>
      </c>
      <c r="F28" s="3" t="s">
        <v>6</v>
      </c>
      <c r="G28" s="3" t="s">
        <v>7</v>
      </c>
      <c r="H28" s="3" t="s">
        <v>8</v>
      </c>
      <c r="I28" s="13" t="s">
        <v>9</v>
      </c>
    </row>
    <row r="29" ht="14.25" spans="1:9">
      <c r="A29" s="25" t="s">
        <v>10</v>
      </c>
      <c r="B29" s="6" t="s">
        <v>11</v>
      </c>
      <c r="C29" s="6" t="s">
        <v>12</v>
      </c>
      <c r="D29" s="7" t="s">
        <v>13</v>
      </c>
      <c r="E29" s="6" t="s">
        <v>80</v>
      </c>
      <c r="F29" s="7">
        <v>33</v>
      </c>
      <c r="G29" s="6" t="s">
        <v>14</v>
      </c>
      <c r="H29" s="6">
        <v>5</v>
      </c>
      <c r="I29" s="14">
        <v>5000</v>
      </c>
    </row>
    <row r="30" ht="14.25" spans="1:9">
      <c r="A30" s="25" t="s">
        <v>33</v>
      </c>
      <c r="B30" s="6" t="s">
        <v>11</v>
      </c>
      <c r="C30" s="6" t="s">
        <v>34</v>
      </c>
      <c r="D30" s="7" t="s">
        <v>35</v>
      </c>
      <c r="E30" s="6" t="s">
        <v>80</v>
      </c>
      <c r="F30" s="7">
        <v>21</v>
      </c>
      <c r="G30" s="6" t="s">
        <v>14</v>
      </c>
      <c r="H30" s="6">
        <v>2</v>
      </c>
      <c r="I30" s="14">
        <v>3800</v>
      </c>
    </row>
    <row r="31" ht="14.25" spans="1:9">
      <c r="A31" s="25" t="s">
        <v>55</v>
      </c>
      <c r="B31" s="6" t="s">
        <v>21</v>
      </c>
      <c r="C31" s="6" t="s">
        <v>56</v>
      </c>
      <c r="D31" s="7" t="s">
        <v>57</v>
      </c>
      <c r="E31" s="6" t="s">
        <v>81</v>
      </c>
      <c r="F31" s="7">
        <v>23</v>
      </c>
      <c r="G31" s="6" t="s">
        <v>58</v>
      </c>
      <c r="H31" s="6">
        <v>3</v>
      </c>
      <c r="I31" s="14">
        <v>4200</v>
      </c>
    </row>
    <row r="32" ht="14.25" spans="1:9">
      <c r="A32" s="25" t="s">
        <v>59</v>
      </c>
      <c r="B32" s="6" t="s">
        <v>11</v>
      </c>
      <c r="C32" s="6" t="s">
        <v>60</v>
      </c>
      <c r="D32" s="7" t="s">
        <v>61</v>
      </c>
      <c r="E32" s="6" t="s">
        <v>80</v>
      </c>
      <c r="F32" s="7">
        <v>34</v>
      </c>
      <c r="G32" s="6" t="s">
        <v>14</v>
      </c>
      <c r="H32" s="6">
        <v>6</v>
      </c>
      <c r="I32" s="14">
        <v>5400</v>
      </c>
    </row>
    <row r="33" ht="14.25" spans="1:9">
      <c r="A33" s="25" t="s">
        <v>65</v>
      </c>
      <c r="B33" s="6" t="s">
        <v>11</v>
      </c>
      <c r="C33" s="6" t="s">
        <v>66</v>
      </c>
      <c r="D33" s="7" t="s">
        <v>67</v>
      </c>
      <c r="E33" s="6" t="s">
        <v>81</v>
      </c>
      <c r="F33" s="7">
        <v>36</v>
      </c>
      <c r="G33" s="6" t="s">
        <v>68</v>
      </c>
      <c r="H33" s="6">
        <v>3</v>
      </c>
      <c r="I33" s="14">
        <v>4200</v>
      </c>
    </row>
  </sheetData>
  <mergeCells count="1">
    <mergeCell ref="A1:I1"/>
  </mergeCells>
  <conditionalFormatting sqref="I3:I19">
    <cfRule type="cellIs" dxfId="0" priority="2" operator="lessThan">
      <formula>4000</formula>
    </cfRule>
  </conditionalFormatting>
  <conditionalFormatting sqref="I29:I33">
    <cfRule type="cellIs" dxfId="0" priority="1" operator="lessThan">
      <formula>4000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I27" sqref="I27"/>
    </sheetView>
  </sheetViews>
  <sheetFormatPr defaultColWidth="9" defaultRowHeight="13.5"/>
  <cols>
    <col min="3" max="3" width="10.5" customWidth="1"/>
    <col min="4" max="4" width="19.75" customWidth="1"/>
  </cols>
  <sheetData>
    <row r="1" ht="23.25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9.5" spans="1:9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13" t="s">
        <v>9</v>
      </c>
    </row>
    <row r="3" ht="14.25" outlineLevel="2" spans="1:9">
      <c r="A3" s="25" t="s">
        <v>15</v>
      </c>
      <c r="B3" s="6" t="s">
        <v>16</v>
      </c>
      <c r="C3" s="6" t="s">
        <v>17</v>
      </c>
      <c r="D3" s="7" t="s">
        <v>18</v>
      </c>
      <c r="E3" s="6" t="str">
        <f>IF(MOD(MID(D3,17,1),2)=1,"男","女")</f>
        <v>男</v>
      </c>
      <c r="F3" s="7">
        <f ca="1">YEAR(NOW())-MID(D3,7,4)</f>
        <v>32</v>
      </c>
      <c r="G3" s="6" t="s">
        <v>19</v>
      </c>
      <c r="H3" s="6">
        <v>4</v>
      </c>
      <c r="I3" s="14">
        <f>3000+H3*400</f>
        <v>4600</v>
      </c>
    </row>
    <row r="4" ht="14.25" outlineLevel="2" spans="1:9">
      <c r="A4" s="25" t="s">
        <v>40</v>
      </c>
      <c r="B4" s="6" t="s">
        <v>16</v>
      </c>
      <c r="C4" s="6" t="s">
        <v>41</v>
      </c>
      <c r="D4" s="7" t="s">
        <v>42</v>
      </c>
      <c r="E4" s="6" t="str">
        <f>IF(MOD(MID(D4,17,1),2)=1,"男","女")</f>
        <v>男</v>
      </c>
      <c r="F4" s="7">
        <f ca="1">YEAR(NOW())-MID(D4,7,4)</f>
        <v>37</v>
      </c>
      <c r="G4" s="6" t="s">
        <v>43</v>
      </c>
      <c r="H4" s="6">
        <v>5</v>
      </c>
      <c r="I4" s="14">
        <f>3000+H4*400</f>
        <v>5000</v>
      </c>
    </row>
    <row r="5" ht="14.25" outlineLevel="2" spans="1:9">
      <c r="A5" s="25" t="s">
        <v>51</v>
      </c>
      <c r="B5" s="6" t="s">
        <v>16</v>
      </c>
      <c r="C5" s="6" t="s">
        <v>52</v>
      </c>
      <c r="D5" s="7" t="s">
        <v>53</v>
      </c>
      <c r="E5" s="6" t="str">
        <f>IF(MOD(MID(D5,17,1),2)=1,"男","女")</f>
        <v>男</v>
      </c>
      <c r="F5" s="7">
        <f ca="1">YEAR(NOW())-MID(D5,7,4)</f>
        <v>31</v>
      </c>
      <c r="G5" s="6" t="s">
        <v>54</v>
      </c>
      <c r="H5" s="6">
        <v>4</v>
      </c>
      <c r="I5" s="14">
        <f>3000+H5*400</f>
        <v>4600</v>
      </c>
    </row>
    <row r="6" ht="14.25" outlineLevel="2" spans="1:9">
      <c r="A6" s="25" t="s">
        <v>62</v>
      </c>
      <c r="B6" s="6" t="s">
        <v>16</v>
      </c>
      <c r="C6" s="6" t="s">
        <v>63</v>
      </c>
      <c r="D6" s="7" t="s">
        <v>64</v>
      </c>
      <c r="E6" s="6" t="str">
        <f>IF(MOD(MID(D6,17,1),2)=1,"男","女")</f>
        <v>男</v>
      </c>
      <c r="F6" s="7">
        <f ca="1">YEAR(NOW())-MID(D6,7,4)</f>
        <v>38</v>
      </c>
      <c r="G6" s="6" t="s">
        <v>19</v>
      </c>
      <c r="H6" s="6">
        <v>5</v>
      </c>
      <c r="I6" s="14">
        <f>3000+H6*400</f>
        <v>5000</v>
      </c>
    </row>
    <row r="7" ht="14.25" outlineLevel="1" spans="1:9">
      <c r="A7" s="5"/>
      <c r="B7" s="16" t="s">
        <v>82</v>
      </c>
      <c r="C7" s="6"/>
      <c r="D7" s="7"/>
      <c r="E7" s="6"/>
      <c r="F7" s="7"/>
      <c r="G7" s="6"/>
      <c r="H7" s="6">
        <f>SUBTOTAL(1,H3:H6)</f>
        <v>4.5</v>
      </c>
      <c r="I7" s="14">
        <f>SUBTOTAL(1,I3:I6)</f>
        <v>4800</v>
      </c>
    </row>
    <row r="8" ht="14.25" outlineLevel="2" spans="1:9">
      <c r="A8" s="25" t="s">
        <v>10</v>
      </c>
      <c r="B8" s="6" t="s">
        <v>11</v>
      </c>
      <c r="C8" s="6" t="s">
        <v>12</v>
      </c>
      <c r="D8" s="7" t="s">
        <v>13</v>
      </c>
      <c r="E8" s="6" t="str">
        <f>IF(MOD(MID(D8,17,1),2)=1,"男","女")</f>
        <v>男</v>
      </c>
      <c r="F8" s="7">
        <f ca="1">YEAR(NOW())-MID(D8,7,4)</f>
        <v>42</v>
      </c>
      <c r="G8" s="6" t="s">
        <v>14</v>
      </c>
      <c r="H8" s="6">
        <v>5</v>
      </c>
      <c r="I8" s="14">
        <f>3000+H8*400</f>
        <v>5000</v>
      </c>
    </row>
    <row r="9" ht="14.25" outlineLevel="2" spans="1:9">
      <c r="A9" s="25" t="s">
        <v>33</v>
      </c>
      <c r="B9" s="6" t="s">
        <v>11</v>
      </c>
      <c r="C9" s="6" t="s">
        <v>34</v>
      </c>
      <c r="D9" s="7" t="s">
        <v>35</v>
      </c>
      <c r="E9" s="6" t="str">
        <f>IF(MOD(MID(D9,17,1),2)=1,"男","女")</f>
        <v>男</v>
      </c>
      <c r="F9" s="7">
        <f ca="1">YEAR(NOW())-MID(D9,7,4)</f>
        <v>30</v>
      </c>
      <c r="G9" s="6" t="s">
        <v>14</v>
      </c>
      <c r="H9" s="6">
        <v>2</v>
      </c>
      <c r="I9" s="14">
        <f>3000+H9*400</f>
        <v>3800</v>
      </c>
    </row>
    <row r="10" ht="14.25" outlineLevel="2" spans="1:9">
      <c r="A10" s="25" t="s">
        <v>59</v>
      </c>
      <c r="B10" s="6" t="s">
        <v>11</v>
      </c>
      <c r="C10" s="6" t="s">
        <v>60</v>
      </c>
      <c r="D10" s="7" t="s">
        <v>61</v>
      </c>
      <c r="E10" s="6" t="str">
        <f>IF(MOD(MID(D10,17,1),2)=1,"男","女")</f>
        <v>男</v>
      </c>
      <c r="F10" s="7">
        <f ca="1">YEAR(NOW())-MID(D10,7,4)</f>
        <v>43</v>
      </c>
      <c r="G10" s="6" t="s">
        <v>14</v>
      </c>
      <c r="H10" s="6">
        <v>6</v>
      </c>
      <c r="I10" s="14">
        <f>3000+H10*400</f>
        <v>5400</v>
      </c>
    </row>
    <row r="11" ht="14.25" outlineLevel="2" spans="1:9">
      <c r="A11" s="25" t="s">
        <v>65</v>
      </c>
      <c r="B11" s="6" t="s">
        <v>11</v>
      </c>
      <c r="C11" s="6" t="s">
        <v>66</v>
      </c>
      <c r="D11" s="7" t="s">
        <v>67</v>
      </c>
      <c r="E11" s="6" t="str">
        <f>IF(MOD(MID(D11,17,1),2)=1,"男","女")</f>
        <v>女</v>
      </c>
      <c r="F11" s="7">
        <f ca="1">YEAR(NOW())-MID(D11,7,4)</f>
        <v>45</v>
      </c>
      <c r="G11" s="6" t="s">
        <v>68</v>
      </c>
      <c r="H11" s="6">
        <v>3</v>
      </c>
      <c r="I11" s="14">
        <f>3000+H11*400</f>
        <v>4200</v>
      </c>
    </row>
    <row r="12" ht="14.25" outlineLevel="1" spans="1:9">
      <c r="A12" s="5"/>
      <c r="B12" s="16" t="s">
        <v>83</v>
      </c>
      <c r="C12" s="6"/>
      <c r="D12" s="7"/>
      <c r="E12" s="6"/>
      <c r="F12" s="7"/>
      <c r="G12" s="6"/>
      <c r="H12" s="6">
        <f>SUBTOTAL(1,H8:H11)</f>
        <v>4</v>
      </c>
      <c r="I12" s="14">
        <f>SUBTOTAL(1,I8:I11)</f>
        <v>4600</v>
      </c>
    </row>
    <row r="13" ht="14.25" outlineLevel="2" spans="1:9">
      <c r="A13" s="25" t="s">
        <v>25</v>
      </c>
      <c r="B13" s="6" t="s">
        <v>26</v>
      </c>
      <c r="C13" s="6" t="s">
        <v>27</v>
      </c>
      <c r="D13" s="7" t="s">
        <v>28</v>
      </c>
      <c r="E13" s="6" t="str">
        <f>IF(MOD(MID(D13,17,1),2)=1,"男","女")</f>
        <v>男</v>
      </c>
      <c r="F13" s="7">
        <f ca="1">YEAR(NOW())-MID(D13,7,4)</f>
        <v>36</v>
      </c>
      <c r="G13" s="6" t="s">
        <v>29</v>
      </c>
      <c r="H13" s="6">
        <v>4</v>
      </c>
      <c r="I13" s="14">
        <f>3000+H13*400</f>
        <v>4600</v>
      </c>
    </row>
    <row r="14" ht="14.25" outlineLevel="2" spans="1:9">
      <c r="A14" s="25" t="s">
        <v>30</v>
      </c>
      <c r="B14" s="6" t="s">
        <v>26</v>
      </c>
      <c r="C14" s="6" t="s">
        <v>31</v>
      </c>
      <c r="D14" s="7" t="s">
        <v>32</v>
      </c>
      <c r="E14" s="6" t="str">
        <f>IF(MOD(MID(D14,17,1),2)=1,"男","女")</f>
        <v>男</v>
      </c>
      <c r="F14" s="7">
        <f ca="1">YEAR(NOW())-MID(D14,7,4)</f>
        <v>32</v>
      </c>
      <c r="G14" s="6" t="s">
        <v>19</v>
      </c>
      <c r="H14" s="6">
        <v>2</v>
      </c>
      <c r="I14" s="14">
        <f>3000+H14*400</f>
        <v>3800</v>
      </c>
    </row>
    <row r="15" ht="14.25" outlineLevel="2" spans="1:9">
      <c r="A15" s="25" t="s">
        <v>44</v>
      </c>
      <c r="B15" s="6" t="s">
        <v>26</v>
      </c>
      <c r="C15" s="6" t="s">
        <v>45</v>
      </c>
      <c r="D15" s="7" t="s">
        <v>46</v>
      </c>
      <c r="E15" s="6" t="str">
        <f>IF(MOD(MID(D15,17,1),2)=1,"男","女")</f>
        <v>男</v>
      </c>
      <c r="F15" s="7">
        <f ca="1">YEAR(NOW())-MID(D15,7,4)</f>
        <v>31</v>
      </c>
      <c r="G15" s="6" t="s">
        <v>29</v>
      </c>
      <c r="H15" s="6">
        <v>4</v>
      </c>
      <c r="I15" s="14">
        <f>3000+H15*400</f>
        <v>4600</v>
      </c>
    </row>
    <row r="16" ht="14.25" outlineLevel="2" spans="1:9">
      <c r="A16" s="25" t="s">
        <v>47</v>
      </c>
      <c r="B16" s="6" t="s">
        <v>26</v>
      </c>
      <c r="C16" s="6" t="s">
        <v>48</v>
      </c>
      <c r="D16" s="7" t="s">
        <v>49</v>
      </c>
      <c r="E16" s="6" t="str">
        <f>IF(MOD(MID(D16,17,1),2)=1,"男","女")</f>
        <v>男</v>
      </c>
      <c r="F16" s="7">
        <f ca="1">YEAR(NOW())-MID(D16,7,4)</f>
        <v>35</v>
      </c>
      <c r="G16" s="6" t="s">
        <v>50</v>
      </c>
      <c r="H16" s="6">
        <v>2</v>
      </c>
      <c r="I16" s="14">
        <f>3000+H16*400</f>
        <v>3800</v>
      </c>
    </row>
    <row r="17" ht="14.25" outlineLevel="2" spans="1:9">
      <c r="A17" s="25" t="s">
        <v>69</v>
      </c>
      <c r="B17" s="6" t="s">
        <v>26</v>
      </c>
      <c r="C17" s="6" t="s">
        <v>70</v>
      </c>
      <c r="D17" s="7" t="s">
        <v>71</v>
      </c>
      <c r="E17" s="6" t="str">
        <f>IF(MOD(MID(D17,17,1),2)=1,"男","女")</f>
        <v>男</v>
      </c>
      <c r="F17" s="7">
        <f ca="1">YEAR(NOW())-MID(D17,7,4)</f>
        <v>35</v>
      </c>
      <c r="G17" s="6" t="s">
        <v>72</v>
      </c>
      <c r="H17" s="6">
        <v>5</v>
      </c>
      <c r="I17" s="14">
        <f>3000+H17*400</f>
        <v>5000</v>
      </c>
    </row>
    <row r="18" ht="14.25" outlineLevel="1" spans="1:9">
      <c r="A18" s="5"/>
      <c r="B18" s="16" t="s">
        <v>84</v>
      </c>
      <c r="C18" s="6"/>
      <c r="D18" s="7"/>
      <c r="E18" s="6"/>
      <c r="F18" s="7"/>
      <c r="G18" s="6"/>
      <c r="H18" s="6">
        <f>SUBTOTAL(1,H13:H17)</f>
        <v>3.4</v>
      </c>
      <c r="I18" s="14">
        <f>SUBTOTAL(1,I13:I17)</f>
        <v>4360</v>
      </c>
    </row>
    <row r="19" ht="14.25" outlineLevel="2" spans="1:9">
      <c r="A19" s="25" t="s">
        <v>20</v>
      </c>
      <c r="B19" s="6" t="s">
        <v>21</v>
      </c>
      <c r="C19" s="6" t="s">
        <v>22</v>
      </c>
      <c r="D19" s="7" t="s">
        <v>23</v>
      </c>
      <c r="E19" s="6" t="str">
        <f>IF(MOD(MID(D19,17,1),2)=1,"男","女")</f>
        <v>女</v>
      </c>
      <c r="F19" s="7">
        <f ca="1">YEAR(NOW())-MID(D19,7,4)</f>
        <v>32</v>
      </c>
      <c r="G19" s="6" t="s">
        <v>24</v>
      </c>
      <c r="H19" s="6">
        <v>2</v>
      </c>
      <c r="I19" s="14">
        <f>3000+H19*400</f>
        <v>3800</v>
      </c>
    </row>
    <row r="20" ht="14.25" outlineLevel="2" spans="1:9">
      <c r="A20" s="25" t="s">
        <v>36</v>
      </c>
      <c r="B20" s="6" t="s">
        <v>21</v>
      </c>
      <c r="C20" s="6" t="s">
        <v>37</v>
      </c>
      <c r="D20" s="7" t="s">
        <v>38</v>
      </c>
      <c r="E20" s="6" t="str">
        <f>IF(MOD(MID(D20,17,1),2)=1,"男","女")</f>
        <v>女</v>
      </c>
      <c r="F20" s="7">
        <f ca="1">YEAR(NOW())-MID(D20,7,4)</f>
        <v>33</v>
      </c>
      <c r="G20" s="6" t="s">
        <v>39</v>
      </c>
      <c r="H20" s="6">
        <v>1</v>
      </c>
      <c r="I20" s="14">
        <f>3000+H20*400</f>
        <v>3400</v>
      </c>
    </row>
    <row r="21" ht="14.25" outlineLevel="2" spans="1:9">
      <c r="A21" s="25" t="s">
        <v>55</v>
      </c>
      <c r="B21" s="6" t="s">
        <v>21</v>
      </c>
      <c r="C21" s="6" t="s">
        <v>56</v>
      </c>
      <c r="D21" s="7" t="s">
        <v>57</v>
      </c>
      <c r="E21" s="6" t="str">
        <f>IF(MOD(MID(D21,17,1),2)=1,"男","女")</f>
        <v>女</v>
      </c>
      <c r="F21" s="7">
        <f ca="1">YEAR(NOW())-MID(D21,7,4)</f>
        <v>32</v>
      </c>
      <c r="G21" s="6" t="s">
        <v>58</v>
      </c>
      <c r="H21" s="6">
        <v>3</v>
      </c>
      <c r="I21" s="14">
        <f>3000+H21*400</f>
        <v>4200</v>
      </c>
    </row>
    <row r="22" ht="15" outlineLevel="2" spans="1:9">
      <c r="A22" s="26" t="s">
        <v>73</v>
      </c>
      <c r="B22" s="9" t="s">
        <v>21</v>
      </c>
      <c r="C22" s="9" t="s">
        <v>74</v>
      </c>
      <c r="D22" s="10" t="s">
        <v>75</v>
      </c>
      <c r="E22" s="9" t="str">
        <f>IF(MOD(MID(D22,17,1),2)=1,"男","女")</f>
        <v>女</v>
      </c>
      <c r="F22" s="10">
        <f ca="1">YEAR(NOW())-MID(D22,7,4)</f>
        <v>32</v>
      </c>
      <c r="G22" s="9" t="s">
        <v>76</v>
      </c>
      <c r="H22" s="9">
        <v>2</v>
      </c>
      <c r="I22" s="15">
        <f>3000+H22*400</f>
        <v>3800</v>
      </c>
    </row>
    <row r="23" ht="15" outlineLevel="1" spans="1:9">
      <c r="A23" s="17"/>
      <c r="B23" s="18" t="s">
        <v>85</v>
      </c>
      <c r="C23" s="17"/>
      <c r="D23" s="19"/>
      <c r="E23" s="17"/>
      <c r="F23" s="19"/>
      <c r="G23" s="17"/>
      <c r="H23" s="17">
        <f>SUBTOTAL(1,H19:H22)</f>
        <v>2</v>
      </c>
      <c r="I23" s="21">
        <f>SUBTOTAL(1,I19:I22)</f>
        <v>3800</v>
      </c>
    </row>
    <row r="24" ht="14.25" spans="1:9">
      <c r="A24" s="17"/>
      <c r="B24" s="18" t="s">
        <v>86</v>
      </c>
      <c r="C24" s="17"/>
      <c r="D24" s="19"/>
      <c r="E24" s="17"/>
      <c r="F24" s="19"/>
      <c r="G24" s="17"/>
      <c r="H24" s="20">
        <f>SUBTOTAL(1,H3:H22)</f>
        <v>3.47058823529412</v>
      </c>
      <c r="I24" s="21">
        <f>SUBTOTAL(1,I3:I22)</f>
        <v>4388.23529411765</v>
      </c>
    </row>
  </sheetData>
  <sortState ref="A3:I19">
    <sortCondition ref="B3"/>
  </sortState>
  <mergeCells count="1">
    <mergeCell ref="A1:I1"/>
  </mergeCells>
  <conditionalFormatting sqref="I3:I24">
    <cfRule type="cellIs" dxfId="0" priority="1" operator="lessThan">
      <formula>4000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opLeftCell="C1" workbookViewId="0">
      <selection activeCell="K18" sqref="K18"/>
    </sheetView>
  </sheetViews>
  <sheetFormatPr defaultColWidth="9" defaultRowHeight="13.5"/>
  <cols>
    <col min="3" max="3" width="11.375" customWidth="1"/>
    <col min="4" max="4" width="19.75" customWidth="1"/>
    <col min="5" max="5" width="9.75" customWidth="1"/>
    <col min="6" max="6" width="13.125" customWidth="1"/>
    <col min="7" max="7" width="15.375" customWidth="1"/>
    <col min="8" max="8" width="7.375" customWidth="1"/>
  </cols>
  <sheetData>
    <row r="1" ht="23.25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9.5" spans="1:9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13" t="s">
        <v>9</v>
      </c>
    </row>
    <row r="3" ht="14.25" spans="1:9">
      <c r="A3" s="25" t="s">
        <v>10</v>
      </c>
      <c r="B3" s="6" t="s">
        <v>11</v>
      </c>
      <c r="C3" s="6" t="s">
        <v>12</v>
      </c>
      <c r="D3" s="7" t="s">
        <v>13</v>
      </c>
      <c r="E3" s="6" t="str">
        <f>IF(MOD(MID(D3,17,1),2)=1,"男","女")</f>
        <v>男</v>
      </c>
      <c r="F3" s="7">
        <f ca="1">YEAR(NOW())-MID(D3,7,4)</f>
        <v>42</v>
      </c>
      <c r="G3" s="6" t="s">
        <v>14</v>
      </c>
      <c r="H3" s="6">
        <v>5</v>
      </c>
      <c r="I3" s="14">
        <f>3000+H3*400</f>
        <v>5000</v>
      </c>
    </row>
    <row r="4" ht="14.25" spans="1:9">
      <c r="A4" s="25" t="s">
        <v>15</v>
      </c>
      <c r="B4" s="6" t="s">
        <v>16</v>
      </c>
      <c r="C4" s="6" t="s">
        <v>17</v>
      </c>
      <c r="D4" s="7" t="s">
        <v>18</v>
      </c>
      <c r="E4" s="6" t="str">
        <f t="shared" ref="E4:E19" si="0">IF(MOD(MID(D4,17,1),2)=1,"男","女")</f>
        <v>男</v>
      </c>
      <c r="F4" s="7">
        <f ca="1" t="shared" ref="F4:F19" si="1">YEAR(NOW())-MID(D4,7,4)</f>
        <v>32</v>
      </c>
      <c r="G4" s="6" t="s">
        <v>19</v>
      </c>
      <c r="H4" s="6">
        <v>4</v>
      </c>
      <c r="I4" s="14">
        <f t="shared" ref="I4:I19" si="2">3000+H4*400</f>
        <v>4600</v>
      </c>
    </row>
    <row r="5" ht="14.25" spans="1:9">
      <c r="A5" s="25" t="s">
        <v>20</v>
      </c>
      <c r="B5" s="6" t="s">
        <v>21</v>
      </c>
      <c r="C5" s="6" t="s">
        <v>22</v>
      </c>
      <c r="D5" s="7" t="s">
        <v>23</v>
      </c>
      <c r="E5" s="6" t="str">
        <f t="shared" si="0"/>
        <v>女</v>
      </c>
      <c r="F5" s="7">
        <f ca="1" t="shared" si="1"/>
        <v>32</v>
      </c>
      <c r="G5" s="6" t="s">
        <v>24</v>
      </c>
      <c r="H5" s="6">
        <v>2</v>
      </c>
      <c r="I5" s="14">
        <f t="shared" si="2"/>
        <v>3800</v>
      </c>
    </row>
    <row r="6" ht="14.25" spans="1:9">
      <c r="A6" s="25" t="s">
        <v>25</v>
      </c>
      <c r="B6" s="6" t="s">
        <v>26</v>
      </c>
      <c r="C6" s="6" t="s">
        <v>27</v>
      </c>
      <c r="D6" s="7" t="s">
        <v>28</v>
      </c>
      <c r="E6" s="6" t="str">
        <f t="shared" si="0"/>
        <v>男</v>
      </c>
      <c r="F6" s="7">
        <f ca="1" t="shared" si="1"/>
        <v>36</v>
      </c>
      <c r="G6" s="6" t="s">
        <v>29</v>
      </c>
      <c r="H6" s="6">
        <v>4</v>
      </c>
      <c r="I6" s="14">
        <f t="shared" si="2"/>
        <v>4600</v>
      </c>
    </row>
    <row r="7" ht="14.25" spans="1:9">
      <c r="A7" s="25" t="s">
        <v>30</v>
      </c>
      <c r="B7" s="6" t="s">
        <v>26</v>
      </c>
      <c r="C7" s="6" t="s">
        <v>31</v>
      </c>
      <c r="D7" s="7" t="s">
        <v>32</v>
      </c>
      <c r="E7" s="6" t="str">
        <f t="shared" si="0"/>
        <v>男</v>
      </c>
      <c r="F7" s="7">
        <f ca="1" t="shared" si="1"/>
        <v>32</v>
      </c>
      <c r="G7" s="6" t="s">
        <v>19</v>
      </c>
      <c r="H7" s="6">
        <v>2</v>
      </c>
      <c r="I7" s="14">
        <f t="shared" si="2"/>
        <v>3800</v>
      </c>
    </row>
    <row r="8" ht="14.25" spans="1:9">
      <c r="A8" s="25" t="s">
        <v>33</v>
      </c>
      <c r="B8" s="6" t="s">
        <v>11</v>
      </c>
      <c r="C8" s="6" t="s">
        <v>34</v>
      </c>
      <c r="D8" s="7" t="s">
        <v>35</v>
      </c>
      <c r="E8" s="6" t="str">
        <f t="shared" si="0"/>
        <v>男</v>
      </c>
      <c r="F8" s="7">
        <f ca="1" t="shared" si="1"/>
        <v>30</v>
      </c>
      <c r="G8" s="6" t="s">
        <v>14</v>
      </c>
      <c r="H8" s="6">
        <v>2</v>
      </c>
      <c r="I8" s="14">
        <f t="shared" si="2"/>
        <v>3800</v>
      </c>
    </row>
    <row r="9" ht="14.25" spans="1:9">
      <c r="A9" s="25" t="s">
        <v>36</v>
      </c>
      <c r="B9" s="6" t="s">
        <v>21</v>
      </c>
      <c r="C9" s="6" t="s">
        <v>37</v>
      </c>
      <c r="D9" s="7" t="s">
        <v>38</v>
      </c>
      <c r="E9" s="6" t="str">
        <f t="shared" si="0"/>
        <v>女</v>
      </c>
      <c r="F9" s="7">
        <f ca="1" t="shared" si="1"/>
        <v>33</v>
      </c>
      <c r="G9" s="6" t="s">
        <v>39</v>
      </c>
      <c r="H9" s="6">
        <v>1</v>
      </c>
      <c r="I9" s="14">
        <f t="shared" si="2"/>
        <v>3400</v>
      </c>
    </row>
    <row r="10" ht="14.25" spans="1:9">
      <c r="A10" s="25" t="s">
        <v>40</v>
      </c>
      <c r="B10" s="6" t="s">
        <v>16</v>
      </c>
      <c r="C10" s="6" t="s">
        <v>41</v>
      </c>
      <c r="D10" s="7" t="s">
        <v>42</v>
      </c>
      <c r="E10" s="6" t="str">
        <f t="shared" si="0"/>
        <v>男</v>
      </c>
      <c r="F10" s="7">
        <f ca="1" t="shared" si="1"/>
        <v>37</v>
      </c>
      <c r="G10" s="6" t="s">
        <v>43</v>
      </c>
      <c r="H10" s="6">
        <v>5</v>
      </c>
      <c r="I10" s="14">
        <f t="shared" si="2"/>
        <v>5000</v>
      </c>
    </row>
    <row r="11" ht="14.25" spans="1:9">
      <c r="A11" s="25" t="s">
        <v>44</v>
      </c>
      <c r="B11" s="6" t="s">
        <v>26</v>
      </c>
      <c r="C11" s="6" t="s">
        <v>45</v>
      </c>
      <c r="D11" s="7" t="s">
        <v>46</v>
      </c>
      <c r="E11" s="6" t="str">
        <f t="shared" si="0"/>
        <v>男</v>
      </c>
      <c r="F11" s="7">
        <f ca="1" t="shared" si="1"/>
        <v>31</v>
      </c>
      <c r="G11" s="6" t="s">
        <v>29</v>
      </c>
      <c r="H11" s="6">
        <v>4</v>
      </c>
      <c r="I11" s="14">
        <f t="shared" si="2"/>
        <v>4600</v>
      </c>
    </row>
    <row r="12" ht="14.25" spans="1:9">
      <c r="A12" s="25" t="s">
        <v>47</v>
      </c>
      <c r="B12" s="6" t="s">
        <v>26</v>
      </c>
      <c r="C12" s="6" t="s">
        <v>48</v>
      </c>
      <c r="D12" s="7" t="s">
        <v>49</v>
      </c>
      <c r="E12" s="6" t="str">
        <f t="shared" si="0"/>
        <v>男</v>
      </c>
      <c r="F12" s="7">
        <f ca="1" t="shared" si="1"/>
        <v>35</v>
      </c>
      <c r="G12" s="6" t="s">
        <v>50</v>
      </c>
      <c r="H12" s="6">
        <v>2</v>
      </c>
      <c r="I12" s="14">
        <f t="shared" si="2"/>
        <v>3800</v>
      </c>
    </row>
    <row r="13" ht="14.25" spans="1:9">
      <c r="A13" s="25" t="s">
        <v>51</v>
      </c>
      <c r="B13" s="6" t="s">
        <v>16</v>
      </c>
      <c r="C13" s="6" t="s">
        <v>52</v>
      </c>
      <c r="D13" s="7" t="s">
        <v>53</v>
      </c>
      <c r="E13" s="6" t="str">
        <f t="shared" si="0"/>
        <v>男</v>
      </c>
      <c r="F13" s="7">
        <f ca="1" t="shared" si="1"/>
        <v>31</v>
      </c>
      <c r="G13" s="6" t="s">
        <v>54</v>
      </c>
      <c r="H13" s="6">
        <v>4</v>
      </c>
      <c r="I13" s="14">
        <f t="shared" si="2"/>
        <v>4600</v>
      </c>
    </row>
    <row r="14" ht="14.25" spans="1:9">
      <c r="A14" s="25" t="s">
        <v>55</v>
      </c>
      <c r="B14" s="6" t="s">
        <v>21</v>
      </c>
      <c r="C14" s="6" t="s">
        <v>56</v>
      </c>
      <c r="D14" s="7" t="s">
        <v>57</v>
      </c>
      <c r="E14" s="6" t="str">
        <f t="shared" si="0"/>
        <v>女</v>
      </c>
      <c r="F14" s="7">
        <f ca="1" t="shared" si="1"/>
        <v>32</v>
      </c>
      <c r="G14" s="6" t="s">
        <v>58</v>
      </c>
      <c r="H14" s="6">
        <v>3</v>
      </c>
      <c r="I14" s="14">
        <f t="shared" si="2"/>
        <v>4200</v>
      </c>
    </row>
    <row r="15" ht="14.25" spans="1:9">
      <c r="A15" s="25" t="s">
        <v>59</v>
      </c>
      <c r="B15" s="6" t="s">
        <v>11</v>
      </c>
      <c r="C15" s="6" t="s">
        <v>60</v>
      </c>
      <c r="D15" s="7" t="s">
        <v>61</v>
      </c>
      <c r="E15" s="6" t="str">
        <f t="shared" si="0"/>
        <v>男</v>
      </c>
      <c r="F15" s="7">
        <f ca="1" t="shared" si="1"/>
        <v>43</v>
      </c>
      <c r="G15" s="6" t="s">
        <v>14</v>
      </c>
      <c r="H15" s="6">
        <v>6</v>
      </c>
      <c r="I15" s="14">
        <f t="shared" si="2"/>
        <v>5400</v>
      </c>
    </row>
    <row r="16" ht="14.25" spans="1:9">
      <c r="A16" s="25" t="s">
        <v>62</v>
      </c>
      <c r="B16" s="6" t="s">
        <v>16</v>
      </c>
      <c r="C16" s="6" t="s">
        <v>63</v>
      </c>
      <c r="D16" s="7" t="s">
        <v>64</v>
      </c>
      <c r="E16" s="6" t="str">
        <f t="shared" si="0"/>
        <v>男</v>
      </c>
      <c r="F16" s="7">
        <f ca="1" t="shared" si="1"/>
        <v>38</v>
      </c>
      <c r="G16" s="6" t="s">
        <v>19</v>
      </c>
      <c r="H16" s="6">
        <v>5</v>
      </c>
      <c r="I16" s="14">
        <f t="shared" si="2"/>
        <v>5000</v>
      </c>
    </row>
    <row r="17" ht="14.25" spans="1:9">
      <c r="A17" s="25" t="s">
        <v>65</v>
      </c>
      <c r="B17" s="6" t="s">
        <v>11</v>
      </c>
      <c r="C17" s="6" t="s">
        <v>66</v>
      </c>
      <c r="D17" s="7" t="s">
        <v>67</v>
      </c>
      <c r="E17" s="6" t="str">
        <f t="shared" si="0"/>
        <v>女</v>
      </c>
      <c r="F17" s="7">
        <f ca="1" t="shared" si="1"/>
        <v>45</v>
      </c>
      <c r="G17" s="6" t="s">
        <v>68</v>
      </c>
      <c r="H17" s="6">
        <v>3</v>
      </c>
      <c r="I17" s="14">
        <f t="shared" si="2"/>
        <v>4200</v>
      </c>
    </row>
    <row r="18" ht="14.25" spans="1:9">
      <c r="A18" s="25" t="s">
        <v>69</v>
      </c>
      <c r="B18" s="6" t="s">
        <v>26</v>
      </c>
      <c r="C18" s="6" t="s">
        <v>70</v>
      </c>
      <c r="D18" s="7" t="s">
        <v>71</v>
      </c>
      <c r="E18" s="6" t="str">
        <f t="shared" si="0"/>
        <v>男</v>
      </c>
      <c r="F18" s="7">
        <f ca="1" t="shared" si="1"/>
        <v>35</v>
      </c>
      <c r="G18" s="6" t="s">
        <v>72</v>
      </c>
      <c r="H18" s="6">
        <v>5</v>
      </c>
      <c r="I18" s="14">
        <f t="shared" si="2"/>
        <v>5000</v>
      </c>
    </row>
    <row r="19" ht="15" spans="1:9">
      <c r="A19" s="26" t="s">
        <v>73</v>
      </c>
      <c r="B19" s="9" t="s">
        <v>21</v>
      </c>
      <c r="C19" s="9" t="s">
        <v>74</v>
      </c>
      <c r="D19" s="10" t="s">
        <v>75</v>
      </c>
      <c r="E19" s="9" t="str">
        <f t="shared" si="0"/>
        <v>女</v>
      </c>
      <c r="F19" s="10">
        <f ca="1" t="shared" si="1"/>
        <v>32</v>
      </c>
      <c r="G19" s="9" t="s">
        <v>76</v>
      </c>
      <c r="H19" s="9">
        <v>2</v>
      </c>
      <c r="I19" s="15">
        <f t="shared" si="2"/>
        <v>3800</v>
      </c>
    </row>
    <row r="20" ht="14.25"/>
    <row r="22" spans="5:7">
      <c r="E22" t="s">
        <v>87</v>
      </c>
      <c r="F22" t="s">
        <v>88</v>
      </c>
      <c r="G22" t="s">
        <v>89</v>
      </c>
    </row>
    <row r="23" spans="5:7">
      <c r="E23" s="11" t="s">
        <v>16</v>
      </c>
      <c r="F23">
        <v>4</v>
      </c>
      <c r="G23" s="12">
        <v>4800</v>
      </c>
    </row>
    <row r="24" spans="5:7">
      <c r="E24" s="11" t="s">
        <v>11</v>
      </c>
      <c r="F24">
        <v>4</v>
      </c>
      <c r="G24" s="12">
        <v>4600</v>
      </c>
    </row>
    <row r="25" spans="5:7">
      <c r="E25" s="11" t="s">
        <v>26</v>
      </c>
      <c r="F25">
        <v>5</v>
      </c>
      <c r="G25" s="12">
        <v>4360</v>
      </c>
    </row>
    <row r="26" spans="5:7">
      <c r="E26" s="11" t="s">
        <v>21</v>
      </c>
      <c r="F26">
        <v>4</v>
      </c>
      <c r="G26" s="12">
        <v>3800</v>
      </c>
    </row>
    <row r="27" spans="5:7">
      <c r="E27" s="11" t="s">
        <v>90</v>
      </c>
      <c r="F27">
        <v>17</v>
      </c>
      <c r="G27" s="12">
        <v>4388.23529411765</v>
      </c>
    </row>
  </sheetData>
  <mergeCells count="1">
    <mergeCell ref="A1:I1"/>
  </mergeCells>
  <conditionalFormatting sqref="I3:I19">
    <cfRule type="cellIs" dxfId="0" priority="1" operator="lessThan">
      <formula>4000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基本工资表</vt:lpstr>
      <vt:lpstr>筛选</vt:lpstr>
      <vt:lpstr>分类汇总</vt:lpstr>
      <vt:lpstr>数据透视表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2023-10-26T05:33:49Z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1F345006A1B74F1895FA847DE5883382_12</vt:lpwstr>
  </property>
  <property fmtid="{D5CDD505-2E9C-101B-9397-08002B2CF9AE}" pid="3" name="KSOProductBuildVer">
    <vt:lpwstr>2052-11.1.0.14227</vt:lpwstr>
  </property>
</Properties>
</file>
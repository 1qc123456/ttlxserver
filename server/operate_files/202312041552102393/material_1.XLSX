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70" windowHeight="10065" activeTab="3"/>
  </bookViews>
  <sheets>
    <sheet name="Sheet1" sheetId="1" r:id="rId1"/>
    <sheet name="零用钱支出调查表" sheetId="5" r:id="rId2"/>
    <sheet name="收入" sheetId="2" r:id="rId3"/>
    <sheet name="筛选" sheetId="3" r:id="rId4"/>
    <sheet name="图表" sheetId="4" r:id="rId5"/>
  </sheets>
  <definedNames>
    <definedName name="_xlnm.Criteria" localSheetId="3">筛选!$A$1:$A$2</definedName>
    <definedName name="_xlnm.Criteria" localSheetId="4">图表!#REF!</definedName>
    <definedName name="_xlnm.Extract" localSheetId="3">筛选!$B$5:$H$5</definedName>
    <definedName name="_xlnm.Extract" localSheetId="4">图表!$A$1:$G$1</definedName>
  </definedNames>
  <calcPr calcId="144525"/>
</workbook>
</file>

<file path=xl/sharedStrings.xml><?xml version="1.0" encoding="utf-8"?>
<sst xmlns="http://schemas.openxmlformats.org/spreadsheetml/2006/main" count="205" uniqueCount="48">
  <si>
    <t>年级</t>
  </si>
  <si>
    <t>姓名</t>
  </si>
  <si>
    <t>娱乐支出</t>
  </si>
  <si>
    <t>话费支出</t>
  </si>
  <si>
    <t>零食支出</t>
  </si>
  <si>
    <t>学习用品支出</t>
  </si>
  <si>
    <t>其它支出</t>
  </si>
  <si>
    <t>收支比</t>
  </si>
  <si>
    <t>高一</t>
  </si>
  <si>
    <t>史玉敬</t>
  </si>
  <si>
    <t>宋皓宇</t>
  </si>
  <si>
    <t>丁一</t>
  </si>
  <si>
    <t>凌文娟</t>
  </si>
  <si>
    <t>陈纯</t>
  </si>
  <si>
    <r>
      <rPr>
        <sz val="12"/>
        <rFont val="宋体"/>
        <charset val="134"/>
      </rPr>
      <t>李云</t>
    </r>
  </si>
  <si>
    <t>陈妤</t>
  </si>
  <si>
    <t>龚勋</t>
  </si>
  <si>
    <t>梅宇栋</t>
  </si>
  <si>
    <t>郭超</t>
  </si>
  <si>
    <t>高一 平均值</t>
  </si>
  <si>
    <t>高二</t>
  </si>
  <si>
    <t>胡琳琳</t>
  </si>
  <si>
    <t>杜琴庆</t>
  </si>
  <si>
    <t>李皋劼</t>
  </si>
  <si>
    <t>蒋海峰</t>
  </si>
  <si>
    <t>陈小磊</t>
  </si>
  <si>
    <t>苗进</t>
  </si>
  <si>
    <t>路红兵</t>
  </si>
  <si>
    <t>任文渊</t>
  </si>
  <si>
    <t>高二 平均值</t>
  </si>
  <si>
    <t>高三</t>
  </si>
  <si>
    <t>全玄</t>
  </si>
  <si>
    <t>陈子晖</t>
  </si>
  <si>
    <t>陆金星</t>
  </si>
  <si>
    <t>高凌敏</t>
  </si>
  <si>
    <t>黄木鑫</t>
  </si>
  <si>
    <t>缪晓善</t>
  </si>
  <si>
    <t>丁海斌</t>
  </si>
  <si>
    <t>季黎杰</t>
  </si>
  <si>
    <t>钱文斌</t>
  </si>
  <si>
    <t>冯文博</t>
  </si>
  <si>
    <t>刘锋</t>
  </si>
  <si>
    <t>高三 平均值</t>
  </si>
  <si>
    <t>总计平均值</t>
  </si>
  <si>
    <t>各年级零用钱支出数据抽样调查表</t>
  </si>
  <si>
    <t>收入</t>
  </si>
  <si>
    <t>李云</t>
  </si>
  <si>
    <r>
      <rPr>
        <sz val="12"/>
        <rFont val="宋体"/>
        <charset val="134"/>
      </rPr>
      <t>&gt;</t>
    </r>
    <r>
      <rPr>
        <sz val="12"/>
        <rFont val="宋体"/>
        <charset val="134"/>
      </rPr>
      <t>200</t>
    </r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</si>
</sst>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4">
    <font>
      <sz val="12"/>
      <name val="宋体"/>
      <charset val="134"/>
    </font>
    <font>
      <sz val="10"/>
      <name val="楷体"/>
      <charset val="134"/>
    </font>
    <font>
      <sz val="20"/>
      <color rgb="FF00B050"/>
      <name val="黑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Font="1" applyBorder="1" applyAlignment="1">
      <alignment horizontal="center"/>
    </xf>
    <xf numFmtId="176" fontId="0" fillId="0" borderId="0" xfId="3" applyNumberFormat="1" applyFont="1" applyBorder="1" applyAlignment="1">
      <alignment horizontal="center"/>
    </xf>
    <xf numFmtId="0" fontId="0" fillId="0" borderId="0" xfId="0" applyFont="1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10" fontId="1" fillId="0" borderId="2" xfId="3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76" fontId="0" fillId="0" borderId="1" xfId="3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77" fontId="0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77" fontId="0" fillId="0" borderId="0" xfId="0" applyNumberFormat="1" applyFont="1" applyAlignment="1">
      <alignment horizontal="left"/>
    </xf>
    <xf numFmtId="176" fontId="0" fillId="0" borderId="0" xfId="3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同学学习用品支出比较图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图表!$F$1</c:f>
              <c:strCache>
                <c:ptCount val="1"/>
                <c:pt idx="0">
                  <c:v>学习用品支出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图表!$B$2:$B$10</c:f>
              <c:strCache>
                <c:ptCount val="9"/>
                <c:pt idx="0">
                  <c:v>陈子晖</c:v>
                </c:pt>
                <c:pt idx="1">
                  <c:v>丁海斌</c:v>
                </c:pt>
                <c:pt idx="2">
                  <c:v>丁一</c:v>
                </c:pt>
                <c:pt idx="3">
                  <c:v>冯文博</c:v>
                </c:pt>
                <c:pt idx="4">
                  <c:v>季黎杰</c:v>
                </c:pt>
                <c:pt idx="5">
                  <c:v>刘锋</c:v>
                </c:pt>
                <c:pt idx="6">
                  <c:v>钱文斌</c:v>
                </c:pt>
                <c:pt idx="7">
                  <c:v>全玄</c:v>
                </c:pt>
                <c:pt idx="8">
                  <c:v>史玉敬</c:v>
                </c:pt>
              </c:strCache>
            </c:strRef>
          </c:cat>
          <c:val>
            <c:numRef>
              <c:f>图表!$F$2:$F$10</c:f>
              <c:numCache>
                <c:formatCode>General</c:formatCode>
                <c:ptCount val="9"/>
                <c:pt idx="0">
                  <c:v>253</c:v>
                </c:pt>
                <c:pt idx="1">
                  <c:v>150</c:v>
                </c:pt>
                <c:pt idx="2">
                  <c:v>245</c:v>
                </c:pt>
                <c:pt idx="3">
                  <c:v>64</c:v>
                </c:pt>
                <c:pt idx="4">
                  <c:v>116</c:v>
                </c:pt>
                <c:pt idx="5">
                  <c:v>23</c:v>
                </c:pt>
                <c:pt idx="6">
                  <c:v>91</c:v>
                </c:pt>
                <c:pt idx="7">
                  <c:v>280</c:v>
                </c:pt>
                <c:pt idx="8">
                  <c:v>349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109537</xdr:colOff>
      <xdr:row>0</xdr:row>
      <xdr:rowOff>38099</xdr:rowOff>
    </xdr:from>
    <xdr:to>
      <xdr:col>16</xdr:col>
      <xdr:colOff>485775</xdr:colOff>
      <xdr:row>17</xdr:row>
      <xdr:rowOff>76199</xdr:rowOff>
    </xdr:to>
    <xdr:graphicFrame>
      <xdr:nvGraphicFramePr>
        <xdr:cNvPr id="2" name="图表 1"/>
        <xdr:cNvGraphicFramePr/>
      </xdr:nvGraphicFramePr>
      <xdr:xfrm>
        <a:off x="5814695" y="37465"/>
        <a:ext cx="5862955" cy="3114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34"/>
  <sheetViews>
    <sheetView workbookViewId="0">
      <selection activeCell="M47" sqref="M47"/>
    </sheetView>
  </sheetViews>
  <sheetFormatPr defaultColWidth="9" defaultRowHeight="14.25" outlineLevelCol="7"/>
  <cols>
    <col min="1" max="2" width="9" style="6"/>
    <col min="3" max="3" width="9.375" style="6" customWidth="1"/>
    <col min="4" max="4" width="10.5" style="6" customWidth="1"/>
    <col min="5" max="5" width="9" style="6"/>
    <col min="6" max="7" width="12.625" style="6" customWidth="1"/>
    <col min="8" max="8" width="9" style="6"/>
  </cols>
  <sheetData>
    <row r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hidden="1" outlineLevel="2" spans="1:8">
      <c r="A2" s="9" t="s">
        <v>8</v>
      </c>
      <c r="B2" s="9" t="s">
        <v>9</v>
      </c>
      <c r="C2" s="9">
        <v>15</v>
      </c>
      <c r="D2" s="9">
        <v>70</v>
      </c>
      <c r="E2" s="9">
        <v>80</v>
      </c>
      <c r="F2" s="9">
        <v>349</v>
      </c>
      <c r="G2" s="9">
        <v>480</v>
      </c>
      <c r="H2" s="10"/>
    </row>
    <row r="3" hidden="1" outlineLevel="2" spans="1:8">
      <c r="A3" s="9" t="s">
        <v>8</v>
      </c>
      <c r="B3" s="9" t="s">
        <v>10</v>
      </c>
      <c r="C3" s="9">
        <v>25</v>
      </c>
      <c r="D3" s="9">
        <v>50</v>
      </c>
      <c r="E3" s="9">
        <v>200</v>
      </c>
      <c r="F3" s="9">
        <v>273</v>
      </c>
      <c r="G3" s="9">
        <v>300</v>
      </c>
      <c r="H3" s="10"/>
    </row>
    <row r="4" hidden="1" outlineLevel="2" spans="1:8">
      <c r="A4" s="9" t="s">
        <v>8</v>
      </c>
      <c r="B4" s="9" t="s">
        <v>11</v>
      </c>
      <c r="C4" s="9">
        <v>20</v>
      </c>
      <c r="D4" s="9">
        <v>25</v>
      </c>
      <c r="E4" s="9">
        <v>50</v>
      </c>
      <c r="F4" s="9">
        <v>245</v>
      </c>
      <c r="G4" s="9">
        <v>50</v>
      </c>
      <c r="H4" s="10"/>
    </row>
    <row r="5" hidden="1" outlineLevel="2" spans="1:8">
      <c r="A5" s="9" t="s">
        <v>8</v>
      </c>
      <c r="B5" s="9" t="s">
        <v>12</v>
      </c>
      <c r="C5" s="9">
        <v>170</v>
      </c>
      <c r="D5" s="9">
        <v>50</v>
      </c>
      <c r="E5" s="9">
        <v>380</v>
      </c>
      <c r="F5" s="9">
        <v>183</v>
      </c>
      <c r="G5" s="9">
        <v>80</v>
      </c>
      <c r="H5" s="10"/>
    </row>
    <row r="6" hidden="1" outlineLevel="2" spans="1:8">
      <c r="A6" s="9" t="s">
        <v>8</v>
      </c>
      <c r="B6" s="9" t="s">
        <v>13</v>
      </c>
      <c r="C6" s="9">
        <v>50</v>
      </c>
      <c r="D6" s="9">
        <v>60</v>
      </c>
      <c r="E6" s="9">
        <v>150</v>
      </c>
      <c r="F6" s="9">
        <v>153</v>
      </c>
      <c r="G6" s="9">
        <v>250</v>
      </c>
      <c r="H6" s="10"/>
    </row>
    <row r="7" hidden="1" outlineLevel="2" spans="1:8">
      <c r="A7" s="9" t="s">
        <v>8</v>
      </c>
      <c r="B7" s="9" t="s">
        <v>14</v>
      </c>
      <c r="C7" s="9">
        <v>75</v>
      </c>
      <c r="D7" s="9">
        <v>60</v>
      </c>
      <c r="E7" s="9">
        <v>200</v>
      </c>
      <c r="F7" s="9">
        <v>130</v>
      </c>
      <c r="G7" s="9">
        <v>80</v>
      </c>
      <c r="H7" s="10"/>
    </row>
    <row r="8" hidden="1" outlineLevel="2" spans="1:8">
      <c r="A8" s="9" t="s">
        <v>8</v>
      </c>
      <c r="B8" s="9" t="s">
        <v>15</v>
      </c>
      <c r="C8" s="9">
        <v>45</v>
      </c>
      <c r="D8" s="9">
        <v>105</v>
      </c>
      <c r="E8" s="9">
        <v>200</v>
      </c>
      <c r="F8" s="9">
        <v>129</v>
      </c>
      <c r="G8" s="9">
        <v>250</v>
      </c>
      <c r="H8" s="10"/>
    </row>
    <row r="9" hidden="1" outlineLevel="2" spans="1:8">
      <c r="A9" s="9" t="s">
        <v>8</v>
      </c>
      <c r="B9" s="9" t="s">
        <v>16</v>
      </c>
      <c r="C9" s="9">
        <v>20</v>
      </c>
      <c r="D9" s="9">
        <v>20</v>
      </c>
      <c r="E9" s="9">
        <v>150</v>
      </c>
      <c r="F9" s="9">
        <v>120</v>
      </c>
      <c r="G9" s="9">
        <v>150</v>
      </c>
      <c r="H9" s="10"/>
    </row>
    <row r="10" hidden="1" outlineLevel="2" spans="1:8">
      <c r="A10" s="9" t="s">
        <v>8</v>
      </c>
      <c r="B10" s="9" t="s">
        <v>17</v>
      </c>
      <c r="C10" s="9">
        <v>135</v>
      </c>
      <c r="D10" s="9">
        <v>20</v>
      </c>
      <c r="E10" s="9">
        <v>150</v>
      </c>
      <c r="F10" s="9">
        <v>56</v>
      </c>
      <c r="G10" s="9">
        <v>150</v>
      </c>
      <c r="H10" s="10"/>
    </row>
    <row r="11" hidden="1" outlineLevel="2" spans="1:8">
      <c r="A11" s="9" t="s">
        <v>8</v>
      </c>
      <c r="B11" s="9" t="s">
        <v>18</v>
      </c>
      <c r="C11" s="9">
        <v>80</v>
      </c>
      <c r="D11" s="9">
        <v>90</v>
      </c>
      <c r="E11" s="9">
        <v>35</v>
      </c>
      <c r="F11" s="9">
        <v>40</v>
      </c>
      <c r="G11" s="9">
        <v>535</v>
      </c>
      <c r="H11" s="10"/>
    </row>
    <row r="12" outlineLevel="1" collapsed="1" spans="1:8">
      <c r="A12" s="11" t="s">
        <v>19</v>
      </c>
      <c r="B12" s="9"/>
      <c r="C12" s="12">
        <f>SUBTOTAL(1,C2:C11)</f>
        <v>63.5</v>
      </c>
      <c r="D12" s="12">
        <f>SUBTOTAL(1,D2:D11)</f>
        <v>55</v>
      </c>
      <c r="E12" s="12">
        <f>SUBTOTAL(1,E2:E11)</f>
        <v>159.5</v>
      </c>
      <c r="F12" s="12">
        <f>SUBTOTAL(1,F2:F11)</f>
        <v>167.8</v>
      </c>
      <c r="G12" s="12">
        <f>SUBTOTAL(1,G2:G11)</f>
        <v>232.5</v>
      </c>
      <c r="H12" s="10"/>
    </row>
    <row r="13" hidden="1" outlineLevel="2" spans="1:8">
      <c r="A13" s="9" t="s">
        <v>20</v>
      </c>
      <c r="B13" s="9" t="s">
        <v>21</v>
      </c>
      <c r="C13" s="12">
        <v>160</v>
      </c>
      <c r="D13" s="12">
        <v>160</v>
      </c>
      <c r="E13" s="12">
        <v>180</v>
      </c>
      <c r="F13" s="12">
        <v>290</v>
      </c>
      <c r="G13" s="12">
        <v>480</v>
      </c>
      <c r="H13" s="10"/>
    </row>
    <row r="14" hidden="1" outlineLevel="2" spans="1:8">
      <c r="A14" s="9" t="s">
        <v>20</v>
      </c>
      <c r="B14" s="9" t="s">
        <v>22</v>
      </c>
      <c r="C14" s="12">
        <v>140</v>
      </c>
      <c r="D14" s="12">
        <v>60</v>
      </c>
      <c r="E14" s="12">
        <v>80</v>
      </c>
      <c r="F14" s="12">
        <v>234</v>
      </c>
      <c r="G14" s="12">
        <v>180</v>
      </c>
      <c r="H14" s="10"/>
    </row>
    <row r="15" hidden="1" outlineLevel="2" spans="1:8">
      <c r="A15" s="9" t="s">
        <v>20</v>
      </c>
      <c r="B15" s="9" t="s">
        <v>23</v>
      </c>
      <c r="C15" s="12">
        <v>115</v>
      </c>
      <c r="D15" s="12">
        <v>15</v>
      </c>
      <c r="E15" s="12">
        <v>200</v>
      </c>
      <c r="F15" s="12">
        <v>229</v>
      </c>
      <c r="G15" s="12">
        <v>300</v>
      </c>
      <c r="H15" s="10"/>
    </row>
    <row r="16" hidden="1" outlineLevel="2" spans="1:8">
      <c r="A16" s="9" t="s">
        <v>20</v>
      </c>
      <c r="B16" s="9" t="s">
        <v>24</v>
      </c>
      <c r="C16" s="12">
        <v>25</v>
      </c>
      <c r="D16" s="12">
        <v>50</v>
      </c>
      <c r="E16" s="12">
        <v>180</v>
      </c>
      <c r="F16" s="12">
        <v>224</v>
      </c>
      <c r="G16" s="12">
        <v>80</v>
      </c>
      <c r="H16" s="10"/>
    </row>
    <row r="17" hidden="1" outlineLevel="2" spans="1:8">
      <c r="A17" s="9" t="s">
        <v>20</v>
      </c>
      <c r="B17" s="9" t="s">
        <v>25</v>
      </c>
      <c r="C17" s="12">
        <v>40</v>
      </c>
      <c r="D17" s="12">
        <v>120</v>
      </c>
      <c r="E17" s="12">
        <v>140</v>
      </c>
      <c r="F17" s="12">
        <v>222</v>
      </c>
      <c r="G17" s="12">
        <v>240</v>
      </c>
      <c r="H17" s="10"/>
    </row>
    <row r="18" hidden="1" outlineLevel="2" spans="1:8">
      <c r="A18" s="9" t="s">
        <v>20</v>
      </c>
      <c r="B18" s="9" t="s">
        <v>26</v>
      </c>
      <c r="C18" s="12">
        <v>25</v>
      </c>
      <c r="D18" s="12">
        <v>80</v>
      </c>
      <c r="E18" s="12">
        <v>220</v>
      </c>
      <c r="F18" s="12">
        <v>178</v>
      </c>
      <c r="G18" s="12">
        <v>120</v>
      </c>
      <c r="H18" s="10"/>
    </row>
    <row r="19" hidden="1" outlineLevel="2" spans="1:8">
      <c r="A19" s="9" t="s">
        <v>20</v>
      </c>
      <c r="B19" s="9" t="s">
        <v>27</v>
      </c>
      <c r="C19" s="12">
        <v>40</v>
      </c>
      <c r="D19" s="12">
        <v>165</v>
      </c>
      <c r="E19" s="12">
        <v>130</v>
      </c>
      <c r="F19" s="12">
        <v>168</v>
      </c>
      <c r="G19" s="12">
        <v>380</v>
      </c>
      <c r="H19" s="10"/>
    </row>
    <row r="20" hidden="1" outlineLevel="2" spans="1:8">
      <c r="A20" s="9" t="s">
        <v>20</v>
      </c>
      <c r="B20" s="9" t="s">
        <v>28</v>
      </c>
      <c r="C20" s="12">
        <v>80</v>
      </c>
      <c r="D20" s="12">
        <v>90</v>
      </c>
      <c r="E20" s="12">
        <v>220</v>
      </c>
      <c r="F20" s="12">
        <v>112</v>
      </c>
      <c r="G20" s="12">
        <v>320</v>
      </c>
      <c r="H20" s="10"/>
    </row>
    <row r="21" outlineLevel="1" collapsed="1" spans="1:8">
      <c r="A21" s="11" t="s">
        <v>29</v>
      </c>
      <c r="B21" s="9"/>
      <c r="C21" s="12">
        <f>SUBTOTAL(1,C13:C20)</f>
        <v>78.125</v>
      </c>
      <c r="D21" s="12">
        <f>SUBTOTAL(1,D13:D20)</f>
        <v>92.5</v>
      </c>
      <c r="E21" s="12">
        <f>SUBTOTAL(1,E13:E20)</f>
        <v>168.75</v>
      </c>
      <c r="F21" s="12">
        <f>SUBTOTAL(1,F13:F20)</f>
        <v>207.125</v>
      </c>
      <c r="G21" s="12">
        <f>SUBTOTAL(1,G13:G20)</f>
        <v>262.5</v>
      </c>
      <c r="H21" s="10"/>
    </row>
    <row r="22" hidden="1" outlineLevel="2" spans="1:8">
      <c r="A22" s="9" t="s">
        <v>30</v>
      </c>
      <c r="B22" s="9" t="s">
        <v>31</v>
      </c>
      <c r="C22" s="12">
        <v>180</v>
      </c>
      <c r="D22" s="12">
        <v>80</v>
      </c>
      <c r="E22" s="12">
        <v>110</v>
      </c>
      <c r="F22" s="12">
        <v>280</v>
      </c>
      <c r="G22" s="12">
        <v>310</v>
      </c>
      <c r="H22" s="10"/>
    </row>
    <row r="23" hidden="1" outlineLevel="2" spans="1:8">
      <c r="A23" s="9" t="s">
        <v>30</v>
      </c>
      <c r="B23" s="9" t="s">
        <v>32</v>
      </c>
      <c r="C23" s="12">
        <v>135</v>
      </c>
      <c r="D23" s="12">
        <v>65</v>
      </c>
      <c r="E23" s="12">
        <v>250</v>
      </c>
      <c r="F23" s="12">
        <v>253</v>
      </c>
      <c r="G23" s="12">
        <v>350</v>
      </c>
      <c r="H23" s="10"/>
    </row>
    <row r="24" hidden="1" outlineLevel="2" spans="1:8">
      <c r="A24" s="9" t="s">
        <v>30</v>
      </c>
      <c r="B24" s="9" t="s">
        <v>33</v>
      </c>
      <c r="C24" s="12">
        <v>160</v>
      </c>
      <c r="D24" s="12">
        <v>70</v>
      </c>
      <c r="E24" s="12">
        <v>150</v>
      </c>
      <c r="F24" s="12">
        <v>232</v>
      </c>
      <c r="G24" s="12">
        <v>450</v>
      </c>
      <c r="H24" s="10"/>
    </row>
    <row r="25" hidden="1" outlineLevel="2" spans="1:8">
      <c r="A25" s="9" t="s">
        <v>30</v>
      </c>
      <c r="B25" s="9" t="s">
        <v>34</v>
      </c>
      <c r="C25" s="12">
        <v>10</v>
      </c>
      <c r="D25" s="12">
        <v>150</v>
      </c>
      <c r="E25" s="12">
        <v>300</v>
      </c>
      <c r="F25" s="12">
        <v>217</v>
      </c>
      <c r="G25" s="12">
        <v>580</v>
      </c>
      <c r="H25" s="10"/>
    </row>
    <row r="26" hidden="1" outlineLevel="2" spans="1:8">
      <c r="A26" s="9" t="s">
        <v>30</v>
      </c>
      <c r="B26" s="9" t="s">
        <v>35</v>
      </c>
      <c r="C26" s="12">
        <v>150</v>
      </c>
      <c r="D26" s="12">
        <v>250</v>
      </c>
      <c r="E26" s="12">
        <v>400</v>
      </c>
      <c r="F26" s="12">
        <v>212</v>
      </c>
      <c r="G26" s="12">
        <v>480</v>
      </c>
      <c r="H26" s="10"/>
    </row>
    <row r="27" hidden="1" outlineLevel="2" spans="1:8">
      <c r="A27" s="9" t="s">
        <v>30</v>
      </c>
      <c r="B27" s="9" t="s">
        <v>36</v>
      </c>
      <c r="C27" s="12">
        <v>20</v>
      </c>
      <c r="D27" s="12">
        <v>40</v>
      </c>
      <c r="E27" s="12">
        <v>355</v>
      </c>
      <c r="F27" s="12">
        <v>200</v>
      </c>
      <c r="G27" s="12">
        <v>150</v>
      </c>
      <c r="H27" s="10"/>
    </row>
    <row r="28" hidden="1" outlineLevel="2" spans="1:8">
      <c r="A28" s="9" t="s">
        <v>30</v>
      </c>
      <c r="B28" s="9" t="s">
        <v>37</v>
      </c>
      <c r="C28" s="12">
        <v>270</v>
      </c>
      <c r="D28" s="12">
        <v>80</v>
      </c>
      <c r="E28" s="12">
        <v>350</v>
      </c>
      <c r="F28" s="12">
        <v>150</v>
      </c>
      <c r="G28" s="12">
        <v>650</v>
      </c>
      <c r="H28" s="10"/>
    </row>
    <row r="29" hidden="1" outlineLevel="2" spans="1:8">
      <c r="A29" s="9" t="s">
        <v>30</v>
      </c>
      <c r="B29" s="9" t="s">
        <v>38</v>
      </c>
      <c r="C29" s="12">
        <v>30</v>
      </c>
      <c r="D29" s="12">
        <v>30</v>
      </c>
      <c r="E29" s="12">
        <v>90</v>
      </c>
      <c r="F29" s="12">
        <v>116</v>
      </c>
      <c r="G29" s="12">
        <v>160</v>
      </c>
      <c r="H29" s="10"/>
    </row>
    <row r="30" hidden="1" outlineLevel="2" spans="1:8">
      <c r="A30" s="9" t="s">
        <v>30</v>
      </c>
      <c r="B30" s="9" t="s">
        <v>39</v>
      </c>
      <c r="C30" s="12">
        <v>90</v>
      </c>
      <c r="D30" s="12">
        <v>100</v>
      </c>
      <c r="E30" s="12">
        <v>105</v>
      </c>
      <c r="F30" s="12">
        <v>91</v>
      </c>
      <c r="G30" s="12">
        <v>550</v>
      </c>
      <c r="H30" s="10"/>
    </row>
    <row r="31" hidden="1" outlineLevel="2" spans="1:8">
      <c r="A31" s="9" t="s">
        <v>30</v>
      </c>
      <c r="B31" s="9" t="s">
        <v>40</v>
      </c>
      <c r="C31" s="12">
        <v>155</v>
      </c>
      <c r="D31" s="12">
        <v>200</v>
      </c>
      <c r="E31" s="12">
        <v>450</v>
      </c>
      <c r="F31" s="12">
        <v>64</v>
      </c>
      <c r="G31" s="12">
        <v>235</v>
      </c>
      <c r="H31" s="10"/>
    </row>
    <row r="32" hidden="1" outlineLevel="2" spans="1:8">
      <c r="A32" s="9" t="s">
        <v>30</v>
      </c>
      <c r="B32" s="9" t="s">
        <v>41</v>
      </c>
      <c r="C32" s="12">
        <v>50</v>
      </c>
      <c r="D32" s="12">
        <v>50</v>
      </c>
      <c r="E32" s="12">
        <v>500</v>
      </c>
      <c r="F32" s="12">
        <v>23</v>
      </c>
      <c r="G32" s="12">
        <v>550</v>
      </c>
      <c r="H32" s="10"/>
    </row>
    <row r="33" outlineLevel="1" collapsed="1" spans="1:8">
      <c r="A33" s="13" t="s">
        <v>42</v>
      </c>
      <c r="B33" s="14"/>
      <c r="C33" s="15">
        <f>SUBTOTAL(1,C22:C32)</f>
        <v>113.636363636364</v>
      </c>
      <c r="D33" s="15">
        <f>SUBTOTAL(1,D22:D32)</f>
        <v>101.363636363636</v>
      </c>
      <c r="E33" s="15">
        <f>SUBTOTAL(1,E22:E32)</f>
        <v>278.181818181818</v>
      </c>
      <c r="F33" s="15">
        <f>SUBTOTAL(1,F22:F32)</f>
        <v>167.090909090909</v>
      </c>
      <c r="G33" s="15">
        <f>SUBTOTAL(1,G22:G32)</f>
        <v>405.909090909091</v>
      </c>
      <c r="H33" s="16"/>
    </row>
    <row r="34" spans="1:8">
      <c r="A34" s="13" t="s">
        <v>43</v>
      </c>
      <c r="B34" s="14"/>
      <c r="C34" s="15">
        <f>SUBTOTAL(1,C2:C32)</f>
        <v>86.551724137931</v>
      </c>
      <c r="D34" s="15">
        <f>SUBTOTAL(1,D2:D32)</f>
        <v>82.9310344827586</v>
      </c>
      <c r="E34" s="15">
        <f>SUBTOTAL(1,E2:E32)</f>
        <v>207.068965517241</v>
      </c>
      <c r="F34" s="15">
        <f>SUBTOTAL(1,F2:F32)</f>
        <v>178.379310344828</v>
      </c>
      <c r="G34" s="15">
        <f>SUBTOTAL(1,G2:G32)</f>
        <v>306.551724137931</v>
      </c>
      <c r="H34" s="16"/>
    </row>
  </sheetData>
  <sortState ref="A2:H32">
    <sortCondition ref="A2:A32" customList="高一,高二,高三"/>
    <sortCondition ref="F2:F32" descending="1"/>
  </sortState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zoomScale="85" zoomScaleNormal="85" workbookViewId="0">
      <selection activeCell="P23" sqref="P23"/>
    </sheetView>
  </sheetViews>
  <sheetFormatPr defaultColWidth="9" defaultRowHeight="14.25"/>
  <cols>
    <col min="1" max="3" width="9" style="6"/>
    <col min="4" max="4" width="9.375" style="6" customWidth="1"/>
    <col min="5" max="5" width="10.5" style="6" customWidth="1"/>
    <col min="6" max="6" width="9" style="6"/>
    <col min="7" max="8" width="12.625" style="6" customWidth="1"/>
    <col min="9" max="9" width="9" style="6"/>
  </cols>
  <sheetData>
    <row r="1" ht="25.5" spans="1:9">
      <c r="A1" s="7" t="s">
        <v>44</v>
      </c>
      <c r="B1" s="7"/>
      <c r="C1" s="7"/>
      <c r="D1" s="7"/>
      <c r="E1" s="7"/>
      <c r="F1" s="7"/>
      <c r="G1" s="7"/>
      <c r="H1" s="7"/>
      <c r="I1" s="7"/>
    </row>
    <row r="2" spans="1:9">
      <c r="A2" s="4" t="s">
        <v>0</v>
      </c>
      <c r="B2" s="4" t="s">
        <v>45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spans="1:9">
      <c r="A3" s="4" t="s">
        <v>8</v>
      </c>
      <c r="B3" s="4">
        <f>收入!A2</f>
        <v>800</v>
      </c>
      <c r="C3" s="4" t="s">
        <v>13</v>
      </c>
      <c r="D3" s="4">
        <v>50</v>
      </c>
      <c r="E3" s="4">
        <v>60</v>
      </c>
      <c r="F3" s="4">
        <v>150</v>
      </c>
      <c r="G3" s="4">
        <v>153</v>
      </c>
      <c r="H3" s="4">
        <v>250</v>
      </c>
      <c r="I3" s="8">
        <f>SUM(D3:H3)/B3</f>
        <v>0.82875</v>
      </c>
    </row>
    <row r="4" spans="1:9">
      <c r="A4" s="4" t="s">
        <v>20</v>
      </c>
      <c r="B4" s="4">
        <f>收入!A3</f>
        <v>800</v>
      </c>
      <c r="C4" s="4" t="s">
        <v>25</v>
      </c>
      <c r="D4" s="4">
        <v>40</v>
      </c>
      <c r="E4" s="4">
        <v>120</v>
      </c>
      <c r="F4" s="4">
        <v>140</v>
      </c>
      <c r="G4" s="4">
        <v>222</v>
      </c>
      <c r="H4" s="4">
        <v>240</v>
      </c>
      <c r="I4" s="8">
        <f t="shared" ref="I4:I31" si="0">SUM(D4:H4)/B4</f>
        <v>0.9525</v>
      </c>
    </row>
    <row r="5" spans="1:9">
      <c r="A5" s="4" t="s">
        <v>8</v>
      </c>
      <c r="B5" s="4">
        <f>收入!A4</f>
        <v>750</v>
      </c>
      <c r="C5" s="4" t="s">
        <v>15</v>
      </c>
      <c r="D5" s="4">
        <v>45</v>
      </c>
      <c r="E5" s="4">
        <v>105</v>
      </c>
      <c r="F5" s="4">
        <v>200</v>
      </c>
      <c r="G5" s="4">
        <v>129</v>
      </c>
      <c r="H5" s="4">
        <v>250</v>
      </c>
      <c r="I5" s="8">
        <f t="shared" si="0"/>
        <v>0.972</v>
      </c>
    </row>
    <row r="6" spans="1:9">
      <c r="A6" s="4" t="s">
        <v>30</v>
      </c>
      <c r="B6" s="4">
        <f>收入!A5</f>
        <v>1500</v>
      </c>
      <c r="C6" s="4" t="s">
        <v>32</v>
      </c>
      <c r="D6" s="4">
        <v>135</v>
      </c>
      <c r="E6" s="4">
        <v>65</v>
      </c>
      <c r="F6" s="4">
        <v>250</v>
      </c>
      <c r="G6" s="4">
        <v>253</v>
      </c>
      <c r="H6" s="4">
        <v>350</v>
      </c>
      <c r="I6" s="8">
        <f t="shared" si="0"/>
        <v>0.702</v>
      </c>
    </row>
    <row r="7" spans="1:9">
      <c r="A7" s="4" t="s">
        <v>30</v>
      </c>
      <c r="B7" s="4">
        <f>收入!A6</f>
        <v>2500</v>
      </c>
      <c r="C7" s="4" t="s">
        <v>37</v>
      </c>
      <c r="D7" s="4">
        <v>270</v>
      </c>
      <c r="E7" s="4">
        <v>80</v>
      </c>
      <c r="F7" s="4">
        <v>350</v>
      </c>
      <c r="G7" s="4">
        <v>150</v>
      </c>
      <c r="H7" s="4">
        <v>650</v>
      </c>
      <c r="I7" s="8">
        <f t="shared" si="0"/>
        <v>0.6</v>
      </c>
    </row>
    <row r="8" spans="1:9">
      <c r="A8" s="4" t="s">
        <v>8</v>
      </c>
      <c r="B8" s="4">
        <f>收入!A7</f>
        <v>500</v>
      </c>
      <c r="C8" s="4" t="s">
        <v>11</v>
      </c>
      <c r="D8" s="4">
        <v>20</v>
      </c>
      <c r="E8" s="4">
        <v>25</v>
      </c>
      <c r="F8" s="4">
        <v>50</v>
      </c>
      <c r="G8" s="4">
        <v>245</v>
      </c>
      <c r="H8" s="4">
        <v>50</v>
      </c>
      <c r="I8" s="8">
        <f t="shared" si="0"/>
        <v>0.78</v>
      </c>
    </row>
    <row r="9" spans="1:9">
      <c r="A9" s="4" t="s">
        <v>20</v>
      </c>
      <c r="B9" s="4">
        <f>收入!A8</f>
        <v>750</v>
      </c>
      <c r="C9" s="4" t="s">
        <v>22</v>
      </c>
      <c r="D9" s="4">
        <v>140</v>
      </c>
      <c r="E9" s="4">
        <v>60</v>
      </c>
      <c r="F9" s="4">
        <v>80</v>
      </c>
      <c r="G9" s="4">
        <v>234</v>
      </c>
      <c r="H9" s="4">
        <v>180</v>
      </c>
      <c r="I9" s="8">
        <f t="shared" si="0"/>
        <v>0.925333333333333</v>
      </c>
    </row>
    <row r="10" spans="1:9">
      <c r="A10" s="4" t="s">
        <v>30</v>
      </c>
      <c r="B10" s="4">
        <f>收入!A9</f>
        <v>1800</v>
      </c>
      <c r="C10" s="4" t="s">
        <v>40</v>
      </c>
      <c r="D10" s="4">
        <v>155</v>
      </c>
      <c r="E10" s="4">
        <v>200</v>
      </c>
      <c r="F10" s="4">
        <v>450</v>
      </c>
      <c r="G10" s="4">
        <v>64</v>
      </c>
      <c r="H10" s="4">
        <v>235</v>
      </c>
      <c r="I10" s="8">
        <f t="shared" si="0"/>
        <v>0.613333333333333</v>
      </c>
    </row>
    <row r="11" spans="1:9">
      <c r="A11" s="4" t="s">
        <v>30</v>
      </c>
      <c r="B11" s="4">
        <f>收入!A10</f>
        <v>2300</v>
      </c>
      <c r="C11" s="4" t="s">
        <v>34</v>
      </c>
      <c r="D11" s="4">
        <v>10</v>
      </c>
      <c r="E11" s="4">
        <v>150</v>
      </c>
      <c r="F11" s="4">
        <v>300</v>
      </c>
      <c r="G11" s="4">
        <v>217</v>
      </c>
      <c r="H11" s="4">
        <v>580</v>
      </c>
      <c r="I11" s="8">
        <f t="shared" si="0"/>
        <v>0.546521739130435</v>
      </c>
    </row>
    <row r="12" spans="1:9">
      <c r="A12" s="4" t="s">
        <v>8</v>
      </c>
      <c r="B12" s="4">
        <f>收入!A11</f>
        <v>600</v>
      </c>
      <c r="C12" s="4" t="s">
        <v>16</v>
      </c>
      <c r="D12" s="4">
        <v>20</v>
      </c>
      <c r="E12" s="4">
        <v>20</v>
      </c>
      <c r="F12" s="4">
        <v>150</v>
      </c>
      <c r="G12" s="4">
        <v>120</v>
      </c>
      <c r="H12" s="4">
        <v>150</v>
      </c>
      <c r="I12" s="8">
        <f t="shared" si="0"/>
        <v>0.766666666666667</v>
      </c>
    </row>
    <row r="13" spans="1:9">
      <c r="A13" s="4" t="s">
        <v>8</v>
      </c>
      <c r="B13" s="4">
        <f>收入!A12</f>
        <v>1200</v>
      </c>
      <c r="C13" s="4" t="s">
        <v>18</v>
      </c>
      <c r="D13" s="4">
        <v>80</v>
      </c>
      <c r="E13" s="4">
        <v>90</v>
      </c>
      <c r="F13" s="4">
        <v>35</v>
      </c>
      <c r="G13" s="4">
        <v>40</v>
      </c>
      <c r="H13" s="4">
        <v>535</v>
      </c>
      <c r="I13" s="8">
        <f t="shared" si="0"/>
        <v>0.65</v>
      </c>
    </row>
    <row r="14" spans="1:9">
      <c r="A14" s="4" t="s">
        <v>20</v>
      </c>
      <c r="B14" s="4">
        <f>收入!A13</f>
        <v>2000</v>
      </c>
      <c r="C14" s="4" t="s">
        <v>21</v>
      </c>
      <c r="D14" s="4">
        <v>160</v>
      </c>
      <c r="E14" s="4">
        <v>160</v>
      </c>
      <c r="F14" s="4">
        <v>180</v>
      </c>
      <c r="G14" s="4">
        <v>290</v>
      </c>
      <c r="H14" s="4">
        <v>480</v>
      </c>
      <c r="I14" s="8">
        <f t="shared" si="0"/>
        <v>0.635</v>
      </c>
    </row>
    <row r="15" spans="1:9">
      <c r="A15" s="4" t="s">
        <v>30</v>
      </c>
      <c r="B15" s="4">
        <f>收入!A14</f>
        <v>2800</v>
      </c>
      <c r="C15" s="4" t="s">
        <v>35</v>
      </c>
      <c r="D15" s="4">
        <v>150</v>
      </c>
      <c r="E15" s="4">
        <v>250</v>
      </c>
      <c r="F15" s="4">
        <v>400</v>
      </c>
      <c r="G15" s="4">
        <v>212</v>
      </c>
      <c r="H15" s="4">
        <v>480</v>
      </c>
      <c r="I15" s="8">
        <f t="shared" si="0"/>
        <v>0.532857142857143</v>
      </c>
    </row>
    <row r="16" spans="1:9">
      <c r="A16" s="4" t="s">
        <v>30</v>
      </c>
      <c r="B16" s="4">
        <f>收入!A15</f>
        <v>650</v>
      </c>
      <c r="C16" s="4" t="s">
        <v>38</v>
      </c>
      <c r="D16" s="4">
        <v>30</v>
      </c>
      <c r="E16" s="4">
        <v>30</v>
      </c>
      <c r="F16" s="4">
        <v>90</v>
      </c>
      <c r="G16" s="4">
        <v>116</v>
      </c>
      <c r="H16" s="4">
        <v>160</v>
      </c>
      <c r="I16" s="8">
        <f t="shared" si="0"/>
        <v>0.655384615384615</v>
      </c>
    </row>
    <row r="17" spans="1:9">
      <c r="A17" s="4" t="s">
        <v>20</v>
      </c>
      <c r="B17" s="4">
        <f>收入!A16</f>
        <v>700</v>
      </c>
      <c r="C17" s="4" t="s">
        <v>24</v>
      </c>
      <c r="D17" s="4">
        <v>25</v>
      </c>
      <c r="E17" s="4">
        <v>50</v>
      </c>
      <c r="F17" s="4">
        <v>180</v>
      </c>
      <c r="G17" s="4">
        <v>224</v>
      </c>
      <c r="H17" s="4">
        <v>80</v>
      </c>
      <c r="I17" s="8">
        <f t="shared" si="0"/>
        <v>0.798571428571429</v>
      </c>
    </row>
    <row r="18" spans="1:9">
      <c r="A18" s="4" t="s">
        <v>20</v>
      </c>
      <c r="B18" s="4">
        <f>收入!A17</f>
        <v>1300</v>
      </c>
      <c r="C18" s="4" t="s">
        <v>23</v>
      </c>
      <c r="D18" s="4">
        <v>115</v>
      </c>
      <c r="E18" s="4">
        <v>15</v>
      </c>
      <c r="F18" s="4">
        <v>200</v>
      </c>
      <c r="G18" s="4">
        <v>229</v>
      </c>
      <c r="H18" s="4">
        <v>300</v>
      </c>
      <c r="I18" s="8">
        <f t="shared" si="0"/>
        <v>0.660769230769231</v>
      </c>
    </row>
    <row r="19" spans="1:9">
      <c r="A19" s="4" t="s">
        <v>8</v>
      </c>
      <c r="B19" s="4">
        <f>收入!A18</f>
        <v>550</v>
      </c>
      <c r="C19" s="4" t="s">
        <v>46</v>
      </c>
      <c r="D19" s="4">
        <v>75</v>
      </c>
      <c r="E19" s="4">
        <v>60</v>
      </c>
      <c r="F19" s="4">
        <v>200</v>
      </c>
      <c r="G19" s="4">
        <v>130</v>
      </c>
      <c r="H19" s="4">
        <v>80</v>
      </c>
      <c r="I19" s="8">
        <f t="shared" si="0"/>
        <v>0.990909090909091</v>
      </c>
    </row>
    <row r="20" spans="1:9">
      <c r="A20" s="4" t="s">
        <v>8</v>
      </c>
      <c r="B20" s="4">
        <f>收入!A19</f>
        <v>900</v>
      </c>
      <c r="C20" s="4" t="s">
        <v>12</v>
      </c>
      <c r="D20" s="4">
        <v>170</v>
      </c>
      <c r="E20" s="4">
        <v>50</v>
      </c>
      <c r="F20" s="4">
        <v>380</v>
      </c>
      <c r="G20" s="4">
        <v>183</v>
      </c>
      <c r="H20" s="4">
        <v>80</v>
      </c>
      <c r="I20" s="8">
        <f t="shared" si="0"/>
        <v>0.958888888888889</v>
      </c>
    </row>
    <row r="21" spans="1:9">
      <c r="A21" s="4" t="s">
        <v>30</v>
      </c>
      <c r="B21" s="4">
        <f>收入!A20</f>
        <v>1400</v>
      </c>
      <c r="C21" s="4" t="s">
        <v>41</v>
      </c>
      <c r="D21" s="4">
        <v>50</v>
      </c>
      <c r="E21" s="4">
        <v>50</v>
      </c>
      <c r="F21" s="4">
        <v>500</v>
      </c>
      <c r="G21" s="4">
        <v>23</v>
      </c>
      <c r="H21" s="4">
        <v>550</v>
      </c>
      <c r="I21" s="8">
        <f t="shared" si="0"/>
        <v>0.837857142857143</v>
      </c>
    </row>
    <row r="22" spans="1:9">
      <c r="A22" s="4" t="s">
        <v>30</v>
      </c>
      <c r="B22" s="4">
        <f>收入!A21</f>
        <v>1750</v>
      </c>
      <c r="C22" s="4" t="s">
        <v>33</v>
      </c>
      <c r="D22" s="4">
        <v>160</v>
      </c>
      <c r="E22" s="4">
        <v>70</v>
      </c>
      <c r="F22" s="4">
        <v>150</v>
      </c>
      <c r="G22" s="4">
        <v>232</v>
      </c>
      <c r="H22" s="4">
        <v>450</v>
      </c>
      <c r="I22" s="8">
        <f t="shared" si="0"/>
        <v>0.606857142857143</v>
      </c>
    </row>
    <row r="23" spans="1:9">
      <c r="A23" s="4" t="s">
        <v>20</v>
      </c>
      <c r="B23" s="4">
        <f>收入!A22</f>
        <v>1400</v>
      </c>
      <c r="C23" s="4" t="s">
        <v>27</v>
      </c>
      <c r="D23" s="4">
        <v>40</v>
      </c>
      <c r="E23" s="4">
        <v>165</v>
      </c>
      <c r="F23" s="4">
        <v>130</v>
      </c>
      <c r="G23" s="4">
        <v>168</v>
      </c>
      <c r="H23" s="4">
        <v>380</v>
      </c>
      <c r="I23" s="8">
        <f t="shared" si="0"/>
        <v>0.630714285714286</v>
      </c>
    </row>
    <row r="24" spans="1:9">
      <c r="A24" s="4" t="s">
        <v>8</v>
      </c>
      <c r="B24" s="4">
        <f>收入!A23</f>
        <v>880</v>
      </c>
      <c r="C24" s="4" t="s">
        <v>17</v>
      </c>
      <c r="D24" s="4">
        <v>135</v>
      </c>
      <c r="E24" s="4">
        <v>20</v>
      </c>
      <c r="F24" s="4">
        <v>150</v>
      </c>
      <c r="G24" s="4">
        <v>56</v>
      </c>
      <c r="H24" s="4">
        <v>150</v>
      </c>
      <c r="I24" s="8">
        <f t="shared" si="0"/>
        <v>0.580681818181818</v>
      </c>
    </row>
    <row r="25" spans="1:9">
      <c r="A25" s="4" t="s">
        <v>20</v>
      </c>
      <c r="B25" s="4">
        <f>收入!A24</f>
        <v>660</v>
      </c>
      <c r="C25" s="4" t="s">
        <v>26</v>
      </c>
      <c r="D25" s="4">
        <v>25</v>
      </c>
      <c r="E25" s="4">
        <v>80</v>
      </c>
      <c r="F25" s="4">
        <v>220</v>
      </c>
      <c r="G25" s="4">
        <v>178</v>
      </c>
      <c r="H25" s="4">
        <v>120</v>
      </c>
      <c r="I25" s="8">
        <f t="shared" si="0"/>
        <v>0.943939393939394</v>
      </c>
    </row>
    <row r="26" spans="1:9">
      <c r="A26" s="4" t="s">
        <v>30</v>
      </c>
      <c r="B26" s="4">
        <f>收入!A25</f>
        <v>780</v>
      </c>
      <c r="C26" s="4" t="s">
        <v>36</v>
      </c>
      <c r="D26" s="4">
        <v>20</v>
      </c>
      <c r="E26" s="4">
        <v>40</v>
      </c>
      <c r="F26" s="4">
        <v>355</v>
      </c>
      <c r="G26" s="4">
        <v>200</v>
      </c>
      <c r="H26" s="4">
        <v>150</v>
      </c>
      <c r="I26" s="8">
        <f t="shared" si="0"/>
        <v>0.980769230769231</v>
      </c>
    </row>
    <row r="27" spans="1:9">
      <c r="A27" s="4" t="s">
        <v>30</v>
      </c>
      <c r="B27" s="4">
        <f>收入!A26</f>
        <v>1600</v>
      </c>
      <c r="C27" s="4" t="s">
        <v>39</v>
      </c>
      <c r="D27" s="4">
        <v>90</v>
      </c>
      <c r="E27" s="4">
        <v>100</v>
      </c>
      <c r="F27" s="4">
        <v>105</v>
      </c>
      <c r="G27" s="4">
        <v>91</v>
      </c>
      <c r="H27" s="4">
        <v>550</v>
      </c>
      <c r="I27" s="8">
        <f t="shared" si="0"/>
        <v>0.585</v>
      </c>
    </row>
    <row r="28" spans="1:9">
      <c r="A28" s="4" t="s">
        <v>30</v>
      </c>
      <c r="B28" s="4">
        <f>收入!A27</f>
        <v>1250</v>
      </c>
      <c r="C28" s="4" t="s">
        <v>31</v>
      </c>
      <c r="D28" s="4">
        <v>180</v>
      </c>
      <c r="E28" s="4">
        <v>80</v>
      </c>
      <c r="F28" s="4">
        <v>110</v>
      </c>
      <c r="G28" s="4">
        <v>280</v>
      </c>
      <c r="H28" s="4">
        <v>310</v>
      </c>
      <c r="I28" s="8">
        <f t="shared" si="0"/>
        <v>0.768</v>
      </c>
    </row>
    <row r="29" spans="1:9">
      <c r="A29" s="4" t="s">
        <v>20</v>
      </c>
      <c r="B29" s="4">
        <f>收入!A28</f>
        <v>1100</v>
      </c>
      <c r="C29" s="4" t="s">
        <v>28</v>
      </c>
      <c r="D29" s="4">
        <v>80</v>
      </c>
      <c r="E29" s="4">
        <v>90</v>
      </c>
      <c r="F29" s="4">
        <v>220</v>
      </c>
      <c r="G29" s="4">
        <v>112</v>
      </c>
      <c r="H29" s="4">
        <v>320</v>
      </c>
      <c r="I29" s="8">
        <f t="shared" si="0"/>
        <v>0.747272727272727</v>
      </c>
    </row>
    <row r="30" spans="1:9">
      <c r="A30" s="4" t="s">
        <v>8</v>
      </c>
      <c r="B30" s="4">
        <f>收入!A29</f>
        <v>1000</v>
      </c>
      <c r="C30" s="4" t="s">
        <v>9</v>
      </c>
      <c r="D30" s="4">
        <v>15</v>
      </c>
      <c r="E30" s="4">
        <v>70</v>
      </c>
      <c r="F30" s="4">
        <v>80</v>
      </c>
      <c r="G30" s="4">
        <v>349</v>
      </c>
      <c r="H30" s="4">
        <v>480</v>
      </c>
      <c r="I30" s="8">
        <f t="shared" si="0"/>
        <v>0.994</v>
      </c>
    </row>
    <row r="31" spans="1:9">
      <c r="A31" s="4" t="s">
        <v>8</v>
      </c>
      <c r="B31" s="4">
        <f>收入!A30</f>
        <v>890</v>
      </c>
      <c r="C31" s="4" t="s">
        <v>10</v>
      </c>
      <c r="D31" s="4">
        <v>25</v>
      </c>
      <c r="E31" s="4">
        <v>50</v>
      </c>
      <c r="F31" s="4">
        <v>200</v>
      </c>
      <c r="G31" s="4">
        <v>273</v>
      </c>
      <c r="H31" s="4">
        <v>300</v>
      </c>
      <c r="I31" s="8">
        <f t="shared" si="0"/>
        <v>0.952808988764045</v>
      </c>
    </row>
  </sheetData>
  <mergeCells count="1">
    <mergeCell ref="A1:I1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30"/>
  <sheetViews>
    <sheetView workbookViewId="0">
      <selection activeCell="A2" sqref="A2"/>
    </sheetView>
  </sheetViews>
  <sheetFormatPr defaultColWidth="9" defaultRowHeight="14.25"/>
  <cols>
    <col min="2" max="2" width="30.375" customWidth="1"/>
    <col min="3" max="3" width="30.875" customWidth="1"/>
  </cols>
  <sheetData>
    <row r="1" spans="1:1">
      <c r="A1" s="5" t="s">
        <v>45</v>
      </c>
    </row>
    <row r="2" spans="1:1">
      <c r="A2" s="5">
        <v>800</v>
      </c>
    </row>
    <row r="3" spans="1:1">
      <c r="A3" s="5">
        <v>800</v>
      </c>
    </row>
    <row r="4" spans="1:1">
      <c r="A4" s="5">
        <v>750</v>
      </c>
    </row>
    <row r="5" spans="1:1">
      <c r="A5" s="5">
        <v>1500</v>
      </c>
    </row>
    <row r="6" spans="1:1">
      <c r="A6" s="5">
        <v>2500</v>
      </c>
    </row>
    <row r="7" spans="1:1">
      <c r="A7" s="5">
        <v>500</v>
      </c>
    </row>
    <row r="8" spans="1:1">
      <c r="A8" s="5">
        <v>750</v>
      </c>
    </row>
    <row r="9" spans="1:1">
      <c r="A9" s="5">
        <v>1800</v>
      </c>
    </row>
    <row r="10" spans="1:1">
      <c r="A10" s="5">
        <v>2300</v>
      </c>
    </row>
    <row r="11" spans="1:1">
      <c r="A11" s="5">
        <v>600</v>
      </c>
    </row>
    <row r="12" spans="1:1">
      <c r="A12" s="5">
        <v>1200</v>
      </c>
    </row>
    <row r="13" spans="1:1">
      <c r="A13" s="5">
        <v>2000</v>
      </c>
    </row>
    <row r="14" spans="1:1">
      <c r="A14" s="5">
        <v>2800</v>
      </c>
    </row>
    <row r="15" spans="1:1">
      <c r="A15" s="5">
        <v>650</v>
      </c>
    </row>
    <row r="16" spans="1:1">
      <c r="A16" s="5">
        <v>700</v>
      </c>
    </row>
    <row r="17" spans="1:1">
      <c r="A17" s="5">
        <v>1300</v>
      </c>
    </row>
    <row r="18" spans="1:1">
      <c r="A18" s="5">
        <v>550</v>
      </c>
    </row>
    <row r="19" spans="1:1">
      <c r="A19" s="5">
        <v>900</v>
      </c>
    </row>
    <row r="20" spans="1:1">
      <c r="A20" s="5">
        <v>1400</v>
      </c>
    </row>
    <row r="21" spans="1:1">
      <c r="A21" s="5">
        <v>1750</v>
      </c>
    </row>
    <row r="22" spans="1:1">
      <c r="A22" s="5">
        <v>1400</v>
      </c>
    </row>
    <row r="23" spans="1:1">
      <c r="A23" s="5">
        <v>880</v>
      </c>
    </row>
    <row r="24" spans="1:1">
      <c r="A24" s="5">
        <v>660</v>
      </c>
    </row>
    <row r="25" spans="1:1">
      <c r="A25" s="5">
        <v>780</v>
      </c>
    </row>
    <row r="26" spans="1:1">
      <c r="A26" s="5">
        <v>1600</v>
      </c>
    </row>
    <row r="27" spans="1:1">
      <c r="A27" s="5">
        <v>1250</v>
      </c>
    </row>
    <row r="28" spans="1:1">
      <c r="A28" s="5">
        <v>1100</v>
      </c>
    </row>
    <row r="29" spans="1:1">
      <c r="A29" s="5">
        <v>1000</v>
      </c>
    </row>
    <row r="30" spans="1:1">
      <c r="A30" s="5">
        <v>890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8"/>
  <sheetViews>
    <sheetView tabSelected="1" workbookViewId="0">
      <selection activeCell="K8" sqref="K8"/>
    </sheetView>
  </sheetViews>
  <sheetFormatPr defaultColWidth="9" defaultRowHeight="14.25" outlineLevelCol="7"/>
  <cols>
    <col min="1" max="1" width="13.875" customWidth="1"/>
  </cols>
  <sheetData>
    <row r="1" spans="1:1">
      <c r="A1" s="3" t="s">
        <v>5</v>
      </c>
    </row>
    <row r="2" spans="1:1">
      <c r="A2" s="3" t="s">
        <v>47</v>
      </c>
    </row>
    <row r="5" spans="2:8">
      <c r="B5" s="4" t="s">
        <v>0</v>
      </c>
      <c r="C5" s="4" t="s">
        <v>45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</row>
    <row r="6" spans="2:8">
      <c r="B6" s="4" t="s">
        <v>20</v>
      </c>
      <c r="C6" s="4">
        <v>800</v>
      </c>
      <c r="D6" s="4" t="s">
        <v>25</v>
      </c>
      <c r="E6" s="4">
        <v>40</v>
      </c>
      <c r="F6" s="4">
        <v>120</v>
      </c>
      <c r="G6" s="4">
        <v>140</v>
      </c>
      <c r="H6" s="4">
        <v>222</v>
      </c>
    </row>
    <row r="7" spans="2:8">
      <c r="B7" s="4" t="s">
        <v>30</v>
      </c>
      <c r="C7" s="4">
        <v>1500</v>
      </c>
      <c r="D7" s="4" t="s">
        <v>32</v>
      </c>
      <c r="E7" s="4">
        <v>135</v>
      </c>
      <c r="F7" s="4">
        <v>65</v>
      </c>
      <c r="G7" s="4">
        <v>250</v>
      </c>
      <c r="H7" s="4">
        <v>253</v>
      </c>
    </row>
    <row r="8" spans="2:8">
      <c r="B8" s="4" t="s">
        <v>8</v>
      </c>
      <c r="C8" s="4">
        <v>500</v>
      </c>
      <c r="D8" s="4" t="s">
        <v>11</v>
      </c>
      <c r="E8" s="4">
        <v>20</v>
      </c>
      <c r="F8" s="4">
        <v>25</v>
      </c>
      <c r="G8" s="4">
        <v>50</v>
      </c>
      <c r="H8" s="4">
        <v>245</v>
      </c>
    </row>
    <row r="9" spans="2:8">
      <c r="B9" s="4" t="s">
        <v>20</v>
      </c>
      <c r="C9" s="4">
        <v>750</v>
      </c>
      <c r="D9" s="4" t="s">
        <v>22</v>
      </c>
      <c r="E9" s="4">
        <v>140</v>
      </c>
      <c r="F9" s="4">
        <v>60</v>
      </c>
      <c r="G9" s="4">
        <v>80</v>
      </c>
      <c r="H9" s="4">
        <v>234</v>
      </c>
    </row>
    <row r="10" spans="2:8">
      <c r="B10" s="4" t="s">
        <v>30</v>
      </c>
      <c r="C10" s="4">
        <v>2300</v>
      </c>
      <c r="D10" s="4" t="s">
        <v>34</v>
      </c>
      <c r="E10" s="4">
        <v>10</v>
      </c>
      <c r="F10" s="4">
        <v>150</v>
      </c>
      <c r="G10" s="4">
        <v>300</v>
      </c>
      <c r="H10" s="4">
        <v>217</v>
      </c>
    </row>
    <row r="11" spans="2:8">
      <c r="B11" s="4" t="s">
        <v>20</v>
      </c>
      <c r="C11" s="4">
        <v>2000</v>
      </c>
      <c r="D11" s="4" t="s">
        <v>21</v>
      </c>
      <c r="E11" s="4">
        <v>160</v>
      </c>
      <c r="F11" s="4">
        <v>160</v>
      </c>
      <c r="G11" s="4">
        <v>180</v>
      </c>
      <c r="H11" s="4">
        <v>290</v>
      </c>
    </row>
    <row r="12" spans="2:8">
      <c r="B12" s="4" t="s">
        <v>30</v>
      </c>
      <c r="C12" s="4">
        <v>2800</v>
      </c>
      <c r="D12" s="4" t="s">
        <v>35</v>
      </c>
      <c r="E12" s="4">
        <v>150</v>
      </c>
      <c r="F12" s="4">
        <v>250</v>
      </c>
      <c r="G12" s="4">
        <v>400</v>
      </c>
      <c r="H12" s="4">
        <v>212</v>
      </c>
    </row>
    <row r="13" spans="2:8">
      <c r="B13" s="4" t="s">
        <v>20</v>
      </c>
      <c r="C13" s="4">
        <v>700</v>
      </c>
      <c r="D13" s="4" t="s">
        <v>24</v>
      </c>
      <c r="E13" s="4">
        <v>25</v>
      </c>
      <c r="F13" s="4">
        <v>50</v>
      </c>
      <c r="G13" s="4">
        <v>180</v>
      </c>
      <c r="H13" s="4">
        <v>224</v>
      </c>
    </row>
    <row r="14" spans="2:8">
      <c r="B14" s="4" t="s">
        <v>20</v>
      </c>
      <c r="C14" s="4">
        <v>1300</v>
      </c>
      <c r="D14" s="4" t="s">
        <v>23</v>
      </c>
      <c r="E14" s="4">
        <v>115</v>
      </c>
      <c r="F14" s="4">
        <v>15</v>
      </c>
      <c r="G14" s="4">
        <v>200</v>
      </c>
      <c r="H14" s="4">
        <v>229</v>
      </c>
    </row>
    <row r="15" spans="2:8">
      <c r="B15" s="4" t="s">
        <v>30</v>
      </c>
      <c r="C15" s="4">
        <v>1750</v>
      </c>
      <c r="D15" s="4" t="s">
        <v>33</v>
      </c>
      <c r="E15" s="4">
        <v>160</v>
      </c>
      <c r="F15" s="4">
        <v>70</v>
      </c>
      <c r="G15" s="4">
        <v>150</v>
      </c>
      <c r="H15" s="4">
        <v>232</v>
      </c>
    </row>
    <row r="16" spans="2:8">
      <c r="B16" s="4" t="s">
        <v>30</v>
      </c>
      <c r="C16" s="4">
        <v>1250</v>
      </c>
      <c r="D16" s="4" t="s">
        <v>31</v>
      </c>
      <c r="E16" s="4">
        <v>180</v>
      </c>
      <c r="F16" s="4">
        <v>80</v>
      </c>
      <c r="G16" s="4">
        <v>110</v>
      </c>
      <c r="H16" s="4">
        <v>280</v>
      </c>
    </row>
    <row r="17" spans="2:8">
      <c r="B17" s="4" t="s">
        <v>8</v>
      </c>
      <c r="C17" s="4">
        <v>1000</v>
      </c>
      <c r="D17" s="4" t="s">
        <v>9</v>
      </c>
      <c r="E17" s="4">
        <v>15</v>
      </c>
      <c r="F17" s="4">
        <v>70</v>
      </c>
      <c r="G17" s="4">
        <v>80</v>
      </c>
      <c r="H17" s="4">
        <v>349</v>
      </c>
    </row>
    <row r="18" spans="2:8">
      <c r="B18" s="4" t="s">
        <v>8</v>
      </c>
      <c r="C18" s="4">
        <v>890</v>
      </c>
      <c r="D18" s="4" t="s">
        <v>10</v>
      </c>
      <c r="E18" s="4">
        <v>25</v>
      </c>
      <c r="F18" s="4">
        <v>50</v>
      </c>
      <c r="G18" s="4">
        <v>200</v>
      </c>
      <c r="H18" s="4">
        <v>273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26" sqref="I26"/>
    </sheetView>
  </sheetViews>
  <sheetFormatPr defaultColWidth="9" defaultRowHeight="14.25" outlineLevelCol="7"/>
  <cols>
    <col min="1" max="1" width="11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30</v>
      </c>
      <c r="B2" s="1" t="s">
        <v>32</v>
      </c>
      <c r="C2" s="1">
        <v>135</v>
      </c>
      <c r="D2" s="1">
        <v>65</v>
      </c>
      <c r="E2" s="1">
        <v>250</v>
      </c>
      <c r="F2" s="1">
        <v>253</v>
      </c>
      <c r="G2" s="1">
        <v>350</v>
      </c>
    </row>
    <row r="3" spans="1:7">
      <c r="A3" s="1" t="s">
        <v>30</v>
      </c>
      <c r="B3" s="1" t="s">
        <v>37</v>
      </c>
      <c r="C3" s="1">
        <v>270</v>
      </c>
      <c r="D3" s="1">
        <v>80</v>
      </c>
      <c r="E3" s="1">
        <v>350</v>
      </c>
      <c r="F3" s="1">
        <v>150</v>
      </c>
      <c r="G3" s="1">
        <v>650</v>
      </c>
    </row>
    <row r="4" spans="1:7">
      <c r="A4" s="1" t="s">
        <v>8</v>
      </c>
      <c r="B4" s="1" t="s">
        <v>11</v>
      </c>
      <c r="C4" s="1">
        <v>20</v>
      </c>
      <c r="D4" s="1">
        <v>25</v>
      </c>
      <c r="E4" s="1">
        <v>50</v>
      </c>
      <c r="F4" s="1">
        <v>245</v>
      </c>
      <c r="G4" s="1">
        <v>50</v>
      </c>
    </row>
    <row r="5" spans="1:7">
      <c r="A5" s="1" t="s">
        <v>30</v>
      </c>
      <c r="B5" s="1" t="s">
        <v>40</v>
      </c>
      <c r="C5" s="1">
        <v>155</v>
      </c>
      <c r="D5" s="1">
        <v>200</v>
      </c>
      <c r="E5" s="1">
        <v>450</v>
      </c>
      <c r="F5" s="1">
        <v>64</v>
      </c>
      <c r="G5" s="1">
        <v>235</v>
      </c>
    </row>
    <row r="6" spans="1:7">
      <c r="A6" s="1" t="s">
        <v>30</v>
      </c>
      <c r="B6" s="1" t="s">
        <v>38</v>
      </c>
      <c r="C6" s="1">
        <v>30</v>
      </c>
      <c r="D6" s="1">
        <v>30</v>
      </c>
      <c r="E6" s="1">
        <v>90</v>
      </c>
      <c r="F6" s="1">
        <v>116</v>
      </c>
      <c r="G6" s="1">
        <v>160</v>
      </c>
    </row>
    <row r="7" spans="1:7">
      <c r="A7" s="1" t="s">
        <v>30</v>
      </c>
      <c r="B7" s="1" t="s">
        <v>41</v>
      </c>
      <c r="C7" s="1">
        <v>50</v>
      </c>
      <c r="D7" s="1">
        <v>50</v>
      </c>
      <c r="E7" s="1">
        <v>500</v>
      </c>
      <c r="F7" s="1">
        <v>23</v>
      </c>
      <c r="G7" s="1">
        <v>550</v>
      </c>
    </row>
    <row r="8" spans="1:7">
      <c r="A8" s="1" t="s">
        <v>30</v>
      </c>
      <c r="B8" s="1" t="s">
        <v>39</v>
      </c>
      <c r="C8" s="1">
        <v>90</v>
      </c>
      <c r="D8" s="1">
        <v>100</v>
      </c>
      <c r="E8" s="1">
        <v>105</v>
      </c>
      <c r="F8" s="1">
        <v>91</v>
      </c>
      <c r="G8" s="1">
        <v>550</v>
      </c>
    </row>
    <row r="9" spans="1:7">
      <c r="A9" s="1" t="s">
        <v>30</v>
      </c>
      <c r="B9" s="1" t="s">
        <v>31</v>
      </c>
      <c r="C9" s="1">
        <v>180</v>
      </c>
      <c r="D9" s="1">
        <v>80</v>
      </c>
      <c r="E9" s="1">
        <v>110</v>
      </c>
      <c r="F9" s="1">
        <v>280</v>
      </c>
      <c r="G9" s="1">
        <v>310</v>
      </c>
    </row>
    <row r="10" spans="1:7">
      <c r="A10" s="1" t="s">
        <v>8</v>
      </c>
      <c r="B10" s="1" t="s">
        <v>9</v>
      </c>
      <c r="C10" s="1">
        <v>15</v>
      </c>
      <c r="D10" s="1">
        <v>70</v>
      </c>
      <c r="E10" s="1">
        <v>80</v>
      </c>
      <c r="F10" s="1">
        <v>349</v>
      </c>
      <c r="G10" s="1">
        <v>480</v>
      </c>
    </row>
    <row r="11" spans="1:7">
      <c r="A11" s="1" t="s">
        <v>8</v>
      </c>
      <c r="B11" s="1" t="s">
        <v>10</v>
      </c>
      <c r="C11" s="1">
        <v>25</v>
      </c>
      <c r="D11" s="1">
        <v>50</v>
      </c>
      <c r="E11" s="1">
        <v>200</v>
      </c>
      <c r="F11" s="1">
        <v>273</v>
      </c>
      <c r="G11" s="1">
        <v>300</v>
      </c>
    </row>
    <row r="12" spans="1:8">
      <c r="A12" s="1" t="s">
        <v>20</v>
      </c>
      <c r="B12" s="1" t="s">
        <v>25</v>
      </c>
      <c r="C12" s="1">
        <v>40</v>
      </c>
      <c r="D12" s="1">
        <v>120</v>
      </c>
      <c r="E12" s="1">
        <v>140</v>
      </c>
      <c r="F12" s="1">
        <v>222</v>
      </c>
      <c r="G12" s="1">
        <v>240</v>
      </c>
      <c r="H12" s="2"/>
    </row>
    <row r="13" spans="1:8">
      <c r="A13" s="1" t="s">
        <v>20</v>
      </c>
      <c r="B13" s="1" t="s">
        <v>26</v>
      </c>
      <c r="C13" s="1">
        <v>25</v>
      </c>
      <c r="D13" s="1">
        <v>80</v>
      </c>
      <c r="E13" s="1">
        <v>220</v>
      </c>
      <c r="F13" s="1">
        <v>178</v>
      </c>
      <c r="G13" s="1">
        <v>120</v>
      </c>
      <c r="H13" s="2"/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零用钱支出调查表</vt:lpstr>
      <vt:lpstr>收入</vt:lpstr>
      <vt:lpstr>筛选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2023-12-11T09:18:52Z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23B8C6FB52514ECF8B75C6F4925717FE_12</vt:lpwstr>
  </property>
  <property fmtid="{D5CDD505-2E9C-101B-9397-08002B2CF9AE}" pid="3" name="KSOProductBuildVer">
    <vt:lpwstr>2052-12.1.0.15712</vt:lpwstr>
  </property>
</Properties>
</file>
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Sheet2!$A$3:$H$43</definedName>
    <definedName name="编号">Sheet1!$A$2</definedName>
  </definedNames>
  <calcPr calcId="144525"/>
</workbook>
</file>

<file path=xl/calcChain.xml><?xml version="1.0" encoding="utf-8"?>
<calcChain xmlns="http://schemas.openxmlformats.org/spreadsheetml/2006/main">
  <c r="B15" i="1" l="1"/>
  <c r="E48" i="3" l="1"/>
  <c r="E47" i="3"/>
  <c r="E35" i="3"/>
  <c r="E26" i="3"/>
  <c r="E11" i="3"/>
  <c r="B16" i="1" l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D13" i="1"/>
  <c r="C13" i="1"/>
</calcChain>
</file>

<file path=xl/comments1.xml><?xml version="1.0" encoding="utf-8"?>
<comments xmlns="http://schemas.openxmlformats.org/spreadsheetml/2006/main">
  <authors>
    <author>作者</author>
  </authors>
  <commentList>
    <comment ref="A15" authorId="0">
      <text>
        <r>
          <rPr>
            <sz val="9"/>
            <color indexed="81"/>
            <rFont val="宋体"/>
            <family val="3"/>
            <charset val="134"/>
          </rPr>
          <t xml:space="preserve">统计经营总额超过平均值的家数
</t>
        </r>
      </text>
    </comment>
  </commentList>
</comments>
</file>

<file path=xl/sharedStrings.xml><?xml version="1.0" encoding="utf-8"?>
<sst xmlns="http://schemas.openxmlformats.org/spreadsheetml/2006/main" count="283" uniqueCount="81">
  <si>
    <t>编    号</t>
  </si>
  <si>
    <t>企  业  名  称</t>
  </si>
  <si>
    <t>经营总额（万元）</t>
  </si>
  <si>
    <t>门店数（个）</t>
  </si>
  <si>
    <t>上海锦江麦德龙有限公司</t>
  </si>
  <si>
    <t>北京华联综合超市有限公司</t>
  </si>
  <si>
    <t>北京国美电器有限公司</t>
  </si>
  <si>
    <t>三联商社</t>
  </si>
  <si>
    <t>上海农工商超市有限公司</t>
  </si>
  <si>
    <t>华润万佳有限公司</t>
  </si>
  <si>
    <t>百盛投资有限公司</t>
  </si>
  <si>
    <t>苏果超市股份有限公司</t>
  </si>
  <si>
    <t>华联超市股份有限公司</t>
  </si>
  <si>
    <t>联华超市有限公司</t>
  </si>
  <si>
    <t>合    计</t>
  </si>
  <si>
    <t>所占比例</t>
    <phoneticPr fontId="1" type="noConversion"/>
  </si>
  <si>
    <t>排名</t>
    <phoneticPr fontId="1" type="noConversion"/>
  </si>
  <si>
    <t>统计一</t>
    <phoneticPr fontId="1" type="noConversion"/>
  </si>
  <si>
    <t>统计二</t>
    <phoneticPr fontId="1" type="noConversion"/>
  </si>
  <si>
    <t>IBM中国有限公司</t>
  </si>
  <si>
    <t>职员情况表</t>
  </si>
  <si>
    <t>工号</t>
  </si>
  <si>
    <t>姓名</t>
  </si>
  <si>
    <t>性别</t>
  </si>
  <si>
    <t>出生日期</t>
  </si>
  <si>
    <t>职称</t>
  </si>
  <si>
    <t>婚否</t>
  </si>
  <si>
    <t>工资</t>
  </si>
  <si>
    <t>奖金</t>
  </si>
  <si>
    <t>诸葛林生</t>
  </si>
  <si>
    <t>男</t>
  </si>
  <si>
    <t>工程师</t>
  </si>
  <si>
    <t>吴英</t>
  </si>
  <si>
    <t>女</t>
  </si>
  <si>
    <t>助工</t>
  </si>
  <si>
    <t>张山</t>
  </si>
  <si>
    <t>李芝</t>
  </si>
  <si>
    <t>工人</t>
  </si>
  <si>
    <t>王莉</t>
  </si>
  <si>
    <t>技工</t>
  </si>
  <si>
    <t>孙玉凤</t>
  </si>
  <si>
    <t>马涛</t>
  </si>
  <si>
    <t>马小斌</t>
  </si>
  <si>
    <t>赵建国</t>
  </si>
  <si>
    <t>武云峰</t>
  </si>
  <si>
    <t>黄玉珍</t>
  </si>
  <si>
    <t>周珊</t>
  </si>
  <si>
    <t>汪文革</t>
  </si>
  <si>
    <t>钱淑涓</t>
  </si>
  <si>
    <t>郭怀</t>
  </si>
  <si>
    <t>曲青药</t>
  </si>
  <si>
    <t>王珍如</t>
  </si>
  <si>
    <t>仿表</t>
  </si>
  <si>
    <t>徐中东</t>
  </si>
  <si>
    <t>刘式</t>
  </si>
  <si>
    <t>孙乙</t>
  </si>
  <si>
    <t>袁和</t>
  </si>
  <si>
    <t>王克亮</t>
  </si>
  <si>
    <t>周红蓝</t>
  </si>
  <si>
    <t>黄卫</t>
  </si>
  <si>
    <t>黄月月</t>
  </si>
  <si>
    <t>彭亮</t>
  </si>
  <si>
    <t>彭援</t>
  </si>
  <si>
    <t>曲明风</t>
  </si>
  <si>
    <t>张亮</t>
  </si>
  <si>
    <t>丁蒙蒙</t>
  </si>
  <si>
    <t>邓珊珊</t>
  </si>
  <si>
    <t>张云楼</t>
  </si>
  <si>
    <t>费详</t>
  </si>
  <si>
    <t>叶放令</t>
  </si>
  <si>
    <t>叶红</t>
  </si>
  <si>
    <t>张村</t>
  </si>
  <si>
    <t>卢美丽</t>
  </si>
  <si>
    <t>张家方</t>
  </si>
  <si>
    <t>李明</t>
  </si>
  <si>
    <t>工程师 计数</t>
  </si>
  <si>
    <t>工人 计数</t>
  </si>
  <si>
    <t>技工 计数</t>
  </si>
  <si>
    <t>助工 计数</t>
  </si>
  <si>
    <t>总计数</t>
  </si>
  <si>
    <t>2021年全国连锁企业10强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</si>
</sst>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¥&quot;#,##0;&quot;¥&quot;\-#,##0"/>
    <numFmt numFmtId="176" formatCode="0.0%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20"/>
      <color theme="1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5" fontId="0" fillId="0" borderId="0" xfId="0" applyNumberFormat="1"/>
    <xf numFmtId="0" fontId="2" fillId="0" borderId="0" xfId="0" applyFont="1"/>
    <xf numFmtId="31" fontId="0" fillId="0" borderId="0" xfId="0" applyNumberFormat="1"/>
    <xf numFmtId="0" fontId="5" fillId="0" borderId="0" xfId="0" applyNumberFormat="1" applyFont="1"/>
    <xf numFmtId="31" fontId="5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3">
    <dxf>
      <numFmt numFmtId="176" formatCode="0.0%"/>
    </dxf>
    <dxf>
      <numFmt numFmtId="9" formatCode="&quot;¥&quot;#,##0;&quot;¥&quot;\-#,##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企业经营总额所占比例  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编    号</c:v>
                </c:pt>
              </c:strCache>
            </c:strRef>
          </c:tx>
          <c:explosion val="25"/>
          <c:val>
            <c:numRef>
              <c:f>Sheet1!$A$3:$A$12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10</c:v>
                </c:pt>
                <c:pt idx="3">
                  <c:v>1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所占比例</c:v>
                </c:pt>
              </c:strCache>
            </c:strRef>
          </c:tx>
          <c:explosion val="25"/>
          <c:val>
            <c:numRef>
              <c:f>Sheet1!$E$3:$E$12</c:f>
              <c:numCache>
                <c:formatCode>0.0%</c:formatCode>
                <c:ptCount val="10"/>
                <c:pt idx="0">
                  <c:v>6.9411425967639079E-2</c:v>
                </c:pt>
                <c:pt idx="1">
                  <c:v>0.11219776201929044</c:v>
                </c:pt>
                <c:pt idx="2">
                  <c:v>8.6258621170848163E-2</c:v>
                </c:pt>
                <c:pt idx="3">
                  <c:v>9.8537684493441829E-2</c:v>
                </c:pt>
                <c:pt idx="4">
                  <c:v>0.10482987523468616</c:v>
                </c:pt>
                <c:pt idx="5">
                  <c:v>6.5182131328321929E-2</c:v>
                </c:pt>
                <c:pt idx="6">
                  <c:v>7.3000211633028611E-2</c:v>
                </c:pt>
                <c:pt idx="7">
                  <c:v>7.407857237323652E-2</c:v>
                </c:pt>
                <c:pt idx="8">
                  <c:v>0.1192683247345436</c:v>
                </c:pt>
                <c:pt idx="9">
                  <c:v>0.19723539104496368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/>
          </a:pPr>
          <a:endParaRPr lang="zh-CN"/>
        </a:p>
      </c:txPr>
    </c:legend>
    <c:plotVisOnly val="1"/>
    <c:dispBlanksAs val="gap"/>
    <c:showDLblsOverMax val="0"/>
  </c:chart>
  <c:spPr>
    <a:gradFill>
      <a:gsLst>
        <a:gs pos="0">
          <a:srgbClr val="FFEFD1"/>
        </a:gs>
        <a:gs pos="64999">
          <a:srgbClr val="F0EBD5"/>
        </a:gs>
        <a:gs pos="100000">
          <a:srgbClr val="D1C39F"/>
        </a:gs>
      </a:gsLst>
      <a:lin ang="5400000" scaled="0"/>
    </a:gra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100011</xdr:colOff>
      <xdr:row>17</xdr:row>
      <xdr:rowOff>157162</xdr:rowOff>
    </xdr:from>
    <xdr:to>
      <xdr:col>4</xdr:col>
      <xdr:colOff>533399</xdr:colOff>
      <xdr:row>34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F13" totalsRowShown="0">
  <autoFilter ref="A2:F13"/>
  <tableColumns count="6">
    <tableColumn id="1" name="编    号"/>
    <tableColumn id="2" name="企  业  名  称"/>
    <tableColumn id="3" name="经营总额（万元）" dataDxfId="1"/>
    <tableColumn id="4" name="门店数（个）"/>
    <tableColumn id="5" name="所占比例" dataDxfId="0"/>
    <tableColumn id="6" name="排名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15" sqref="B15"/>
    </sheetView>
  </sheetViews>
  <sheetFormatPr defaultRowHeight="13.5" x14ac:dyDescent="0.15"/>
  <cols>
    <col min="1" max="1" width="10.5" customWidth="1"/>
    <col min="2" max="2" width="24.25" customWidth="1"/>
    <col min="3" max="3" width="17.75" customWidth="1"/>
    <col min="4" max="4" width="14" customWidth="1"/>
    <col min="5" max="5" width="10.25" customWidth="1"/>
  </cols>
  <sheetData>
    <row r="1" spans="1:9" ht="25.5" x14ac:dyDescent="0.3">
      <c r="A1" s="7" t="s">
        <v>80</v>
      </c>
      <c r="B1" s="7"/>
      <c r="C1" s="7"/>
      <c r="D1" s="7"/>
      <c r="E1" s="7"/>
      <c r="F1" s="7"/>
    </row>
    <row r="2" spans="1:9" x14ac:dyDescent="0.15">
      <c r="A2" t="s">
        <v>0</v>
      </c>
      <c r="B2" t="s">
        <v>1</v>
      </c>
      <c r="C2" t="s">
        <v>2</v>
      </c>
      <c r="D2" t="s">
        <v>3</v>
      </c>
      <c r="E2" t="s">
        <v>15</v>
      </c>
      <c r="F2" t="s">
        <v>16</v>
      </c>
    </row>
    <row r="3" spans="1:9" x14ac:dyDescent="0.15">
      <c r="A3">
        <v>2</v>
      </c>
      <c r="B3" t="s">
        <v>4</v>
      </c>
      <c r="C3" s="2">
        <v>494922</v>
      </c>
      <c r="D3">
        <v>15</v>
      </c>
      <c r="E3" s="1">
        <f>C3/$C$13</f>
        <v>6.9411425967639079E-2</v>
      </c>
      <c r="F3">
        <f>RANK(C3,$C$3:$C$12)</f>
        <v>9</v>
      </c>
    </row>
    <row r="4" spans="1:9" x14ac:dyDescent="0.15">
      <c r="A4">
        <v>8</v>
      </c>
      <c r="B4" t="s">
        <v>5</v>
      </c>
      <c r="C4" s="2">
        <v>800000</v>
      </c>
      <c r="D4">
        <v>42</v>
      </c>
      <c r="E4" s="1">
        <f t="shared" ref="E4:E12" si="0">C4/$C$13</f>
        <v>0.11219776201929044</v>
      </c>
      <c r="F4">
        <f t="shared" ref="F4:F12" si="1">RANK(C4,$C$3:$C$12)</f>
        <v>3</v>
      </c>
    </row>
    <row r="5" spans="1:9" x14ac:dyDescent="0.15">
      <c r="A5">
        <v>10</v>
      </c>
      <c r="B5" t="s">
        <v>6</v>
      </c>
      <c r="C5" s="2">
        <v>615047</v>
      </c>
      <c r="D5">
        <v>74</v>
      </c>
      <c r="E5" s="1">
        <f t="shared" si="0"/>
        <v>8.6258621170848163E-2</v>
      </c>
      <c r="F5">
        <f t="shared" si="1"/>
        <v>6</v>
      </c>
    </row>
    <row r="6" spans="1:9" x14ac:dyDescent="0.15">
      <c r="A6">
        <v>1</v>
      </c>
      <c r="B6" t="s">
        <v>7</v>
      </c>
      <c r="C6" s="2">
        <v>702600</v>
      </c>
      <c r="D6">
        <v>177</v>
      </c>
      <c r="E6" s="1">
        <f t="shared" si="0"/>
        <v>9.8537684493441829E-2</v>
      </c>
      <c r="F6">
        <f t="shared" si="1"/>
        <v>5</v>
      </c>
    </row>
    <row r="7" spans="1:9" x14ac:dyDescent="0.15">
      <c r="A7">
        <v>7</v>
      </c>
      <c r="B7" t="s">
        <v>8</v>
      </c>
      <c r="C7" s="2">
        <v>747465</v>
      </c>
      <c r="D7">
        <v>315</v>
      </c>
      <c r="E7" s="1">
        <f t="shared" si="0"/>
        <v>0.10482987523468616</v>
      </c>
      <c r="F7">
        <f t="shared" si="1"/>
        <v>4</v>
      </c>
    </row>
    <row r="8" spans="1:9" x14ac:dyDescent="0.15">
      <c r="A8">
        <v>6</v>
      </c>
      <c r="B8" t="s">
        <v>9</v>
      </c>
      <c r="C8" s="2">
        <v>464766</v>
      </c>
      <c r="D8">
        <v>344</v>
      </c>
      <c r="E8" s="1">
        <f t="shared" si="0"/>
        <v>6.5182131328321929E-2</v>
      </c>
      <c r="F8">
        <f t="shared" si="1"/>
        <v>10</v>
      </c>
    </row>
    <row r="9" spans="1:9" x14ac:dyDescent="0.15">
      <c r="A9">
        <v>4</v>
      </c>
      <c r="B9" t="s">
        <v>10</v>
      </c>
      <c r="C9" s="2">
        <v>520511</v>
      </c>
      <c r="D9">
        <v>635</v>
      </c>
      <c r="E9" s="1">
        <f t="shared" si="0"/>
        <v>7.3000211633028611E-2</v>
      </c>
      <c r="F9">
        <f t="shared" si="1"/>
        <v>8</v>
      </c>
    </row>
    <row r="10" spans="1:9" x14ac:dyDescent="0.15">
      <c r="A10">
        <v>9</v>
      </c>
      <c r="B10" t="s">
        <v>11</v>
      </c>
      <c r="C10" s="2">
        <v>528200</v>
      </c>
      <c r="D10">
        <v>663</v>
      </c>
      <c r="E10" s="1">
        <f t="shared" si="0"/>
        <v>7.407857237323652E-2</v>
      </c>
      <c r="F10">
        <f t="shared" si="1"/>
        <v>7</v>
      </c>
    </row>
    <row r="11" spans="1:9" x14ac:dyDescent="0.15">
      <c r="A11">
        <v>3</v>
      </c>
      <c r="B11" t="s">
        <v>12</v>
      </c>
      <c r="C11" s="2">
        <v>850415</v>
      </c>
      <c r="D11">
        <v>818</v>
      </c>
      <c r="E11" s="1">
        <f t="shared" si="0"/>
        <v>0.1192683247345436</v>
      </c>
      <c r="F11">
        <f t="shared" si="1"/>
        <v>2</v>
      </c>
    </row>
    <row r="12" spans="1:9" x14ac:dyDescent="0.15">
      <c r="A12">
        <v>5</v>
      </c>
      <c r="B12" t="s">
        <v>13</v>
      </c>
      <c r="C12" s="2">
        <v>1406341</v>
      </c>
      <c r="D12">
        <v>1225</v>
      </c>
      <c r="E12" s="1">
        <f t="shared" si="0"/>
        <v>0.19723539104496368</v>
      </c>
      <c r="F12">
        <f t="shared" si="1"/>
        <v>1</v>
      </c>
    </row>
    <row r="13" spans="1:9" x14ac:dyDescent="0.15">
      <c r="A13" t="s">
        <v>14</v>
      </c>
      <c r="C13" s="2">
        <f>SUM(C3:C12)</f>
        <v>7130267</v>
      </c>
      <c r="D13">
        <f>SUM(D3:D12)</f>
        <v>4308</v>
      </c>
    </row>
    <row r="15" spans="1:9" x14ac:dyDescent="0.15">
      <c r="A15" t="s">
        <v>17</v>
      </c>
      <c r="B15">
        <f>COUNTIF(C3:C12,"&gt;"&amp;AVERAGE(C3:C12))</f>
        <v>4</v>
      </c>
      <c r="I15" s="3"/>
    </row>
    <row r="16" spans="1:9" x14ac:dyDescent="0.15">
      <c r="A16" t="s">
        <v>18</v>
      </c>
      <c r="B16">
        <f>SUMIF(C3:C12,"&gt;="&amp;LARGE(C3:C12,3),C3:C12)</f>
        <v>3056756</v>
      </c>
    </row>
  </sheetData>
  <mergeCells count="1">
    <mergeCell ref="A1:F1"/>
  </mergeCells>
  <phoneticPr fontId="1" type="noConversion"/>
  <conditionalFormatting sqref="C3:C12">
    <cfRule type="aboveAverage" dxfId="2" priority="1"/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H43"/>
  <sheetViews>
    <sheetView workbookViewId="0">
      <selection activeCell="B3" sqref="B3"/>
    </sheetView>
  </sheetViews>
  <sheetFormatPr defaultRowHeight="13.5" x14ac:dyDescent="0.15"/>
  <cols>
    <col min="4" max="4" width="17.875" customWidth="1"/>
  </cols>
  <sheetData>
    <row r="3" spans="1:8" x14ac:dyDescent="0.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8" hidden="1" x14ac:dyDescent="0.15">
      <c r="A4">
        <v>38</v>
      </c>
      <c r="B4" t="s">
        <v>29</v>
      </c>
      <c r="C4" t="s">
        <v>30</v>
      </c>
      <c r="D4" s="4">
        <v>15946</v>
      </c>
      <c r="E4" t="s">
        <v>31</v>
      </c>
      <c r="F4" t="b">
        <v>1</v>
      </c>
      <c r="G4">
        <v>984</v>
      </c>
      <c r="H4">
        <v>40</v>
      </c>
    </row>
    <row r="5" spans="1:8" hidden="1" x14ac:dyDescent="0.15">
      <c r="A5">
        <v>32006</v>
      </c>
      <c r="B5" t="s">
        <v>32</v>
      </c>
      <c r="C5" t="s">
        <v>33</v>
      </c>
      <c r="D5" s="4">
        <v>20644</v>
      </c>
      <c r="E5" t="s">
        <v>34</v>
      </c>
      <c r="F5" t="b">
        <v>1</v>
      </c>
      <c r="G5">
        <v>680</v>
      </c>
      <c r="H5">
        <v>95</v>
      </c>
    </row>
    <row r="6" spans="1:8" hidden="1" x14ac:dyDescent="0.15">
      <c r="A6">
        <v>1005</v>
      </c>
      <c r="B6" t="s">
        <v>35</v>
      </c>
      <c r="C6" t="s">
        <v>30</v>
      </c>
      <c r="D6" s="4">
        <v>14733</v>
      </c>
      <c r="E6" t="s">
        <v>31</v>
      </c>
      <c r="F6" t="b">
        <v>1</v>
      </c>
      <c r="G6">
        <v>640</v>
      </c>
      <c r="H6">
        <v>150</v>
      </c>
    </row>
    <row r="7" spans="1:8" hidden="1" x14ac:dyDescent="0.15">
      <c r="A7">
        <v>4020</v>
      </c>
      <c r="B7" t="s">
        <v>36</v>
      </c>
      <c r="C7" t="s">
        <v>33</v>
      </c>
      <c r="D7" s="4">
        <v>25547</v>
      </c>
      <c r="E7" t="s">
        <v>37</v>
      </c>
      <c r="F7" t="b">
        <v>0</v>
      </c>
      <c r="G7">
        <v>587</v>
      </c>
      <c r="H7">
        <v>156</v>
      </c>
    </row>
    <row r="8" spans="1:8" x14ac:dyDescent="0.15">
      <c r="A8">
        <v>2001</v>
      </c>
      <c r="B8" t="s">
        <v>38</v>
      </c>
      <c r="C8" t="s">
        <v>33</v>
      </c>
      <c r="D8" s="4">
        <v>18597</v>
      </c>
      <c r="E8" t="s">
        <v>39</v>
      </c>
      <c r="F8" t="b">
        <v>1</v>
      </c>
      <c r="G8">
        <v>622</v>
      </c>
      <c r="H8">
        <v>30</v>
      </c>
    </row>
    <row r="9" spans="1:8" hidden="1" x14ac:dyDescent="0.15">
      <c r="A9">
        <v>3045</v>
      </c>
      <c r="B9" t="s">
        <v>40</v>
      </c>
      <c r="C9" t="s">
        <v>33</v>
      </c>
      <c r="D9" s="4">
        <v>14947</v>
      </c>
      <c r="E9" t="s">
        <v>34</v>
      </c>
      <c r="F9" t="b">
        <v>0</v>
      </c>
      <c r="G9">
        <v>864</v>
      </c>
      <c r="H9">
        <v>120</v>
      </c>
    </row>
    <row r="10" spans="1:8" hidden="1" x14ac:dyDescent="0.15">
      <c r="A10">
        <v>51028</v>
      </c>
      <c r="B10" t="s">
        <v>41</v>
      </c>
      <c r="C10" t="s">
        <v>30</v>
      </c>
      <c r="D10" s="4">
        <v>23655</v>
      </c>
      <c r="E10" t="s">
        <v>31</v>
      </c>
      <c r="F10" t="b">
        <v>1</v>
      </c>
      <c r="G10">
        <v>650</v>
      </c>
      <c r="H10">
        <v>50</v>
      </c>
    </row>
    <row r="11" spans="1:8" hidden="1" x14ac:dyDescent="0.15">
      <c r="A11">
        <v>10010</v>
      </c>
      <c r="B11" t="s">
        <v>42</v>
      </c>
      <c r="C11" t="s">
        <v>30</v>
      </c>
      <c r="D11" s="4">
        <v>21290</v>
      </c>
      <c r="E11" t="s">
        <v>37</v>
      </c>
      <c r="F11" t="b">
        <v>1</v>
      </c>
      <c r="G11">
        <v>631</v>
      </c>
      <c r="H11">
        <v>157</v>
      </c>
    </row>
    <row r="12" spans="1:8" hidden="1" x14ac:dyDescent="0.15">
      <c r="A12">
        <v>7080</v>
      </c>
      <c r="B12" t="s">
        <v>43</v>
      </c>
      <c r="C12" t="s">
        <v>30</v>
      </c>
      <c r="D12" s="4">
        <v>26945</v>
      </c>
      <c r="E12" t="s">
        <v>37</v>
      </c>
      <c r="F12" t="b">
        <v>0</v>
      </c>
      <c r="G12">
        <v>472</v>
      </c>
      <c r="H12">
        <v>20</v>
      </c>
    </row>
    <row r="13" spans="1:8" hidden="1" x14ac:dyDescent="0.15">
      <c r="A13">
        <v>10051</v>
      </c>
      <c r="B13" t="s">
        <v>44</v>
      </c>
      <c r="C13" t="s">
        <v>30</v>
      </c>
      <c r="D13" s="4">
        <v>16439</v>
      </c>
      <c r="E13" t="s">
        <v>37</v>
      </c>
      <c r="F13" t="b">
        <v>1</v>
      </c>
      <c r="G13">
        <v>700</v>
      </c>
      <c r="H13">
        <v>15</v>
      </c>
    </row>
    <row r="14" spans="1:8" hidden="1" x14ac:dyDescent="0.15">
      <c r="A14">
        <v>40223</v>
      </c>
      <c r="B14" t="s">
        <v>45</v>
      </c>
      <c r="C14" t="s">
        <v>33</v>
      </c>
      <c r="D14" s="4">
        <v>23284</v>
      </c>
      <c r="E14" t="s">
        <v>34</v>
      </c>
      <c r="F14" t="b">
        <v>1</v>
      </c>
      <c r="G14">
        <v>550</v>
      </c>
      <c r="H14">
        <v>60</v>
      </c>
    </row>
    <row r="15" spans="1:8" hidden="1" x14ac:dyDescent="0.15">
      <c r="A15">
        <v>15888</v>
      </c>
      <c r="B15" t="s">
        <v>46</v>
      </c>
      <c r="C15" t="s">
        <v>33</v>
      </c>
      <c r="D15" s="4">
        <v>28846</v>
      </c>
      <c r="E15" t="s">
        <v>39</v>
      </c>
      <c r="F15" t="b">
        <v>0</v>
      </c>
      <c r="G15">
        <v>448</v>
      </c>
      <c r="H15">
        <v>45</v>
      </c>
    </row>
    <row r="16" spans="1:8" hidden="1" x14ac:dyDescent="0.15">
      <c r="A16">
        <v>3042</v>
      </c>
      <c r="B16" t="s">
        <v>47</v>
      </c>
      <c r="C16" t="s">
        <v>30</v>
      </c>
      <c r="D16" s="4">
        <v>23855</v>
      </c>
      <c r="E16" t="s">
        <v>37</v>
      </c>
      <c r="F16" t="b">
        <v>1</v>
      </c>
      <c r="G16">
        <v>730</v>
      </c>
      <c r="H16">
        <v>35</v>
      </c>
    </row>
    <row r="17" spans="1:8" hidden="1" x14ac:dyDescent="0.15">
      <c r="A17">
        <v>2204</v>
      </c>
      <c r="B17" t="s">
        <v>48</v>
      </c>
      <c r="C17" t="s">
        <v>33</v>
      </c>
      <c r="D17" s="4">
        <v>27386</v>
      </c>
      <c r="E17" t="s">
        <v>31</v>
      </c>
      <c r="F17" t="b">
        <v>0</v>
      </c>
      <c r="G17">
        <v>560</v>
      </c>
      <c r="H17">
        <v>155</v>
      </c>
    </row>
    <row r="18" spans="1:8" hidden="1" x14ac:dyDescent="0.15">
      <c r="A18">
        <v>10034</v>
      </c>
      <c r="B18" t="s">
        <v>49</v>
      </c>
      <c r="C18" t="s">
        <v>30</v>
      </c>
      <c r="D18" s="4">
        <v>24653</v>
      </c>
      <c r="E18" t="s">
        <v>37</v>
      </c>
      <c r="F18" t="b">
        <v>1</v>
      </c>
      <c r="G18">
        <v>740</v>
      </c>
      <c r="H18">
        <v>90</v>
      </c>
    </row>
    <row r="19" spans="1:8" hidden="1" x14ac:dyDescent="0.15">
      <c r="A19">
        <v>20340</v>
      </c>
      <c r="B19" t="s">
        <v>50</v>
      </c>
      <c r="C19" t="s">
        <v>30</v>
      </c>
      <c r="D19" s="4">
        <v>16612</v>
      </c>
      <c r="E19" t="s">
        <v>39</v>
      </c>
      <c r="F19" t="b">
        <v>1</v>
      </c>
      <c r="G19">
        <v>700</v>
      </c>
      <c r="H19">
        <v>250</v>
      </c>
    </row>
    <row r="20" spans="1:8" x14ac:dyDescent="0.15">
      <c r="A20">
        <v>30882</v>
      </c>
      <c r="B20" t="s">
        <v>51</v>
      </c>
      <c r="C20" t="s">
        <v>33</v>
      </c>
      <c r="D20" s="4">
        <v>16611</v>
      </c>
      <c r="E20" t="s">
        <v>34</v>
      </c>
      <c r="F20" t="b">
        <v>1</v>
      </c>
      <c r="G20">
        <v>790</v>
      </c>
      <c r="H20">
        <v>250</v>
      </c>
    </row>
    <row r="21" spans="1:8" hidden="1" x14ac:dyDescent="0.15">
      <c r="A21">
        <v>23953</v>
      </c>
      <c r="B21" t="s">
        <v>52</v>
      </c>
      <c r="C21" t="s">
        <v>30</v>
      </c>
      <c r="D21" s="4">
        <v>21328</v>
      </c>
      <c r="E21" t="s">
        <v>34</v>
      </c>
      <c r="F21" t="b">
        <v>1</v>
      </c>
      <c r="G21">
        <v>780</v>
      </c>
      <c r="H21">
        <v>155</v>
      </c>
    </row>
    <row r="22" spans="1:8" hidden="1" x14ac:dyDescent="0.15">
      <c r="A22">
        <v>32114</v>
      </c>
      <c r="B22" t="s">
        <v>53</v>
      </c>
      <c r="C22" t="s">
        <v>30</v>
      </c>
      <c r="D22" s="4">
        <v>18012</v>
      </c>
      <c r="E22" t="s">
        <v>31</v>
      </c>
      <c r="F22" t="b">
        <v>1</v>
      </c>
      <c r="G22">
        <v>800</v>
      </c>
      <c r="H22">
        <v>200</v>
      </c>
    </row>
    <row r="23" spans="1:8" hidden="1" x14ac:dyDescent="0.15">
      <c r="A23">
        <v>42123</v>
      </c>
      <c r="B23" t="s">
        <v>54</v>
      </c>
      <c r="C23" t="s">
        <v>33</v>
      </c>
      <c r="D23" s="4">
        <v>18834</v>
      </c>
      <c r="E23" t="s">
        <v>37</v>
      </c>
      <c r="F23" t="b">
        <v>1</v>
      </c>
      <c r="G23">
        <v>501</v>
      </c>
      <c r="H23">
        <v>100</v>
      </c>
    </row>
    <row r="24" spans="1:8" hidden="1" x14ac:dyDescent="0.15">
      <c r="A24">
        <v>23244</v>
      </c>
      <c r="B24" t="s">
        <v>55</v>
      </c>
      <c r="C24" t="s">
        <v>30</v>
      </c>
      <c r="D24" s="4">
        <v>19930</v>
      </c>
      <c r="E24" t="s">
        <v>34</v>
      </c>
      <c r="F24" t="b">
        <v>1</v>
      </c>
      <c r="G24">
        <v>480</v>
      </c>
      <c r="H24">
        <v>240</v>
      </c>
    </row>
    <row r="25" spans="1:8" hidden="1" x14ac:dyDescent="0.15">
      <c r="A25">
        <v>53221</v>
      </c>
      <c r="B25" t="s">
        <v>56</v>
      </c>
      <c r="C25" t="s">
        <v>33</v>
      </c>
      <c r="D25" s="4">
        <v>14834</v>
      </c>
      <c r="E25" t="s">
        <v>39</v>
      </c>
      <c r="F25" t="b">
        <v>1</v>
      </c>
      <c r="G25">
        <v>670</v>
      </c>
      <c r="H25">
        <v>200</v>
      </c>
    </row>
    <row r="26" spans="1:8" x14ac:dyDescent="0.15">
      <c r="A26">
        <v>22344</v>
      </c>
      <c r="B26" t="s">
        <v>57</v>
      </c>
      <c r="C26" t="s">
        <v>33</v>
      </c>
      <c r="D26" s="4">
        <v>18558</v>
      </c>
      <c r="E26" t="s">
        <v>37</v>
      </c>
      <c r="F26" t="b">
        <v>1</v>
      </c>
      <c r="G26">
        <v>480</v>
      </c>
      <c r="H26">
        <v>256</v>
      </c>
    </row>
    <row r="27" spans="1:8" hidden="1" x14ac:dyDescent="0.15">
      <c r="A27">
        <v>53422</v>
      </c>
      <c r="B27" t="s">
        <v>58</v>
      </c>
      <c r="C27" t="s">
        <v>33</v>
      </c>
      <c r="D27" s="4">
        <v>24768</v>
      </c>
      <c r="E27" t="s">
        <v>37</v>
      </c>
      <c r="F27" t="b">
        <v>0</v>
      </c>
      <c r="G27">
        <v>300</v>
      </c>
      <c r="H27">
        <v>150</v>
      </c>
    </row>
    <row r="28" spans="1:8" hidden="1" x14ac:dyDescent="0.15">
      <c r="A28">
        <v>43523</v>
      </c>
      <c r="B28" t="s">
        <v>59</v>
      </c>
      <c r="C28" t="s">
        <v>30</v>
      </c>
      <c r="D28" s="4">
        <v>25470</v>
      </c>
      <c r="E28" t="s">
        <v>39</v>
      </c>
      <c r="F28" t="b">
        <v>0</v>
      </c>
      <c r="G28">
        <v>350</v>
      </c>
      <c r="H28">
        <v>240</v>
      </c>
    </row>
    <row r="29" spans="1:8" hidden="1" x14ac:dyDescent="0.15">
      <c r="A29">
        <v>35435</v>
      </c>
      <c r="B29" t="s">
        <v>60</v>
      </c>
      <c r="C29" t="s">
        <v>33</v>
      </c>
      <c r="D29" s="4">
        <v>28612</v>
      </c>
      <c r="E29" t="s">
        <v>34</v>
      </c>
      <c r="F29" t="b">
        <v>0</v>
      </c>
      <c r="G29">
        <v>300</v>
      </c>
      <c r="H29">
        <v>40</v>
      </c>
    </row>
    <row r="30" spans="1:8" hidden="1" x14ac:dyDescent="0.15">
      <c r="A30">
        <v>25577</v>
      </c>
      <c r="B30" t="s">
        <v>61</v>
      </c>
      <c r="C30" t="s">
        <v>30</v>
      </c>
      <c r="D30" s="4">
        <v>26411</v>
      </c>
      <c r="E30" t="s">
        <v>37</v>
      </c>
      <c r="F30" t="b">
        <v>0</v>
      </c>
      <c r="G30">
        <v>450</v>
      </c>
      <c r="H30">
        <v>100</v>
      </c>
    </row>
    <row r="31" spans="1:8" hidden="1" x14ac:dyDescent="0.15">
      <c r="A31">
        <v>23434</v>
      </c>
      <c r="B31" t="s">
        <v>62</v>
      </c>
      <c r="C31" t="s">
        <v>30</v>
      </c>
      <c r="D31" s="4">
        <v>27093</v>
      </c>
      <c r="E31" t="s">
        <v>34</v>
      </c>
      <c r="F31" t="b">
        <v>0</v>
      </c>
      <c r="G31">
        <v>380</v>
      </c>
      <c r="H31">
        <v>200</v>
      </c>
    </row>
    <row r="32" spans="1:8" hidden="1" x14ac:dyDescent="0.15">
      <c r="A32">
        <v>53421</v>
      </c>
      <c r="B32" t="s">
        <v>63</v>
      </c>
      <c r="C32" t="s">
        <v>30</v>
      </c>
      <c r="D32" s="4">
        <v>22733</v>
      </c>
      <c r="E32" t="s">
        <v>37</v>
      </c>
      <c r="F32" t="b">
        <v>1</v>
      </c>
      <c r="G32">
        <v>400</v>
      </c>
      <c r="H32">
        <v>150</v>
      </c>
    </row>
    <row r="33" spans="1:8" hidden="1" x14ac:dyDescent="0.15">
      <c r="A33">
        <v>52344</v>
      </c>
      <c r="B33" t="s">
        <v>64</v>
      </c>
      <c r="C33" t="s">
        <v>30</v>
      </c>
      <c r="D33" s="4">
        <v>24603</v>
      </c>
      <c r="E33" t="s">
        <v>37</v>
      </c>
      <c r="F33" t="b">
        <v>1</v>
      </c>
      <c r="G33">
        <v>430</v>
      </c>
      <c r="H33">
        <v>150</v>
      </c>
    </row>
    <row r="34" spans="1:8" hidden="1" x14ac:dyDescent="0.15">
      <c r="A34">
        <v>32544</v>
      </c>
      <c r="B34" t="s">
        <v>65</v>
      </c>
      <c r="C34" t="s">
        <v>33</v>
      </c>
      <c r="D34" s="4">
        <v>15035</v>
      </c>
      <c r="E34" t="s">
        <v>34</v>
      </c>
      <c r="F34" t="b">
        <v>1</v>
      </c>
      <c r="G34">
        <v>600</v>
      </c>
      <c r="H34">
        <v>350</v>
      </c>
    </row>
    <row r="35" spans="1:8" hidden="1" x14ac:dyDescent="0.15">
      <c r="A35">
        <v>23454</v>
      </c>
      <c r="B35" t="s">
        <v>66</v>
      </c>
      <c r="C35" t="s">
        <v>33</v>
      </c>
      <c r="D35" s="4">
        <v>13959</v>
      </c>
      <c r="E35" t="s">
        <v>37</v>
      </c>
      <c r="F35" t="b">
        <v>1</v>
      </c>
      <c r="G35">
        <v>800</v>
      </c>
      <c r="H35">
        <v>250</v>
      </c>
    </row>
    <row r="36" spans="1:8" hidden="1" x14ac:dyDescent="0.15">
      <c r="A36">
        <v>34512</v>
      </c>
      <c r="B36" t="s">
        <v>67</v>
      </c>
      <c r="C36" t="s">
        <v>30</v>
      </c>
      <c r="D36" s="4">
        <v>12794</v>
      </c>
      <c r="E36" t="s">
        <v>37</v>
      </c>
      <c r="F36" t="b">
        <v>1</v>
      </c>
      <c r="G36">
        <v>900</v>
      </c>
      <c r="H36">
        <v>200</v>
      </c>
    </row>
    <row r="37" spans="1:8" hidden="1" x14ac:dyDescent="0.15">
      <c r="A37">
        <v>42321</v>
      </c>
      <c r="B37" t="s">
        <v>68</v>
      </c>
      <c r="C37" t="s">
        <v>30</v>
      </c>
      <c r="D37" s="4">
        <v>23049</v>
      </c>
      <c r="E37" t="s">
        <v>39</v>
      </c>
      <c r="F37" t="b">
        <v>1</v>
      </c>
      <c r="G37">
        <v>690</v>
      </c>
      <c r="H37">
        <v>150</v>
      </c>
    </row>
    <row r="38" spans="1:8" hidden="1" x14ac:dyDescent="0.15">
      <c r="A38">
        <v>25455</v>
      </c>
      <c r="B38" t="s">
        <v>69</v>
      </c>
      <c r="C38" t="s">
        <v>30</v>
      </c>
      <c r="D38" s="4">
        <v>23534</v>
      </c>
      <c r="E38" t="s">
        <v>31</v>
      </c>
      <c r="F38" t="b">
        <v>0</v>
      </c>
      <c r="G38">
        <v>690</v>
      </c>
      <c r="H38">
        <v>100</v>
      </c>
    </row>
    <row r="39" spans="1:8" hidden="1" x14ac:dyDescent="0.15">
      <c r="A39">
        <v>54242</v>
      </c>
      <c r="B39" t="s">
        <v>70</v>
      </c>
      <c r="C39" t="s">
        <v>33</v>
      </c>
      <c r="D39" s="4">
        <v>19916</v>
      </c>
      <c r="E39" t="s">
        <v>34</v>
      </c>
      <c r="F39" t="b">
        <v>1</v>
      </c>
      <c r="G39">
        <v>630</v>
      </c>
      <c r="H39">
        <v>200</v>
      </c>
    </row>
    <row r="40" spans="1:8" hidden="1" x14ac:dyDescent="0.15">
      <c r="A40">
        <v>54352</v>
      </c>
      <c r="B40" t="s">
        <v>71</v>
      </c>
      <c r="C40" t="s">
        <v>30</v>
      </c>
      <c r="D40" s="4">
        <v>16072</v>
      </c>
      <c r="E40" t="s">
        <v>39</v>
      </c>
      <c r="F40" t="b">
        <v>1</v>
      </c>
      <c r="G40">
        <v>850</v>
      </c>
      <c r="H40">
        <v>50</v>
      </c>
    </row>
    <row r="41" spans="1:8" hidden="1" x14ac:dyDescent="0.15">
      <c r="A41">
        <v>43412</v>
      </c>
      <c r="B41" t="s">
        <v>72</v>
      </c>
      <c r="C41" t="s">
        <v>33</v>
      </c>
      <c r="D41" s="4">
        <v>27100</v>
      </c>
      <c r="E41" t="s">
        <v>39</v>
      </c>
      <c r="F41" t="b">
        <v>0</v>
      </c>
      <c r="G41">
        <v>450</v>
      </c>
      <c r="H41">
        <v>250</v>
      </c>
    </row>
    <row r="42" spans="1:8" hidden="1" x14ac:dyDescent="0.15">
      <c r="A42">
        <v>40303</v>
      </c>
      <c r="B42" t="s">
        <v>73</v>
      </c>
      <c r="C42" t="s">
        <v>30</v>
      </c>
      <c r="D42" s="4">
        <v>22019</v>
      </c>
      <c r="E42" t="s">
        <v>31</v>
      </c>
      <c r="F42" t="b">
        <v>1</v>
      </c>
      <c r="G42">
        <v>450</v>
      </c>
      <c r="H42">
        <v>240</v>
      </c>
    </row>
    <row r="43" spans="1:8" hidden="1" x14ac:dyDescent="0.15">
      <c r="A43">
        <v>50343</v>
      </c>
      <c r="B43" t="s">
        <v>74</v>
      </c>
      <c r="C43" t="s">
        <v>30</v>
      </c>
      <c r="D43" s="4">
        <v>25670</v>
      </c>
      <c r="E43" t="s">
        <v>34</v>
      </c>
      <c r="F43" t="b">
        <v>0</v>
      </c>
      <c r="G43">
        <v>450</v>
      </c>
      <c r="H43">
        <v>140</v>
      </c>
    </row>
  </sheetData>
  <autoFilter ref="A3:H43">
    <filterColumn colId="1">
      <customFilters>
        <customFilter val="*王*"/>
      </customFilters>
    </filterColumn>
    <filterColumn colId="3">
      <customFilters>
        <customFilter operator="lessThan" val="25569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activeCell="B45" sqref="B45"/>
    </sheetView>
  </sheetViews>
  <sheetFormatPr defaultRowHeight="13.5" outlineLevelRow="2" x14ac:dyDescent="0.15"/>
  <cols>
    <col min="4" max="4" width="15.625" customWidth="1"/>
  </cols>
  <sheetData>
    <row r="1" spans="1:8" x14ac:dyDescent="0.15">
      <c r="A1" t="s">
        <v>19</v>
      </c>
    </row>
    <row r="2" spans="1:8" x14ac:dyDescent="0.15">
      <c r="A2" t="s">
        <v>20</v>
      </c>
    </row>
    <row r="3" spans="1:8" x14ac:dyDescent="0.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8" outlineLevel="2" x14ac:dyDescent="0.15">
      <c r="A4">
        <v>38</v>
      </c>
      <c r="B4" t="s">
        <v>29</v>
      </c>
      <c r="C4" t="s">
        <v>30</v>
      </c>
      <c r="D4" s="4">
        <v>15946</v>
      </c>
      <c r="E4" t="s">
        <v>31</v>
      </c>
      <c r="F4" t="b">
        <v>1</v>
      </c>
      <c r="G4">
        <v>984</v>
      </c>
      <c r="H4">
        <v>40</v>
      </c>
    </row>
    <row r="5" spans="1:8" outlineLevel="2" x14ac:dyDescent="0.15">
      <c r="A5">
        <v>1005</v>
      </c>
      <c r="B5" t="s">
        <v>35</v>
      </c>
      <c r="C5" t="s">
        <v>30</v>
      </c>
      <c r="D5" s="4">
        <v>14733</v>
      </c>
      <c r="E5" t="s">
        <v>31</v>
      </c>
      <c r="F5" t="b">
        <v>1</v>
      </c>
      <c r="G5">
        <v>640</v>
      </c>
      <c r="H5">
        <v>150</v>
      </c>
    </row>
    <row r="6" spans="1:8" outlineLevel="2" x14ac:dyDescent="0.15">
      <c r="A6">
        <v>51028</v>
      </c>
      <c r="B6" t="s">
        <v>41</v>
      </c>
      <c r="C6" t="s">
        <v>30</v>
      </c>
      <c r="D6" s="4">
        <v>23655</v>
      </c>
      <c r="E6" t="s">
        <v>31</v>
      </c>
      <c r="F6" t="b">
        <v>1</v>
      </c>
      <c r="G6">
        <v>650</v>
      </c>
      <c r="H6">
        <v>50</v>
      </c>
    </row>
    <row r="7" spans="1:8" outlineLevel="2" x14ac:dyDescent="0.15">
      <c r="A7">
        <v>2204</v>
      </c>
      <c r="B7" t="s">
        <v>48</v>
      </c>
      <c r="C7" t="s">
        <v>33</v>
      </c>
      <c r="D7" s="4">
        <v>27386</v>
      </c>
      <c r="E7" t="s">
        <v>31</v>
      </c>
      <c r="F7" t="b">
        <v>0</v>
      </c>
      <c r="G7">
        <v>560</v>
      </c>
      <c r="H7">
        <v>155</v>
      </c>
    </row>
    <row r="8" spans="1:8" outlineLevel="2" x14ac:dyDescent="0.15">
      <c r="A8">
        <v>32114</v>
      </c>
      <c r="B8" t="s">
        <v>53</v>
      </c>
      <c r="C8" t="s">
        <v>30</v>
      </c>
      <c r="D8" s="4">
        <v>18012</v>
      </c>
      <c r="E8" t="s">
        <v>31</v>
      </c>
      <c r="F8" t="b">
        <v>1</v>
      </c>
      <c r="G8">
        <v>800</v>
      </c>
      <c r="H8">
        <v>200</v>
      </c>
    </row>
    <row r="9" spans="1:8" outlineLevel="2" x14ac:dyDescent="0.15">
      <c r="A9">
        <v>25455</v>
      </c>
      <c r="B9" t="s">
        <v>69</v>
      </c>
      <c r="C9" t="s">
        <v>30</v>
      </c>
      <c r="D9" s="4">
        <v>23534</v>
      </c>
      <c r="E9" t="s">
        <v>31</v>
      </c>
      <c r="F9" t="b">
        <v>0</v>
      </c>
      <c r="G9">
        <v>690</v>
      </c>
      <c r="H9">
        <v>100</v>
      </c>
    </row>
    <row r="10" spans="1:8" outlineLevel="2" x14ac:dyDescent="0.15">
      <c r="A10">
        <v>40303</v>
      </c>
      <c r="B10" t="s">
        <v>73</v>
      </c>
      <c r="C10" t="s">
        <v>30</v>
      </c>
      <c r="D10" s="4">
        <v>22019</v>
      </c>
      <c r="E10" t="s">
        <v>31</v>
      </c>
      <c r="F10" t="b">
        <v>1</v>
      </c>
      <c r="G10">
        <v>450</v>
      </c>
      <c r="H10">
        <v>240</v>
      </c>
    </row>
    <row r="11" spans="1:8" outlineLevel="1" x14ac:dyDescent="0.15">
      <c r="D11" s="5" t="s">
        <v>75</v>
      </c>
      <c r="E11">
        <f>SUBTOTAL(3,E4:E10)</f>
        <v>7</v>
      </c>
    </row>
    <row r="12" spans="1:8" outlineLevel="2" x14ac:dyDescent="0.15">
      <c r="A12">
        <v>4020</v>
      </c>
      <c r="B12" t="s">
        <v>36</v>
      </c>
      <c r="C12" t="s">
        <v>33</v>
      </c>
      <c r="D12" s="4">
        <v>25547</v>
      </c>
      <c r="E12" t="s">
        <v>37</v>
      </c>
      <c r="F12" t="b">
        <v>0</v>
      </c>
      <c r="G12">
        <v>587</v>
      </c>
      <c r="H12">
        <v>156</v>
      </c>
    </row>
    <row r="13" spans="1:8" outlineLevel="2" x14ac:dyDescent="0.15">
      <c r="A13">
        <v>10010</v>
      </c>
      <c r="B13" t="s">
        <v>42</v>
      </c>
      <c r="C13" t="s">
        <v>30</v>
      </c>
      <c r="D13" s="4">
        <v>21290</v>
      </c>
      <c r="E13" t="s">
        <v>37</v>
      </c>
      <c r="F13" t="b">
        <v>1</v>
      </c>
      <c r="G13">
        <v>631</v>
      </c>
      <c r="H13">
        <v>157</v>
      </c>
    </row>
    <row r="14" spans="1:8" outlineLevel="2" x14ac:dyDescent="0.15">
      <c r="A14">
        <v>7080</v>
      </c>
      <c r="B14" t="s">
        <v>43</v>
      </c>
      <c r="C14" t="s">
        <v>30</v>
      </c>
      <c r="D14" s="4">
        <v>26945</v>
      </c>
      <c r="E14" t="s">
        <v>37</v>
      </c>
      <c r="F14" t="b">
        <v>0</v>
      </c>
      <c r="G14">
        <v>472</v>
      </c>
      <c r="H14">
        <v>20</v>
      </c>
    </row>
    <row r="15" spans="1:8" outlineLevel="2" x14ac:dyDescent="0.15">
      <c r="A15">
        <v>10051</v>
      </c>
      <c r="B15" t="s">
        <v>44</v>
      </c>
      <c r="C15" t="s">
        <v>30</v>
      </c>
      <c r="D15" s="4">
        <v>16439</v>
      </c>
      <c r="E15" t="s">
        <v>37</v>
      </c>
      <c r="F15" t="b">
        <v>1</v>
      </c>
      <c r="G15">
        <v>700</v>
      </c>
      <c r="H15">
        <v>15</v>
      </c>
    </row>
    <row r="16" spans="1:8" outlineLevel="2" x14ac:dyDescent="0.15">
      <c r="A16">
        <v>3042</v>
      </c>
      <c r="B16" t="s">
        <v>47</v>
      </c>
      <c r="C16" t="s">
        <v>30</v>
      </c>
      <c r="D16" s="4">
        <v>23855</v>
      </c>
      <c r="E16" t="s">
        <v>37</v>
      </c>
      <c r="F16" t="b">
        <v>1</v>
      </c>
      <c r="G16">
        <v>730</v>
      </c>
      <c r="H16">
        <v>35</v>
      </c>
    </row>
    <row r="17" spans="1:8" outlineLevel="2" x14ac:dyDescent="0.15">
      <c r="A17">
        <v>10034</v>
      </c>
      <c r="B17" t="s">
        <v>49</v>
      </c>
      <c r="C17" t="s">
        <v>30</v>
      </c>
      <c r="D17" s="4">
        <v>24653</v>
      </c>
      <c r="E17" t="s">
        <v>37</v>
      </c>
      <c r="F17" t="b">
        <v>1</v>
      </c>
      <c r="G17">
        <v>740</v>
      </c>
      <c r="H17">
        <v>90</v>
      </c>
    </row>
    <row r="18" spans="1:8" outlineLevel="2" x14ac:dyDescent="0.15">
      <c r="A18">
        <v>42123</v>
      </c>
      <c r="B18" t="s">
        <v>54</v>
      </c>
      <c r="C18" t="s">
        <v>33</v>
      </c>
      <c r="D18" s="4">
        <v>18834</v>
      </c>
      <c r="E18" t="s">
        <v>37</v>
      </c>
      <c r="F18" t="b">
        <v>1</v>
      </c>
      <c r="G18">
        <v>501</v>
      </c>
      <c r="H18">
        <v>100</v>
      </c>
    </row>
    <row r="19" spans="1:8" outlineLevel="2" x14ac:dyDescent="0.15">
      <c r="A19">
        <v>22344</v>
      </c>
      <c r="B19" t="s">
        <v>57</v>
      </c>
      <c r="C19" t="s">
        <v>33</v>
      </c>
      <c r="D19" s="4">
        <v>18558</v>
      </c>
      <c r="E19" t="s">
        <v>37</v>
      </c>
      <c r="F19" t="b">
        <v>1</v>
      </c>
      <c r="G19">
        <v>480</v>
      </c>
      <c r="H19">
        <v>256</v>
      </c>
    </row>
    <row r="20" spans="1:8" outlineLevel="2" x14ac:dyDescent="0.15">
      <c r="A20">
        <v>53422</v>
      </c>
      <c r="B20" t="s">
        <v>58</v>
      </c>
      <c r="C20" t="s">
        <v>33</v>
      </c>
      <c r="D20" s="4">
        <v>24768</v>
      </c>
      <c r="E20" t="s">
        <v>37</v>
      </c>
      <c r="F20" t="b">
        <v>0</v>
      </c>
      <c r="G20">
        <v>300</v>
      </c>
      <c r="H20">
        <v>150</v>
      </c>
    </row>
    <row r="21" spans="1:8" outlineLevel="2" x14ac:dyDescent="0.15">
      <c r="A21">
        <v>25577</v>
      </c>
      <c r="B21" t="s">
        <v>61</v>
      </c>
      <c r="C21" t="s">
        <v>30</v>
      </c>
      <c r="D21" s="4">
        <v>26411</v>
      </c>
      <c r="E21" t="s">
        <v>37</v>
      </c>
      <c r="F21" t="b">
        <v>0</v>
      </c>
      <c r="G21">
        <v>450</v>
      </c>
      <c r="H21">
        <v>100</v>
      </c>
    </row>
    <row r="22" spans="1:8" outlineLevel="2" x14ac:dyDescent="0.15">
      <c r="A22">
        <v>53421</v>
      </c>
      <c r="B22" t="s">
        <v>63</v>
      </c>
      <c r="C22" t="s">
        <v>30</v>
      </c>
      <c r="D22" s="4">
        <v>22733</v>
      </c>
      <c r="E22" t="s">
        <v>37</v>
      </c>
      <c r="F22" t="b">
        <v>1</v>
      </c>
      <c r="G22">
        <v>400</v>
      </c>
      <c r="H22">
        <v>150</v>
      </c>
    </row>
    <row r="23" spans="1:8" outlineLevel="2" x14ac:dyDescent="0.15">
      <c r="A23">
        <v>52344</v>
      </c>
      <c r="B23" t="s">
        <v>64</v>
      </c>
      <c r="C23" t="s">
        <v>30</v>
      </c>
      <c r="D23" s="4">
        <v>24603</v>
      </c>
      <c r="E23" t="s">
        <v>37</v>
      </c>
      <c r="F23" t="b">
        <v>1</v>
      </c>
      <c r="G23">
        <v>430</v>
      </c>
      <c r="H23">
        <v>150</v>
      </c>
    </row>
    <row r="24" spans="1:8" outlineLevel="2" x14ac:dyDescent="0.15">
      <c r="A24">
        <v>23454</v>
      </c>
      <c r="B24" t="s">
        <v>66</v>
      </c>
      <c r="C24" t="s">
        <v>33</v>
      </c>
      <c r="D24" s="4">
        <v>13959</v>
      </c>
      <c r="E24" t="s">
        <v>37</v>
      </c>
      <c r="F24" t="b">
        <v>1</v>
      </c>
      <c r="G24">
        <v>800</v>
      </c>
      <c r="H24">
        <v>250</v>
      </c>
    </row>
    <row r="25" spans="1:8" outlineLevel="2" x14ac:dyDescent="0.15">
      <c r="A25">
        <v>34512</v>
      </c>
      <c r="B25" t="s">
        <v>67</v>
      </c>
      <c r="C25" t="s">
        <v>30</v>
      </c>
      <c r="D25" s="4">
        <v>12794</v>
      </c>
      <c r="E25" t="s">
        <v>37</v>
      </c>
      <c r="F25" t="b">
        <v>1</v>
      </c>
      <c r="G25">
        <v>900</v>
      </c>
      <c r="H25">
        <v>200</v>
      </c>
    </row>
    <row r="26" spans="1:8" outlineLevel="1" x14ac:dyDescent="0.15">
      <c r="D26" s="6" t="s">
        <v>76</v>
      </c>
      <c r="E26">
        <f>SUBTOTAL(3,E12:E25)</f>
        <v>14</v>
      </c>
    </row>
    <row r="27" spans="1:8" outlineLevel="2" x14ac:dyDescent="0.15">
      <c r="A27">
        <v>2001</v>
      </c>
      <c r="B27" t="s">
        <v>38</v>
      </c>
      <c r="C27" t="s">
        <v>33</v>
      </c>
      <c r="D27" s="4">
        <v>18597</v>
      </c>
      <c r="E27" t="s">
        <v>39</v>
      </c>
      <c r="F27" t="b">
        <v>1</v>
      </c>
      <c r="G27">
        <v>622</v>
      </c>
      <c r="H27">
        <v>30</v>
      </c>
    </row>
    <row r="28" spans="1:8" outlineLevel="2" x14ac:dyDescent="0.15">
      <c r="A28">
        <v>15888</v>
      </c>
      <c r="B28" t="s">
        <v>46</v>
      </c>
      <c r="C28" t="s">
        <v>33</v>
      </c>
      <c r="D28" s="4">
        <v>28846</v>
      </c>
      <c r="E28" t="s">
        <v>39</v>
      </c>
      <c r="F28" t="b">
        <v>0</v>
      </c>
      <c r="G28">
        <v>448</v>
      </c>
      <c r="H28">
        <v>45</v>
      </c>
    </row>
    <row r="29" spans="1:8" outlineLevel="2" x14ac:dyDescent="0.15">
      <c r="A29">
        <v>20340</v>
      </c>
      <c r="B29" t="s">
        <v>50</v>
      </c>
      <c r="C29" t="s">
        <v>30</v>
      </c>
      <c r="D29" s="4">
        <v>16612</v>
      </c>
      <c r="E29" t="s">
        <v>39</v>
      </c>
      <c r="F29" t="b">
        <v>1</v>
      </c>
      <c r="G29">
        <v>700</v>
      </c>
      <c r="H29">
        <v>250</v>
      </c>
    </row>
    <row r="30" spans="1:8" outlineLevel="2" x14ac:dyDescent="0.15">
      <c r="A30">
        <v>53221</v>
      </c>
      <c r="B30" t="s">
        <v>56</v>
      </c>
      <c r="C30" t="s">
        <v>33</v>
      </c>
      <c r="D30" s="4">
        <v>14834</v>
      </c>
      <c r="E30" t="s">
        <v>39</v>
      </c>
      <c r="F30" t="b">
        <v>1</v>
      </c>
      <c r="G30">
        <v>670</v>
      </c>
      <c r="H30">
        <v>200</v>
      </c>
    </row>
    <row r="31" spans="1:8" outlineLevel="2" x14ac:dyDescent="0.15">
      <c r="A31">
        <v>43523</v>
      </c>
      <c r="B31" t="s">
        <v>59</v>
      </c>
      <c r="C31" t="s">
        <v>30</v>
      </c>
      <c r="D31" s="4">
        <v>25470</v>
      </c>
      <c r="E31" t="s">
        <v>39</v>
      </c>
      <c r="F31" t="b">
        <v>0</v>
      </c>
      <c r="G31">
        <v>350</v>
      </c>
      <c r="H31">
        <v>240</v>
      </c>
    </row>
    <row r="32" spans="1:8" outlineLevel="2" x14ac:dyDescent="0.15">
      <c r="A32">
        <v>42321</v>
      </c>
      <c r="B32" t="s">
        <v>68</v>
      </c>
      <c r="C32" t="s">
        <v>30</v>
      </c>
      <c r="D32" s="4">
        <v>23049</v>
      </c>
      <c r="E32" t="s">
        <v>39</v>
      </c>
      <c r="F32" t="b">
        <v>1</v>
      </c>
      <c r="G32">
        <v>690</v>
      </c>
      <c r="H32">
        <v>150</v>
      </c>
    </row>
    <row r="33" spans="1:8" outlineLevel="2" x14ac:dyDescent="0.15">
      <c r="A33">
        <v>54352</v>
      </c>
      <c r="B33" t="s">
        <v>71</v>
      </c>
      <c r="C33" t="s">
        <v>30</v>
      </c>
      <c r="D33" s="4">
        <v>16072</v>
      </c>
      <c r="E33" t="s">
        <v>39</v>
      </c>
      <c r="F33" t="b">
        <v>1</v>
      </c>
      <c r="G33">
        <v>850</v>
      </c>
      <c r="H33">
        <v>50</v>
      </c>
    </row>
    <row r="34" spans="1:8" outlineLevel="2" x14ac:dyDescent="0.15">
      <c r="A34">
        <v>43412</v>
      </c>
      <c r="B34" t="s">
        <v>72</v>
      </c>
      <c r="C34" t="s">
        <v>33</v>
      </c>
      <c r="D34" s="4">
        <v>27100</v>
      </c>
      <c r="E34" t="s">
        <v>39</v>
      </c>
      <c r="F34" t="b">
        <v>0</v>
      </c>
      <c r="G34">
        <v>450</v>
      </c>
      <c r="H34">
        <v>250</v>
      </c>
    </row>
    <row r="35" spans="1:8" outlineLevel="1" x14ac:dyDescent="0.15">
      <c r="D35" s="6" t="s">
        <v>77</v>
      </c>
      <c r="E35">
        <f>SUBTOTAL(3,E27:E34)</f>
        <v>8</v>
      </c>
    </row>
    <row r="36" spans="1:8" outlineLevel="2" x14ac:dyDescent="0.15">
      <c r="A36">
        <v>32006</v>
      </c>
      <c r="B36" t="s">
        <v>32</v>
      </c>
      <c r="C36" t="s">
        <v>33</v>
      </c>
      <c r="D36" s="4">
        <v>20644</v>
      </c>
      <c r="E36" t="s">
        <v>34</v>
      </c>
      <c r="F36" t="b">
        <v>1</v>
      </c>
      <c r="G36">
        <v>680</v>
      </c>
      <c r="H36">
        <v>95</v>
      </c>
    </row>
    <row r="37" spans="1:8" outlineLevel="2" x14ac:dyDescent="0.15">
      <c r="A37">
        <v>3045</v>
      </c>
      <c r="B37" t="s">
        <v>40</v>
      </c>
      <c r="C37" t="s">
        <v>33</v>
      </c>
      <c r="D37" s="4">
        <v>14947</v>
      </c>
      <c r="E37" t="s">
        <v>34</v>
      </c>
      <c r="F37" t="b">
        <v>0</v>
      </c>
      <c r="G37">
        <v>864</v>
      </c>
      <c r="H37">
        <v>120</v>
      </c>
    </row>
    <row r="38" spans="1:8" outlineLevel="2" x14ac:dyDescent="0.15">
      <c r="A38">
        <v>40223</v>
      </c>
      <c r="B38" t="s">
        <v>45</v>
      </c>
      <c r="C38" t="s">
        <v>33</v>
      </c>
      <c r="D38" s="4">
        <v>23284</v>
      </c>
      <c r="E38" t="s">
        <v>34</v>
      </c>
      <c r="F38" t="b">
        <v>1</v>
      </c>
      <c r="G38">
        <v>550</v>
      </c>
      <c r="H38">
        <v>60</v>
      </c>
    </row>
    <row r="39" spans="1:8" outlineLevel="2" x14ac:dyDescent="0.15">
      <c r="A39">
        <v>30882</v>
      </c>
      <c r="B39" t="s">
        <v>51</v>
      </c>
      <c r="C39" t="s">
        <v>33</v>
      </c>
      <c r="D39" s="4">
        <v>16611</v>
      </c>
      <c r="E39" t="s">
        <v>34</v>
      </c>
      <c r="F39" t="b">
        <v>1</v>
      </c>
      <c r="G39">
        <v>790</v>
      </c>
      <c r="H39">
        <v>250</v>
      </c>
    </row>
    <row r="40" spans="1:8" outlineLevel="2" x14ac:dyDescent="0.15">
      <c r="A40">
        <v>23953</v>
      </c>
      <c r="B40" t="s">
        <v>52</v>
      </c>
      <c r="C40" t="s">
        <v>30</v>
      </c>
      <c r="D40" s="4">
        <v>21328</v>
      </c>
      <c r="E40" t="s">
        <v>34</v>
      </c>
      <c r="F40" t="b">
        <v>1</v>
      </c>
      <c r="G40">
        <v>780</v>
      </c>
      <c r="H40">
        <v>155</v>
      </c>
    </row>
    <row r="41" spans="1:8" outlineLevel="2" x14ac:dyDescent="0.15">
      <c r="A41">
        <v>23244</v>
      </c>
      <c r="B41" t="s">
        <v>55</v>
      </c>
      <c r="C41" t="s">
        <v>30</v>
      </c>
      <c r="D41" s="4">
        <v>19930</v>
      </c>
      <c r="E41" t="s">
        <v>34</v>
      </c>
      <c r="F41" t="b">
        <v>1</v>
      </c>
      <c r="G41">
        <v>480</v>
      </c>
      <c r="H41">
        <v>240</v>
      </c>
    </row>
    <row r="42" spans="1:8" outlineLevel="2" x14ac:dyDescent="0.15">
      <c r="A42">
        <v>35435</v>
      </c>
      <c r="B42" t="s">
        <v>60</v>
      </c>
      <c r="C42" t="s">
        <v>33</v>
      </c>
      <c r="D42" s="4">
        <v>28612</v>
      </c>
      <c r="E42" t="s">
        <v>34</v>
      </c>
      <c r="F42" t="b">
        <v>0</v>
      </c>
      <c r="G42">
        <v>300</v>
      </c>
      <c r="H42">
        <v>40</v>
      </c>
    </row>
    <row r="43" spans="1:8" outlineLevel="2" x14ac:dyDescent="0.15">
      <c r="A43">
        <v>23434</v>
      </c>
      <c r="B43" t="s">
        <v>62</v>
      </c>
      <c r="C43" t="s">
        <v>30</v>
      </c>
      <c r="D43" s="4">
        <v>27093</v>
      </c>
      <c r="E43" t="s">
        <v>34</v>
      </c>
      <c r="F43" t="b">
        <v>0</v>
      </c>
      <c r="G43">
        <v>380</v>
      </c>
      <c r="H43">
        <v>200</v>
      </c>
    </row>
    <row r="44" spans="1:8" outlineLevel="2" x14ac:dyDescent="0.15">
      <c r="A44">
        <v>32544</v>
      </c>
      <c r="B44" t="s">
        <v>65</v>
      </c>
      <c r="C44" t="s">
        <v>33</v>
      </c>
      <c r="D44" s="4">
        <v>15035</v>
      </c>
      <c r="E44" t="s">
        <v>34</v>
      </c>
      <c r="F44" t="b">
        <v>1</v>
      </c>
      <c r="G44">
        <v>600</v>
      </c>
      <c r="H44">
        <v>350</v>
      </c>
    </row>
    <row r="45" spans="1:8" outlineLevel="2" x14ac:dyDescent="0.15">
      <c r="A45">
        <v>54242</v>
      </c>
      <c r="B45" t="s">
        <v>70</v>
      </c>
      <c r="C45" t="s">
        <v>33</v>
      </c>
      <c r="D45" s="4">
        <v>19916</v>
      </c>
      <c r="E45" t="s">
        <v>34</v>
      </c>
      <c r="F45" t="b">
        <v>1</v>
      </c>
      <c r="G45">
        <v>630</v>
      </c>
      <c r="H45">
        <v>200</v>
      </c>
    </row>
    <row r="46" spans="1:8" outlineLevel="2" x14ac:dyDescent="0.15">
      <c r="A46">
        <v>50343</v>
      </c>
      <c r="B46" t="s">
        <v>74</v>
      </c>
      <c r="C46" t="s">
        <v>30</v>
      </c>
      <c r="D46" s="4">
        <v>25670</v>
      </c>
      <c r="E46" t="s">
        <v>34</v>
      </c>
      <c r="F46" t="b">
        <v>0</v>
      </c>
      <c r="G46">
        <v>450</v>
      </c>
      <c r="H46">
        <v>140</v>
      </c>
    </row>
    <row r="47" spans="1:8" outlineLevel="1" x14ac:dyDescent="0.15">
      <c r="D47" s="6" t="s">
        <v>78</v>
      </c>
      <c r="E47">
        <f>SUBTOTAL(3,E36:E46)</f>
        <v>11</v>
      </c>
    </row>
    <row r="48" spans="1:8" x14ac:dyDescent="0.15">
      <c r="D48" s="6" t="s">
        <v>79</v>
      </c>
      <c r="E48">
        <f>SUBTOTAL(3,E4:E46)</f>
        <v>40</v>
      </c>
    </row>
  </sheetData>
  <sortState ref="A4:H43">
    <sortCondition ref="E4:E4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编号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2022-01-17T09:54:17Z</dcterms:modified>
</cp:coreProperties>
</file>
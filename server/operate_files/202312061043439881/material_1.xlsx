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15" windowHeight="10065" activeTab="3"/>
  </bookViews>
  <sheets>
    <sheet name="产品销售统计表" sheetId="1" r:id="rId1"/>
    <sheet name="筛选" sheetId="2" r:id="rId2"/>
    <sheet name="分类汇总" sheetId="3" r:id="rId3"/>
    <sheet name="图表" sheetId="4" r:id="rId4"/>
  </sheets>
  <definedNames>
    <definedName name="_xlnm._FilterDatabase" localSheetId="1" hidden="1">筛选!$A$4:$H$16</definedName>
    <definedName name="_xlnm.Criteria" localSheetId="1">筛选!$A$1:$B$3</definedName>
  </definedNames>
  <calcPr calcId="144525"/>
</workbook>
</file>

<file path=xl/sharedStrings.xml><?xml version="1.0" encoding="utf-8"?>
<sst xmlns="http://schemas.openxmlformats.org/spreadsheetml/2006/main" count="105" uniqueCount="29">
  <si>
    <t>GD某品牌销售情况表</t>
  </si>
  <si>
    <t>产品名称</t>
  </si>
  <si>
    <t>类别</t>
  </si>
  <si>
    <t>第一季度</t>
  </si>
  <si>
    <t>第二季度</t>
  </si>
  <si>
    <t>第三季度</t>
  </si>
  <si>
    <t>第四季度</t>
  </si>
  <si>
    <t>总销售量</t>
  </si>
  <si>
    <t>销售排名</t>
  </si>
  <si>
    <t>GD-1</t>
  </si>
  <si>
    <t>TS-1</t>
  </si>
  <si>
    <t>GD-2</t>
  </si>
  <si>
    <t>GD-3</t>
  </si>
  <si>
    <t>GD-4</t>
  </si>
  <si>
    <t>TS-2</t>
  </si>
  <si>
    <t>GD-5</t>
  </si>
  <si>
    <t>TS-3</t>
  </si>
  <si>
    <t>GD-6</t>
  </si>
  <si>
    <t>GD-7</t>
  </si>
  <si>
    <t>GD-8</t>
  </si>
  <si>
    <t>GD-9</t>
  </si>
  <si>
    <t>GD-10</t>
  </si>
  <si>
    <t>GD-11</t>
  </si>
  <si>
    <t>GD-12</t>
  </si>
  <si>
    <t>&gt;250</t>
  </si>
  <si>
    <t>TS-3 最小值</t>
  </si>
  <si>
    <t>TS-2 最小值</t>
  </si>
  <si>
    <t>TS-1 最小值</t>
  </si>
  <si>
    <t>总计最小值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</si>
</sst>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20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double">
        <color rgb="FF7030A0"/>
      </left>
      <right style="thin">
        <color rgb="FFFFC000"/>
      </right>
      <top style="double">
        <color rgb="FF7030A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double">
        <color rgb="FF7030A0"/>
      </top>
      <bottom style="thin">
        <color rgb="FFFFC000"/>
      </bottom>
      <diagonal/>
    </border>
    <border>
      <left style="thin">
        <color rgb="FFFFC000"/>
      </left>
      <right style="double">
        <color rgb="FF7030A0"/>
      </right>
      <top style="double">
        <color rgb="FF7030A0"/>
      </top>
      <bottom style="thin">
        <color rgb="FFFFC000"/>
      </bottom>
      <diagonal/>
    </border>
    <border>
      <left style="double">
        <color rgb="FF7030A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double">
        <color rgb="FF7030A0"/>
      </right>
      <top style="thin">
        <color rgb="FFFFC000"/>
      </top>
      <bottom style="thin">
        <color rgb="FFFFC000"/>
      </bottom>
      <diagonal/>
    </border>
    <border>
      <left style="double">
        <color rgb="FF7030A0"/>
      </left>
      <right style="thin">
        <color rgb="FFFFC000"/>
      </right>
      <top style="thin">
        <color rgb="FFFFC000"/>
      </top>
      <bottom style="double">
        <color rgb="FF7030A0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double">
        <color rgb="FF7030A0"/>
      </bottom>
      <diagonal/>
    </border>
    <border>
      <left style="thin">
        <color rgb="FFFFC000"/>
      </left>
      <right style="double">
        <color rgb="FF7030A0"/>
      </right>
      <top style="thin">
        <color rgb="FFFFC000"/>
      </top>
      <bottom style="double">
        <color rgb="FF7030A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3" applyNumberFormat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4" borderId="13" applyNumberFormat="0" applyAlignment="0" applyProtection="0">
      <alignment vertical="center"/>
    </xf>
    <xf numFmtId="0" fontId="14" fillId="5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76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76" fontId="0" fillId="0" borderId="8" xfId="0" applyNumberFormat="1" applyBorder="1"/>
    <xf numFmtId="0" fontId="0" fillId="0" borderId="9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8">
    <dxf>
      <font>
        <color rgb="FFC00000"/>
      </font>
      <fill>
        <patternFill patternType="solid">
          <bgColor rgb="FF00B0F0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ill>
        <patternFill patternType="solid">
          <fgColor theme="8" tint="0.799981688894314"/>
          <bgColor theme="8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8"/>
        </top>
      </border>
    </dxf>
    <dxf>
      <font>
        <b val="1"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horizontal style="thin">
          <color theme="8"/>
        </horizontal>
      </border>
    </dxf>
  </dxfs>
  <tableStyles count="1" defaultTableStyle="TableStyleMedium2" defaultPivotStyle="PivotStyleMedium9">
    <tableStyle name="TableStylePreset3_Accent5" pivot="0" count="7" xr9:uid="{C431203C-6E38-41F6-BEB3-C01E9ECA39FD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zh-CN" altLang="zh-CN" sz="1800" b="1" i="0" u="none" strike="noStrike" baseline="0">
                <a:effectLst/>
              </a:rPr>
              <a:t>产品总销量图</a:t>
            </a:r>
            <a:endParaRPr lang="zh-CN" alt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产品销售统计表!$G$2</c:f>
              <c:strCache>
                <c:ptCount val="1"/>
                <c:pt idx="0">
                  <c:v>总销售量</c:v>
                </c:pt>
              </c:strCache>
            </c:strRef>
          </c:tx>
          <c:invertIfNegative val="0"/>
          <c:dLbls>
            <c:delete val="1"/>
          </c:dLbls>
          <c:cat>
            <c:strRef>
              <c:f>产品销售统计表!$A$3:$A$14</c:f>
              <c:strCache>
                <c:ptCount val="12"/>
                <c:pt idx="0">
                  <c:v>GD-1</c:v>
                </c:pt>
                <c:pt idx="1">
                  <c:v>GD-2</c:v>
                </c:pt>
                <c:pt idx="2">
                  <c:v>GD-3</c:v>
                </c:pt>
                <c:pt idx="3">
                  <c:v>GD-4</c:v>
                </c:pt>
                <c:pt idx="4">
                  <c:v>GD-5</c:v>
                </c:pt>
                <c:pt idx="5">
                  <c:v>GD-6</c:v>
                </c:pt>
                <c:pt idx="6">
                  <c:v>GD-7</c:v>
                </c:pt>
                <c:pt idx="7">
                  <c:v>GD-8</c:v>
                </c:pt>
                <c:pt idx="8">
                  <c:v>GD-9</c:v>
                </c:pt>
                <c:pt idx="9">
                  <c:v>GD-10</c:v>
                </c:pt>
                <c:pt idx="10">
                  <c:v>GD-11</c:v>
                </c:pt>
                <c:pt idx="11">
                  <c:v>GD-12</c:v>
                </c:pt>
              </c:strCache>
            </c:strRef>
          </c:cat>
          <c:val>
            <c:numRef>
              <c:f>产品销售统计表!$G$3:$G$14</c:f>
              <c:numCache>
                <c:formatCode>0_ </c:formatCode>
                <c:ptCount val="12"/>
                <c:pt idx="0">
                  <c:v>1280</c:v>
                </c:pt>
                <c:pt idx="1">
                  <c:v>884</c:v>
                </c:pt>
                <c:pt idx="2">
                  <c:v>855</c:v>
                </c:pt>
                <c:pt idx="3">
                  <c:v>1304</c:v>
                </c:pt>
                <c:pt idx="4">
                  <c:v>1085</c:v>
                </c:pt>
                <c:pt idx="5">
                  <c:v>1638</c:v>
                </c:pt>
                <c:pt idx="6">
                  <c:v>1413</c:v>
                </c:pt>
                <c:pt idx="7">
                  <c:v>1682</c:v>
                </c:pt>
                <c:pt idx="8">
                  <c:v>1120</c:v>
                </c:pt>
                <c:pt idx="9">
                  <c:v>1451</c:v>
                </c:pt>
                <c:pt idx="10">
                  <c:v>1048</c:v>
                </c:pt>
                <c:pt idx="11">
                  <c:v>1248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4719488"/>
        <c:axId val="250676736"/>
      </c:barChart>
      <c:catAx>
        <c:axId val="214719488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50676736"/>
        <c:crosses val="autoZero"/>
        <c:auto val="1"/>
        <c:lblAlgn val="ctr"/>
        <c:lblOffset val="100"/>
        <c:noMultiLvlLbl val="0"/>
      </c:catAx>
      <c:valAx>
        <c:axId val="250676736"/>
        <c:scaling>
          <c:orientation val="minMax"/>
        </c:scaling>
        <c:delete val="0"/>
        <c:axPos val="l"/>
        <c:majorGridlines/>
        <c:numFmt formatCode="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14719488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plotVisOnly val="1"/>
    <c:dispBlanksAs val="gap"/>
    <c:showDLblsOverMax val="0"/>
  </c:chart>
  <c:spPr>
    <a:noFill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152399</xdr:colOff>
      <xdr:row>0</xdr:row>
      <xdr:rowOff>85725</xdr:rowOff>
    </xdr:from>
    <xdr:to>
      <xdr:col>7</xdr:col>
      <xdr:colOff>352424</xdr:colOff>
      <xdr:row>17</xdr:row>
      <xdr:rowOff>85725</xdr:rowOff>
    </xdr:to>
    <xdr:graphicFrame>
      <xdr:nvGraphicFramePr>
        <xdr:cNvPr id="2" name="图表 1"/>
        <xdr:cNvGraphicFramePr/>
      </xdr:nvGraphicFramePr>
      <xdr:xfrm>
        <a:off x="151765" y="85725"/>
        <a:ext cx="5000625" cy="2914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表2" displayName="表2" ref="A4:H16" totalsRowShown="0">
  <tableColumns count="8">
    <tableColumn id="1" name="产品名称"/>
    <tableColumn id="2" name="类别"/>
    <tableColumn id="3" name="第一季度"/>
    <tableColumn id="4" name="第二季度"/>
    <tableColumn id="5" name="第三季度"/>
    <tableColumn id="6" name="第四季度"/>
    <tableColumn id="7" name="总销售量"/>
    <tableColumn id="8" name="销售排名"/>
  </tableColumns>
  <tableStyleInfo name="TableStylePreset3_Accent5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zoomScale="70" zoomScaleNormal="70" workbookViewId="0">
      <selection activeCell="U21" sqref="U21"/>
    </sheetView>
  </sheetViews>
  <sheetFormatPr defaultColWidth="9" defaultRowHeight="13.5" outlineLevelCol="7"/>
  <sheetData>
    <row r="1" ht="30" customHeight="1" spans="1:8">
      <c r="A1" s="2" t="s">
        <v>0</v>
      </c>
      <c r="B1" s="2"/>
      <c r="C1" s="2"/>
      <c r="D1" s="2"/>
      <c r="E1" s="2"/>
      <c r="F1" s="2"/>
      <c r="G1" s="2"/>
      <c r="H1" s="2"/>
    </row>
    <row r="2" ht="14.25" spans="1:8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spans="1:8">
      <c r="A3" s="6" t="s">
        <v>9</v>
      </c>
      <c r="B3" s="7" t="s">
        <v>10</v>
      </c>
      <c r="C3" s="7">
        <v>132</v>
      </c>
      <c r="D3" s="7">
        <v>351</v>
      </c>
      <c r="E3" s="7">
        <v>346</v>
      </c>
      <c r="F3" s="7">
        <v>451</v>
      </c>
      <c r="G3" s="8">
        <f t="shared" ref="G3:G14" si="0">SUM(C3:F3)</f>
        <v>1280</v>
      </c>
      <c r="H3" s="9">
        <f>RANK(G3,$G$3:$G$14,0)</f>
        <v>6</v>
      </c>
    </row>
    <row r="4" spans="1:8">
      <c r="A4" s="6" t="s">
        <v>11</v>
      </c>
      <c r="B4" s="7" t="s">
        <v>10</v>
      </c>
      <c r="C4" s="7">
        <v>162</v>
      </c>
      <c r="D4" s="7">
        <v>254</v>
      </c>
      <c r="E4" s="7">
        <v>232</v>
      </c>
      <c r="F4" s="7">
        <v>236</v>
      </c>
      <c r="G4" s="8">
        <f t="shared" si="0"/>
        <v>884</v>
      </c>
      <c r="H4" s="9">
        <f t="shared" ref="H4:H14" si="1">RANK(G4,$G$3:$G$14,0)</f>
        <v>11</v>
      </c>
    </row>
    <row r="5" spans="1:8">
      <c r="A5" s="6" t="s">
        <v>12</v>
      </c>
      <c r="B5" s="7" t="s">
        <v>10</v>
      </c>
      <c r="C5" s="7">
        <v>110</v>
      </c>
      <c r="D5" s="7">
        <v>236</v>
      </c>
      <c r="E5" s="7">
        <v>152</v>
      </c>
      <c r="F5" s="7">
        <v>357</v>
      </c>
      <c r="G5" s="8">
        <f t="shared" si="0"/>
        <v>855</v>
      </c>
      <c r="H5" s="9">
        <f t="shared" si="1"/>
        <v>12</v>
      </c>
    </row>
    <row r="6" spans="1:8">
      <c r="A6" s="6" t="s">
        <v>13</v>
      </c>
      <c r="B6" s="7" t="s">
        <v>14</v>
      </c>
      <c r="C6" s="7">
        <v>192</v>
      </c>
      <c r="D6" s="7">
        <v>312</v>
      </c>
      <c r="E6" s="7">
        <v>451</v>
      </c>
      <c r="F6" s="7">
        <v>349</v>
      </c>
      <c r="G6" s="8">
        <f t="shared" si="0"/>
        <v>1304</v>
      </c>
      <c r="H6" s="9">
        <f t="shared" si="1"/>
        <v>5</v>
      </c>
    </row>
    <row r="7" spans="1:8">
      <c r="A7" s="6" t="s">
        <v>15</v>
      </c>
      <c r="B7" s="7" t="s">
        <v>16</v>
      </c>
      <c r="C7" s="7">
        <v>169</v>
      </c>
      <c r="D7" s="7">
        <v>358</v>
      </c>
      <c r="E7" s="7">
        <v>235</v>
      </c>
      <c r="F7" s="7">
        <v>323</v>
      </c>
      <c r="G7" s="8">
        <f t="shared" si="0"/>
        <v>1085</v>
      </c>
      <c r="H7" s="9">
        <f t="shared" si="1"/>
        <v>9</v>
      </c>
    </row>
    <row r="8" spans="1:8">
      <c r="A8" s="6" t="s">
        <v>17</v>
      </c>
      <c r="B8" s="7" t="s">
        <v>16</v>
      </c>
      <c r="C8" s="7">
        <v>194</v>
      </c>
      <c r="D8" s="7">
        <v>394</v>
      </c>
      <c r="E8" s="7">
        <v>565</v>
      </c>
      <c r="F8" s="7">
        <v>485</v>
      </c>
      <c r="G8" s="8">
        <f t="shared" si="0"/>
        <v>1638</v>
      </c>
      <c r="H8" s="9">
        <f t="shared" si="1"/>
        <v>2</v>
      </c>
    </row>
    <row r="9" spans="1:8">
      <c r="A9" s="6" t="s">
        <v>18</v>
      </c>
      <c r="B9" s="7" t="s">
        <v>16</v>
      </c>
      <c r="C9" s="7">
        <v>341</v>
      </c>
      <c r="D9" s="7">
        <v>249</v>
      </c>
      <c r="E9" s="7">
        <v>565</v>
      </c>
      <c r="F9" s="7">
        <v>258</v>
      </c>
      <c r="G9" s="8">
        <f t="shared" si="0"/>
        <v>1413</v>
      </c>
      <c r="H9" s="9">
        <f t="shared" si="1"/>
        <v>4</v>
      </c>
    </row>
    <row r="10" spans="1:8">
      <c r="A10" s="6" t="s">
        <v>19</v>
      </c>
      <c r="B10" s="7" t="s">
        <v>16</v>
      </c>
      <c r="C10" s="7">
        <v>252</v>
      </c>
      <c r="D10" s="7">
        <v>392</v>
      </c>
      <c r="E10" s="7">
        <v>546</v>
      </c>
      <c r="F10" s="7">
        <v>492</v>
      </c>
      <c r="G10" s="8">
        <f t="shared" si="0"/>
        <v>1682</v>
      </c>
      <c r="H10" s="9">
        <f t="shared" si="1"/>
        <v>1</v>
      </c>
    </row>
    <row r="11" spans="1:8">
      <c r="A11" s="6" t="s">
        <v>20</v>
      </c>
      <c r="B11" s="7" t="s">
        <v>14</v>
      </c>
      <c r="C11" s="7">
        <v>254</v>
      </c>
      <c r="D11" s="7">
        <v>297</v>
      </c>
      <c r="E11" s="7">
        <v>244</v>
      </c>
      <c r="F11" s="7">
        <v>325</v>
      </c>
      <c r="G11" s="8">
        <f t="shared" si="0"/>
        <v>1120</v>
      </c>
      <c r="H11" s="9">
        <f t="shared" si="1"/>
        <v>8</v>
      </c>
    </row>
    <row r="12" spans="1:8">
      <c r="A12" s="6" t="s">
        <v>21</v>
      </c>
      <c r="B12" s="7" t="s">
        <v>14</v>
      </c>
      <c r="C12" s="7">
        <v>394</v>
      </c>
      <c r="D12" s="7">
        <v>279</v>
      </c>
      <c r="E12" s="7">
        <v>394</v>
      </c>
      <c r="F12" s="7">
        <v>384</v>
      </c>
      <c r="G12" s="8">
        <f t="shared" si="0"/>
        <v>1451</v>
      </c>
      <c r="H12" s="9">
        <f t="shared" si="1"/>
        <v>3</v>
      </c>
    </row>
    <row r="13" spans="1:8">
      <c r="A13" s="6" t="s">
        <v>22</v>
      </c>
      <c r="B13" s="7" t="s">
        <v>14</v>
      </c>
      <c r="C13" s="7">
        <v>192</v>
      </c>
      <c r="D13" s="7">
        <v>279</v>
      </c>
      <c r="E13" s="7">
        <v>385</v>
      </c>
      <c r="F13" s="7">
        <v>192</v>
      </c>
      <c r="G13" s="8">
        <f t="shared" si="0"/>
        <v>1048</v>
      </c>
      <c r="H13" s="9">
        <f t="shared" si="1"/>
        <v>10</v>
      </c>
    </row>
    <row r="14" ht="14.25" spans="1:8">
      <c r="A14" s="10" t="s">
        <v>23</v>
      </c>
      <c r="B14" s="11" t="s">
        <v>10</v>
      </c>
      <c r="C14" s="11">
        <v>264</v>
      </c>
      <c r="D14" s="11">
        <v>311</v>
      </c>
      <c r="E14" s="11">
        <v>345</v>
      </c>
      <c r="F14" s="11">
        <v>328</v>
      </c>
      <c r="G14" s="12">
        <f t="shared" si="0"/>
        <v>1248</v>
      </c>
      <c r="H14" s="13">
        <f t="shared" si="1"/>
        <v>7</v>
      </c>
    </row>
    <row r="15" ht="14.25"/>
  </sheetData>
  <mergeCells count="1">
    <mergeCell ref="A1:H1"/>
  </mergeCells>
  <conditionalFormatting sqref="G3:G14">
    <cfRule type="cellIs" dxfId="0" priority="1" operator="between">
      <formula>1000</formula>
      <formula>1200</formula>
    </cfRule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H16"/>
  <sheetViews>
    <sheetView zoomScale="70" zoomScaleNormal="70" workbookViewId="0">
      <selection activeCell="T29" sqref="T29"/>
    </sheetView>
  </sheetViews>
  <sheetFormatPr defaultColWidth="9" defaultRowHeight="13.5" outlineLevelCol="7"/>
  <cols>
    <col min="1" max="1" width="10.25" customWidth="1"/>
    <col min="3" max="8" width="10.25" customWidth="1"/>
  </cols>
  <sheetData>
    <row r="1" spans="1:2">
      <c r="A1" t="s">
        <v>2</v>
      </c>
      <c r="B1" t="s">
        <v>4</v>
      </c>
    </row>
    <row r="2" spans="1:1">
      <c r="A2" t="s">
        <v>14</v>
      </c>
    </row>
    <row r="3" spans="2:2">
      <c r="B3" t="s">
        <v>24</v>
      </c>
    </row>
    <row r="4" spans="1:8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</row>
    <row r="5" spans="1:8">
      <c r="A5" t="s">
        <v>9</v>
      </c>
      <c r="B5" t="s">
        <v>10</v>
      </c>
      <c r="C5">
        <v>132</v>
      </c>
      <c r="D5">
        <v>351</v>
      </c>
      <c r="E5">
        <v>346</v>
      </c>
      <c r="F5">
        <v>451</v>
      </c>
      <c r="G5">
        <v>1280</v>
      </c>
      <c r="H5">
        <v>6</v>
      </c>
    </row>
    <row r="6" spans="1:8">
      <c r="A6" t="s">
        <v>11</v>
      </c>
      <c r="B6" t="s">
        <v>10</v>
      </c>
      <c r="C6">
        <v>162</v>
      </c>
      <c r="D6">
        <v>254</v>
      </c>
      <c r="E6">
        <v>232</v>
      </c>
      <c r="F6">
        <v>236</v>
      </c>
      <c r="G6">
        <v>884</v>
      </c>
      <c r="H6">
        <v>11</v>
      </c>
    </row>
    <row r="7" hidden="1" spans="1:8">
      <c r="A7" t="s">
        <v>12</v>
      </c>
      <c r="B7" t="s">
        <v>10</v>
      </c>
      <c r="C7">
        <v>110</v>
      </c>
      <c r="D7">
        <v>236</v>
      </c>
      <c r="E7">
        <v>152</v>
      </c>
      <c r="F7">
        <v>357</v>
      </c>
      <c r="G7">
        <v>855</v>
      </c>
      <c r="H7">
        <v>12</v>
      </c>
    </row>
    <row r="8" spans="1:8">
      <c r="A8" t="s">
        <v>13</v>
      </c>
      <c r="B8" t="s">
        <v>14</v>
      </c>
      <c r="C8">
        <v>192</v>
      </c>
      <c r="D8">
        <v>312</v>
      </c>
      <c r="E8">
        <v>451</v>
      </c>
      <c r="F8">
        <v>349</v>
      </c>
      <c r="G8">
        <v>1304</v>
      </c>
      <c r="H8">
        <v>5</v>
      </c>
    </row>
    <row r="9" spans="1:8">
      <c r="A9" t="s">
        <v>15</v>
      </c>
      <c r="B9" t="s">
        <v>16</v>
      </c>
      <c r="C9">
        <v>169</v>
      </c>
      <c r="D9">
        <v>358</v>
      </c>
      <c r="E9">
        <v>235</v>
      </c>
      <c r="F9">
        <v>323</v>
      </c>
      <c r="G9">
        <v>1085</v>
      </c>
      <c r="H9">
        <v>9</v>
      </c>
    </row>
    <row r="10" spans="1:8">
      <c r="A10" t="s">
        <v>17</v>
      </c>
      <c r="B10" t="s">
        <v>16</v>
      </c>
      <c r="C10">
        <v>194</v>
      </c>
      <c r="D10">
        <v>394</v>
      </c>
      <c r="E10">
        <v>565</v>
      </c>
      <c r="F10">
        <v>485</v>
      </c>
      <c r="G10">
        <v>1638</v>
      </c>
      <c r="H10">
        <v>2</v>
      </c>
    </row>
    <row r="11" hidden="1" spans="1:8">
      <c r="A11" t="s">
        <v>18</v>
      </c>
      <c r="B11" t="s">
        <v>16</v>
      </c>
      <c r="C11">
        <v>341</v>
      </c>
      <c r="D11">
        <v>249</v>
      </c>
      <c r="E11">
        <v>565</v>
      </c>
      <c r="F11">
        <v>258</v>
      </c>
      <c r="G11">
        <v>1413</v>
      </c>
      <c r="H11">
        <v>4</v>
      </c>
    </row>
    <row r="12" spans="1:8">
      <c r="A12" t="s">
        <v>19</v>
      </c>
      <c r="B12" t="s">
        <v>16</v>
      </c>
      <c r="C12">
        <v>252</v>
      </c>
      <c r="D12">
        <v>392</v>
      </c>
      <c r="E12">
        <v>546</v>
      </c>
      <c r="F12">
        <v>492</v>
      </c>
      <c r="G12">
        <v>1682</v>
      </c>
      <c r="H12">
        <v>1</v>
      </c>
    </row>
    <row r="13" spans="1:8">
      <c r="A13" t="s">
        <v>20</v>
      </c>
      <c r="B13" t="s">
        <v>14</v>
      </c>
      <c r="C13">
        <v>254</v>
      </c>
      <c r="D13">
        <v>297</v>
      </c>
      <c r="E13">
        <v>244</v>
      </c>
      <c r="F13">
        <v>325</v>
      </c>
      <c r="G13">
        <v>1120</v>
      </c>
      <c r="H13">
        <v>8</v>
      </c>
    </row>
    <row r="14" spans="1:8">
      <c r="A14" t="s">
        <v>21</v>
      </c>
      <c r="B14" t="s">
        <v>14</v>
      </c>
      <c r="C14">
        <v>394</v>
      </c>
      <c r="D14">
        <v>279</v>
      </c>
      <c r="E14">
        <v>394</v>
      </c>
      <c r="F14">
        <v>384</v>
      </c>
      <c r="G14">
        <v>1451</v>
      </c>
      <c r="H14">
        <v>3</v>
      </c>
    </row>
    <row r="15" spans="1:8">
      <c r="A15" t="s">
        <v>22</v>
      </c>
      <c r="B15" t="s">
        <v>14</v>
      </c>
      <c r="C15">
        <v>192</v>
      </c>
      <c r="D15">
        <v>279</v>
      </c>
      <c r="E15">
        <v>385</v>
      </c>
      <c r="F15">
        <v>192</v>
      </c>
      <c r="G15">
        <v>1048</v>
      </c>
      <c r="H15">
        <v>10</v>
      </c>
    </row>
    <row r="16" spans="1:8">
      <c r="A16" t="s">
        <v>23</v>
      </c>
      <c r="B16" t="s">
        <v>10</v>
      </c>
      <c r="C16">
        <v>264</v>
      </c>
      <c r="D16">
        <v>311</v>
      </c>
      <c r="E16">
        <v>345</v>
      </c>
      <c r="F16">
        <v>328</v>
      </c>
      <c r="G16">
        <v>1248</v>
      </c>
      <c r="H16">
        <v>7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7"/>
  <sheetViews>
    <sheetView zoomScale="70" zoomScaleNormal="70" workbookViewId="0">
      <selection activeCell="R30" sqref="R30"/>
    </sheetView>
  </sheetViews>
  <sheetFormatPr defaultColWidth="9" defaultRowHeight="13.5" outlineLevelCol="7"/>
  <cols>
    <col min="2" max="2" width="13.75" customWidth="1"/>
  </cols>
  <sheetData>
    <row r="1" spans="1:8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 outlineLevel="2" spans="1:8">
      <c r="A2" t="s">
        <v>15</v>
      </c>
      <c r="B2" t="s">
        <v>16</v>
      </c>
      <c r="C2">
        <v>169</v>
      </c>
      <c r="D2">
        <v>358</v>
      </c>
      <c r="E2">
        <v>235</v>
      </c>
      <c r="F2">
        <v>323</v>
      </c>
      <c r="G2">
        <v>1085</v>
      </c>
      <c r="H2">
        <v>9</v>
      </c>
    </row>
    <row r="3" outlineLevel="2" spans="1:8">
      <c r="A3" t="s">
        <v>17</v>
      </c>
      <c r="B3" t="s">
        <v>16</v>
      </c>
      <c r="C3">
        <v>194</v>
      </c>
      <c r="D3">
        <v>394</v>
      </c>
      <c r="E3">
        <v>565</v>
      </c>
      <c r="F3">
        <v>485</v>
      </c>
      <c r="G3">
        <v>1638</v>
      </c>
      <c r="H3">
        <v>2</v>
      </c>
    </row>
    <row r="4" outlineLevel="2" spans="1:8">
      <c r="A4" t="s">
        <v>18</v>
      </c>
      <c r="B4" t="s">
        <v>16</v>
      </c>
      <c r="C4">
        <v>341</v>
      </c>
      <c r="D4">
        <v>249</v>
      </c>
      <c r="E4">
        <v>565</v>
      </c>
      <c r="F4">
        <v>258</v>
      </c>
      <c r="G4">
        <v>1413</v>
      </c>
      <c r="H4">
        <v>4</v>
      </c>
    </row>
    <row r="5" outlineLevel="2" spans="1:8">
      <c r="A5" t="s">
        <v>19</v>
      </c>
      <c r="B5" t="s">
        <v>16</v>
      </c>
      <c r="C5">
        <v>252</v>
      </c>
      <c r="D5">
        <v>392</v>
      </c>
      <c r="E5">
        <v>546</v>
      </c>
      <c r="F5">
        <v>492</v>
      </c>
      <c r="G5">
        <v>1682</v>
      </c>
      <c r="H5">
        <v>1</v>
      </c>
    </row>
    <row r="6" outlineLevel="1" spans="2:6">
      <c r="B6" s="1" t="s">
        <v>25</v>
      </c>
      <c r="C6">
        <f>SUBTOTAL(5,C2:C5)</f>
        <v>169</v>
      </c>
      <c r="D6">
        <f>SUBTOTAL(5,D2:D5)</f>
        <v>249</v>
      </c>
      <c r="E6">
        <f>SUBTOTAL(5,E2:E5)</f>
        <v>235</v>
      </c>
      <c r="F6">
        <f>SUBTOTAL(5,F2:F5)</f>
        <v>258</v>
      </c>
    </row>
    <row r="7" outlineLevel="2" spans="1:8">
      <c r="A7" t="s">
        <v>13</v>
      </c>
      <c r="B7" t="s">
        <v>14</v>
      </c>
      <c r="C7">
        <v>192</v>
      </c>
      <c r="D7">
        <v>312</v>
      </c>
      <c r="E7">
        <v>451</v>
      </c>
      <c r="F7">
        <v>349</v>
      </c>
      <c r="G7">
        <v>1304</v>
      </c>
      <c r="H7">
        <v>5</v>
      </c>
    </row>
    <row r="8" outlineLevel="2" spans="1:8">
      <c r="A8" t="s">
        <v>20</v>
      </c>
      <c r="B8" t="s">
        <v>14</v>
      </c>
      <c r="C8">
        <v>254</v>
      </c>
      <c r="D8">
        <v>297</v>
      </c>
      <c r="E8">
        <v>244</v>
      </c>
      <c r="F8">
        <v>325</v>
      </c>
      <c r="G8">
        <v>1120</v>
      </c>
      <c r="H8">
        <v>8</v>
      </c>
    </row>
    <row r="9" outlineLevel="2" spans="1:8">
      <c r="A9" t="s">
        <v>21</v>
      </c>
      <c r="B9" t="s">
        <v>14</v>
      </c>
      <c r="C9">
        <v>394</v>
      </c>
      <c r="D9">
        <v>279</v>
      </c>
      <c r="E9">
        <v>394</v>
      </c>
      <c r="F9">
        <v>384</v>
      </c>
      <c r="G9">
        <v>1451</v>
      </c>
      <c r="H9">
        <v>3</v>
      </c>
    </row>
    <row r="10" outlineLevel="2" spans="1:8">
      <c r="A10" t="s">
        <v>22</v>
      </c>
      <c r="B10" t="s">
        <v>14</v>
      </c>
      <c r="C10">
        <v>192</v>
      </c>
      <c r="D10">
        <v>279</v>
      </c>
      <c r="E10">
        <v>385</v>
      </c>
      <c r="F10">
        <v>192</v>
      </c>
      <c r="G10">
        <v>1048</v>
      </c>
      <c r="H10">
        <v>10</v>
      </c>
    </row>
    <row r="11" outlineLevel="1" spans="2:6">
      <c r="B11" s="1" t="s">
        <v>26</v>
      </c>
      <c r="C11">
        <f>SUBTOTAL(5,C7:C10)</f>
        <v>192</v>
      </c>
      <c r="D11">
        <f>SUBTOTAL(5,D7:D10)</f>
        <v>279</v>
      </c>
      <c r="E11">
        <f>SUBTOTAL(5,E7:E10)</f>
        <v>244</v>
      </c>
      <c r="F11">
        <f>SUBTOTAL(5,F7:F10)</f>
        <v>192</v>
      </c>
    </row>
    <row r="12" outlineLevel="2" spans="1:8">
      <c r="A12" t="s">
        <v>9</v>
      </c>
      <c r="B12" t="s">
        <v>10</v>
      </c>
      <c r="C12">
        <v>132</v>
      </c>
      <c r="D12">
        <v>351</v>
      </c>
      <c r="E12">
        <v>346</v>
      </c>
      <c r="F12">
        <v>451</v>
      </c>
      <c r="G12">
        <v>1280</v>
      </c>
      <c r="H12">
        <v>6</v>
      </c>
    </row>
    <row r="13" outlineLevel="2" spans="1:8">
      <c r="A13" t="s">
        <v>11</v>
      </c>
      <c r="B13" t="s">
        <v>10</v>
      </c>
      <c r="C13">
        <v>162</v>
      </c>
      <c r="D13">
        <v>254</v>
      </c>
      <c r="E13">
        <v>232</v>
      </c>
      <c r="F13">
        <v>236</v>
      </c>
      <c r="G13">
        <v>884</v>
      </c>
      <c r="H13">
        <v>11</v>
      </c>
    </row>
    <row r="14" outlineLevel="2" spans="1:8">
      <c r="A14" t="s">
        <v>12</v>
      </c>
      <c r="B14" t="s">
        <v>10</v>
      </c>
      <c r="C14">
        <v>110</v>
      </c>
      <c r="D14">
        <v>236</v>
      </c>
      <c r="E14">
        <v>152</v>
      </c>
      <c r="F14">
        <v>357</v>
      </c>
      <c r="G14">
        <v>855</v>
      </c>
      <c r="H14">
        <v>12</v>
      </c>
    </row>
    <row r="15" outlineLevel="2" spans="1:8">
      <c r="A15" t="s">
        <v>23</v>
      </c>
      <c r="B15" t="s">
        <v>10</v>
      </c>
      <c r="C15">
        <v>264</v>
      </c>
      <c r="D15">
        <v>311</v>
      </c>
      <c r="E15">
        <v>345</v>
      </c>
      <c r="F15">
        <v>328</v>
      </c>
      <c r="G15">
        <v>1248</v>
      </c>
      <c r="H15">
        <v>7</v>
      </c>
    </row>
    <row r="16" outlineLevel="1" spans="2:6">
      <c r="B16" s="1" t="s">
        <v>27</v>
      </c>
      <c r="C16">
        <f>SUBTOTAL(5,C12:C15)</f>
        <v>110</v>
      </c>
      <c r="D16">
        <f>SUBTOTAL(5,D12:D15)</f>
        <v>236</v>
      </c>
      <c r="E16">
        <f>SUBTOTAL(5,E12:E15)</f>
        <v>152</v>
      </c>
      <c r="F16">
        <f>SUBTOTAL(5,F12:F15)</f>
        <v>236</v>
      </c>
    </row>
    <row r="17" spans="2:6">
      <c r="B17" s="1" t="s">
        <v>28</v>
      </c>
      <c r="C17">
        <f>SUBTOTAL(5,C2:C15)</f>
        <v>110</v>
      </c>
      <c r="D17">
        <f>SUBTOTAL(5,D2:D15)</f>
        <v>236</v>
      </c>
      <c r="E17">
        <f>SUBTOTAL(5,E2:E15)</f>
        <v>152</v>
      </c>
      <c r="F17">
        <f>SUBTOTAL(5,F2:F15)</f>
        <v>192</v>
      </c>
    </row>
  </sheetData>
  <sortState ref="A2:H13">
    <sortCondition ref="B2:B13" descending="1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zoomScale="70" zoomScaleNormal="70" workbookViewId="0">
      <selection activeCell="Y11" sqref="Y11"/>
    </sheetView>
  </sheetViews>
  <sheetFormatPr defaultColWidth="9" defaultRowHeight="13.5"/>
  <sheetData/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产品销售统计表</vt:lpstr>
      <vt:lpstr>筛选</vt:lpstr>
      <vt:lpstr>分类汇总</vt:lpstr>
      <vt:lpstr>图表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zy</cp:lastModifiedBy>
  <dcterms:created xsi:type="dcterms:W3CDTF">2006-09-16T00:00:00Z</dcterms:created>
  <dcterms:modified xsi:type="dcterms:W3CDTF">2023-12-02T02:10:11Z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8DC5A892AA4E4A89A8B6DCE6CC947887_12</vt:lpwstr>
  </property>
  <property fmtid="{D5CDD505-2E9C-101B-9397-08002B2CF9AE}" pid="3" name="KSOProductBuildVer">
    <vt:lpwstr>2052-12.1.0.15712</vt:lpwstr>
  </property>
</Properties>
</file>
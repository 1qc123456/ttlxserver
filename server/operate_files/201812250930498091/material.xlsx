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5" yWindow="30" windowWidth="14325" windowHeight="12525"/>
  </bookViews>
  <sheets>
    <sheet name="Sheet1" sheetId="3" r:id="rId1"/>
    <sheet name="Sheet2" sheetId="2" r:id="rId2"/>
    <sheet name="Sheet3" sheetId="1" r:id="rId3"/>
  </sheets>
  <calcPr calcId="144525"/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16" i="1" s="1"/>
  <c r="H7" i="1"/>
  <c r="H6" i="1"/>
  <c r="H17" i="1" l="1"/>
  <c r="E17" i="1"/>
</calcChain>
</file>

<file path=xl/sharedStrings.xml><?xml version="1.0" encoding="utf-8"?>
<sst xmlns="http://schemas.openxmlformats.org/spreadsheetml/2006/main" count="59" uniqueCount="46">
  <si>
    <t xml:space="preserve">    出差开支预算</t>
    <phoneticPr fontId="4" type="noConversion"/>
  </si>
  <si>
    <t>出差开支预算</t>
    <phoneticPr fontId="4" type="noConversion"/>
  </si>
  <si>
    <t xml:space="preserve">    总计</t>
    <phoneticPr fontId="4" type="noConversion"/>
  </si>
  <si>
    <t>飞机票价</t>
    <phoneticPr fontId="4" type="noConversion"/>
  </si>
  <si>
    <t>机票单价（往）</t>
    <phoneticPr fontId="4" type="noConversion"/>
  </si>
  <si>
    <t>张</t>
    <phoneticPr fontId="4" type="noConversion"/>
  </si>
  <si>
    <t>机票单价（返）</t>
    <phoneticPr fontId="4" type="noConversion"/>
  </si>
  <si>
    <t>其他</t>
    <phoneticPr fontId="4" type="noConversion"/>
  </si>
  <si>
    <t>酒店</t>
    <phoneticPr fontId="4" type="noConversion"/>
  </si>
  <si>
    <t>每晚费用</t>
    <phoneticPr fontId="4" type="noConversion"/>
  </si>
  <si>
    <t>晚</t>
    <phoneticPr fontId="4" type="noConversion"/>
  </si>
  <si>
    <t>餐饮</t>
    <phoneticPr fontId="4" type="noConversion"/>
  </si>
  <si>
    <t>每天费用</t>
    <phoneticPr fontId="4" type="noConversion"/>
  </si>
  <si>
    <t>天</t>
    <phoneticPr fontId="4" type="noConversion"/>
  </si>
  <si>
    <t>交通费用</t>
    <phoneticPr fontId="4" type="noConversion"/>
  </si>
  <si>
    <t>休闲娱乐</t>
    <phoneticPr fontId="4" type="noConversion"/>
  </si>
  <si>
    <t>总计</t>
    <phoneticPr fontId="4" type="noConversion"/>
  </si>
  <si>
    <t>礼品</t>
    <phoneticPr fontId="4" type="noConversion"/>
  </si>
  <si>
    <t>总计</t>
    <phoneticPr fontId="4" type="noConversion"/>
  </si>
  <si>
    <t>其他费用</t>
    <phoneticPr fontId="4" type="noConversion"/>
  </si>
  <si>
    <t>出差开支总费用</t>
    <phoneticPr fontId="4" type="noConversion"/>
  </si>
  <si>
    <t>出差开支预算</t>
    <phoneticPr fontId="4" type="noConversion"/>
  </si>
  <si>
    <t xml:space="preserve">    总计</t>
    <phoneticPr fontId="4" type="noConversion"/>
  </si>
  <si>
    <t>机票单价（往）</t>
    <phoneticPr fontId="4" type="noConversion"/>
  </si>
  <si>
    <t>张</t>
    <phoneticPr fontId="4" type="noConversion"/>
  </si>
  <si>
    <t>机票单价（返）</t>
    <phoneticPr fontId="4" type="noConversion"/>
  </si>
  <si>
    <t>其他</t>
    <phoneticPr fontId="4" type="noConversion"/>
  </si>
  <si>
    <t>酒店</t>
    <phoneticPr fontId="4" type="noConversion"/>
  </si>
  <si>
    <t>每晚费用</t>
    <phoneticPr fontId="4" type="noConversion"/>
  </si>
  <si>
    <t>晚</t>
    <phoneticPr fontId="4" type="noConversion"/>
  </si>
  <si>
    <t>餐饮</t>
    <phoneticPr fontId="4" type="noConversion"/>
  </si>
  <si>
    <t>每天费用</t>
    <phoneticPr fontId="4" type="noConversion"/>
  </si>
  <si>
    <t>天</t>
    <phoneticPr fontId="4" type="noConversion"/>
  </si>
  <si>
    <t>交通费用</t>
    <phoneticPr fontId="4" type="noConversion"/>
  </si>
  <si>
    <t>休闲娱乐</t>
    <phoneticPr fontId="4" type="noConversion"/>
  </si>
  <si>
    <t>总计</t>
    <phoneticPr fontId="4" type="noConversion"/>
  </si>
  <si>
    <t>礼品</t>
    <phoneticPr fontId="4" type="noConversion"/>
  </si>
  <si>
    <t>其他费用</t>
    <phoneticPr fontId="4" type="noConversion"/>
  </si>
  <si>
    <t>张</t>
    <phoneticPr fontId="4" type="noConversion"/>
  </si>
  <si>
    <t>数量</t>
    <phoneticPr fontId="3" type="noConversion"/>
  </si>
  <si>
    <t>份</t>
    <phoneticPr fontId="3" type="noConversion"/>
  </si>
  <si>
    <t>出差开支总费用</t>
    <phoneticPr fontId="3" type="noConversion"/>
  </si>
  <si>
    <t>出差预算表</t>
    <phoneticPr fontId="3" type="noConversion"/>
  </si>
  <si>
    <t>单价</t>
    <phoneticPr fontId="3" type="noConversion"/>
  </si>
  <si>
    <t>单位</t>
    <phoneticPr fontId="3" type="noConversion"/>
  </si>
  <si>
    <t>出差差额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</si>
</sst>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¥&quot;* #,##0.00_ ;_ &quot;¥&quot;* \-#,##0.00_ ;_ &quot;¥&quot;* &quot;-&quot;??_ ;_ @_ "/>
    <numFmt numFmtId="176" formatCode="&quot;¥&quot;#,##0.00_);[Red]\(&quot;¥&quot;#,##0.00\)"/>
    <numFmt numFmtId="177" formatCode="&quot;¥&quot;#,##0.00_);\(&quot;¥&quot;#,##0.00\)"/>
  </numFmts>
  <fonts count="15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26"/>
      <color indexed="21"/>
      <name val="黑体"/>
      <family val="3"/>
      <charset val="134"/>
    </font>
    <font>
      <sz val="9"/>
      <name val="宋体"/>
      <family val="3"/>
      <charset val="134"/>
      <scheme val="minor"/>
    </font>
    <font>
      <sz val="8"/>
      <name val="Arial"/>
      <family val="2"/>
    </font>
    <font>
      <sz val="10"/>
      <name val="黑体"/>
      <family val="3"/>
      <charset val="134"/>
    </font>
    <font>
      <sz val="11"/>
      <name val="黑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9"/>
      <name val="黑体"/>
      <family val="3"/>
      <charset val="134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ck">
        <color indexed="21"/>
      </left>
      <right/>
      <top style="thick">
        <color indexed="21"/>
      </top>
      <bottom/>
      <diagonal/>
    </border>
    <border>
      <left style="thick">
        <color indexed="51"/>
      </left>
      <right style="thick">
        <color indexed="51"/>
      </right>
      <top style="thick">
        <color indexed="21"/>
      </top>
      <bottom style="thick">
        <color indexed="51"/>
      </bottom>
      <diagonal/>
    </border>
    <border>
      <left/>
      <right/>
      <top style="thick">
        <color indexed="21"/>
      </top>
      <bottom/>
      <diagonal/>
    </border>
    <border>
      <left/>
      <right style="thick">
        <color indexed="21"/>
      </right>
      <top style="thick">
        <color indexed="21"/>
      </top>
      <bottom/>
      <diagonal/>
    </border>
    <border>
      <left style="thick">
        <color indexed="21"/>
      </left>
      <right/>
      <top/>
      <bottom style="thick">
        <color indexed="21"/>
      </bottom>
      <diagonal/>
    </border>
    <border>
      <left/>
      <right/>
      <top/>
      <bottom style="thick">
        <color indexed="21"/>
      </bottom>
      <diagonal/>
    </border>
    <border>
      <left/>
      <right style="thick">
        <color indexed="21"/>
      </right>
      <top/>
      <bottom style="thick">
        <color indexed="21"/>
      </bottom>
      <diagonal/>
    </border>
    <border>
      <left style="thick">
        <color indexed="21"/>
      </left>
      <right/>
      <top/>
      <bottom/>
      <diagonal/>
    </border>
    <border>
      <left/>
      <right/>
      <top style="thick">
        <color indexed="21"/>
      </top>
      <bottom style="hair">
        <color indexed="22"/>
      </bottom>
      <diagonal/>
    </border>
    <border>
      <left style="hair">
        <color indexed="51"/>
      </left>
      <right style="hair">
        <color indexed="51"/>
      </right>
      <top style="thick">
        <color indexed="21"/>
      </top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thick">
        <color indexed="21"/>
      </right>
      <top style="thick">
        <color indexed="21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51"/>
      </left>
      <right style="hair">
        <color indexed="51"/>
      </right>
      <top style="hair">
        <color indexed="22"/>
      </top>
      <bottom style="hair">
        <color indexed="22"/>
      </bottom>
      <diagonal/>
    </border>
    <border>
      <left/>
      <right style="thick">
        <color indexed="21"/>
      </right>
      <top style="hair">
        <color indexed="22"/>
      </top>
      <bottom style="hair">
        <color indexed="22"/>
      </bottom>
      <diagonal/>
    </border>
    <border>
      <left style="thick">
        <color indexed="21"/>
      </left>
      <right/>
      <top style="hair">
        <color indexed="22"/>
      </top>
      <bottom/>
      <diagonal/>
    </border>
    <border>
      <left style="thick">
        <color indexed="21"/>
      </left>
      <right/>
      <top style="hair">
        <color indexed="22"/>
      </top>
      <bottom style="thick">
        <color indexed="21"/>
      </bottom>
      <diagonal/>
    </border>
    <border>
      <left/>
      <right/>
      <top style="hair">
        <color indexed="22"/>
      </top>
      <bottom style="thick">
        <color indexed="21"/>
      </bottom>
      <diagonal/>
    </border>
    <border>
      <left style="hair">
        <color indexed="51"/>
      </left>
      <right style="hair">
        <color indexed="51"/>
      </right>
      <top style="hair">
        <color indexed="22"/>
      </top>
      <bottom style="thick">
        <color indexed="21"/>
      </bottom>
      <diagonal/>
    </border>
    <border>
      <left/>
      <right style="thick">
        <color indexed="21"/>
      </right>
      <top style="hair">
        <color indexed="22"/>
      </top>
      <bottom style="thick">
        <color indexed="21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1" xfId="0" applyFont="1" applyFill="1" applyBorder="1" applyProtection="1">
      <protection locked="0"/>
    </xf>
    <xf numFmtId="176" fontId="0" fillId="0" borderId="2" xfId="1" applyNumberFormat="1" applyFont="1" applyFill="1" applyBorder="1" applyAlignment="1" applyProtection="1">
      <alignment horizontal="right"/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3" xfId="0" applyFill="1" applyBorder="1" applyProtection="1">
      <protection locked="0"/>
    </xf>
    <xf numFmtId="0" fontId="0" fillId="0" borderId="4" xfId="0" applyFill="1" applyBorder="1" applyProtection="1">
      <protection locked="0"/>
    </xf>
    <xf numFmtId="0" fontId="5" fillId="0" borderId="5" xfId="0" applyFont="1" applyFill="1" applyBorder="1" applyProtection="1">
      <protection locked="0"/>
    </xf>
    <xf numFmtId="0" fontId="0" fillId="0" borderId="6" xfId="0" applyFill="1" applyBorder="1" applyProtection="1">
      <protection locked="0"/>
    </xf>
    <xf numFmtId="44" fontId="0" fillId="0" borderId="6" xfId="1" applyFont="1" applyFill="1" applyBorder="1" applyAlignment="1" applyProtection="1"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6" fillId="0" borderId="7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Protection="1">
      <protection locked="0"/>
    </xf>
    <xf numFmtId="0" fontId="8" fillId="0" borderId="9" xfId="0" applyFont="1" applyFill="1" applyBorder="1" applyAlignment="1" applyProtection="1">
      <protection locked="0"/>
    </xf>
    <xf numFmtId="176" fontId="0" fillId="0" borderId="10" xfId="1" applyNumberFormat="1" applyFont="1" applyFill="1" applyBorder="1" applyAlignment="1" applyProtection="1">
      <protection locked="0"/>
    </xf>
    <xf numFmtId="0" fontId="8" fillId="0" borderId="9" xfId="0" applyFont="1" applyFill="1" applyBorder="1" applyAlignment="1" applyProtection="1">
      <alignment horizontal="center"/>
      <protection locked="0"/>
    </xf>
    <xf numFmtId="49" fontId="0" fillId="0" borderId="10" xfId="0" applyNumberFormat="1" applyFill="1" applyBorder="1" applyAlignment="1" applyProtection="1">
      <alignment horizontal="center"/>
      <protection locked="0"/>
    </xf>
    <xf numFmtId="0" fontId="8" fillId="0" borderId="11" xfId="0" applyFont="1" applyFill="1" applyBorder="1" applyAlignment="1" applyProtection="1">
      <alignment horizontal="left" indent="1"/>
      <protection locked="0"/>
    </xf>
    <xf numFmtId="177" fontId="0" fillId="2" borderId="12" xfId="1" applyNumberFormat="1" applyFont="1" applyFill="1" applyBorder="1" applyAlignment="1" applyProtection="1"/>
    <xf numFmtId="0" fontId="8" fillId="0" borderId="13" xfId="0" applyFont="1" applyFill="1" applyBorder="1" applyAlignment="1" applyProtection="1">
      <protection locked="0"/>
    </xf>
    <xf numFmtId="176" fontId="0" fillId="0" borderId="14" xfId="1" applyNumberFormat="1" applyFont="1" applyFill="1" applyBorder="1" applyAlignment="1" applyProtection="1">
      <protection locked="0"/>
    </xf>
    <xf numFmtId="44" fontId="8" fillId="0" borderId="13" xfId="1" applyFont="1" applyFill="1" applyBorder="1" applyAlignment="1" applyProtection="1">
      <alignment horizontal="center"/>
      <protection locked="0"/>
    </xf>
    <xf numFmtId="49" fontId="0" fillId="0" borderId="14" xfId="0" applyNumberFormat="1" applyFill="1" applyBorder="1" applyAlignment="1" applyProtection="1">
      <alignment horizontal="center"/>
      <protection locked="0"/>
    </xf>
    <xf numFmtId="177" fontId="0" fillId="2" borderId="15" xfId="1" applyNumberFormat="1" applyFont="1" applyFill="1" applyBorder="1" applyAlignment="1" applyProtection="1"/>
    <xf numFmtId="0" fontId="8" fillId="0" borderId="13" xfId="0" applyFont="1" applyFill="1" applyBorder="1" applyAlignment="1" applyProtection="1">
      <alignment horizontal="center"/>
      <protection locked="0"/>
    </xf>
    <xf numFmtId="0" fontId="6" fillId="0" borderId="16" xfId="0" applyFont="1" applyFill="1" applyBorder="1" applyProtection="1">
      <protection locked="0"/>
    </xf>
    <xf numFmtId="0" fontId="8" fillId="0" borderId="13" xfId="0" applyFont="1" applyFill="1" applyBorder="1" applyAlignment="1" applyProtection="1">
      <alignment horizontal="left" indent="1"/>
      <protection locked="0"/>
    </xf>
    <xf numFmtId="0" fontId="8" fillId="0" borderId="13" xfId="0" applyFont="1" applyFill="1" applyBorder="1" applyProtection="1"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left" indent="1"/>
      <protection locked="0"/>
    </xf>
    <xf numFmtId="0" fontId="6" fillId="0" borderId="17" xfId="0" applyFont="1" applyFill="1" applyBorder="1" applyProtection="1">
      <protection locked="0"/>
    </xf>
    <xf numFmtId="0" fontId="8" fillId="0" borderId="18" xfId="0" applyFont="1" applyFill="1" applyBorder="1" applyProtection="1">
      <protection locked="0"/>
    </xf>
    <xf numFmtId="176" fontId="0" fillId="0" borderId="19" xfId="1" applyNumberFormat="1" applyFont="1" applyFill="1" applyBorder="1" applyAlignment="1" applyProtection="1">
      <protection locked="0"/>
    </xf>
    <xf numFmtId="0" fontId="0" fillId="0" borderId="18" xfId="0" applyFill="1" applyBorder="1" applyAlignment="1" applyProtection="1">
      <alignment horizontal="center"/>
      <protection locked="0"/>
    </xf>
    <xf numFmtId="49" fontId="0" fillId="0" borderId="19" xfId="0" applyNumberFormat="1" applyFill="1" applyBorder="1" applyAlignment="1" applyProtection="1">
      <alignment horizontal="center"/>
      <protection locked="0"/>
    </xf>
    <xf numFmtId="0" fontId="0" fillId="0" borderId="18" xfId="0" applyFill="1" applyBorder="1" applyAlignment="1" applyProtection="1">
      <alignment horizontal="left" indent="1"/>
      <protection locked="0"/>
    </xf>
    <xf numFmtId="177" fontId="0" fillId="2" borderId="20" xfId="1" applyNumberFormat="1" applyFont="1" applyFill="1" applyBorder="1" applyAlignment="1" applyProtection="1"/>
    <xf numFmtId="0" fontId="0" fillId="0" borderId="1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vertical="center"/>
      <protection locked="0"/>
    </xf>
    <xf numFmtId="177" fontId="11" fillId="4" borderId="4" xfId="1" applyNumberFormat="1" applyFont="1" applyFill="1" applyBorder="1" applyAlignment="1" applyProtection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9" fillId="3" borderId="6" xfId="0" applyFont="1" applyFill="1" applyBorder="1" applyAlignment="1" applyProtection="1">
      <alignment horizontal="left" vertical="center"/>
      <protection locked="0"/>
    </xf>
    <xf numFmtId="0" fontId="10" fillId="3" borderId="6" xfId="0" applyFont="1" applyFill="1" applyBorder="1" applyAlignment="1" applyProtection="1">
      <alignment horizontal="center" vertical="center"/>
      <protection locked="0"/>
    </xf>
    <xf numFmtId="0" fontId="10" fillId="3" borderId="6" xfId="0" applyFont="1" applyFill="1" applyBorder="1" applyAlignment="1" applyProtection="1">
      <alignment vertical="center"/>
      <protection locked="0"/>
    </xf>
    <xf numFmtId="176" fontId="11" fillId="4" borderId="7" xfId="1" applyNumberFormat="1" applyFont="1" applyFill="1" applyBorder="1" applyAlignment="1" applyProtection="1">
      <alignment vertical="center"/>
    </xf>
    <xf numFmtId="0" fontId="0" fillId="0" borderId="0" xfId="0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horizontal="left" vertical="center" indent="1"/>
      <protection locked="0"/>
    </xf>
    <xf numFmtId="0" fontId="0" fillId="0" borderId="0" xfId="0" applyBorder="1" applyAlignment="1" applyProtection="1">
      <alignment horizontal="left" vertical="center" indent="1"/>
      <protection locked="0"/>
    </xf>
    <xf numFmtId="0" fontId="0" fillId="0" borderId="0" xfId="0" applyFill="1" applyBorder="1" applyAlignment="1" applyProtection="1">
      <alignment horizontal="left" vertical="center" indent="1"/>
      <protection locked="0"/>
    </xf>
    <xf numFmtId="49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44" fontId="0" fillId="0" borderId="0" xfId="1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0" fillId="0" borderId="22" xfId="0" applyBorder="1"/>
    <xf numFmtId="0" fontId="0" fillId="0" borderId="0" xfId="0" applyBorder="1"/>
    <xf numFmtId="0" fontId="12" fillId="0" borderId="25" xfId="0" applyFont="1" applyFill="1" applyBorder="1" applyAlignment="1" applyProtection="1">
      <alignment vertical="center"/>
      <protection locked="0"/>
    </xf>
    <xf numFmtId="176" fontId="0" fillId="0" borderId="25" xfId="1" applyNumberFormat="1" applyFont="1" applyFill="1" applyBorder="1" applyAlignment="1" applyProtection="1">
      <alignment horizontal="right" vertical="center"/>
      <protection locked="0"/>
    </xf>
    <xf numFmtId="0" fontId="0" fillId="0" borderId="25" xfId="0" applyFill="1" applyBorder="1" applyAlignment="1" applyProtection="1">
      <alignment horizontal="center" vertical="center"/>
      <protection locked="0"/>
    </xf>
    <xf numFmtId="0" fontId="0" fillId="0" borderId="25" xfId="0" applyFill="1" applyBorder="1" applyAlignment="1" applyProtection="1">
      <alignment vertical="center"/>
      <protection locked="0"/>
    </xf>
    <xf numFmtId="0" fontId="0" fillId="0" borderId="26" xfId="0" applyFill="1" applyBorder="1" applyAlignment="1" applyProtection="1">
      <alignment vertical="center"/>
      <protection locked="0"/>
    </xf>
    <xf numFmtId="0" fontId="0" fillId="0" borderId="22" xfId="0" applyBorder="1" applyAlignment="1" applyProtection="1">
      <alignment vertical="center"/>
      <protection locked="0"/>
    </xf>
    <xf numFmtId="0" fontId="13" fillId="0" borderId="27" xfId="0" applyFont="1" applyFill="1" applyBorder="1" applyAlignment="1" applyProtection="1">
      <alignment vertical="center"/>
      <protection locked="0"/>
    </xf>
    <xf numFmtId="0" fontId="12" fillId="0" borderId="22" xfId="0" applyFont="1" applyFill="1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21" xfId="0" applyFont="1" applyFill="1" applyBorder="1" applyAlignment="1" applyProtection="1">
      <alignment horizontal="center" vertical="center"/>
      <protection locked="0"/>
    </xf>
    <xf numFmtId="0" fontId="7" fillId="0" borderId="21" xfId="0" applyFont="1" applyFill="1" applyBorder="1" applyAlignment="1" applyProtection="1">
      <alignment vertical="center"/>
      <protection locked="0"/>
    </xf>
    <xf numFmtId="0" fontId="6" fillId="0" borderId="29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vertical="center"/>
      <protection locked="0"/>
    </xf>
    <xf numFmtId="0" fontId="8" fillId="0" borderId="21" xfId="0" applyFont="1" applyFill="1" applyBorder="1" applyAlignment="1" applyProtection="1">
      <alignment vertical="center"/>
      <protection locked="0"/>
    </xf>
    <xf numFmtId="0" fontId="0" fillId="0" borderId="21" xfId="1" applyNumberFormat="1" applyFont="1" applyFill="1" applyBorder="1" applyAlignment="1" applyProtection="1">
      <alignment vertical="center"/>
      <protection locked="0"/>
    </xf>
    <xf numFmtId="49" fontId="0" fillId="0" borderId="21" xfId="0" applyNumberFormat="1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left" vertical="center" indent="1"/>
      <protection locked="0"/>
    </xf>
    <xf numFmtId="0" fontId="0" fillId="0" borderId="21" xfId="0" applyBorder="1" applyProtection="1">
      <protection locked="0"/>
    </xf>
    <xf numFmtId="0" fontId="0" fillId="0" borderId="21" xfId="0" applyBorder="1" applyAlignment="1" applyProtection="1">
      <alignment horizontal="center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12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0" fillId="0" borderId="24" xfId="1" applyNumberFormat="1" applyFont="1" applyFill="1" applyBorder="1" applyAlignment="1" applyProtection="1">
      <alignment vertical="center"/>
    </xf>
    <xf numFmtId="0" fontId="0" fillId="0" borderId="23" xfId="1" applyNumberFormat="1" applyFont="1" applyFill="1" applyBorder="1" applyAlignment="1" applyProtection="1">
      <alignment vertical="center"/>
    </xf>
    <xf numFmtId="0" fontId="11" fillId="0" borderId="24" xfId="1" applyNumberFormat="1" applyFont="1" applyFill="1" applyBorder="1" applyAlignment="1" applyProtection="1">
      <alignment vertical="center"/>
    </xf>
    <xf numFmtId="0" fontId="11" fillId="0" borderId="23" xfId="1" applyNumberFormat="1" applyFont="1" applyFill="1" applyBorder="1" applyAlignment="1" applyProtection="1">
      <alignment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J22" sqref="J22"/>
    </sheetView>
  </sheetViews>
  <sheetFormatPr defaultRowHeight="13.5"/>
  <cols>
    <col min="1" max="1" width="13" bestFit="1" customWidth="1"/>
    <col min="2" max="2" width="13.125" bestFit="1" customWidth="1"/>
    <col min="3" max="3" width="9" bestFit="1" customWidth="1"/>
    <col min="4" max="4" width="13.125" bestFit="1" customWidth="1"/>
    <col min="5" max="5" width="6.75" bestFit="1" customWidth="1"/>
    <col min="6" max="6" width="9.5" bestFit="1" customWidth="1"/>
  </cols>
  <sheetData>
    <row r="1" spans="1:9" ht="13.5" customHeight="1">
      <c r="A1" s="84" t="s">
        <v>42</v>
      </c>
      <c r="B1" s="85"/>
      <c r="C1" s="85"/>
      <c r="D1" s="85"/>
      <c r="E1" s="85"/>
      <c r="F1" s="85"/>
      <c r="G1" s="63"/>
    </row>
    <row r="2" spans="1:9" ht="13.5" customHeight="1">
      <c r="A2" s="85"/>
      <c r="B2" s="85"/>
      <c r="C2" s="85"/>
      <c r="D2" s="85"/>
      <c r="E2" s="85"/>
      <c r="F2" s="85"/>
      <c r="G2" s="63"/>
    </row>
    <row r="3" spans="1:9" ht="14.25" thickBot="1">
      <c r="A3" s="82"/>
      <c r="B3" s="82"/>
      <c r="C3" s="82"/>
      <c r="D3" s="83"/>
      <c r="E3" s="82"/>
      <c r="F3" s="82"/>
    </row>
    <row r="4" spans="1:9" ht="15" thickTop="1" thickBot="1">
      <c r="A4" s="64" t="s">
        <v>21</v>
      </c>
      <c r="B4" s="65">
        <v>6000</v>
      </c>
      <c r="C4" s="66"/>
      <c r="D4" s="66"/>
      <c r="E4" s="67"/>
      <c r="F4" s="68"/>
      <c r="G4" s="62"/>
      <c r="I4" s="63"/>
    </row>
    <row r="5" spans="1:9" ht="14.25" thickTop="1">
      <c r="A5" s="70"/>
      <c r="B5" s="55"/>
      <c r="C5" s="56" t="s">
        <v>43</v>
      </c>
      <c r="D5" s="57" t="s">
        <v>39</v>
      </c>
      <c r="E5" s="55" t="s">
        <v>44</v>
      </c>
      <c r="F5" s="76" t="s">
        <v>22</v>
      </c>
    </row>
    <row r="6" spans="1:9">
      <c r="A6" s="71" t="s">
        <v>3</v>
      </c>
      <c r="B6" s="58" t="s">
        <v>23</v>
      </c>
      <c r="C6" s="60">
        <v>1300</v>
      </c>
      <c r="D6" s="54">
        <v>1</v>
      </c>
      <c r="E6" s="51" t="s">
        <v>38</v>
      </c>
      <c r="F6" s="89"/>
    </row>
    <row r="7" spans="1:9">
      <c r="A7" s="71"/>
      <c r="B7" s="58" t="s">
        <v>25</v>
      </c>
      <c r="C7" s="60">
        <v>875</v>
      </c>
      <c r="D7" s="54">
        <v>1</v>
      </c>
      <c r="E7" s="51" t="s">
        <v>24</v>
      </c>
      <c r="F7" s="89"/>
    </row>
    <row r="8" spans="1:9">
      <c r="A8" s="71"/>
      <c r="B8" s="58" t="s">
        <v>26</v>
      </c>
      <c r="C8" s="60">
        <v>10</v>
      </c>
      <c r="D8" s="54">
        <v>1</v>
      </c>
      <c r="E8" s="52" t="s">
        <v>40</v>
      </c>
      <c r="F8" s="89"/>
    </row>
    <row r="9" spans="1:9">
      <c r="A9" s="71" t="s">
        <v>27</v>
      </c>
      <c r="B9" s="58" t="s">
        <v>28</v>
      </c>
      <c r="C9" s="60">
        <v>275</v>
      </c>
      <c r="D9" s="54">
        <v>3</v>
      </c>
      <c r="E9" s="51" t="s">
        <v>29</v>
      </c>
      <c r="F9" s="89"/>
      <c r="I9" s="63"/>
    </row>
    <row r="10" spans="1:9">
      <c r="A10" s="71"/>
      <c r="B10" s="58" t="s">
        <v>26</v>
      </c>
      <c r="C10" s="60">
        <v>15</v>
      </c>
      <c r="D10" s="54">
        <v>1</v>
      </c>
      <c r="E10" s="51" t="s">
        <v>29</v>
      </c>
      <c r="F10" s="89"/>
    </row>
    <row r="11" spans="1:9">
      <c r="A11" s="71" t="s">
        <v>30</v>
      </c>
      <c r="B11" s="58" t="s">
        <v>31</v>
      </c>
      <c r="C11" s="60">
        <v>148</v>
      </c>
      <c r="D11" s="54">
        <v>6</v>
      </c>
      <c r="E11" s="51" t="s">
        <v>32</v>
      </c>
      <c r="F11" s="89"/>
    </row>
    <row r="12" spans="1:9">
      <c r="A12" s="71" t="s">
        <v>33</v>
      </c>
      <c r="B12" s="58" t="s">
        <v>31</v>
      </c>
      <c r="C12" s="60">
        <v>152</v>
      </c>
      <c r="D12" s="54">
        <v>6</v>
      </c>
      <c r="E12" s="51" t="s">
        <v>32</v>
      </c>
      <c r="F12" s="89"/>
    </row>
    <row r="13" spans="1:9">
      <c r="A13" s="71" t="s">
        <v>34</v>
      </c>
      <c r="B13" s="58" t="s">
        <v>35</v>
      </c>
      <c r="C13" s="60">
        <v>800</v>
      </c>
      <c r="D13" s="54"/>
      <c r="E13" s="53"/>
      <c r="F13" s="89"/>
    </row>
    <row r="14" spans="1:9">
      <c r="A14" s="71" t="s">
        <v>36</v>
      </c>
      <c r="B14" s="58" t="s">
        <v>16</v>
      </c>
      <c r="C14" s="60">
        <v>190</v>
      </c>
      <c r="D14" s="54"/>
      <c r="E14" s="53"/>
      <c r="F14" s="89"/>
    </row>
    <row r="15" spans="1:9" ht="14.25" thickBot="1">
      <c r="A15" s="77" t="s">
        <v>37</v>
      </c>
      <c r="B15" s="78" t="s">
        <v>35</v>
      </c>
      <c r="C15" s="79">
        <v>150</v>
      </c>
      <c r="D15" s="80"/>
      <c r="E15" s="81"/>
      <c r="F15" s="90"/>
    </row>
    <row r="16" spans="1:9" ht="15.75" thickTop="1">
      <c r="A16" s="69"/>
      <c r="B16" s="50"/>
      <c r="C16" s="50"/>
      <c r="D16" s="59" t="s">
        <v>41</v>
      </c>
      <c r="E16" s="61"/>
      <c r="F16" s="91"/>
    </row>
    <row r="17" spans="1:6" ht="15.75" thickBot="1">
      <c r="A17" s="72"/>
      <c r="B17" s="73"/>
      <c r="C17" s="73" t="s">
        <v>45</v>
      </c>
      <c r="D17" s="74"/>
      <c r="E17" s="75"/>
      <c r="F17" s="92"/>
    </row>
    <row r="18" spans="1:6" ht="14.25" thickTop="1"/>
  </sheetData>
  <mergeCells count="1">
    <mergeCell ref="A1:F2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42" workbookViewId="0">
      <selection activeCell="D47" sqref="D47"/>
    </sheetView>
  </sheetViews>
  <sheetFormatPr defaultRowHeight="13.5"/>
  <cols>
    <col min="3" max="3" width="13.125" bestFit="1" customWidth="1"/>
    <col min="4" max="4" width="11.625" bestFit="1" customWidth="1"/>
    <col min="8" max="8" width="11.625" bestFit="1" customWidth="1"/>
  </cols>
  <sheetData>
    <row r="1" spans="1:8">
      <c r="A1" s="86" t="s">
        <v>0</v>
      </c>
      <c r="B1" s="87"/>
      <c r="C1" s="87"/>
      <c r="D1" s="87"/>
      <c r="E1" s="87"/>
      <c r="F1" s="87"/>
      <c r="G1" s="87"/>
      <c r="H1" s="88"/>
    </row>
    <row r="2" spans="1:8">
      <c r="A2" s="87"/>
      <c r="B2" s="87"/>
      <c r="C2" s="87"/>
      <c r="D2" s="87"/>
      <c r="E2" s="87"/>
      <c r="F2" s="87"/>
      <c r="G2" s="87"/>
      <c r="H2" s="88"/>
    </row>
    <row r="3" spans="1:8" ht="14.25" thickBot="1">
      <c r="A3" s="1"/>
      <c r="B3" s="1"/>
      <c r="C3" s="1"/>
      <c r="D3" s="1"/>
      <c r="E3" s="2"/>
      <c r="F3" s="2"/>
      <c r="G3" s="1"/>
      <c r="H3" s="1"/>
    </row>
    <row r="4" spans="1:8" ht="15" thickTop="1" thickBot="1">
      <c r="A4" s="1"/>
      <c r="B4" s="3" t="s">
        <v>1</v>
      </c>
      <c r="C4" s="4">
        <v>5900</v>
      </c>
      <c r="D4" s="5"/>
      <c r="E4" s="5"/>
      <c r="F4" s="5"/>
      <c r="G4" s="6"/>
      <c r="H4" s="7"/>
    </row>
    <row r="5" spans="1:8" ht="15" thickTop="1" thickBot="1">
      <c r="A5" s="1"/>
      <c r="B5" s="8"/>
      <c r="C5" s="9"/>
      <c r="D5" s="10"/>
      <c r="E5" s="11"/>
      <c r="F5" s="11"/>
      <c r="G5" s="9"/>
      <c r="H5" s="12" t="s">
        <v>2</v>
      </c>
    </row>
    <row r="6" spans="1:8" ht="14.25" thickTop="1">
      <c r="A6" s="1"/>
      <c r="B6" s="13" t="s">
        <v>3</v>
      </c>
      <c r="C6" s="14" t="s">
        <v>4</v>
      </c>
      <c r="D6" s="15">
        <v>1200</v>
      </c>
      <c r="E6" s="16"/>
      <c r="F6" s="17">
        <v>1</v>
      </c>
      <c r="G6" s="18" t="s">
        <v>5</v>
      </c>
      <c r="H6" s="19">
        <f>(D6*F6)</f>
        <v>1200</v>
      </c>
    </row>
    <row r="7" spans="1:8">
      <c r="A7" s="1"/>
      <c r="B7" s="13"/>
      <c r="C7" s="20" t="s">
        <v>6</v>
      </c>
      <c r="D7" s="21">
        <v>875</v>
      </c>
      <c r="E7" s="22"/>
      <c r="F7" s="23">
        <v>1</v>
      </c>
      <c r="G7" s="18" t="s">
        <v>5</v>
      </c>
      <c r="H7" s="24">
        <f t="shared" ref="H7:H12" si="0">(D7*F7)</f>
        <v>875</v>
      </c>
    </row>
    <row r="8" spans="1:8">
      <c r="A8" s="1"/>
      <c r="B8" s="13"/>
      <c r="C8" s="20" t="s">
        <v>7</v>
      </c>
      <c r="D8" s="21">
        <v>0</v>
      </c>
      <c r="E8" s="25"/>
      <c r="F8" s="23">
        <v>0</v>
      </c>
      <c r="G8" s="1"/>
      <c r="H8" s="24">
        <f t="shared" si="0"/>
        <v>0</v>
      </c>
    </row>
    <row r="9" spans="1:8">
      <c r="A9" s="1"/>
      <c r="B9" s="26" t="s">
        <v>8</v>
      </c>
      <c r="C9" s="20" t="s">
        <v>9</v>
      </c>
      <c r="D9" s="21">
        <v>275</v>
      </c>
      <c r="E9" s="25"/>
      <c r="F9" s="23">
        <v>3</v>
      </c>
      <c r="G9" s="27" t="s">
        <v>10</v>
      </c>
      <c r="H9" s="24">
        <f t="shared" si="0"/>
        <v>825</v>
      </c>
    </row>
    <row r="10" spans="1:8">
      <c r="A10" s="1"/>
      <c r="B10" s="13"/>
      <c r="C10" s="20" t="s">
        <v>7</v>
      </c>
      <c r="D10" s="21">
        <v>0</v>
      </c>
      <c r="E10" s="25"/>
      <c r="F10" s="23">
        <v>0</v>
      </c>
      <c r="G10" s="27" t="s">
        <v>10</v>
      </c>
      <c r="H10" s="24">
        <f t="shared" si="0"/>
        <v>0</v>
      </c>
    </row>
    <row r="11" spans="1:8">
      <c r="A11" s="1"/>
      <c r="B11" s="26" t="s">
        <v>11</v>
      </c>
      <c r="C11" s="28" t="s">
        <v>12</v>
      </c>
      <c r="D11" s="21">
        <v>148</v>
      </c>
      <c r="E11" s="25"/>
      <c r="F11" s="23">
        <v>6</v>
      </c>
      <c r="G11" s="27" t="s">
        <v>13</v>
      </c>
      <c r="H11" s="24">
        <f t="shared" si="0"/>
        <v>888</v>
      </c>
    </row>
    <row r="12" spans="1:8">
      <c r="A12" s="1"/>
      <c r="B12" s="26" t="s">
        <v>14</v>
      </c>
      <c r="C12" s="28" t="s">
        <v>12</v>
      </c>
      <c r="D12" s="21">
        <v>152</v>
      </c>
      <c r="E12" s="25"/>
      <c r="F12" s="23">
        <v>6</v>
      </c>
      <c r="G12" s="27" t="s">
        <v>13</v>
      </c>
      <c r="H12" s="24">
        <f t="shared" si="0"/>
        <v>912</v>
      </c>
    </row>
    <row r="13" spans="1:8">
      <c r="A13" s="1"/>
      <c r="B13" s="26" t="s">
        <v>15</v>
      </c>
      <c r="C13" s="28" t="s">
        <v>16</v>
      </c>
      <c r="D13" s="21">
        <v>730</v>
      </c>
      <c r="E13" s="29"/>
      <c r="F13" s="23"/>
      <c r="G13" s="30"/>
      <c r="H13" s="24">
        <f>(D13)</f>
        <v>730</v>
      </c>
    </row>
    <row r="14" spans="1:8">
      <c r="A14" s="1"/>
      <c r="B14" s="26" t="s">
        <v>17</v>
      </c>
      <c r="C14" s="28" t="s">
        <v>18</v>
      </c>
      <c r="D14" s="21">
        <v>185</v>
      </c>
      <c r="E14" s="29"/>
      <c r="F14" s="23"/>
      <c r="G14" s="30"/>
      <c r="H14" s="24">
        <f>(D14)</f>
        <v>185</v>
      </c>
    </row>
    <row r="15" spans="1:8" ht="14.25" thickBot="1">
      <c r="A15" s="1"/>
      <c r="B15" s="31" t="s">
        <v>19</v>
      </c>
      <c r="C15" s="32" t="s">
        <v>16</v>
      </c>
      <c r="D15" s="33">
        <v>155</v>
      </c>
      <c r="E15" s="34"/>
      <c r="F15" s="35"/>
      <c r="G15" s="36"/>
      <c r="H15" s="37">
        <f>(D15)</f>
        <v>155</v>
      </c>
    </row>
    <row r="16" spans="1:8" ht="15.75" thickTop="1">
      <c r="A16" s="1"/>
      <c r="B16" s="38"/>
      <c r="C16" s="39"/>
      <c r="D16" s="39"/>
      <c r="E16" s="40" t="s">
        <v>20</v>
      </c>
      <c r="F16" s="41"/>
      <c r="G16" s="42"/>
      <c r="H16" s="43">
        <f>SUM(H6:H15)</f>
        <v>5770</v>
      </c>
    </row>
    <row r="17" spans="1:8" ht="15.75" thickBot="1">
      <c r="A17" s="1"/>
      <c r="B17" s="44"/>
      <c r="C17" s="45"/>
      <c r="D17" s="45"/>
      <c r="E17" s="46" t="str">
        <f>IF(C4&gt;H16,"低于预算","超出预算")</f>
        <v>低于预算</v>
      </c>
      <c r="F17" s="47"/>
      <c r="G17" s="48"/>
      <c r="H17" s="49">
        <f>(C4-H16)</f>
        <v>130</v>
      </c>
    </row>
    <row r="18" spans="1:8" ht="14.25" thickTop="1"/>
  </sheetData>
  <mergeCells count="1">
    <mergeCell ref="A1:H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2018-12-25T01:34:22Z</dcterms:modified>
</cp:coreProperties>
</file>
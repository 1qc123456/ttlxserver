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770" windowHeight="9510"/>
  </bookViews>
  <sheets>
    <sheet name="成绩表" sheetId="1" r:id="rId1"/>
    <sheet name="Sheet2" sheetId="2" r:id="rId2"/>
    <sheet name="筛选" sheetId="3" r:id="rId3"/>
    <sheet name="排序" sheetId="4" r:id="rId4"/>
    <sheet name="图表" sheetId="5" r:id="rId5"/>
  </sheets>
  <definedNames>
    <definedName name="_xlnm.Criteria" localSheetId="2">筛选!$A$1:$B$2</definedName>
    <definedName name="_xlnm.Extract" localSheetId="2">筛选!$A$5:$H$5</definedName>
  </definedNames>
  <calcPr calcId="144525"/>
</workbook>
</file>

<file path=xl/sharedStrings.xml><?xml version="1.0" encoding="utf-8"?>
<sst xmlns="http://schemas.openxmlformats.org/spreadsheetml/2006/main" count="115" uniqueCount="35">
  <si>
    <t>部分学生成绩统计表</t>
  </si>
  <si>
    <t>学号</t>
  </si>
  <si>
    <t>班级</t>
  </si>
  <si>
    <t>姓名</t>
  </si>
  <si>
    <t>平时成绩</t>
  </si>
  <si>
    <t>期中成绩</t>
  </si>
  <si>
    <t>期末成绩</t>
  </si>
  <si>
    <t>实习成绩</t>
  </si>
  <si>
    <t>综合评分</t>
  </si>
  <si>
    <t>丁加明</t>
  </si>
  <si>
    <t>刘丽利</t>
  </si>
  <si>
    <t>陈霞</t>
  </si>
  <si>
    <t>李小刚</t>
  </si>
  <si>
    <t>顾书凡</t>
  </si>
  <si>
    <t>何小红</t>
  </si>
  <si>
    <t>张国涛</t>
  </si>
  <si>
    <t>吴向群</t>
  </si>
  <si>
    <t>李志明</t>
  </si>
  <si>
    <t>刘寒冰</t>
  </si>
  <si>
    <t>刘波</t>
  </si>
  <si>
    <t>马文明</t>
  </si>
  <si>
    <t>翟志明</t>
  </si>
  <si>
    <t>邵青青</t>
  </si>
  <si>
    <t>王新明</t>
  </si>
  <si>
    <t>周永</t>
  </si>
  <si>
    <t>许德昌</t>
  </si>
  <si>
    <t>阎艳</t>
  </si>
  <si>
    <t>尹一平</t>
  </si>
  <si>
    <t>许钦</t>
  </si>
  <si>
    <t>王丽</t>
  </si>
  <si>
    <t>章元程</t>
  </si>
  <si>
    <t>赵文宣</t>
  </si>
  <si>
    <t>朱珠</t>
  </si>
  <si>
    <t>2班</t>
  </si>
  <si>
    <t>&gt;80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</si>
</sst>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24">
    <font>
      <sz val="12"/>
      <name val="宋体"/>
      <charset val="134"/>
    </font>
    <font>
      <b/>
      <sz val="14"/>
      <color rgb="FFFF0000"/>
      <name val="华文行楷"/>
      <charset val="134"/>
    </font>
    <font>
      <sz val="10"/>
      <name val="黑体"/>
      <charset val="134"/>
    </font>
    <font>
      <b/>
      <sz val="14"/>
      <color rgb="FFFF0000"/>
      <name val="微软雅黑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ck">
        <color rgb="FF0070C0"/>
      </left>
      <right/>
      <top style="thick">
        <color rgb="FF0070C0"/>
      </top>
      <bottom/>
      <diagonal/>
    </border>
    <border>
      <left/>
      <right/>
      <top style="thick">
        <color rgb="FF0070C0"/>
      </top>
      <bottom/>
      <diagonal/>
    </border>
    <border>
      <left/>
      <right style="thick">
        <color rgb="FF0070C0"/>
      </right>
      <top style="thick">
        <color rgb="FF0070C0"/>
      </top>
      <bottom/>
      <diagonal/>
    </border>
    <border>
      <left style="thick">
        <color rgb="FF0070C0"/>
      </left>
      <right/>
      <top/>
      <bottom/>
      <diagonal/>
    </border>
    <border>
      <left/>
      <right style="thick">
        <color rgb="FF0070C0"/>
      </right>
      <top/>
      <bottom/>
      <diagonal/>
    </border>
    <border>
      <left style="thick">
        <color rgb="FF0070C0"/>
      </left>
      <right/>
      <top/>
      <bottom style="thick">
        <color rgb="FF0070C0"/>
      </bottom>
      <diagonal/>
    </border>
    <border>
      <left/>
      <right/>
      <top/>
      <bottom style="thick">
        <color rgb="FF0070C0"/>
      </bottom>
      <diagonal/>
    </border>
    <border>
      <left/>
      <right style="thick">
        <color rgb="FF0070C0"/>
      </right>
      <top/>
      <bottom style="thick">
        <color rgb="FF0070C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6" fillId="3" borderId="9" applyNumberFormat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4" fillId="7" borderId="10" applyNumberFormat="0" applyFont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1" fillId="0" borderId="12" applyNumberFormat="0" applyFill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7" fillId="11" borderId="13" applyNumberFormat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19" fillId="12" borderId="14" applyNumberFormat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176" fontId="2" fillId="0" borderId="5" xfId="0" applyNumberFormat="1" applyFont="1" applyBorder="1" applyAlignment="1">
      <alignment horizontal="center" vertical="center"/>
    </xf>
    <xf numFmtId="49" fontId="2" fillId="0" borderId="6" xfId="0" applyNumberFormat="1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176" fontId="2" fillId="0" borderId="8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ont>
        <color rgb="FF9C0006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zh-CN" sz="1400" b="0" i="0" u="none" strike="noStrike" baseline="0">
                <a:effectLst/>
              </a:rPr>
              <a:t>部分</a:t>
            </a:r>
            <a:r>
              <a:rPr lang="en-US" altLang="zh-CN" sz="1400" b="0" i="0" u="none" strike="noStrike" baseline="0">
                <a:effectLst/>
              </a:rPr>
              <a:t>2</a:t>
            </a:r>
            <a:r>
              <a:rPr lang="zh-CN" altLang="zh-CN" sz="1400" b="0" i="0" u="none" strike="noStrike" baseline="0">
                <a:effectLst/>
              </a:rPr>
              <a:t>班学生综合评分统计图</a:t>
            </a:r>
            <a:endParaRPr lang="zh-CN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排序!$H$2</c:f>
              <c:strCache>
                <c:ptCount val="1"/>
                <c:pt idx="0">
                  <c:v>综合评分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排序!$C$3:$C$12</c:f>
              <c:strCache>
                <c:ptCount val="10"/>
                <c:pt idx="0">
                  <c:v>邵青青</c:v>
                </c:pt>
                <c:pt idx="1">
                  <c:v>吴向群</c:v>
                </c:pt>
                <c:pt idx="2">
                  <c:v>周永</c:v>
                </c:pt>
                <c:pt idx="3">
                  <c:v>尹一平</c:v>
                </c:pt>
                <c:pt idx="4">
                  <c:v>许钦</c:v>
                </c:pt>
                <c:pt idx="5">
                  <c:v>顾书凡</c:v>
                </c:pt>
                <c:pt idx="6">
                  <c:v>赵文宣</c:v>
                </c:pt>
                <c:pt idx="7">
                  <c:v>丁加明</c:v>
                </c:pt>
                <c:pt idx="8">
                  <c:v>李小刚</c:v>
                </c:pt>
                <c:pt idx="9">
                  <c:v>刘丽利</c:v>
                </c:pt>
              </c:strCache>
            </c:strRef>
          </c:cat>
          <c:val>
            <c:numRef>
              <c:f>排序!$H$3:$H$12</c:f>
              <c:numCache>
                <c:formatCode>0.0_ </c:formatCode>
                <c:ptCount val="10"/>
                <c:pt idx="0">
                  <c:v>84.7</c:v>
                </c:pt>
                <c:pt idx="1">
                  <c:v>82.1</c:v>
                </c:pt>
                <c:pt idx="2">
                  <c:v>79.8</c:v>
                </c:pt>
                <c:pt idx="3">
                  <c:v>79.5</c:v>
                </c:pt>
                <c:pt idx="4">
                  <c:v>77.5</c:v>
                </c:pt>
                <c:pt idx="5">
                  <c:v>77.1</c:v>
                </c:pt>
                <c:pt idx="6">
                  <c:v>76.9</c:v>
                </c:pt>
                <c:pt idx="7">
                  <c:v>73.9</c:v>
                </c:pt>
                <c:pt idx="8">
                  <c:v>72.6</c:v>
                </c:pt>
                <c:pt idx="9">
                  <c:v>72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67589160"/>
        <c:axId val="467586208"/>
      </c:barChart>
      <c:catAx>
        <c:axId val="467589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67586208"/>
        <c:crosses val="autoZero"/>
        <c:auto val="1"/>
        <c:lblAlgn val="ctr"/>
        <c:lblOffset val="100"/>
        <c:noMultiLvlLbl val="0"/>
      </c:catAx>
      <c:valAx>
        <c:axId val="467586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67589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261937</xdr:colOff>
      <xdr:row>3</xdr:row>
      <xdr:rowOff>109537</xdr:rowOff>
    </xdr:from>
    <xdr:to>
      <xdr:col>8</xdr:col>
      <xdr:colOff>33337</xdr:colOff>
      <xdr:row>18</xdr:row>
      <xdr:rowOff>138112</xdr:rowOff>
    </xdr:to>
    <xdr:graphicFrame>
      <xdr:nvGraphicFramePr>
        <xdr:cNvPr id="2" name="图表 1"/>
        <xdr:cNvGraphicFramePr/>
      </xdr:nvGraphicFramePr>
      <xdr:xfrm>
        <a:off x="947420" y="652145"/>
        <a:ext cx="4572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6"/>
  <sheetViews>
    <sheetView tabSelected="1" workbookViewId="0">
      <selection activeCell="L7" sqref="L7"/>
    </sheetView>
  </sheetViews>
  <sheetFormatPr defaultColWidth="9" defaultRowHeight="14.25" outlineLevelCol="7"/>
  <cols>
    <col min="1" max="1" width="14" customWidth="1"/>
    <col min="9" max="9" width="12.75" customWidth="1"/>
  </cols>
  <sheetData>
    <row r="1" ht="21" spans="1:8">
      <c r="A1" s="14" t="s">
        <v>0</v>
      </c>
      <c r="B1" s="14"/>
      <c r="C1" s="14"/>
      <c r="D1" s="14"/>
      <c r="E1" s="14"/>
      <c r="F1" s="14"/>
      <c r="G1" s="14"/>
      <c r="H1" s="14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>
        <v>20171021039</v>
      </c>
      <c r="B3" s="2" t="str">
        <f>MID(A3,7,1)&amp;"班"</f>
        <v>2班</v>
      </c>
      <c r="C3" s="2" t="s">
        <v>9</v>
      </c>
      <c r="D3" s="2">
        <v>80</v>
      </c>
      <c r="E3" s="2">
        <v>69</v>
      </c>
      <c r="F3" s="2">
        <v>68</v>
      </c>
      <c r="G3" s="2">
        <v>75</v>
      </c>
      <c r="H3" s="4">
        <f>D3*0.3+E3*0.2+F3*0.2+G3*0.3</f>
        <v>73.9</v>
      </c>
    </row>
    <row r="4" spans="1:8">
      <c r="A4" s="3">
        <v>20171021026</v>
      </c>
      <c r="B4" s="2" t="str">
        <f t="shared" ref="B4:B26" si="0">MID(A4,7,1)&amp;"班"</f>
        <v>2班</v>
      </c>
      <c r="C4" s="2" t="s">
        <v>10</v>
      </c>
      <c r="D4" s="2">
        <v>65</v>
      </c>
      <c r="E4" s="2">
        <v>71</v>
      </c>
      <c r="F4" s="2">
        <v>58</v>
      </c>
      <c r="G4" s="2">
        <v>89</v>
      </c>
      <c r="H4" s="4">
        <f t="shared" ref="H4:H26" si="1">D4*0.3+E4*0.2+F4*0.2+G4*0.3</f>
        <v>72</v>
      </c>
    </row>
    <row r="5" spans="1:8">
      <c r="A5" s="3">
        <v>20171041029</v>
      </c>
      <c r="B5" s="2" t="str">
        <f t="shared" si="0"/>
        <v>4班</v>
      </c>
      <c r="C5" s="2" t="s">
        <v>11</v>
      </c>
      <c r="D5" s="2">
        <v>80</v>
      </c>
      <c r="E5" s="2">
        <v>84</v>
      </c>
      <c r="F5" s="2">
        <v>83</v>
      </c>
      <c r="G5" s="2">
        <v>75</v>
      </c>
      <c r="H5" s="4">
        <f t="shared" si="1"/>
        <v>79.9</v>
      </c>
    </row>
    <row r="6" spans="1:8">
      <c r="A6" s="3">
        <v>20171021036</v>
      </c>
      <c r="B6" s="2" t="str">
        <f t="shared" si="0"/>
        <v>2班</v>
      </c>
      <c r="C6" s="2" t="s">
        <v>12</v>
      </c>
      <c r="D6" s="2">
        <v>80</v>
      </c>
      <c r="E6" s="2">
        <v>72</v>
      </c>
      <c r="F6" s="2">
        <v>66</v>
      </c>
      <c r="G6" s="2">
        <v>70</v>
      </c>
      <c r="H6" s="4">
        <f t="shared" si="1"/>
        <v>72.6</v>
      </c>
    </row>
    <row r="7" spans="1:8">
      <c r="A7" s="3">
        <v>20171021038</v>
      </c>
      <c r="B7" s="2" t="str">
        <f t="shared" si="0"/>
        <v>2班</v>
      </c>
      <c r="C7" s="2" t="s">
        <v>13</v>
      </c>
      <c r="D7" s="2">
        <v>80</v>
      </c>
      <c r="E7" s="2">
        <v>82</v>
      </c>
      <c r="F7" s="2">
        <v>71</v>
      </c>
      <c r="G7" s="2">
        <v>75</v>
      </c>
      <c r="H7" s="4">
        <f t="shared" si="1"/>
        <v>77.1</v>
      </c>
    </row>
    <row r="8" spans="1:8">
      <c r="A8" s="3">
        <v>20171032051</v>
      </c>
      <c r="B8" s="2" t="str">
        <f t="shared" si="0"/>
        <v>3班</v>
      </c>
      <c r="C8" s="2" t="s">
        <v>14</v>
      </c>
      <c r="D8" s="2">
        <v>88</v>
      </c>
      <c r="E8" s="2">
        <v>81</v>
      </c>
      <c r="F8" s="2">
        <v>74</v>
      </c>
      <c r="G8" s="2">
        <v>75</v>
      </c>
      <c r="H8" s="4">
        <f t="shared" si="1"/>
        <v>79.9</v>
      </c>
    </row>
    <row r="9" spans="1:8">
      <c r="A9" s="3">
        <v>20171041042</v>
      </c>
      <c r="B9" s="2" t="str">
        <f t="shared" si="0"/>
        <v>4班</v>
      </c>
      <c r="C9" s="2" t="s">
        <v>15</v>
      </c>
      <c r="D9" s="2">
        <v>80</v>
      </c>
      <c r="E9" s="2">
        <v>78</v>
      </c>
      <c r="F9" s="2">
        <v>74</v>
      </c>
      <c r="G9" s="2">
        <v>66</v>
      </c>
      <c r="H9" s="4">
        <f t="shared" si="1"/>
        <v>74.2</v>
      </c>
    </row>
    <row r="10" spans="1:8">
      <c r="A10" s="3">
        <v>20171021031</v>
      </c>
      <c r="B10" s="2" t="str">
        <f t="shared" si="0"/>
        <v>2班</v>
      </c>
      <c r="C10" s="2" t="s">
        <v>16</v>
      </c>
      <c r="D10" s="2">
        <v>90</v>
      </c>
      <c r="E10" s="2">
        <v>83</v>
      </c>
      <c r="F10" s="2">
        <v>80</v>
      </c>
      <c r="G10" s="2">
        <v>75</v>
      </c>
      <c r="H10" s="4">
        <f t="shared" si="1"/>
        <v>82.1</v>
      </c>
    </row>
    <row r="11" spans="1:8">
      <c r="A11" s="3">
        <v>20171032008</v>
      </c>
      <c r="B11" s="2" t="str">
        <f t="shared" si="0"/>
        <v>3班</v>
      </c>
      <c r="C11" s="2" t="s">
        <v>17</v>
      </c>
      <c r="D11" s="2">
        <v>80</v>
      </c>
      <c r="E11" s="2">
        <v>81</v>
      </c>
      <c r="F11" s="2">
        <v>70</v>
      </c>
      <c r="G11" s="2">
        <v>75</v>
      </c>
      <c r="H11" s="4">
        <f t="shared" si="1"/>
        <v>76.7</v>
      </c>
    </row>
    <row r="12" spans="1:8">
      <c r="A12" s="3">
        <v>20171041051</v>
      </c>
      <c r="B12" s="2" t="str">
        <f t="shared" si="0"/>
        <v>4班</v>
      </c>
      <c r="C12" s="2" t="s">
        <v>18</v>
      </c>
      <c r="D12" s="2">
        <v>80</v>
      </c>
      <c r="E12" s="2">
        <v>77</v>
      </c>
      <c r="F12" s="2">
        <v>72</v>
      </c>
      <c r="G12" s="2">
        <v>77</v>
      </c>
      <c r="H12" s="4">
        <f t="shared" si="1"/>
        <v>76.9</v>
      </c>
    </row>
    <row r="13" spans="1:8">
      <c r="A13" s="3">
        <v>20171041017</v>
      </c>
      <c r="B13" s="2" t="str">
        <f t="shared" si="0"/>
        <v>4班</v>
      </c>
      <c r="C13" s="2" t="s">
        <v>19</v>
      </c>
      <c r="D13" s="2">
        <v>80</v>
      </c>
      <c r="E13" s="2">
        <v>73</v>
      </c>
      <c r="F13" s="2">
        <v>72</v>
      </c>
      <c r="G13" s="2">
        <v>75</v>
      </c>
      <c r="H13" s="4">
        <f t="shared" si="1"/>
        <v>75.5</v>
      </c>
    </row>
    <row r="14" spans="1:8">
      <c r="A14" s="3">
        <v>20171032102</v>
      </c>
      <c r="B14" s="2" t="str">
        <f t="shared" si="0"/>
        <v>3班</v>
      </c>
      <c r="C14" s="2" t="s">
        <v>20</v>
      </c>
      <c r="D14" s="2">
        <v>65</v>
      </c>
      <c r="E14" s="2">
        <v>78</v>
      </c>
      <c r="F14" s="2">
        <v>81</v>
      </c>
      <c r="G14" s="2">
        <v>59</v>
      </c>
      <c r="H14" s="4">
        <f t="shared" si="1"/>
        <v>69</v>
      </c>
    </row>
    <row r="15" spans="1:8">
      <c r="A15" s="3">
        <v>20171041013</v>
      </c>
      <c r="B15" s="2" t="str">
        <f t="shared" si="0"/>
        <v>4班</v>
      </c>
      <c r="C15" s="2" t="s">
        <v>21</v>
      </c>
      <c r="D15" s="2">
        <v>80</v>
      </c>
      <c r="E15" s="2">
        <v>75</v>
      </c>
      <c r="F15" s="2">
        <v>77</v>
      </c>
      <c r="G15" s="2">
        <v>75</v>
      </c>
      <c r="H15" s="4">
        <f t="shared" si="1"/>
        <v>76.9</v>
      </c>
    </row>
    <row r="16" spans="1:8">
      <c r="A16" s="3">
        <v>20171021037</v>
      </c>
      <c r="B16" s="2" t="str">
        <f t="shared" si="0"/>
        <v>2班</v>
      </c>
      <c r="C16" s="2" t="s">
        <v>22</v>
      </c>
      <c r="D16" s="2">
        <v>90</v>
      </c>
      <c r="E16" s="2">
        <v>81</v>
      </c>
      <c r="F16" s="2">
        <v>80</v>
      </c>
      <c r="G16" s="2">
        <v>85</v>
      </c>
      <c r="H16" s="4">
        <f t="shared" si="1"/>
        <v>84.7</v>
      </c>
    </row>
    <row r="17" spans="1:8">
      <c r="A17" s="3">
        <v>20171032016</v>
      </c>
      <c r="B17" s="2" t="str">
        <f t="shared" si="0"/>
        <v>3班</v>
      </c>
      <c r="C17" s="2" t="s">
        <v>23</v>
      </c>
      <c r="D17" s="2">
        <v>85</v>
      </c>
      <c r="E17" s="2">
        <v>72</v>
      </c>
      <c r="F17" s="2">
        <v>83</v>
      </c>
      <c r="G17" s="2">
        <v>75</v>
      </c>
      <c r="H17" s="4">
        <f t="shared" si="1"/>
        <v>79</v>
      </c>
    </row>
    <row r="18" spans="1:8">
      <c r="A18" s="3">
        <v>20171021016</v>
      </c>
      <c r="B18" s="2" t="str">
        <f t="shared" si="0"/>
        <v>2班</v>
      </c>
      <c r="C18" s="2" t="s">
        <v>24</v>
      </c>
      <c r="D18" s="2">
        <v>80</v>
      </c>
      <c r="E18" s="2">
        <v>79</v>
      </c>
      <c r="F18" s="2">
        <v>74</v>
      </c>
      <c r="G18" s="2">
        <v>84</v>
      </c>
      <c r="H18" s="4">
        <f t="shared" si="1"/>
        <v>79.8</v>
      </c>
    </row>
    <row r="19" spans="1:8">
      <c r="A19" s="3">
        <v>20171032041</v>
      </c>
      <c r="B19" s="2" t="str">
        <f t="shared" si="0"/>
        <v>3班</v>
      </c>
      <c r="C19" s="2" t="s">
        <v>25</v>
      </c>
      <c r="D19" s="2">
        <v>80</v>
      </c>
      <c r="E19" s="2">
        <v>83</v>
      </c>
      <c r="F19" s="2">
        <v>81</v>
      </c>
      <c r="G19" s="2">
        <v>75</v>
      </c>
      <c r="H19" s="4">
        <f t="shared" si="1"/>
        <v>79.3</v>
      </c>
    </row>
    <row r="20" spans="1:8">
      <c r="A20" s="3">
        <v>20171041039</v>
      </c>
      <c r="B20" s="2" t="str">
        <f t="shared" si="0"/>
        <v>4班</v>
      </c>
      <c r="C20" s="2" t="s">
        <v>26</v>
      </c>
      <c r="D20" s="2">
        <v>80</v>
      </c>
      <c r="E20" s="2">
        <v>76</v>
      </c>
      <c r="F20" s="2">
        <v>75</v>
      </c>
      <c r="G20" s="2">
        <v>75</v>
      </c>
      <c r="H20" s="4">
        <f t="shared" si="1"/>
        <v>76.7</v>
      </c>
    </row>
    <row r="21" spans="1:8">
      <c r="A21" s="3">
        <v>20171021042</v>
      </c>
      <c r="B21" s="2" t="str">
        <f t="shared" si="0"/>
        <v>2班</v>
      </c>
      <c r="C21" s="2" t="s">
        <v>27</v>
      </c>
      <c r="D21" s="2">
        <v>80</v>
      </c>
      <c r="E21" s="2">
        <v>83</v>
      </c>
      <c r="F21" s="2">
        <v>82</v>
      </c>
      <c r="G21" s="2">
        <v>75</v>
      </c>
      <c r="H21" s="4">
        <f t="shared" si="1"/>
        <v>79.5</v>
      </c>
    </row>
    <row r="22" spans="1:8">
      <c r="A22" s="3">
        <v>20171021043</v>
      </c>
      <c r="B22" s="2" t="str">
        <f t="shared" si="0"/>
        <v>2班</v>
      </c>
      <c r="C22" s="2" t="s">
        <v>28</v>
      </c>
      <c r="D22" s="2">
        <v>80</v>
      </c>
      <c r="E22" s="2">
        <v>72</v>
      </c>
      <c r="F22" s="2">
        <v>83</v>
      </c>
      <c r="G22" s="2">
        <v>75</v>
      </c>
      <c r="H22" s="4">
        <f t="shared" si="1"/>
        <v>77.5</v>
      </c>
    </row>
    <row r="23" spans="1:8">
      <c r="A23" s="3">
        <v>20171032023</v>
      </c>
      <c r="B23" s="2" t="str">
        <f t="shared" si="0"/>
        <v>3班</v>
      </c>
      <c r="C23" s="2" t="s">
        <v>29</v>
      </c>
      <c r="D23" s="2">
        <v>70</v>
      </c>
      <c r="E23" s="2">
        <v>55</v>
      </c>
      <c r="F23" s="2">
        <v>73</v>
      </c>
      <c r="G23" s="2">
        <v>75</v>
      </c>
      <c r="H23" s="4">
        <f t="shared" si="1"/>
        <v>69.1</v>
      </c>
    </row>
    <row r="24" spans="1:8">
      <c r="A24" s="3">
        <v>20171032043</v>
      </c>
      <c r="B24" s="2" t="str">
        <f t="shared" si="0"/>
        <v>3班</v>
      </c>
      <c r="C24" s="2" t="s">
        <v>30</v>
      </c>
      <c r="D24" s="2">
        <v>80</v>
      </c>
      <c r="E24" s="2">
        <v>73</v>
      </c>
      <c r="F24" s="2">
        <v>65</v>
      </c>
      <c r="G24" s="2">
        <v>71</v>
      </c>
      <c r="H24" s="4">
        <f t="shared" si="1"/>
        <v>72.9</v>
      </c>
    </row>
    <row r="25" spans="1:8">
      <c r="A25" s="3">
        <v>20171021007</v>
      </c>
      <c r="B25" s="2" t="str">
        <f t="shared" si="0"/>
        <v>2班</v>
      </c>
      <c r="C25" s="2" t="s">
        <v>31</v>
      </c>
      <c r="D25" s="2">
        <v>80</v>
      </c>
      <c r="E25" s="2">
        <v>70</v>
      </c>
      <c r="F25" s="2">
        <v>82</v>
      </c>
      <c r="G25" s="2">
        <v>75</v>
      </c>
      <c r="H25" s="4">
        <f t="shared" si="1"/>
        <v>76.9</v>
      </c>
    </row>
    <row r="26" spans="1:8">
      <c r="A26" s="3">
        <v>20171041052</v>
      </c>
      <c r="B26" s="2" t="str">
        <f t="shared" si="0"/>
        <v>4班</v>
      </c>
      <c r="C26" s="2" t="s">
        <v>32</v>
      </c>
      <c r="D26" s="2">
        <v>75</v>
      </c>
      <c r="E26" s="2">
        <v>81</v>
      </c>
      <c r="F26" s="2">
        <v>80</v>
      </c>
      <c r="G26" s="2">
        <v>73</v>
      </c>
      <c r="H26" s="4">
        <f t="shared" si="1"/>
        <v>76.6</v>
      </c>
    </row>
  </sheetData>
  <mergeCells count="1">
    <mergeCell ref="A1:H1"/>
  </mergeCells>
  <pageMargins left="0.75" right="0.75" top="1" bottom="1" header="0.5" footer="0.5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6"/>
  <sheetViews>
    <sheetView workbookViewId="0">
      <selection activeCell="J16" sqref="J16"/>
    </sheetView>
  </sheetViews>
  <sheetFormatPr defaultColWidth="9" defaultRowHeight="14.25" outlineLevelCol="7"/>
  <cols>
    <col min="1" max="1" width="12.25" customWidth="1"/>
  </cols>
  <sheetData>
    <row r="1" ht="18.75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>
        <v>20171021039</v>
      </c>
      <c r="B3" s="2" t="str">
        <f>MID(A3,7,1)&amp;"班"</f>
        <v>2班</v>
      </c>
      <c r="C3" s="2" t="s">
        <v>9</v>
      </c>
      <c r="D3" s="2">
        <v>80</v>
      </c>
      <c r="E3" s="2">
        <v>69</v>
      </c>
      <c r="F3" s="2">
        <v>68</v>
      </c>
      <c r="G3" s="2">
        <v>75</v>
      </c>
      <c r="H3" s="4">
        <f>D3*0.3+E3*0.2+F3*0.2+G3*0.3</f>
        <v>73.9</v>
      </c>
    </row>
    <row r="4" spans="1:8">
      <c r="A4" s="3">
        <v>20171021026</v>
      </c>
      <c r="B4" s="2" t="str">
        <f t="shared" ref="B4:B26" si="0">MID(A4,7,1)&amp;"班"</f>
        <v>2班</v>
      </c>
      <c r="C4" s="2" t="s">
        <v>10</v>
      </c>
      <c r="D4" s="2">
        <v>65</v>
      </c>
      <c r="E4" s="2">
        <v>71</v>
      </c>
      <c r="F4" s="2">
        <v>58</v>
      </c>
      <c r="G4" s="2">
        <v>89</v>
      </c>
      <c r="H4" s="4">
        <f t="shared" ref="H4:H26" si="1">D4*0.3+E4*0.2+F4*0.2+G4*0.3</f>
        <v>72</v>
      </c>
    </row>
    <row r="5" spans="1:8">
      <c r="A5" s="3">
        <v>20171041029</v>
      </c>
      <c r="B5" s="2" t="str">
        <f t="shared" si="0"/>
        <v>4班</v>
      </c>
      <c r="C5" s="2" t="s">
        <v>11</v>
      </c>
      <c r="D5" s="2">
        <v>80</v>
      </c>
      <c r="E5" s="2">
        <v>84</v>
      </c>
      <c r="F5" s="2">
        <v>83</v>
      </c>
      <c r="G5" s="2">
        <v>75</v>
      </c>
      <c r="H5" s="4">
        <f t="shared" si="1"/>
        <v>79.9</v>
      </c>
    </row>
    <row r="6" spans="1:8">
      <c r="A6" s="3">
        <v>20171021036</v>
      </c>
      <c r="B6" s="2" t="str">
        <f t="shared" si="0"/>
        <v>2班</v>
      </c>
      <c r="C6" s="2" t="s">
        <v>12</v>
      </c>
      <c r="D6" s="2">
        <v>80</v>
      </c>
      <c r="E6" s="2">
        <v>72</v>
      </c>
      <c r="F6" s="2">
        <v>66</v>
      </c>
      <c r="G6" s="2">
        <v>70</v>
      </c>
      <c r="H6" s="4">
        <f t="shared" si="1"/>
        <v>72.6</v>
      </c>
    </row>
    <row r="7" spans="1:8">
      <c r="A7" s="3">
        <v>20171021038</v>
      </c>
      <c r="B7" s="2" t="str">
        <f t="shared" si="0"/>
        <v>2班</v>
      </c>
      <c r="C7" s="2" t="s">
        <v>13</v>
      </c>
      <c r="D7" s="2">
        <v>80</v>
      </c>
      <c r="E7" s="2">
        <v>82</v>
      </c>
      <c r="F7" s="2">
        <v>71</v>
      </c>
      <c r="G7" s="2">
        <v>75</v>
      </c>
      <c r="H7" s="4">
        <f t="shared" si="1"/>
        <v>77.1</v>
      </c>
    </row>
    <row r="8" spans="1:8">
      <c r="A8" s="3">
        <v>20171032051</v>
      </c>
      <c r="B8" s="2" t="str">
        <f t="shared" si="0"/>
        <v>3班</v>
      </c>
      <c r="C8" s="2" t="s">
        <v>14</v>
      </c>
      <c r="D8" s="2">
        <v>88</v>
      </c>
      <c r="E8" s="2">
        <v>81</v>
      </c>
      <c r="F8" s="2">
        <v>74</v>
      </c>
      <c r="G8" s="2">
        <v>75</v>
      </c>
      <c r="H8" s="4">
        <f t="shared" si="1"/>
        <v>79.9</v>
      </c>
    </row>
    <row r="9" spans="1:8">
      <c r="A9" s="3">
        <v>20171041042</v>
      </c>
      <c r="B9" s="2" t="str">
        <f t="shared" si="0"/>
        <v>4班</v>
      </c>
      <c r="C9" s="2" t="s">
        <v>15</v>
      </c>
      <c r="D9" s="2">
        <v>80</v>
      </c>
      <c r="E9" s="2">
        <v>78</v>
      </c>
      <c r="F9" s="2">
        <v>74</v>
      </c>
      <c r="G9" s="2">
        <v>66</v>
      </c>
      <c r="H9" s="4">
        <f t="shared" si="1"/>
        <v>74.2</v>
      </c>
    </row>
    <row r="10" spans="1:8">
      <c r="A10" s="3">
        <v>20171021031</v>
      </c>
      <c r="B10" s="2" t="str">
        <f t="shared" si="0"/>
        <v>2班</v>
      </c>
      <c r="C10" s="2" t="s">
        <v>16</v>
      </c>
      <c r="D10" s="2">
        <v>90</v>
      </c>
      <c r="E10" s="2">
        <v>83</v>
      </c>
      <c r="F10" s="2">
        <v>80</v>
      </c>
      <c r="G10" s="2">
        <v>75</v>
      </c>
      <c r="H10" s="4">
        <f t="shared" si="1"/>
        <v>82.1</v>
      </c>
    </row>
    <row r="11" spans="1:8">
      <c r="A11" s="3">
        <v>20171032008</v>
      </c>
      <c r="B11" s="2" t="str">
        <f t="shared" si="0"/>
        <v>3班</v>
      </c>
      <c r="C11" s="2" t="s">
        <v>17</v>
      </c>
      <c r="D11" s="2">
        <v>80</v>
      </c>
      <c r="E11" s="2">
        <v>81</v>
      </c>
      <c r="F11" s="2">
        <v>70</v>
      </c>
      <c r="G11" s="2">
        <v>75</v>
      </c>
      <c r="H11" s="4">
        <f t="shared" si="1"/>
        <v>76.7</v>
      </c>
    </row>
    <row r="12" spans="1:8">
      <c r="A12" s="3">
        <v>20171041051</v>
      </c>
      <c r="B12" s="2" t="str">
        <f t="shared" si="0"/>
        <v>4班</v>
      </c>
      <c r="C12" s="2" t="s">
        <v>18</v>
      </c>
      <c r="D12" s="2">
        <v>80</v>
      </c>
      <c r="E12" s="2">
        <v>77</v>
      </c>
      <c r="F12" s="2">
        <v>72</v>
      </c>
      <c r="G12" s="2">
        <v>77</v>
      </c>
      <c r="H12" s="4">
        <f t="shared" si="1"/>
        <v>76.9</v>
      </c>
    </row>
    <row r="13" spans="1:8">
      <c r="A13" s="3">
        <v>20171041017</v>
      </c>
      <c r="B13" s="2" t="str">
        <f t="shared" si="0"/>
        <v>4班</v>
      </c>
      <c r="C13" s="2" t="s">
        <v>19</v>
      </c>
      <c r="D13" s="2">
        <v>80</v>
      </c>
      <c r="E13" s="2">
        <v>73</v>
      </c>
      <c r="F13" s="2">
        <v>72</v>
      </c>
      <c r="G13" s="2">
        <v>75</v>
      </c>
      <c r="H13" s="4">
        <f t="shared" si="1"/>
        <v>75.5</v>
      </c>
    </row>
    <row r="14" spans="1:8">
      <c r="A14" s="3">
        <v>20171032102</v>
      </c>
      <c r="B14" s="2" t="str">
        <f t="shared" si="0"/>
        <v>3班</v>
      </c>
      <c r="C14" s="2" t="s">
        <v>20</v>
      </c>
      <c r="D14" s="2">
        <v>65</v>
      </c>
      <c r="E14" s="2">
        <v>78</v>
      </c>
      <c r="F14" s="2">
        <v>81</v>
      </c>
      <c r="G14" s="2">
        <v>59</v>
      </c>
      <c r="H14" s="4">
        <f t="shared" si="1"/>
        <v>69</v>
      </c>
    </row>
    <row r="15" spans="1:8">
      <c r="A15" s="3">
        <v>20171041013</v>
      </c>
      <c r="B15" s="2" t="str">
        <f t="shared" si="0"/>
        <v>4班</v>
      </c>
      <c r="C15" s="2" t="s">
        <v>21</v>
      </c>
      <c r="D15" s="2">
        <v>80</v>
      </c>
      <c r="E15" s="2">
        <v>75</v>
      </c>
      <c r="F15" s="2">
        <v>77</v>
      </c>
      <c r="G15" s="2">
        <v>75</v>
      </c>
      <c r="H15" s="4">
        <f t="shared" si="1"/>
        <v>76.9</v>
      </c>
    </row>
    <row r="16" spans="1:8">
      <c r="A16" s="3">
        <v>20171021037</v>
      </c>
      <c r="B16" s="2" t="str">
        <f t="shared" si="0"/>
        <v>2班</v>
      </c>
      <c r="C16" s="2" t="s">
        <v>22</v>
      </c>
      <c r="D16" s="2">
        <v>90</v>
      </c>
      <c r="E16" s="2">
        <v>81</v>
      </c>
      <c r="F16" s="2">
        <v>80</v>
      </c>
      <c r="G16" s="2">
        <v>85</v>
      </c>
      <c r="H16" s="4">
        <f t="shared" si="1"/>
        <v>84.7</v>
      </c>
    </row>
    <row r="17" spans="1:8">
      <c r="A17" s="3">
        <v>20171032016</v>
      </c>
      <c r="B17" s="2" t="str">
        <f t="shared" si="0"/>
        <v>3班</v>
      </c>
      <c r="C17" s="2" t="s">
        <v>23</v>
      </c>
      <c r="D17" s="2">
        <v>85</v>
      </c>
      <c r="E17" s="2">
        <v>72</v>
      </c>
      <c r="F17" s="2">
        <v>83</v>
      </c>
      <c r="G17" s="2">
        <v>75</v>
      </c>
      <c r="H17" s="4">
        <f t="shared" si="1"/>
        <v>79</v>
      </c>
    </row>
    <row r="18" spans="1:8">
      <c r="A18" s="3">
        <v>20171021016</v>
      </c>
      <c r="B18" s="2" t="str">
        <f t="shared" si="0"/>
        <v>2班</v>
      </c>
      <c r="C18" s="2" t="s">
        <v>24</v>
      </c>
      <c r="D18" s="2">
        <v>80</v>
      </c>
      <c r="E18" s="2">
        <v>79</v>
      </c>
      <c r="F18" s="2">
        <v>74</v>
      </c>
      <c r="G18" s="2">
        <v>84</v>
      </c>
      <c r="H18" s="4">
        <f t="shared" si="1"/>
        <v>79.8</v>
      </c>
    </row>
    <row r="19" spans="1:8">
      <c r="A19" s="3">
        <v>20171032041</v>
      </c>
      <c r="B19" s="2" t="str">
        <f t="shared" si="0"/>
        <v>3班</v>
      </c>
      <c r="C19" s="2" t="s">
        <v>25</v>
      </c>
      <c r="D19" s="2">
        <v>80</v>
      </c>
      <c r="E19" s="2">
        <v>83</v>
      </c>
      <c r="F19" s="2">
        <v>81</v>
      </c>
      <c r="G19" s="2">
        <v>75</v>
      </c>
      <c r="H19" s="4">
        <f t="shared" si="1"/>
        <v>79.3</v>
      </c>
    </row>
    <row r="20" spans="1:8">
      <c r="A20" s="3">
        <v>20171041039</v>
      </c>
      <c r="B20" s="2" t="str">
        <f t="shared" si="0"/>
        <v>4班</v>
      </c>
      <c r="C20" s="2" t="s">
        <v>26</v>
      </c>
      <c r="D20" s="2">
        <v>80</v>
      </c>
      <c r="E20" s="2">
        <v>76</v>
      </c>
      <c r="F20" s="2">
        <v>75</v>
      </c>
      <c r="G20" s="2">
        <v>75</v>
      </c>
      <c r="H20" s="4">
        <f t="shared" si="1"/>
        <v>76.7</v>
      </c>
    </row>
    <row r="21" spans="1:8">
      <c r="A21" s="3">
        <v>20171021042</v>
      </c>
      <c r="B21" s="2" t="str">
        <f t="shared" si="0"/>
        <v>2班</v>
      </c>
      <c r="C21" s="2" t="s">
        <v>27</v>
      </c>
      <c r="D21" s="2">
        <v>80</v>
      </c>
      <c r="E21" s="2">
        <v>83</v>
      </c>
      <c r="F21" s="2">
        <v>82</v>
      </c>
      <c r="G21" s="2">
        <v>75</v>
      </c>
      <c r="H21" s="4">
        <f t="shared" si="1"/>
        <v>79.5</v>
      </c>
    </row>
    <row r="22" spans="1:8">
      <c r="A22" s="3">
        <v>20171021043</v>
      </c>
      <c r="B22" s="2" t="str">
        <f t="shared" si="0"/>
        <v>2班</v>
      </c>
      <c r="C22" s="2" t="s">
        <v>28</v>
      </c>
      <c r="D22" s="2">
        <v>80</v>
      </c>
      <c r="E22" s="2">
        <v>72</v>
      </c>
      <c r="F22" s="2">
        <v>83</v>
      </c>
      <c r="G22" s="2">
        <v>75</v>
      </c>
      <c r="H22" s="4">
        <f t="shared" si="1"/>
        <v>77.5</v>
      </c>
    </row>
    <row r="23" spans="1:8">
      <c r="A23" s="3">
        <v>20171032023</v>
      </c>
      <c r="B23" s="2" t="str">
        <f t="shared" si="0"/>
        <v>3班</v>
      </c>
      <c r="C23" s="2" t="s">
        <v>29</v>
      </c>
      <c r="D23" s="2">
        <v>70</v>
      </c>
      <c r="E23" s="2">
        <v>55</v>
      </c>
      <c r="F23" s="2">
        <v>73</v>
      </c>
      <c r="G23" s="2">
        <v>75</v>
      </c>
      <c r="H23" s="4">
        <f t="shared" si="1"/>
        <v>69.1</v>
      </c>
    </row>
    <row r="24" spans="1:8">
      <c r="A24" s="3">
        <v>20171032043</v>
      </c>
      <c r="B24" s="2" t="str">
        <f t="shared" si="0"/>
        <v>3班</v>
      </c>
      <c r="C24" s="2" t="s">
        <v>30</v>
      </c>
      <c r="D24" s="2">
        <v>80</v>
      </c>
      <c r="E24" s="2">
        <v>73</v>
      </c>
      <c r="F24" s="2">
        <v>65</v>
      </c>
      <c r="G24" s="2">
        <v>71</v>
      </c>
      <c r="H24" s="4">
        <f t="shared" si="1"/>
        <v>72.9</v>
      </c>
    </row>
    <row r="25" spans="1:8">
      <c r="A25" s="3">
        <v>20171021007</v>
      </c>
      <c r="B25" s="2" t="str">
        <f t="shared" si="0"/>
        <v>2班</v>
      </c>
      <c r="C25" s="2" t="s">
        <v>31</v>
      </c>
      <c r="D25" s="2">
        <v>80</v>
      </c>
      <c r="E25" s="2">
        <v>70</v>
      </c>
      <c r="F25" s="2">
        <v>82</v>
      </c>
      <c r="G25" s="2">
        <v>75</v>
      </c>
      <c r="H25" s="4">
        <f t="shared" si="1"/>
        <v>76.9</v>
      </c>
    </row>
    <row r="26" spans="1:8">
      <c r="A26" s="3">
        <v>20171041052</v>
      </c>
      <c r="B26" s="2" t="str">
        <f t="shared" si="0"/>
        <v>4班</v>
      </c>
      <c r="C26" s="2" t="s">
        <v>32</v>
      </c>
      <c r="D26" s="2">
        <v>75</v>
      </c>
      <c r="E26" s="2">
        <v>81</v>
      </c>
      <c r="F26" s="2">
        <v>80</v>
      </c>
      <c r="G26" s="2">
        <v>73</v>
      </c>
      <c r="H26" s="4">
        <f t="shared" si="1"/>
        <v>76.6</v>
      </c>
    </row>
  </sheetData>
  <mergeCells count="1">
    <mergeCell ref="A1:H1"/>
  </mergeCells>
  <conditionalFormatting sqref="D3:H26">
    <cfRule type="cellIs" dxfId="0" priority="1" operator="lessThan">
      <formula>60</formula>
    </cfRule>
  </conditionalFormatting>
  <printOptions horizontalCentered="1"/>
  <pageMargins left="0.748031496062992" right="0.748031496062992" top="0.984251968503937" bottom="0.984251968503937" header="0.511811023622047" footer="0.511811023622047"/>
  <pageSetup paperSize="9" firstPageNumber="2" orientation="portrait" useFirstPageNumber="1"/>
  <headerFooter alignWithMargins="0">
    <oddFooter>&amp;C&amp;14&amp;P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"/>
  <sheetViews>
    <sheetView workbookViewId="0">
      <selection activeCell="E17" sqref="E17"/>
    </sheetView>
  </sheetViews>
  <sheetFormatPr defaultColWidth="9" defaultRowHeight="14.25" outlineLevelRow="7" outlineLevelCol="7"/>
  <sheetData>
    <row r="1" spans="1:2">
      <c r="A1" t="s">
        <v>2</v>
      </c>
      <c r="B1" t="s">
        <v>8</v>
      </c>
    </row>
    <row r="2" spans="1:2">
      <c r="A2" t="s">
        <v>33</v>
      </c>
      <c r="B2" t="s">
        <v>34</v>
      </c>
    </row>
    <row r="4" ht="15"/>
    <row r="5" ht="15" spans="1:8">
      <c r="A5" s="5" t="s">
        <v>1</v>
      </c>
      <c r="B5" s="6" t="s">
        <v>2</v>
      </c>
      <c r="C5" s="6" t="s">
        <v>3</v>
      </c>
      <c r="D5" s="6" t="s">
        <v>4</v>
      </c>
      <c r="E5" s="6" t="s">
        <v>5</v>
      </c>
      <c r="F5" s="6" t="s">
        <v>6</v>
      </c>
      <c r="G5" s="6" t="s">
        <v>7</v>
      </c>
      <c r="H5" s="7" t="s">
        <v>8</v>
      </c>
    </row>
    <row r="6" spans="1:8">
      <c r="A6" s="8">
        <v>20171021031</v>
      </c>
      <c r="B6" s="9" t="s">
        <v>33</v>
      </c>
      <c r="C6" s="9" t="s">
        <v>16</v>
      </c>
      <c r="D6" s="9">
        <v>90</v>
      </c>
      <c r="E6" s="9">
        <v>83</v>
      </c>
      <c r="F6" s="9">
        <v>80</v>
      </c>
      <c r="G6" s="9">
        <v>75</v>
      </c>
      <c r="H6" s="10">
        <v>82.1</v>
      </c>
    </row>
    <row r="7" ht="15" spans="1:8">
      <c r="A7" s="11">
        <v>20171021037</v>
      </c>
      <c r="B7" s="12" t="s">
        <v>33</v>
      </c>
      <c r="C7" s="12" t="s">
        <v>22</v>
      </c>
      <c r="D7" s="12">
        <v>90</v>
      </c>
      <c r="E7" s="12">
        <v>81</v>
      </c>
      <c r="F7" s="12">
        <v>80</v>
      </c>
      <c r="G7" s="12">
        <v>85</v>
      </c>
      <c r="H7" s="13">
        <v>84.7</v>
      </c>
    </row>
    <row r="8" ht="15"/>
  </sheetData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6"/>
  <sheetViews>
    <sheetView workbookViewId="0">
      <selection activeCell="H9" sqref="H9"/>
    </sheetView>
  </sheetViews>
  <sheetFormatPr defaultColWidth="9" defaultRowHeight="14.25" outlineLevelCol="7"/>
  <cols>
    <col min="1" max="1" width="12.25" customWidth="1"/>
  </cols>
  <sheetData>
    <row r="1" ht="18.75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>
        <v>20171021037</v>
      </c>
      <c r="B3" s="2" t="str">
        <f t="shared" ref="B3:B26" si="0">MID(A3,7,1)&amp;"班"</f>
        <v>2班</v>
      </c>
      <c r="C3" s="2" t="s">
        <v>22</v>
      </c>
      <c r="D3" s="2">
        <v>90</v>
      </c>
      <c r="E3" s="2">
        <v>81</v>
      </c>
      <c r="F3" s="2">
        <v>80</v>
      </c>
      <c r="G3" s="2">
        <v>85</v>
      </c>
      <c r="H3" s="4">
        <f t="shared" ref="H3:H26" si="1">D3*0.3+E3*0.2+F3*0.2+G3*0.3</f>
        <v>84.7</v>
      </c>
    </row>
    <row r="4" spans="1:8">
      <c r="A4" s="3">
        <v>20171021031</v>
      </c>
      <c r="B4" s="2" t="str">
        <f t="shared" si="0"/>
        <v>2班</v>
      </c>
      <c r="C4" s="2" t="s">
        <v>16</v>
      </c>
      <c r="D4" s="2">
        <v>90</v>
      </c>
      <c r="E4" s="2">
        <v>83</v>
      </c>
      <c r="F4" s="2">
        <v>80</v>
      </c>
      <c r="G4" s="2">
        <v>75</v>
      </c>
      <c r="H4" s="4">
        <f t="shared" si="1"/>
        <v>82.1</v>
      </c>
    </row>
    <row r="5" spans="1:8">
      <c r="A5" s="3">
        <v>20171021016</v>
      </c>
      <c r="B5" s="2" t="str">
        <f t="shared" si="0"/>
        <v>2班</v>
      </c>
      <c r="C5" s="2" t="s">
        <v>24</v>
      </c>
      <c r="D5" s="2">
        <v>80</v>
      </c>
      <c r="E5" s="2">
        <v>79</v>
      </c>
      <c r="F5" s="2">
        <v>74</v>
      </c>
      <c r="G5" s="2">
        <v>84</v>
      </c>
      <c r="H5" s="4">
        <f t="shared" si="1"/>
        <v>79.8</v>
      </c>
    </row>
    <row r="6" spans="1:8">
      <c r="A6" s="3">
        <v>20171021042</v>
      </c>
      <c r="B6" s="2" t="str">
        <f t="shared" si="0"/>
        <v>2班</v>
      </c>
      <c r="C6" s="2" t="s">
        <v>27</v>
      </c>
      <c r="D6" s="2">
        <v>80</v>
      </c>
      <c r="E6" s="2">
        <v>83</v>
      </c>
      <c r="F6" s="2">
        <v>82</v>
      </c>
      <c r="G6" s="2">
        <v>75</v>
      </c>
      <c r="H6" s="4">
        <f t="shared" si="1"/>
        <v>79.5</v>
      </c>
    </row>
    <row r="7" spans="1:8">
      <c r="A7" s="3">
        <v>20171021043</v>
      </c>
      <c r="B7" s="2" t="str">
        <f t="shared" si="0"/>
        <v>2班</v>
      </c>
      <c r="C7" s="2" t="s">
        <v>28</v>
      </c>
      <c r="D7" s="2">
        <v>80</v>
      </c>
      <c r="E7" s="2">
        <v>72</v>
      </c>
      <c r="F7" s="2">
        <v>83</v>
      </c>
      <c r="G7" s="2">
        <v>75</v>
      </c>
      <c r="H7" s="4">
        <f t="shared" si="1"/>
        <v>77.5</v>
      </c>
    </row>
    <row r="8" spans="1:8">
      <c r="A8" s="3">
        <v>20171021038</v>
      </c>
      <c r="B8" s="2" t="str">
        <f t="shared" si="0"/>
        <v>2班</v>
      </c>
      <c r="C8" s="2" t="s">
        <v>13</v>
      </c>
      <c r="D8" s="2">
        <v>80</v>
      </c>
      <c r="E8" s="2">
        <v>82</v>
      </c>
      <c r="F8" s="2">
        <v>71</v>
      </c>
      <c r="G8" s="2">
        <v>75</v>
      </c>
      <c r="H8" s="4">
        <f t="shared" si="1"/>
        <v>77.1</v>
      </c>
    </row>
    <row r="9" spans="1:8">
      <c r="A9" s="3">
        <v>20171021007</v>
      </c>
      <c r="B9" s="2" t="str">
        <f t="shared" si="0"/>
        <v>2班</v>
      </c>
      <c r="C9" s="2" t="s">
        <v>31</v>
      </c>
      <c r="D9" s="2">
        <v>80</v>
      </c>
      <c r="E9" s="2">
        <v>70</v>
      </c>
      <c r="F9" s="2">
        <v>82</v>
      </c>
      <c r="G9" s="2">
        <v>75</v>
      </c>
      <c r="H9" s="4">
        <f t="shared" si="1"/>
        <v>76.9</v>
      </c>
    </row>
    <row r="10" spans="1:8">
      <c r="A10" s="3">
        <v>20171021039</v>
      </c>
      <c r="B10" s="2" t="str">
        <f t="shared" si="0"/>
        <v>2班</v>
      </c>
      <c r="C10" s="2" t="s">
        <v>9</v>
      </c>
      <c r="D10" s="2">
        <v>80</v>
      </c>
      <c r="E10" s="2">
        <v>69</v>
      </c>
      <c r="F10" s="2">
        <v>68</v>
      </c>
      <c r="G10" s="2">
        <v>75</v>
      </c>
      <c r="H10" s="4">
        <f t="shared" si="1"/>
        <v>73.9</v>
      </c>
    </row>
    <row r="11" spans="1:8">
      <c r="A11" s="3">
        <v>20171021036</v>
      </c>
      <c r="B11" s="2" t="str">
        <f t="shared" si="0"/>
        <v>2班</v>
      </c>
      <c r="C11" s="2" t="s">
        <v>12</v>
      </c>
      <c r="D11" s="2">
        <v>80</v>
      </c>
      <c r="E11" s="2">
        <v>72</v>
      </c>
      <c r="F11" s="2">
        <v>66</v>
      </c>
      <c r="G11" s="2">
        <v>70</v>
      </c>
      <c r="H11" s="4">
        <f t="shared" si="1"/>
        <v>72.6</v>
      </c>
    </row>
    <row r="12" spans="1:8">
      <c r="A12" s="3">
        <v>20171021026</v>
      </c>
      <c r="B12" s="2" t="str">
        <f t="shared" si="0"/>
        <v>2班</v>
      </c>
      <c r="C12" s="2" t="s">
        <v>10</v>
      </c>
      <c r="D12" s="2">
        <v>65</v>
      </c>
      <c r="E12" s="2">
        <v>71</v>
      </c>
      <c r="F12" s="2">
        <v>58</v>
      </c>
      <c r="G12" s="2">
        <v>89</v>
      </c>
      <c r="H12" s="4">
        <f t="shared" si="1"/>
        <v>72</v>
      </c>
    </row>
    <row r="13" spans="1:8">
      <c r="A13" s="3">
        <v>20171032051</v>
      </c>
      <c r="B13" s="2" t="str">
        <f t="shared" si="0"/>
        <v>3班</v>
      </c>
      <c r="C13" s="2" t="s">
        <v>14</v>
      </c>
      <c r="D13" s="2">
        <v>88</v>
      </c>
      <c r="E13" s="2">
        <v>81</v>
      </c>
      <c r="F13" s="2">
        <v>74</v>
      </c>
      <c r="G13" s="2">
        <v>75</v>
      </c>
      <c r="H13" s="4">
        <f t="shared" si="1"/>
        <v>79.9</v>
      </c>
    </row>
    <row r="14" spans="1:8">
      <c r="A14" s="3">
        <v>20171032041</v>
      </c>
      <c r="B14" s="2" t="str">
        <f t="shared" si="0"/>
        <v>3班</v>
      </c>
      <c r="C14" s="2" t="s">
        <v>25</v>
      </c>
      <c r="D14" s="2">
        <v>80</v>
      </c>
      <c r="E14" s="2">
        <v>83</v>
      </c>
      <c r="F14" s="2">
        <v>81</v>
      </c>
      <c r="G14" s="2">
        <v>75</v>
      </c>
      <c r="H14" s="4">
        <f t="shared" si="1"/>
        <v>79.3</v>
      </c>
    </row>
    <row r="15" spans="1:8">
      <c r="A15" s="3">
        <v>20171032016</v>
      </c>
      <c r="B15" s="2" t="str">
        <f t="shared" si="0"/>
        <v>3班</v>
      </c>
      <c r="C15" s="2" t="s">
        <v>23</v>
      </c>
      <c r="D15" s="2">
        <v>85</v>
      </c>
      <c r="E15" s="2">
        <v>72</v>
      </c>
      <c r="F15" s="2">
        <v>83</v>
      </c>
      <c r="G15" s="2">
        <v>75</v>
      </c>
      <c r="H15" s="4">
        <f t="shared" si="1"/>
        <v>79</v>
      </c>
    </row>
    <row r="16" spans="1:8">
      <c r="A16" s="3">
        <v>20171032008</v>
      </c>
      <c r="B16" s="2" t="str">
        <f t="shared" si="0"/>
        <v>3班</v>
      </c>
      <c r="C16" s="2" t="s">
        <v>17</v>
      </c>
      <c r="D16" s="2">
        <v>80</v>
      </c>
      <c r="E16" s="2">
        <v>81</v>
      </c>
      <c r="F16" s="2">
        <v>70</v>
      </c>
      <c r="G16" s="2">
        <v>75</v>
      </c>
      <c r="H16" s="4">
        <f t="shared" si="1"/>
        <v>76.7</v>
      </c>
    </row>
    <row r="17" spans="1:8">
      <c r="A17" s="3">
        <v>20171032043</v>
      </c>
      <c r="B17" s="2" t="str">
        <f t="shared" si="0"/>
        <v>3班</v>
      </c>
      <c r="C17" s="2" t="s">
        <v>30</v>
      </c>
      <c r="D17" s="2">
        <v>80</v>
      </c>
      <c r="E17" s="2">
        <v>73</v>
      </c>
      <c r="F17" s="2">
        <v>65</v>
      </c>
      <c r="G17" s="2">
        <v>71</v>
      </c>
      <c r="H17" s="4">
        <f t="shared" si="1"/>
        <v>72.9</v>
      </c>
    </row>
    <row r="18" spans="1:8">
      <c r="A18" s="3">
        <v>20171032023</v>
      </c>
      <c r="B18" s="2" t="str">
        <f t="shared" si="0"/>
        <v>3班</v>
      </c>
      <c r="C18" s="2" t="s">
        <v>29</v>
      </c>
      <c r="D18" s="2">
        <v>70</v>
      </c>
      <c r="E18" s="2">
        <v>55</v>
      </c>
      <c r="F18" s="2">
        <v>73</v>
      </c>
      <c r="G18" s="2">
        <v>75</v>
      </c>
      <c r="H18" s="4">
        <f t="shared" si="1"/>
        <v>69.1</v>
      </c>
    </row>
    <row r="19" spans="1:8">
      <c r="A19" s="3">
        <v>20171032102</v>
      </c>
      <c r="B19" s="2" t="str">
        <f t="shared" si="0"/>
        <v>3班</v>
      </c>
      <c r="C19" s="2" t="s">
        <v>20</v>
      </c>
      <c r="D19" s="2">
        <v>65</v>
      </c>
      <c r="E19" s="2">
        <v>78</v>
      </c>
      <c r="F19" s="2">
        <v>81</v>
      </c>
      <c r="G19" s="2">
        <v>59</v>
      </c>
      <c r="H19" s="4">
        <f t="shared" si="1"/>
        <v>69</v>
      </c>
    </row>
    <row r="20" spans="1:8">
      <c r="A20" s="3">
        <v>20171041029</v>
      </c>
      <c r="B20" s="2" t="str">
        <f t="shared" si="0"/>
        <v>4班</v>
      </c>
      <c r="C20" s="2" t="s">
        <v>11</v>
      </c>
      <c r="D20" s="2">
        <v>80</v>
      </c>
      <c r="E20" s="2">
        <v>84</v>
      </c>
      <c r="F20" s="2">
        <v>83</v>
      </c>
      <c r="G20" s="2">
        <v>75</v>
      </c>
      <c r="H20" s="4">
        <f t="shared" si="1"/>
        <v>79.9</v>
      </c>
    </row>
    <row r="21" spans="1:8">
      <c r="A21" s="3">
        <v>20171041013</v>
      </c>
      <c r="B21" s="2" t="str">
        <f t="shared" si="0"/>
        <v>4班</v>
      </c>
      <c r="C21" s="2" t="s">
        <v>21</v>
      </c>
      <c r="D21" s="2">
        <v>80</v>
      </c>
      <c r="E21" s="2">
        <v>75</v>
      </c>
      <c r="F21" s="2">
        <v>77</v>
      </c>
      <c r="G21" s="2">
        <v>75</v>
      </c>
      <c r="H21" s="4">
        <f t="shared" si="1"/>
        <v>76.9</v>
      </c>
    </row>
    <row r="22" spans="1:8">
      <c r="A22" s="3">
        <v>20171041051</v>
      </c>
      <c r="B22" s="2" t="str">
        <f t="shared" si="0"/>
        <v>4班</v>
      </c>
      <c r="C22" s="2" t="s">
        <v>18</v>
      </c>
      <c r="D22" s="2">
        <v>80</v>
      </c>
      <c r="E22" s="2">
        <v>77</v>
      </c>
      <c r="F22" s="2">
        <v>72</v>
      </c>
      <c r="G22" s="2">
        <v>77</v>
      </c>
      <c r="H22" s="4">
        <f t="shared" si="1"/>
        <v>76.9</v>
      </c>
    </row>
    <row r="23" spans="1:8">
      <c r="A23" s="3">
        <v>20171041039</v>
      </c>
      <c r="B23" s="2" t="str">
        <f t="shared" si="0"/>
        <v>4班</v>
      </c>
      <c r="C23" s="2" t="s">
        <v>26</v>
      </c>
      <c r="D23" s="2">
        <v>80</v>
      </c>
      <c r="E23" s="2">
        <v>76</v>
      </c>
      <c r="F23" s="2">
        <v>75</v>
      </c>
      <c r="G23" s="2">
        <v>75</v>
      </c>
      <c r="H23" s="4">
        <f t="shared" si="1"/>
        <v>76.7</v>
      </c>
    </row>
    <row r="24" spans="1:8">
      <c r="A24" s="3">
        <v>20171041052</v>
      </c>
      <c r="B24" s="2" t="str">
        <f t="shared" si="0"/>
        <v>4班</v>
      </c>
      <c r="C24" s="2" t="s">
        <v>32</v>
      </c>
      <c r="D24" s="2">
        <v>75</v>
      </c>
      <c r="E24" s="2">
        <v>81</v>
      </c>
      <c r="F24" s="2">
        <v>80</v>
      </c>
      <c r="G24" s="2">
        <v>73</v>
      </c>
      <c r="H24" s="4">
        <f t="shared" si="1"/>
        <v>76.6</v>
      </c>
    </row>
    <row r="25" spans="1:8">
      <c r="A25" s="3">
        <v>20171041017</v>
      </c>
      <c r="B25" s="2" t="str">
        <f t="shared" si="0"/>
        <v>4班</v>
      </c>
      <c r="C25" s="2" t="s">
        <v>19</v>
      </c>
      <c r="D25" s="2">
        <v>80</v>
      </c>
      <c r="E25" s="2">
        <v>73</v>
      </c>
      <c r="F25" s="2">
        <v>72</v>
      </c>
      <c r="G25" s="2">
        <v>75</v>
      </c>
      <c r="H25" s="4">
        <f t="shared" si="1"/>
        <v>75.5</v>
      </c>
    </row>
    <row r="26" spans="1:8">
      <c r="A26" s="3">
        <v>20171041042</v>
      </c>
      <c r="B26" s="2" t="str">
        <f t="shared" si="0"/>
        <v>4班</v>
      </c>
      <c r="C26" s="2" t="s">
        <v>15</v>
      </c>
      <c r="D26" s="2">
        <v>80</v>
      </c>
      <c r="E26" s="2">
        <v>78</v>
      </c>
      <c r="F26" s="2">
        <v>74</v>
      </c>
      <c r="G26" s="2">
        <v>66</v>
      </c>
      <c r="H26" s="4">
        <f t="shared" si="1"/>
        <v>74.2</v>
      </c>
    </row>
  </sheetData>
  <sortState ref="A3:H26">
    <sortCondition ref="B3:B26"/>
    <sortCondition ref="H3:H26" descending="1"/>
  </sortState>
  <mergeCells count="1">
    <mergeCell ref="A1:H1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G23" sqref="G23:H23"/>
    </sheetView>
  </sheetViews>
  <sheetFormatPr defaultColWidth="9" defaultRowHeight="14.25"/>
  <sheetData/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</Company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成绩表</vt:lpstr>
      <vt:lpstr>Sheet2</vt:lpstr>
      <vt:lpstr>筛选</vt:lpstr>
      <vt:lpstr>排序</vt:lpstr>
      <vt:lpstr>图表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walkinnet</dc:creator>
  <cp:lastModifiedBy>Administrator</cp:lastModifiedBy>
  <dcterms:created xsi:type="dcterms:W3CDTF">2018-03-11T08:37:00Z</dcterms:created>
  <dcterms:modified xsi:type="dcterms:W3CDTF">2023-11-14T02:15:14Z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7E2C721ADEA947F5B3BD67208D7ACA3C_12</vt:lpwstr>
  </property>
  <property fmtid="{D5CDD505-2E9C-101B-9397-08002B2CF9AE}" pid="3" name="KSOProductBuildVer">
    <vt:lpwstr>2052-11.1.0.14227</vt:lpwstr>
  </property>
</Properties>
</file>
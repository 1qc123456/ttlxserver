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Sheet3!$A$1:$M$31</definedName>
    <definedName name="_xlnm.Criteria" localSheetId="2">Sheet3!$P$1:$S$2</definedName>
  </definedNames>
  <calcPr calcId="144525"/>
  <pivotCaches>
    <pivotCache cacheId="0" r:id="rId5"/>
  </pivotCaches>
</workbook>
</file>

<file path=xl/comments1.xml><?xml version="1.0" encoding="utf-8"?>
<comments xmlns="http://schemas.openxmlformats.org/spreadsheetml/2006/main">
  <authors>
    <author>25472</author>
  </authors>
  <commentList>
    <comment ref="D33" authorId="0">
      <text>
        <r>
          <rPr>
            <sz val="9"/>
            <rFont val="宋体"/>
            <charset val="134"/>
          </rPr>
          <t>语文成绩奇数个数</t>
        </r>
      </text>
    </comment>
  </commentList>
</comments>
</file>

<file path=xl/sharedStrings.xml><?xml version="1.0" encoding="utf-8"?>
<sst xmlns="http://schemas.openxmlformats.org/spreadsheetml/2006/main" count="109" uniqueCount="59">
  <si>
    <t>学号</t>
  </si>
  <si>
    <t>姓名</t>
  </si>
  <si>
    <t>班级</t>
  </si>
  <si>
    <t>语文</t>
  </si>
  <si>
    <t>数学</t>
  </si>
  <si>
    <t>英语</t>
  </si>
  <si>
    <t>物理</t>
  </si>
  <si>
    <t>化学</t>
  </si>
  <si>
    <t>道法</t>
  </si>
  <si>
    <t>体育</t>
  </si>
  <si>
    <t>总分</t>
  </si>
  <si>
    <t>排名</t>
  </si>
  <si>
    <t>语数外成绩是否超过平均</t>
  </si>
  <si>
    <t>姓名1</t>
  </si>
  <si>
    <t>姓名2</t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</si>
  <si>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</si>
  <si>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</si>
  <si>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</si>
  <si>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</si>
  <si>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</si>
  <si>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</si>
  <si>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</si>
  <si>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</si>
  <si>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</si>
  <si>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</si>
  <si>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</si>
  <si>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</si>
  <si>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</si>
  <si>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</si>
  <si>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</si>
  <si>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</si>
  <si>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</si>
  <si>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</si>
  <si>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</si>
  <si>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</si>
  <si>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</si>
  <si>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</si>
  <si>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</si>
  <si>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</si>
  <si>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</si>
  <si>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</si>
  <si>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</si>
  <si>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</si>
  <si>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数学成绩各分段人数统计</t>
  </si>
  <si>
    <t>&lt;72</t>
  </si>
  <si>
    <t>72~90</t>
  </si>
  <si>
    <t>91~100</t>
  </si>
  <si>
    <t>&gt;=101</t>
  </si>
  <si>
    <t>&gt;=55</t>
  </si>
  <si>
    <t>&gt;=35</t>
  </si>
  <si>
    <t>&gt;=30</t>
  </si>
  <si>
    <t>&gt;=400</t>
  </si>
  <si>
    <t>计数项:姓名</t>
  </si>
  <si>
    <t>FALSE</t>
  </si>
  <si>
    <t>TRUE</t>
  </si>
  <si>
    <t>总计</t>
  </si>
  <si>
    <t>25级1班</t>
  </si>
  <si>
    <t>25级2班</t>
  </si>
  <si>
    <t>25级3班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</si>
</sst>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华文仿宋"/>
      <charset val="134"/>
    </font>
    <font>
      <sz val="12"/>
      <color theme="1"/>
      <name val="华文仿宋"/>
      <charset val="134"/>
    </font>
    <font>
      <sz val="11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sz val="12"/>
      </font>
      <numFmt numFmtId="49" formatCode="@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/>
    </dxf>
    <dxf>
      <font>
        <sz val="12"/>
      </font>
      <alignment horizontal="center"/>
    </dxf>
    <dxf>
      <font>
        <sz val="12"/>
      </font>
      <numFmt numFmtId="49" formatCode="@"/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/>
    </dxf>
    <dxf>
      <font>
        <b val="1"/>
        <i val="0"/>
        <color rgb="FFFF0000"/>
      </font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1"/>
      </font>
      <border>
        <bottom style="medium">
          <color theme="5"/>
        </bottom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399975585192419"/>
        </vertical>
        <horizontal style="thin">
          <color theme="5" tint="0.399975585192419"/>
        </horizontal>
      </border>
    </dxf>
  </dxfs>
  <tableStyles count="1" defaultTableStyle="TableStyleMedium2" defaultPivotStyle="PivotStyleLight16">
    <tableStyle name="TableStylePreset2_Accent2" pivot="0" count="7" xr9:uid="{6F9CE706-7A4E-430F-806A-CA734EE9099A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[结果文档.xlsx]Sheet4!数据透视表1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Sheet4!$C$2:$C$3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Sheet4!$B$4:$B$7</c:f>
              <c:strCache>
                <c:ptCount val="3"/>
                <c:pt idx="0">
                  <c:v>25级1班</c:v>
                </c:pt>
                <c:pt idx="1">
                  <c:v>25级2班</c:v>
                </c:pt>
                <c:pt idx="2">
                  <c:v>25级3班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Sheet4!$D$2:$D$3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Sheet4!$B$4:$B$7</c:f>
              <c:strCache>
                <c:ptCount val="3"/>
                <c:pt idx="0">
                  <c:v>25级1班</c:v>
                </c:pt>
                <c:pt idx="1">
                  <c:v>25级2班</c:v>
                </c:pt>
                <c:pt idx="2">
                  <c:v>25级3班</c:v>
                </c:pt>
              </c:strCache>
            </c:strRef>
          </c:cat>
          <c:val>
            <c:numRef>
              <c:f>Sheet4!$D$4:$D$7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996572085"/>
        <c:axId val="624997773"/>
      </c:barChart>
      <c:catAx>
        <c:axId val="9965720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997773"/>
        <c:crosses val="autoZero"/>
        <c:auto val="1"/>
        <c:lblAlgn val="ctr"/>
        <c:lblOffset val="100"/>
        <c:noMultiLvlLbl val="0"/>
      </c:catAx>
      <c:valAx>
        <c:axId val="6249977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65720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</xdr:colOff>
      <xdr:row>8</xdr:row>
      <xdr:rowOff>50800</xdr:rowOff>
    </xdr:from>
    <xdr:to>
      <xdr:col>4</xdr:col>
      <xdr:colOff>50800</xdr:colOff>
      <xdr:row>24</xdr:row>
      <xdr:rowOff>50800</xdr:rowOff>
    </xdr:to>
    <xdr:graphicFrame>
      <xdr:nvGraphicFramePr>
        <xdr:cNvPr id="2" name="数据可视化"/>
        <xdr:cNvGraphicFramePr/>
      </xdr:nvGraphicFramePr>
      <xdr:xfrm>
        <a:off x="749300" y="1422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2.636412037" refreshedBy="25472" recordCount="30">
  <cacheSource type="worksheet">
    <worksheetSource name="表1"/>
  </cacheSource>
  <cacheFields count="13">
    <cacheField name="学号" numFmtId="49">
      <sharedItems containsSemiMixedTypes="0" containsString="0" containsNumber="1" containsInteger="1" minValue="0" maxValue="20250310" count="30">
        <n v="20250101"/>
        <n v="20250102"/>
        <n v="20250103"/>
        <n v="20250104"/>
        <n v="20250105"/>
        <n v="20250106"/>
        <n v="20250107"/>
        <n v="20250108"/>
        <n v="20250201"/>
        <n v="20250202"/>
        <n v="20250203"/>
        <n v="20250204"/>
        <n v="20250205"/>
        <n v="20250206"/>
        <n v="20250207"/>
        <n v="20250208"/>
        <n v="20250209"/>
        <n v="20250210"/>
        <n v="20250211"/>
        <n v="20250212"/>
        <n v="20250301"/>
        <n v="20250302"/>
        <n v="20250303"/>
        <n v="20250304"/>
        <n v="20250305"/>
        <n v="20250306"/>
        <n v="20250307"/>
        <n v="20250308"/>
        <n v="20250309"/>
        <n v="20250310"/>
      </sharedItems>
    </cacheField>
    <cacheField name="姓名" numFmtId="0">
      <sharedItems count="30">
        <s v="姓名1"/>
        <s v="姓名2"/>
        <s v="姓名3"/>
        <s v="姓名4"/>
        <s v="姓名5"/>
        <s v="姓名6"/>
        <s v="姓名7"/>
        <s v="姓名8"/>
        <s v="姓名9"/>
        <s v="姓名10"/>
        <s v="姓名11"/>
        <s v="姓名12"/>
        <s v="姓名13"/>
        <s v="姓名14"/>
        <s v="姓名15"/>
        <s v="姓名16"/>
        <s v="姓名17"/>
        <s v="姓名18"/>
        <s v="姓名19"/>
        <s v="姓名20"/>
        <s v="姓名21"/>
        <s v="姓名22"/>
        <s v="姓名23"/>
        <s v="姓名24"/>
        <s v="姓名25"/>
        <s v="姓名26"/>
        <s v="姓名27"/>
        <s v="姓名28"/>
        <s v="姓名29"/>
        <s v="姓名30"/>
      </sharedItems>
    </cacheField>
    <cacheField name="班级" numFmtId="0">
      <sharedItems count="3">
        <s v="25级1班"/>
        <s v="25级2班"/>
        <s v="25级3班"/>
      </sharedItems>
    </cacheField>
    <cacheField name="语文" numFmtId="0">
      <sharedItems containsSemiMixedTypes="0" containsString="0" containsNumber="1" containsInteger="1" minValue="0" maxValue="120" count="24">
        <n v="73"/>
        <n v="76"/>
        <n v="69"/>
        <n v="108"/>
        <n v="75"/>
        <n v="71"/>
        <n v="87"/>
        <n v="89"/>
        <n v="74"/>
        <n v="112"/>
        <n v="97"/>
        <n v="116"/>
        <n v="98"/>
        <n v="77"/>
        <n v="100"/>
        <n v="120"/>
        <n v="101"/>
        <n v="88"/>
        <n v="63"/>
        <n v="85"/>
        <n v="95"/>
        <n v="111"/>
        <n v="113"/>
        <n v="102"/>
      </sharedItems>
    </cacheField>
    <cacheField name="数学" numFmtId="0">
      <sharedItems containsSemiMixedTypes="0" containsString="0" containsNumber="1" containsInteger="1" minValue="0" maxValue="119" count="26">
        <n v="110"/>
        <n v="85"/>
        <n v="102"/>
        <n v="93"/>
        <n v="70"/>
        <n v="49"/>
        <n v="90"/>
        <n v="119"/>
        <n v="60"/>
        <n v="45"/>
        <n v="46"/>
        <n v="41"/>
        <n v="104"/>
        <n v="80"/>
        <n v="67"/>
        <n v="105"/>
        <n v="103"/>
        <n v="51"/>
        <n v="111"/>
        <n v="63"/>
        <n v="50"/>
        <n v="53"/>
        <n v="88"/>
        <n v="112"/>
        <n v="115"/>
        <n v="58"/>
      </sharedItems>
    </cacheField>
    <cacheField name="英语" numFmtId="0">
      <sharedItems containsSemiMixedTypes="0" containsString="0" containsNumber="1" containsInteger="1" minValue="0" maxValue="120" count="26">
        <n v="103"/>
        <n v="70"/>
        <n v="118"/>
        <n v="33"/>
        <n v="120"/>
        <n v="98"/>
        <n v="53"/>
        <n v="77"/>
        <n v="106"/>
        <n v="38"/>
        <n v="75"/>
        <n v="46"/>
        <n v="71"/>
        <n v="83"/>
        <n v="69"/>
        <n v="86"/>
        <n v="50"/>
        <n v="101"/>
        <n v="44"/>
        <n v="97"/>
        <n v="109"/>
        <n v="39"/>
        <n v="66"/>
        <n v="57"/>
        <n v="114"/>
        <n v="47"/>
      </sharedItems>
    </cacheField>
    <cacheField name="物理" numFmtId="0">
      <sharedItems containsSemiMixedTypes="0" containsString="0" containsNumber="1" containsInteger="1" minValue="0" maxValue="66" count="24">
        <n v="61"/>
        <n v="39"/>
        <n v="66"/>
        <n v="56"/>
        <n v="34"/>
        <n v="27"/>
        <n v="47"/>
        <n v="64"/>
        <n v="20"/>
        <n v="33"/>
        <n v="45"/>
        <n v="49"/>
        <n v="31"/>
        <n v="43"/>
        <n v="44"/>
        <n v="60"/>
        <n v="52"/>
        <n v="51"/>
        <n v="59"/>
        <n v="35"/>
        <n v="40"/>
        <n v="54"/>
        <n v="42"/>
        <n v="25"/>
      </sharedItems>
    </cacheField>
    <cacheField name="化学" numFmtId="0">
      <sharedItems containsSemiMixedTypes="0" containsString="0" containsNumber="1" containsInteger="1" minValue="0" maxValue="47" count="23">
        <n v="42"/>
        <n v="44"/>
        <n v="17"/>
        <n v="25"/>
        <n v="29"/>
        <n v="12"/>
        <n v="16"/>
        <n v="19"/>
        <n v="32"/>
        <n v="33"/>
        <n v="20"/>
        <n v="13"/>
        <n v="24"/>
        <n v="36"/>
        <n v="34"/>
        <n v="10"/>
        <n v="47"/>
        <n v="46"/>
        <n v="23"/>
        <n v="37"/>
        <n v="27"/>
        <n v="39"/>
        <n v="41"/>
      </sharedItems>
    </cacheField>
    <cacheField name="道法" numFmtId="0">
      <sharedItems containsSemiMixedTypes="0" containsString="0" containsNumber="1" containsInteger="1" minValue="0" maxValue="40" count="14">
        <n v="40"/>
        <n v="33"/>
        <n v="29"/>
        <n v="37"/>
        <n v="36"/>
        <n v="27"/>
        <n v="30"/>
        <n v="39"/>
        <n v="24"/>
        <n v="28"/>
        <n v="25"/>
        <n v="21"/>
        <n v="23"/>
        <n v="32"/>
      </sharedItems>
    </cacheField>
    <cacheField name="体育" numFmtId="0">
      <sharedItems containsSemiMixedTypes="0" containsString="0" containsNumber="1" containsInteger="1" minValue="0" maxValue="30" count="6">
        <n v="30"/>
        <n v="28"/>
        <n v="27"/>
        <n v="25"/>
        <n v="26"/>
        <n v="29"/>
      </sharedItems>
    </cacheField>
    <cacheField name="总分" numFmtId="0">
      <sharedItems containsSemiMixedTypes="0" containsString="0" containsNumber="1" containsInteger="1" minValue="0" maxValue="482" count="27">
        <n v="459"/>
        <n v="375"/>
        <n v="428"/>
        <n v="361"/>
        <n v="415"/>
        <n v="402"/>
        <n v="297"/>
        <n v="382"/>
        <n v="408"/>
        <n v="289"/>
        <n v="393"/>
        <n v="316"/>
        <n v="354"/>
        <n v="396"/>
        <n v="347"/>
        <n v="416"/>
        <n v="462"/>
        <n v="352"/>
        <n v="390"/>
        <n v="413"/>
        <n v="306"/>
        <n v="345"/>
        <n v="332"/>
        <n v="368"/>
        <n v="389"/>
        <n v="482"/>
        <n v="330"/>
      </sharedItems>
    </cacheField>
    <cacheField name="排名" numFmtId="0">
      <sharedItems containsSemiMixedTypes="0" containsString="0" containsNumber="1" containsInteger="1" minValue="0" maxValue="30" count="27">
        <n v="4"/>
        <n v="16"/>
        <n v="5"/>
        <n v="20"/>
        <n v="7"/>
        <n v="10"/>
        <n v="29"/>
        <n v="15"/>
        <n v="9"/>
        <n v="30"/>
        <n v="12"/>
        <n v="27"/>
        <n v="21"/>
        <n v="11"/>
        <n v="23"/>
        <n v="6"/>
        <n v="2"/>
        <n v="22"/>
        <n v="13"/>
        <n v="8"/>
        <n v="28"/>
        <n v="24"/>
        <n v="25"/>
        <n v="19"/>
        <n v="14"/>
        <n v="1"/>
        <n v="26"/>
      </sharedItems>
    </cacheField>
    <cacheField name="语数外成绩是否超过平均" numFmtId="0">
      <sharedItems count="2">
        <s v="FALSE"/>
        <s v="TRU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  <x v="0"/>
  </r>
  <r>
    <x v="2"/>
    <x v="2"/>
    <x v="0"/>
    <x v="2"/>
    <x v="2"/>
    <x v="2"/>
    <x v="2"/>
    <x v="2"/>
    <x v="2"/>
    <x v="2"/>
    <x v="2"/>
    <x v="2"/>
    <x v="0"/>
  </r>
  <r>
    <x v="3"/>
    <x v="3"/>
    <x v="0"/>
    <x v="0"/>
    <x v="3"/>
    <x v="3"/>
    <x v="3"/>
    <x v="1"/>
    <x v="3"/>
    <x v="3"/>
    <x v="3"/>
    <x v="3"/>
    <x v="0"/>
  </r>
  <r>
    <x v="4"/>
    <x v="4"/>
    <x v="0"/>
    <x v="3"/>
    <x v="4"/>
    <x v="4"/>
    <x v="4"/>
    <x v="3"/>
    <x v="1"/>
    <x v="3"/>
    <x v="4"/>
    <x v="4"/>
    <x v="0"/>
  </r>
  <r>
    <x v="5"/>
    <x v="5"/>
    <x v="0"/>
    <x v="4"/>
    <x v="0"/>
    <x v="5"/>
    <x v="5"/>
    <x v="4"/>
    <x v="4"/>
    <x v="2"/>
    <x v="5"/>
    <x v="5"/>
    <x v="0"/>
  </r>
  <r>
    <x v="6"/>
    <x v="6"/>
    <x v="0"/>
    <x v="5"/>
    <x v="5"/>
    <x v="6"/>
    <x v="6"/>
    <x v="5"/>
    <x v="0"/>
    <x v="3"/>
    <x v="6"/>
    <x v="6"/>
    <x v="0"/>
  </r>
  <r>
    <x v="7"/>
    <x v="7"/>
    <x v="0"/>
    <x v="6"/>
    <x v="6"/>
    <x v="7"/>
    <x v="7"/>
    <x v="5"/>
    <x v="5"/>
    <x v="3"/>
    <x v="7"/>
    <x v="7"/>
    <x v="0"/>
  </r>
  <r>
    <x v="8"/>
    <x v="8"/>
    <x v="1"/>
    <x v="7"/>
    <x v="7"/>
    <x v="8"/>
    <x v="8"/>
    <x v="6"/>
    <x v="6"/>
    <x v="1"/>
    <x v="8"/>
    <x v="8"/>
    <x v="0"/>
  </r>
  <r>
    <x v="9"/>
    <x v="9"/>
    <x v="1"/>
    <x v="8"/>
    <x v="8"/>
    <x v="9"/>
    <x v="9"/>
    <x v="7"/>
    <x v="7"/>
    <x v="4"/>
    <x v="9"/>
    <x v="9"/>
    <x v="0"/>
  </r>
  <r>
    <x v="10"/>
    <x v="10"/>
    <x v="1"/>
    <x v="9"/>
    <x v="9"/>
    <x v="10"/>
    <x v="0"/>
    <x v="8"/>
    <x v="7"/>
    <x v="5"/>
    <x v="10"/>
    <x v="10"/>
    <x v="0"/>
  </r>
  <r>
    <x v="11"/>
    <x v="11"/>
    <x v="1"/>
    <x v="10"/>
    <x v="10"/>
    <x v="11"/>
    <x v="10"/>
    <x v="9"/>
    <x v="8"/>
    <x v="3"/>
    <x v="11"/>
    <x v="11"/>
    <x v="0"/>
  </r>
  <r>
    <x v="12"/>
    <x v="12"/>
    <x v="1"/>
    <x v="11"/>
    <x v="11"/>
    <x v="12"/>
    <x v="11"/>
    <x v="10"/>
    <x v="9"/>
    <x v="5"/>
    <x v="12"/>
    <x v="12"/>
    <x v="0"/>
  </r>
  <r>
    <x v="13"/>
    <x v="13"/>
    <x v="1"/>
    <x v="12"/>
    <x v="12"/>
    <x v="13"/>
    <x v="12"/>
    <x v="11"/>
    <x v="3"/>
    <x v="0"/>
    <x v="13"/>
    <x v="13"/>
    <x v="1"/>
  </r>
  <r>
    <x v="14"/>
    <x v="14"/>
    <x v="1"/>
    <x v="13"/>
    <x v="13"/>
    <x v="14"/>
    <x v="6"/>
    <x v="10"/>
    <x v="9"/>
    <x v="4"/>
    <x v="14"/>
    <x v="14"/>
    <x v="0"/>
  </r>
  <r>
    <x v="15"/>
    <x v="15"/>
    <x v="1"/>
    <x v="14"/>
    <x v="14"/>
    <x v="15"/>
    <x v="13"/>
    <x v="12"/>
    <x v="2"/>
    <x v="4"/>
    <x v="1"/>
    <x v="1"/>
    <x v="0"/>
  </r>
  <r>
    <x v="16"/>
    <x v="16"/>
    <x v="1"/>
    <x v="14"/>
    <x v="6"/>
    <x v="16"/>
    <x v="14"/>
    <x v="13"/>
    <x v="10"/>
    <x v="0"/>
    <x v="1"/>
    <x v="1"/>
    <x v="0"/>
  </r>
  <r>
    <x v="17"/>
    <x v="17"/>
    <x v="1"/>
    <x v="4"/>
    <x v="15"/>
    <x v="8"/>
    <x v="15"/>
    <x v="6"/>
    <x v="10"/>
    <x v="5"/>
    <x v="15"/>
    <x v="15"/>
    <x v="0"/>
  </r>
  <r>
    <x v="18"/>
    <x v="18"/>
    <x v="1"/>
    <x v="15"/>
    <x v="16"/>
    <x v="17"/>
    <x v="16"/>
    <x v="14"/>
    <x v="5"/>
    <x v="3"/>
    <x v="16"/>
    <x v="16"/>
    <x v="1"/>
  </r>
  <r>
    <x v="19"/>
    <x v="19"/>
    <x v="1"/>
    <x v="16"/>
    <x v="13"/>
    <x v="18"/>
    <x v="17"/>
    <x v="15"/>
    <x v="0"/>
    <x v="4"/>
    <x v="17"/>
    <x v="17"/>
    <x v="0"/>
  </r>
  <r>
    <x v="20"/>
    <x v="20"/>
    <x v="2"/>
    <x v="17"/>
    <x v="17"/>
    <x v="19"/>
    <x v="18"/>
    <x v="16"/>
    <x v="11"/>
    <x v="2"/>
    <x v="18"/>
    <x v="18"/>
    <x v="0"/>
  </r>
  <r>
    <x v="21"/>
    <x v="21"/>
    <x v="2"/>
    <x v="18"/>
    <x v="18"/>
    <x v="20"/>
    <x v="19"/>
    <x v="17"/>
    <x v="12"/>
    <x v="4"/>
    <x v="19"/>
    <x v="19"/>
    <x v="0"/>
  </r>
  <r>
    <x v="22"/>
    <x v="22"/>
    <x v="2"/>
    <x v="19"/>
    <x v="19"/>
    <x v="21"/>
    <x v="20"/>
    <x v="7"/>
    <x v="13"/>
    <x v="1"/>
    <x v="20"/>
    <x v="20"/>
    <x v="0"/>
  </r>
  <r>
    <x v="23"/>
    <x v="23"/>
    <x v="2"/>
    <x v="12"/>
    <x v="20"/>
    <x v="22"/>
    <x v="13"/>
    <x v="18"/>
    <x v="0"/>
    <x v="3"/>
    <x v="21"/>
    <x v="21"/>
    <x v="0"/>
  </r>
  <r>
    <x v="24"/>
    <x v="24"/>
    <x v="2"/>
    <x v="3"/>
    <x v="21"/>
    <x v="23"/>
    <x v="14"/>
    <x v="6"/>
    <x v="8"/>
    <x v="0"/>
    <x v="22"/>
    <x v="22"/>
    <x v="0"/>
  </r>
  <r>
    <x v="25"/>
    <x v="25"/>
    <x v="2"/>
    <x v="20"/>
    <x v="15"/>
    <x v="24"/>
    <x v="21"/>
    <x v="1"/>
    <x v="12"/>
    <x v="2"/>
    <x v="16"/>
    <x v="16"/>
    <x v="1"/>
  </r>
  <r>
    <x v="26"/>
    <x v="26"/>
    <x v="2"/>
    <x v="21"/>
    <x v="22"/>
    <x v="9"/>
    <x v="22"/>
    <x v="19"/>
    <x v="8"/>
    <x v="1"/>
    <x v="23"/>
    <x v="23"/>
    <x v="0"/>
  </r>
  <r>
    <x v="27"/>
    <x v="27"/>
    <x v="2"/>
    <x v="20"/>
    <x v="23"/>
    <x v="18"/>
    <x v="21"/>
    <x v="20"/>
    <x v="13"/>
    <x v="3"/>
    <x v="24"/>
    <x v="24"/>
    <x v="0"/>
  </r>
  <r>
    <x v="28"/>
    <x v="28"/>
    <x v="2"/>
    <x v="22"/>
    <x v="24"/>
    <x v="19"/>
    <x v="0"/>
    <x v="21"/>
    <x v="2"/>
    <x v="1"/>
    <x v="25"/>
    <x v="25"/>
    <x v="1"/>
  </r>
  <r>
    <x v="29"/>
    <x v="29"/>
    <x v="2"/>
    <x v="23"/>
    <x v="25"/>
    <x v="25"/>
    <x v="23"/>
    <x v="22"/>
    <x v="2"/>
    <x v="1"/>
    <x v="26"/>
    <x v="2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B2:E7" firstHeaderRow="1" firstDataRow="2" firstDataCol="1"/>
  <pivotFields count="13">
    <pivotField compact="0" numFmtId="49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showAll="0">
      <items count="3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"/>
        <item x="4"/>
        <item x="5"/>
        <item x="6"/>
        <item x="7"/>
        <item x="8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计数项:姓名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M31" totalsRowShown="0">
  <tableColumns count="13">
    <tableColumn id="1" name="学号" dataDxfId="0"/>
    <tableColumn id="2" name="姓名" dataDxfId="1"/>
    <tableColumn id="3" name="班级" dataDxfId="2"/>
    <tableColumn id="4" name="语文" dataDxfId="3"/>
    <tableColumn id="5" name="数学" dataDxfId="4"/>
    <tableColumn id="6" name="英语" dataDxfId="5"/>
    <tableColumn id="7" name="物理" dataDxfId="6"/>
    <tableColumn id="8" name="化学" dataDxfId="7"/>
    <tableColumn id="9" name="道法" dataDxfId="8"/>
    <tableColumn id="10" name="体育" dataDxfId="9"/>
    <tableColumn id="11" name="总分" dataDxfId="10"/>
    <tableColumn id="12" name="排名" dataDxfId="11"/>
    <tableColumn id="13" name="语数外成绩是否超过平均" dataDxfId="12"/>
  </tableColumns>
  <tableStyleInfo name="TableStylePreset2_Accent2" showFirstColumn="1" showLastColumn="0" showRowStripes="1" showColumnStripes="0"/>
</table>
</file>

<file path=xl/tables/table2.xml><?xml version="1.0" encoding="utf-8"?>
<table xmlns="http://schemas.openxmlformats.org/spreadsheetml/2006/main" id="3" name="表1_4" displayName="表1_4" ref="A1:M31" totalsRowShown="0">
  <tableColumns count="13">
    <tableColumn id="1" name="学号"/>
    <tableColumn id="2" name="姓名"/>
    <tableColumn id="3" name="班级"/>
    <tableColumn id="4" name="语文"/>
    <tableColumn id="5" name="数学"/>
    <tableColumn id="6" name="英语"/>
    <tableColumn id="7" name="物理"/>
    <tableColumn id="8" name="化学"/>
    <tableColumn id="9" name="道法"/>
    <tableColumn id="10" name="体育"/>
    <tableColumn id="11" name="总分"/>
    <tableColumn id="12" name="排名"/>
    <tableColumn id="13" name="语数外成绩是否超过平均"/>
  </tableColumns>
  <tableStyleInfo name="TableStylePreset2_Accent2" showFirstColumn="1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M34"/>
  <sheetViews>
    <sheetView tabSelected="1" workbookViewId="0">
      <selection activeCell="H6" sqref="H6"/>
    </sheetView>
  </sheetViews>
  <sheetFormatPr defaultColWidth="9" defaultRowHeight="13.5"/>
  <cols>
    <col min="1" max="1" width="11.75"/>
    <col min="13" max="13" width="28.25" customWidth="1"/>
  </cols>
  <sheetData>
    <row r="1" ht="1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" customHeight="1" spans="1:13">
      <c r="A2" s="2">
        <v>20250101</v>
      </c>
      <c r="B2" s="1" t="s">
        <v>13</v>
      </c>
      <c r="C2" s="1" t="str">
        <f>MID(A2,3,2)&amp;"级"&amp;MID(A2,6,1)&amp;"班"</f>
        <v>25级1班</v>
      </c>
      <c r="D2" s="2">
        <v>73</v>
      </c>
      <c r="E2" s="1">
        <v>110</v>
      </c>
      <c r="F2" s="1">
        <v>103</v>
      </c>
      <c r="G2" s="1">
        <v>61</v>
      </c>
      <c r="H2" s="1">
        <v>42</v>
      </c>
      <c r="I2" s="1">
        <v>40</v>
      </c>
      <c r="J2" s="1">
        <v>30</v>
      </c>
      <c r="K2" s="1">
        <f>SUM(D2:J2)</f>
        <v>459</v>
      </c>
      <c r="L2" s="1">
        <f>RANK(K2,$K$2:$K$31)</f>
        <v>4</v>
      </c>
      <c r="M2" s="1" t="str">
        <f>IF(AND(D2&gt;=AVERAGE($D$2:$D$31),E2&gt;=AVERAGE($E$2:$E$31),F2&gt;=AVERAGE($F$2:$F$31)),"TRUE","FALSE")</f>
        <v>FALSE</v>
      </c>
    </row>
    <row r="3" ht="15" customHeight="1" spans="1:13">
      <c r="A3" s="2">
        <v>20250102</v>
      </c>
      <c r="B3" s="1" t="s">
        <v>14</v>
      </c>
      <c r="C3" s="1" t="str">
        <f t="shared" ref="C3:C31" si="0">MID(A3,3,2)&amp;"级"&amp;MID(A3,6,1)&amp;"班"</f>
        <v>25级1班</v>
      </c>
      <c r="D3" s="2">
        <v>76</v>
      </c>
      <c r="E3" s="1">
        <v>85</v>
      </c>
      <c r="F3" s="1">
        <v>70</v>
      </c>
      <c r="G3" s="1">
        <v>39</v>
      </c>
      <c r="H3" s="1">
        <v>44</v>
      </c>
      <c r="I3" s="1">
        <v>33</v>
      </c>
      <c r="J3" s="1">
        <v>28</v>
      </c>
      <c r="K3" s="1">
        <f t="shared" ref="K3:K31" si="1">SUM(D3:J3)</f>
        <v>375</v>
      </c>
      <c r="L3" s="1">
        <f t="shared" ref="L3:L31" si="2">RANK(K3,$K$2:$K$31)</f>
        <v>16</v>
      </c>
      <c r="M3" s="1" t="str">
        <f t="shared" ref="M3:M31" si="3">IF(AND(D3&gt;=AVERAGE($D$2:$D$31),E3&gt;=AVERAGE($E$2:$E$31),F3&gt;=AVERAGE($F$2:$F$31)),"TRUE","FALSE")</f>
        <v>FALSE</v>
      </c>
    </row>
    <row r="4" ht="15" customHeight="1" spans="1:13">
      <c r="A4" s="2">
        <v>20250103</v>
      </c>
      <c r="B4" s="1" t="s">
        <v>15</v>
      </c>
      <c r="C4" s="1" t="str">
        <f t="shared" si="0"/>
        <v>25级1班</v>
      </c>
      <c r="D4" s="2">
        <v>69</v>
      </c>
      <c r="E4" s="1">
        <v>102</v>
      </c>
      <c r="F4" s="1">
        <v>118</v>
      </c>
      <c r="G4" s="1">
        <v>66</v>
      </c>
      <c r="H4" s="1">
        <v>17</v>
      </c>
      <c r="I4" s="1">
        <v>29</v>
      </c>
      <c r="J4" s="1">
        <v>27</v>
      </c>
      <c r="K4" s="1">
        <f t="shared" si="1"/>
        <v>428</v>
      </c>
      <c r="L4" s="1">
        <f t="shared" si="2"/>
        <v>5</v>
      </c>
      <c r="M4" s="1" t="str">
        <f t="shared" si="3"/>
        <v>FALSE</v>
      </c>
    </row>
    <row r="5" ht="15" customHeight="1" spans="1:13">
      <c r="A5" s="2">
        <v>20250104</v>
      </c>
      <c r="B5" s="1" t="s">
        <v>16</v>
      </c>
      <c r="C5" s="1" t="str">
        <f t="shared" si="0"/>
        <v>25级1班</v>
      </c>
      <c r="D5" s="2">
        <v>73</v>
      </c>
      <c r="E5" s="1">
        <v>93</v>
      </c>
      <c r="F5" s="1">
        <v>33</v>
      </c>
      <c r="G5" s="1">
        <v>56</v>
      </c>
      <c r="H5" s="1">
        <v>44</v>
      </c>
      <c r="I5" s="1">
        <v>37</v>
      </c>
      <c r="J5" s="1">
        <v>25</v>
      </c>
      <c r="K5" s="1">
        <f t="shared" si="1"/>
        <v>361</v>
      </c>
      <c r="L5" s="1">
        <f t="shared" si="2"/>
        <v>20</v>
      </c>
      <c r="M5" s="1" t="str">
        <f t="shared" si="3"/>
        <v>FALSE</v>
      </c>
    </row>
    <row r="6" ht="15" customHeight="1" spans="1:13">
      <c r="A6" s="2">
        <v>20250105</v>
      </c>
      <c r="B6" s="1" t="s">
        <v>17</v>
      </c>
      <c r="C6" s="1" t="str">
        <f t="shared" si="0"/>
        <v>25级1班</v>
      </c>
      <c r="D6" s="2">
        <v>108</v>
      </c>
      <c r="E6" s="1">
        <v>70</v>
      </c>
      <c r="F6" s="1">
        <v>120</v>
      </c>
      <c r="G6" s="1">
        <v>34</v>
      </c>
      <c r="H6" s="1">
        <v>25</v>
      </c>
      <c r="I6" s="1">
        <v>33</v>
      </c>
      <c r="J6" s="1">
        <v>25</v>
      </c>
      <c r="K6" s="1">
        <f t="shared" si="1"/>
        <v>415</v>
      </c>
      <c r="L6" s="1">
        <f t="shared" si="2"/>
        <v>7</v>
      </c>
      <c r="M6" s="1" t="str">
        <f t="shared" si="3"/>
        <v>FALSE</v>
      </c>
    </row>
    <row r="7" ht="15" customHeight="1" spans="1:13">
      <c r="A7" s="2">
        <v>20250106</v>
      </c>
      <c r="B7" s="1" t="s">
        <v>18</v>
      </c>
      <c r="C7" s="1" t="str">
        <f t="shared" si="0"/>
        <v>25级1班</v>
      </c>
      <c r="D7" s="2">
        <v>75</v>
      </c>
      <c r="E7" s="1">
        <v>110</v>
      </c>
      <c r="F7" s="1">
        <v>98</v>
      </c>
      <c r="G7" s="1">
        <v>27</v>
      </c>
      <c r="H7" s="1">
        <v>29</v>
      </c>
      <c r="I7" s="1">
        <v>36</v>
      </c>
      <c r="J7" s="1">
        <v>27</v>
      </c>
      <c r="K7" s="1">
        <f t="shared" si="1"/>
        <v>402</v>
      </c>
      <c r="L7" s="1">
        <f t="shared" si="2"/>
        <v>10</v>
      </c>
      <c r="M7" s="1" t="str">
        <f t="shared" si="3"/>
        <v>FALSE</v>
      </c>
    </row>
    <row r="8" ht="15" customHeight="1" spans="1:13">
      <c r="A8" s="2">
        <v>20250107</v>
      </c>
      <c r="B8" s="1" t="s">
        <v>19</v>
      </c>
      <c r="C8" s="1" t="str">
        <f t="shared" si="0"/>
        <v>25级1班</v>
      </c>
      <c r="D8" s="2">
        <v>71</v>
      </c>
      <c r="E8" s="1">
        <v>49</v>
      </c>
      <c r="F8" s="1">
        <v>53</v>
      </c>
      <c r="G8" s="1">
        <v>47</v>
      </c>
      <c r="H8" s="1">
        <v>12</v>
      </c>
      <c r="I8" s="1">
        <v>40</v>
      </c>
      <c r="J8" s="1">
        <v>25</v>
      </c>
      <c r="K8" s="1">
        <f t="shared" si="1"/>
        <v>297</v>
      </c>
      <c r="L8" s="1">
        <f t="shared" si="2"/>
        <v>29</v>
      </c>
      <c r="M8" s="1" t="str">
        <f t="shared" si="3"/>
        <v>FALSE</v>
      </c>
    </row>
    <row r="9" ht="15" customHeight="1" spans="1:13">
      <c r="A9" s="2">
        <v>20250108</v>
      </c>
      <c r="B9" s="1" t="s">
        <v>20</v>
      </c>
      <c r="C9" s="1" t="str">
        <f t="shared" si="0"/>
        <v>25级1班</v>
      </c>
      <c r="D9" s="2">
        <v>87</v>
      </c>
      <c r="E9" s="1">
        <v>90</v>
      </c>
      <c r="F9" s="1">
        <v>77</v>
      </c>
      <c r="G9" s="1">
        <v>64</v>
      </c>
      <c r="H9" s="1">
        <v>12</v>
      </c>
      <c r="I9" s="1">
        <v>27</v>
      </c>
      <c r="J9" s="1">
        <v>25</v>
      </c>
      <c r="K9" s="1">
        <f t="shared" si="1"/>
        <v>382</v>
      </c>
      <c r="L9" s="1">
        <f t="shared" si="2"/>
        <v>15</v>
      </c>
      <c r="M9" s="1" t="str">
        <f t="shared" si="3"/>
        <v>FALSE</v>
      </c>
    </row>
    <row r="10" ht="15" customHeight="1" spans="1:13">
      <c r="A10" s="2">
        <v>20250201</v>
      </c>
      <c r="B10" s="1" t="s">
        <v>21</v>
      </c>
      <c r="C10" s="1" t="str">
        <f t="shared" si="0"/>
        <v>25级2班</v>
      </c>
      <c r="D10" s="2">
        <v>89</v>
      </c>
      <c r="E10" s="1">
        <v>119</v>
      </c>
      <c r="F10" s="1">
        <v>106</v>
      </c>
      <c r="G10" s="1">
        <v>20</v>
      </c>
      <c r="H10" s="1">
        <v>16</v>
      </c>
      <c r="I10" s="1">
        <v>30</v>
      </c>
      <c r="J10" s="1">
        <v>28</v>
      </c>
      <c r="K10" s="1">
        <f t="shared" si="1"/>
        <v>408</v>
      </c>
      <c r="L10" s="1">
        <f t="shared" si="2"/>
        <v>9</v>
      </c>
      <c r="M10" s="1" t="str">
        <f t="shared" si="3"/>
        <v>FALSE</v>
      </c>
    </row>
    <row r="11" ht="15" customHeight="1" spans="1:13">
      <c r="A11" s="2">
        <v>20250202</v>
      </c>
      <c r="B11" s="1" t="s">
        <v>22</v>
      </c>
      <c r="C11" s="1" t="str">
        <f t="shared" si="0"/>
        <v>25级2班</v>
      </c>
      <c r="D11" s="2">
        <v>74</v>
      </c>
      <c r="E11" s="1">
        <v>60</v>
      </c>
      <c r="F11" s="1">
        <v>38</v>
      </c>
      <c r="G11" s="1">
        <v>33</v>
      </c>
      <c r="H11" s="1">
        <v>19</v>
      </c>
      <c r="I11" s="1">
        <v>39</v>
      </c>
      <c r="J11" s="1">
        <v>26</v>
      </c>
      <c r="K11" s="1">
        <f t="shared" si="1"/>
        <v>289</v>
      </c>
      <c r="L11" s="1">
        <f t="shared" si="2"/>
        <v>30</v>
      </c>
      <c r="M11" s="1" t="str">
        <f t="shared" si="3"/>
        <v>FALSE</v>
      </c>
    </row>
    <row r="12" ht="15" customHeight="1" spans="1:13">
      <c r="A12" s="2">
        <v>20250203</v>
      </c>
      <c r="B12" s="1" t="s">
        <v>23</v>
      </c>
      <c r="C12" s="1" t="str">
        <f t="shared" si="0"/>
        <v>25级2班</v>
      </c>
      <c r="D12" s="2">
        <v>112</v>
      </c>
      <c r="E12" s="1">
        <v>45</v>
      </c>
      <c r="F12" s="1">
        <v>75</v>
      </c>
      <c r="G12" s="1">
        <v>61</v>
      </c>
      <c r="H12" s="1">
        <v>32</v>
      </c>
      <c r="I12" s="1">
        <v>39</v>
      </c>
      <c r="J12" s="1">
        <v>29</v>
      </c>
      <c r="K12" s="1">
        <f t="shared" si="1"/>
        <v>393</v>
      </c>
      <c r="L12" s="1">
        <f t="shared" si="2"/>
        <v>12</v>
      </c>
      <c r="M12" s="1" t="str">
        <f t="shared" si="3"/>
        <v>FALSE</v>
      </c>
    </row>
    <row r="13" ht="15" customHeight="1" spans="1:13">
      <c r="A13" s="2">
        <v>20250204</v>
      </c>
      <c r="B13" s="1" t="s">
        <v>24</v>
      </c>
      <c r="C13" s="1" t="str">
        <f t="shared" si="0"/>
        <v>25级2班</v>
      </c>
      <c r="D13" s="2">
        <v>97</v>
      </c>
      <c r="E13" s="1">
        <v>46</v>
      </c>
      <c r="F13" s="1">
        <v>46</v>
      </c>
      <c r="G13" s="1">
        <v>45</v>
      </c>
      <c r="H13" s="1">
        <v>33</v>
      </c>
      <c r="I13" s="1">
        <v>24</v>
      </c>
      <c r="J13" s="1">
        <v>25</v>
      </c>
      <c r="K13" s="1">
        <f t="shared" si="1"/>
        <v>316</v>
      </c>
      <c r="L13" s="1">
        <f t="shared" si="2"/>
        <v>27</v>
      </c>
      <c r="M13" s="1" t="str">
        <f t="shared" si="3"/>
        <v>FALSE</v>
      </c>
    </row>
    <row r="14" ht="15" customHeight="1" spans="1:13">
      <c r="A14" s="2">
        <v>20250205</v>
      </c>
      <c r="B14" s="1" t="s">
        <v>25</v>
      </c>
      <c r="C14" s="1" t="str">
        <f t="shared" si="0"/>
        <v>25级2班</v>
      </c>
      <c r="D14" s="2">
        <v>116</v>
      </c>
      <c r="E14" s="1">
        <v>41</v>
      </c>
      <c r="F14" s="1">
        <v>71</v>
      </c>
      <c r="G14" s="1">
        <v>49</v>
      </c>
      <c r="H14" s="1">
        <v>20</v>
      </c>
      <c r="I14" s="1">
        <v>28</v>
      </c>
      <c r="J14" s="1">
        <v>29</v>
      </c>
      <c r="K14" s="1">
        <f t="shared" si="1"/>
        <v>354</v>
      </c>
      <c r="L14" s="1">
        <f t="shared" si="2"/>
        <v>21</v>
      </c>
      <c r="M14" s="1" t="str">
        <f t="shared" si="3"/>
        <v>FALSE</v>
      </c>
    </row>
    <row r="15" ht="15" customHeight="1" spans="1:13">
      <c r="A15" s="2">
        <v>20250206</v>
      </c>
      <c r="B15" s="1" t="s">
        <v>26</v>
      </c>
      <c r="C15" s="1" t="str">
        <f t="shared" si="0"/>
        <v>25级2班</v>
      </c>
      <c r="D15" s="2">
        <v>98</v>
      </c>
      <c r="E15" s="1">
        <v>104</v>
      </c>
      <c r="F15" s="1">
        <v>83</v>
      </c>
      <c r="G15" s="1">
        <v>31</v>
      </c>
      <c r="H15" s="1">
        <v>13</v>
      </c>
      <c r="I15" s="1">
        <v>37</v>
      </c>
      <c r="J15" s="1">
        <v>30</v>
      </c>
      <c r="K15" s="1">
        <f t="shared" si="1"/>
        <v>396</v>
      </c>
      <c r="L15" s="1">
        <f t="shared" si="2"/>
        <v>11</v>
      </c>
      <c r="M15" s="1" t="str">
        <f t="shared" si="3"/>
        <v>TRUE</v>
      </c>
    </row>
    <row r="16" ht="15" customHeight="1" spans="1:13">
      <c r="A16" s="2">
        <v>20250207</v>
      </c>
      <c r="B16" s="1" t="s">
        <v>27</v>
      </c>
      <c r="C16" s="1" t="str">
        <f t="shared" si="0"/>
        <v>25级2班</v>
      </c>
      <c r="D16" s="2">
        <v>77</v>
      </c>
      <c r="E16" s="1">
        <v>80</v>
      </c>
      <c r="F16" s="1">
        <v>69</v>
      </c>
      <c r="G16" s="1">
        <v>47</v>
      </c>
      <c r="H16" s="1">
        <v>20</v>
      </c>
      <c r="I16" s="1">
        <v>28</v>
      </c>
      <c r="J16" s="1">
        <v>26</v>
      </c>
      <c r="K16" s="1">
        <f t="shared" si="1"/>
        <v>347</v>
      </c>
      <c r="L16" s="1">
        <f t="shared" si="2"/>
        <v>23</v>
      </c>
      <c r="M16" s="1" t="str">
        <f t="shared" si="3"/>
        <v>FALSE</v>
      </c>
    </row>
    <row r="17" ht="15" customHeight="1" spans="1:13">
      <c r="A17" s="2">
        <v>20250208</v>
      </c>
      <c r="B17" s="1" t="s">
        <v>28</v>
      </c>
      <c r="C17" s="1" t="str">
        <f t="shared" si="0"/>
        <v>25级2班</v>
      </c>
      <c r="D17" s="2">
        <v>100</v>
      </c>
      <c r="E17" s="1">
        <v>67</v>
      </c>
      <c r="F17" s="1">
        <v>86</v>
      </c>
      <c r="G17" s="1">
        <v>43</v>
      </c>
      <c r="H17" s="1">
        <v>24</v>
      </c>
      <c r="I17" s="1">
        <v>29</v>
      </c>
      <c r="J17" s="1">
        <v>26</v>
      </c>
      <c r="K17" s="1">
        <f t="shared" si="1"/>
        <v>375</v>
      </c>
      <c r="L17" s="1">
        <f t="shared" si="2"/>
        <v>16</v>
      </c>
      <c r="M17" s="1" t="str">
        <f t="shared" si="3"/>
        <v>FALSE</v>
      </c>
    </row>
    <row r="18" ht="15" customHeight="1" spans="1:13">
      <c r="A18" s="2">
        <v>20250209</v>
      </c>
      <c r="B18" s="1" t="s">
        <v>29</v>
      </c>
      <c r="C18" s="1" t="str">
        <f t="shared" si="0"/>
        <v>25级2班</v>
      </c>
      <c r="D18" s="2">
        <v>100</v>
      </c>
      <c r="E18" s="1">
        <v>90</v>
      </c>
      <c r="F18" s="1">
        <v>50</v>
      </c>
      <c r="G18" s="1">
        <v>44</v>
      </c>
      <c r="H18" s="1">
        <v>36</v>
      </c>
      <c r="I18" s="1">
        <v>25</v>
      </c>
      <c r="J18" s="1">
        <v>30</v>
      </c>
      <c r="K18" s="1">
        <f t="shared" si="1"/>
        <v>375</v>
      </c>
      <c r="L18" s="1">
        <f t="shared" si="2"/>
        <v>16</v>
      </c>
      <c r="M18" s="1" t="str">
        <f t="shared" si="3"/>
        <v>FALSE</v>
      </c>
    </row>
    <row r="19" ht="15" customHeight="1" spans="1:13">
      <c r="A19" s="2">
        <v>20250210</v>
      </c>
      <c r="B19" s="1" t="s">
        <v>30</v>
      </c>
      <c r="C19" s="1" t="str">
        <f t="shared" si="0"/>
        <v>25级2班</v>
      </c>
      <c r="D19" s="2">
        <v>75</v>
      </c>
      <c r="E19" s="1">
        <v>105</v>
      </c>
      <c r="F19" s="1">
        <v>106</v>
      </c>
      <c r="G19" s="1">
        <v>60</v>
      </c>
      <c r="H19" s="1">
        <v>16</v>
      </c>
      <c r="I19" s="1">
        <v>25</v>
      </c>
      <c r="J19" s="1">
        <v>29</v>
      </c>
      <c r="K19" s="1">
        <f t="shared" si="1"/>
        <v>416</v>
      </c>
      <c r="L19" s="1">
        <f t="shared" si="2"/>
        <v>6</v>
      </c>
      <c r="M19" s="1" t="str">
        <f t="shared" si="3"/>
        <v>FALSE</v>
      </c>
    </row>
    <row r="20" ht="15" customHeight="1" spans="1:13">
      <c r="A20" s="2">
        <v>20250211</v>
      </c>
      <c r="B20" s="1" t="s">
        <v>31</v>
      </c>
      <c r="C20" s="1" t="str">
        <f t="shared" si="0"/>
        <v>25级2班</v>
      </c>
      <c r="D20" s="2">
        <v>120</v>
      </c>
      <c r="E20" s="1">
        <v>103</v>
      </c>
      <c r="F20" s="1">
        <v>101</v>
      </c>
      <c r="G20" s="1">
        <v>52</v>
      </c>
      <c r="H20" s="1">
        <v>34</v>
      </c>
      <c r="I20" s="1">
        <v>27</v>
      </c>
      <c r="J20" s="1">
        <v>25</v>
      </c>
      <c r="K20" s="1">
        <f t="shared" si="1"/>
        <v>462</v>
      </c>
      <c r="L20" s="1">
        <f t="shared" si="2"/>
        <v>2</v>
      </c>
      <c r="M20" s="1" t="str">
        <f t="shared" si="3"/>
        <v>TRUE</v>
      </c>
    </row>
    <row r="21" ht="15" customHeight="1" spans="1:13">
      <c r="A21" s="2">
        <v>20250212</v>
      </c>
      <c r="B21" s="1" t="s">
        <v>32</v>
      </c>
      <c r="C21" s="1" t="str">
        <f t="shared" si="0"/>
        <v>25级2班</v>
      </c>
      <c r="D21" s="2">
        <v>101</v>
      </c>
      <c r="E21" s="1">
        <v>80</v>
      </c>
      <c r="F21" s="1">
        <v>44</v>
      </c>
      <c r="G21" s="1">
        <v>51</v>
      </c>
      <c r="H21" s="1">
        <v>10</v>
      </c>
      <c r="I21" s="1">
        <v>40</v>
      </c>
      <c r="J21" s="1">
        <v>26</v>
      </c>
      <c r="K21" s="1">
        <f t="shared" si="1"/>
        <v>352</v>
      </c>
      <c r="L21" s="1">
        <f t="shared" si="2"/>
        <v>22</v>
      </c>
      <c r="M21" s="1" t="str">
        <f t="shared" si="3"/>
        <v>FALSE</v>
      </c>
    </row>
    <row r="22" ht="15" customHeight="1" spans="1:13">
      <c r="A22" s="2">
        <v>20250301</v>
      </c>
      <c r="B22" s="1" t="s">
        <v>33</v>
      </c>
      <c r="C22" s="1" t="str">
        <f t="shared" si="0"/>
        <v>25级3班</v>
      </c>
      <c r="D22" s="2">
        <v>88</v>
      </c>
      <c r="E22" s="1">
        <v>51</v>
      </c>
      <c r="F22" s="1">
        <v>97</v>
      </c>
      <c r="G22" s="1">
        <v>59</v>
      </c>
      <c r="H22" s="1">
        <v>47</v>
      </c>
      <c r="I22" s="1">
        <v>21</v>
      </c>
      <c r="J22" s="1">
        <v>27</v>
      </c>
      <c r="K22" s="1">
        <f t="shared" si="1"/>
        <v>390</v>
      </c>
      <c r="L22" s="1">
        <f t="shared" si="2"/>
        <v>13</v>
      </c>
      <c r="M22" s="1" t="str">
        <f t="shared" si="3"/>
        <v>FALSE</v>
      </c>
    </row>
    <row r="23" ht="15" customHeight="1" spans="1:13">
      <c r="A23" s="2">
        <v>20250302</v>
      </c>
      <c r="B23" s="1" t="s">
        <v>34</v>
      </c>
      <c r="C23" s="1" t="str">
        <f t="shared" si="0"/>
        <v>25级3班</v>
      </c>
      <c r="D23" s="2">
        <v>63</v>
      </c>
      <c r="E23" s="1">
        <v>111</v>
      </c>
      <c r="F23" s="1">
        <v>109</v>
      </c>
      <c r="G23" s="1">
        <v>35</v>
      </c>
      <c r="H23" s="1">
        <v>46</v>
      </c>
      <c r="I23" s="1">
        <v>23</v>
      </c>
      <c r="J23" s="1">
        <v>26</v>
      </c>
      <c r="K23" s="1">
        <f t="shared" si="1"/>
        <v>413</v>
      </c>
      <c r="L23" s="1">
        <f t="shared" si="2"/>
        <v>8</v>
      </c>
      <c r="M23" s="1" t="str">
        <f t="shared" si="3"/>
        <v>FALSE</v>
      </c>
    </row>
    <row r="24" ht="15" customHeight="1" spans="1:13">
      <c r="A24" s="2">
        <v>20250303</v>
      </c>
      <c r="B24" s="1" t="s">
        <v>35</v>
      </c>
      <c r="C24" s="1" t="str">
        <f t="shared" si="0"/>
        <v>25级3班</v>
      </c>
      <c r="D24" s="2">
        <v>85</v>
      </c>
      <c r="E24" s="1">
        <v>63</v>
      </c>
      <c r="F24" s="1">
        <v>39</v>
      </c>
      <c r="G24" s="1">
        <v>40</v>
      </c>
      <c r="H24" s="1">
        <v>19</v>
      </c>
      <c r="I24" s="1">
        <v>32</v>
      </c>
      <c r="J24" s="1">
        <v>28</v>
      </c>
      <c r="K24" s="1">
        <f t="shared" si="1"/>
        <v>306</v>
      </c>
      <c r="L24" s="1">
        <f t="shared" si="2"/>
        <v>28</v>
      </c>
      <c r="M24" s="1" t="str">
        <f t="shared" si="3"/>
        <v>FALSE</v>
      </c>
    </row>
    <row r="25" ht="15" customHeight="1" spans="1:13">
      <c r="A25" s="2">
        <v>20250304</v>
      </c>
      <c r="B25" s="1" t="s">
        <v>36</v>
      </c>
      <c r="C25" s="1" t="str">
        <f t="shared" si="0"/>
        <v>25级3班</v>
      </c>
      <c r="D25" s="2">
        <v>98</v>
      </c>
      <c r="E25" s="1">
        <v>50</v>
      </c>
      <c r="F25" s="1">
        <v>66</v>
      </c>
      <c r="G25" s="1">
        <v>43</v>
      </c>
      <c r="H25" s="1">
        <v>23</v>
      </c>
      <c r="I25" s="1">
        <v>40</v>
      </c>
      <c r="J25" s="1">
        <v>25</v>
      </c>
      <c r="K25" s="1">
        <f t="shared" si="1"/>
        <v>345</v>
      </c>
      <c r="L25" s="1">
        <f t="shared" si="2"/>
        <v>24</v>
      </c>
      <c r="M25" s="1" t="str">
        <f t="shared" si="3"/>
        <v>FALSE</v>
      </c>
    </row>
    <row r="26" ht="15" customHeight="1" spans="1:13">
      <c r="A26" s="2">
        <v>20250305</v>
      </c>
      <c r="B26" s="1" t="s">
        <v>37</v>
      </c>
      <c r="C26" s="1" t="str">
        <f t="shared" si="0"/>
        <v>25级3班</v>
      </c>
      <c r="D26" s="2">
        <v>108</v>
      </c>
      <c r="E26" s="1">
        <v>53</v>
      </c>
      <c r="F26" s="1">
        <v>57</v>
      </c>
      <c r="G26" s="1">
        <v>44</v>
      </c>
      <c r="H26" s="1">
        <v>16</v>
      </c>
      <c r="I26" s="1">
        <v>24</v>
      </c>
      <c r="J26" s="1">
        <v>30</v>
      </c>
      <c r="K26" s="1">
        <f t="shared" si="1"/>
        <v>332</v>
      </c>
      <c r="L26" s="1">
        <f t="shared" si="2"/>
        <v>25</v>
      </c>
      <c r="M26" s="1" t="str">
        <f t="shared" si="3"/>
        <v>FALSE</v>
      </c>
    </row>
    <row r="27" ht="15" customHeight="1" spans="1:13">
      <c r="A27" s="2">
        <v>20250306</v>
      </c>
      <c r="B27" s="1" t="s">
        <v>38</v>
      </c>
      <c r="C27" s="1" t="str">
        <f t="shared" si="0"/>
        <v>25级3班</v>
      </c>
      <c r="D27" s="2">
        <v>95</v>
      </c>
      <c r="E27" s="1">
        <v>105</v>
      </c>
      <c r="F27" s="1">
        <v>114</v>
      </c>
      <c r="G27" s="1">
        <v>54</v>
      </c>
      <c r="H27" s="1">
        <v>44</v>
      </c>
      <c r="I27" s="1">
        <v>23</v>
      </c>
      <c r="J27" s="1">
        <v>27</v>
      </c>
      <c r="K27" s="1">
        <f t="shared" si="1"/>
        <v>462</v>
      </c>
      <c r="L27" s="1">
        <f t="shared" si="2"/>
        <v>2</v>
      </c>
      <c r="M27" s="1" t="str">
        <f t="shared" si="3"/>
        <v>TRUE</v>
      </c>
    </row>
    <row r="28" ht="15" customHeight="1" spans="1:13">
      <c r="A28" s="2">
        <v>20250307</v>
      </c>
      <c r="B28" s="1" t="s">
        <v>39</v>
      </c>
      <c r="C28" s="1" t="str">
        <f t="shared" si="0"/>
        <v>25级3班</v>
      </c>
      <c r="D28" s="2">
        <v>111</v>
      </c>
      <c r="E28" s="1">
        <v>88</v>
      </c>
      <c r="F28" s="1">
        <v>38</v>
      </c>
      <c r="G28" s="1">
        <v>42</v>
      </c>
      <c r="H28" s="1">
        <v>37</v>
      </c>
      <c r="I28" s="1">
        <v>24</v>
      </c>
      <c r="J28" s="1">
        <v>28</v>
      </c>
      <c r="K28" s="1">
        <f t="shared" si="1"/>
        <v>368</v>
      </c>
      <c r="L28" s="1">
        <f t="shared" si="2"/>
        <v>19</v>
      </c>
      <c r="M28" s="1" t="str">
        <f t="shared" si="3"/>
        <v>FALSE</v>
      </c>
    </row>
    <row r="29" ht="15" customHeight="1" spans="1:13">
      <c r="A29" s="2">
        <v>20250308</v>
      </c>
      <c r="B29" s="1" t="s">
        <v>40</v>
      </c>
      <c r="C29" s="1" t="str">
        <f t="shared" si="0"/>
        <v>25级3班</v>
      </c>
      <c r="D29" s="2">
        <v>95</v>
      </c>
      <c r="E29" s="1">
        <v>112</v>
      </c>
      <c r="F29" s="1">
        <v>44</v>
      </c>
      <c r="G29" s="1">
        <v>54</v>
      </c>
      <c r="H29" s="1">
        <v>27</v>
      </c>
      <c r="I29" s="1">
        <v>32</v>
      </c>
      <c r="J29" s="1">
        <v>25</v>
      </c>
      <c r="K29" s="1">
        <f t="shared" si="1"/>
        <v>389</v>
      </c>
      <c r="L29" s="1">
        <f t="shared" si="2"/>
        <v>14</v>
      </c>
      <c r="M29" s="1" t="str">
        <f t="shared" si="3"/>
        <v>FALSE</v>
      </c>
    </row>
    <row r="30" ht="15" customHeight="1" spans="1:13">
      <c r="A30" s="2">
        <v>20250309</v>
      </c>
      <c r="B30" s="1" t="s">
        <v>41</v>
      </c>
      <c r="C30" s="1" t="str">
        <f t="shared" si="0"/>
        <v>25级3班</v>
      </c>
      <c r="D30" s="2">
        <v>113</v>
      </c>
      <c r="E30" s="1">
        <v>115</v>
      </c>
      <c r="F30" s="1">
        <v>97</v>
      </c>
      <c r="G30" s="1">
        <v>61</v>
      </c>
      <c r="H30" s="1">
        <v>39</v>
      </c>
      <c r="I30" s="1">
        <v>29</v>
      </c>
      <c r="J30" s="1">
        <v>28</v>
      </c>
      <c r="K30" s="1">
        <f t="shared" si="1"/>
        <v>482</v>
      </c>
      <c r="L30" s="1">
        <f t="shared" si="2"/>
        <v>1</v>
      </c>
      <c r="M30" s="1" t="str">
        <f t="shared" si="3"/>
        <v>TRUE</v>
      </c>
    </row>
    <row r="31" ht="15" customHeight="1" spans="1:13">
      <c r="A31" s="2">
        <v>20250310</v>
      </c>
      <c r="B31" s="1" t="s">
        <v>42</v>
      </c>
      <c r="C31" s="1" t="str">
        <f t="shared" si="0"/>
        <v>25级3班</v>
      </c>
      <c r="D31" s="2">
        <v>102</v>
      </c>
      <c r="E31" s="1">
        <v>58</v>
      </c>
      <c r="F31" s="1">
        <v>47</v>
      </c>
      <c r="G31" s="1">
        <v>25</v>
      </c>
      <c r="H31" s="1">
        <v>41</v>
      </c>
      <c r="I31" s="1">
        <v>29</v>
      </c>
      <c r="J31" s="1">
        <v>28</v>
      </c>
      <c r="K31" s="1">
        <f t="shared" si="1"/>
        <v>330</v>
      </c>
      <c r="L31" s="1">
        <f t="shared" si="2"/>
        <v>26</v>
      </c>
      <c r="M31" s="1" t="str">
        <f t="shared" si="3"/>
        <v>FALSE</v>
      </c>
    </row>
    <row r="32" ht="15" customHeight="1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ht="15" customHeight="1" spans="1:13">
      <c r="A33" s="8"/>
      <c r="B33" s="8"/>
      <c r="C33" s="8"/>
      <c r="D33" s="8">
        <f>SUMPRODUCT(--(MOD(D2:D31,2)=1))</f>
        <v>17</v>
      </c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conditionalFormatting sqref="A2:M31">
    <cfRule type="expression" dxfId="13" priority="1">
      <formula>AND($K2&lt;AVERAGE($K$2:$K$31),$C2="25级2班")</formula>
    </cfRule>
  </conditionalFormatting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2:E4"/>
  <sheetViews>
    <sheetView showGridLines="0" workbookViewId="0">
      <selection activeCell="E3" sqref="E3"/>
    </sheetView>
  </sheetViews>
  <sheetFormatPr defaultColWidth="9" defaultRowHeight="13.5" outlineLevelRow="3" outlineLevelCol="4"/>
  <sheetData>
    <row r="2" ht="20" customHeight="1" spans="2:5">
      <c r="B2" s="3" t="s">
        <v>43</v>
      </c>
      <c r="C2" s="4"/>
      <c r="D2" s="4"/>
      <c r="E2" s="5"/>
    </row>
    <row r="3" ht="20" customHeight="1" spans="2:5">
      <c r="B3" s="6" t="s">
        <v>44</v>
      </c>
      <c r="C3" s="6" t="s">
        <v>45</v>
      </c>
      <c r="D3" s="6" t="s">
        <v>46</v>
      </c>
      <c r="E3" s="6" t="s">
        <v>47</v>
      </c>
    </row>
    <row r="4" ht="20" customHeight="1" spans="2:5">
      <c r="B4" s="7">
        <f>COUNTIF(Sheet1!$E$2:$E$31,"&lt;72")</f>
        <v>12</v>
      </c>
      <c r="C4" s="7">
        <f>COUNTIFS(Sheet1!E2:E31,"&gt;=72",Sheet1!E2:E31,"&lt;=90")</f>
        <v>6</v>
      </c>
      <c r="D4" s="7">
        <f>COUNTIFS(Sheet1!E2:E31,"&gt;=91",Sheet1!E2:E31,"&lt;=100")</f>
        <v>1</v>
      </c>
      <c r="E4" s="7">
        <f>COUNTIF(Sheet1!$E$2:$E$31,"&gt;=101")</f>
        <v>11</v>
      </c>
    </row>
  </sheetData>
  <mergeCells count="1">
    <mergeCell ref="B2:E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</sheetPr>
  <dimension ref="A1:S31"/>
  <sheetViews>
    <sheetView workbookViewId="0">
      <selection activeCell="S2" sqref="S2"/>
    </sheetView>
  </sheetViews>
  <sheetFormatPr defaultColWidth="9" defaultRowHeight="13.5"/>
  <cols>
    <col min="1" max="1" width="10.375" customWidth="1"/>
    <col min="2" max="2" width="7.875" customWidth="1"/>
    <col min="3" max="3" width="9" customWidth="1"/>
    <col min="4" max="12" width="5.625" customWidth="1"/>
    <col min="13" max="13" width="26.375" customWidth="1"/>
  </cols>
  <sheetData>
    <row r="1" ht="14.2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t="s">
        <v>6</v>
      </c>
      <c r="Q1" t="s">
        <v>7</v>
      </c>
      <c r="R1" t="s">
        <v>8</v>
      </c>
      <c r="S1" t="s">
        <v>10</v>
      </c>
    </row>
    <row r="2" ht="14.25" spans="1:19">
      <c r="A2" s="2">
        <v>20250101</v>
      </c>
      <c r="B2" s="1" t="s">
        <v>13</v>
      </c>
      <c r="C2" s="1" t="str">
        <f t="shared" ref="C2:C31" si="0">MID(A2,3,2)&amp;"级"&amp;MID(A2,6,1)&amp;"班"</f>
        <v>25级1班</v>
      </c>
      <c r="D2" s="1">
        <v>73</v>
      </c>
      <c r="E2" s="1">
        <v>110</v>
      </c>
      <c r="F2" s="1">
        <v>103</v>
      </c>
      <c r="G2" s="1">
        <v>61</v>
      </c>
      <c r="H2" s="1">
        <v>42</v>
      </c>
      <c r="I2" s="1">
        <v>40</v>
      </c>
      <c r="J2" s="1">
        <v>30</v>
      </c>
      <c r="K2" s="1">
        <f t="shared" ref="K2:K31" si="1">SUM(D2:J2)</f>
        <v>459</v>
      </c>
      <c r="L2" s="1">
        <f>RANK(K2,$K$2:$K$31)</f>
        <v>4</v>
      </c>
      <c r="M2" s="1" t="str">
        <f>IF(AND(D2&gt;=AVERAGE($D$2:$D$31),E2&gt;=AVERAGE($E$2:$E$31),F2&gt;=AVERAGE($F$2:$F$31)),"TRUE","FALSE")</f>
        <v>FALSE</v>
      </c>
      <c r="P2" t="s">
        <v>48</v>
      </c>
      <c r="Q2" t="s">
        <v>49</v>
      </c>
      <c r="R2" t="s">
        <v>50</v>
      </c>
      <c r="S2" t="s">
        <v>51</v>
      </c>
    </row>
    <row r="3" ht="14.25" hidden="1" spans="1:13">
      <c r="A3" s="2">
        <v>20250102</v>
      </c>
      <c r="B3" s="1" t="s">
        <v>14</v>
      </c>
      <c r="C3" s="1" t="str">
        <f t="shared" si="0"/>
        <v>25级1班</v>
      </c>
      <c r="D3" s="1">
        <v>76</v>
      </c>
      <c r="E3" s="1">
        <v>85</v>
      </c>
      <c r="F3" s="1">
        <v>70</v>
      </c>
      <c r="G3" s="1">
        <v>39</v>
      </c>
      <c r="H3" s="1">
        <v>44</v>
      </c>
      <c r="I3" s="1">
        <v>33</v>
      </c>
      <c r="J3" s="1">
        <v>28</v>
      </c>
      <c r="K3" s="1">
        <f t="shared" si="1"/>
        <v>375</v>
      </c>
      <c r="L3" s="1">
        <f>RANK(K3,$K$2:$K$31)</f>
        <v>16</v>
      </c>
      <c r="M3" s="1" t="str">
        <f>IF(AND(D3&gt;=AVERAGE($D$2:$D$31),E3&gt;=AVERAGE($E$2:$E$31),F3&gt;=AVERAGE($F$2:$F$31)),"TRUE","FALSE")</f>
        <v>FALSE</v>
      </c>
    </row>
    <row r="4" ht="14.25" hidden="1" spans="1:13">
      <c r="A4" s="2">
        <v>20250103</v>
      </c>
      <c r="B4" s="1" t="s">
        <v>15</v>
      </c>
      <c r="C4" s="1" t="str">
        <f t="shared" si="0"/>
        <v>25级1班</v>
      </c>
      <c r="D4" s="1">
        <v>69</v>
      </c>
      <c r="E4" s="1">
        <v>102</v>
      </c>
      <c r="F4" s="1">
        <v>118</v>
      </c>
      <c r="G4" s="1">
        <v>66</v>
      </c>
      <c r="H4" s="1">
        <v>17</v>
      </c>
      <c r="I4" s="1">
        <v>29</v>
      </c>
      <c r="J4" s="1">
        <v>27</v>
      </c>
      <c r="K4" s="1">
        <f t="shared" si="1"/>
        <v>428</v>
      </c>
      <c r="L4" s="1">
        <f>RANK(K4,$K$2:$K$31)</f>
        <v>5</v>
      </c>
      <c r="M4" s="1" t="str">
        <f>IF(AND(D4&gt;=AVERAGE($D$2:$D$31),E4&gt;=AVERAGE($E$2:$E$31),F4&gt;=AVERAGE($F$2:$F$31)),"TRUE","FALSE")</f>
        <v>FALSE</v>
      </c>
    </row>
    <row r="5" ht="14.25" hidden="1" spans="1:13">
      <c r="A5" s="2">
        <v>20250104</v>
      </c>
      <c r="B5" s="1" t="s">
        <v>16</v>
      </c>
      <c r="C5" s="1" t="str">
        <f t="shared" si="0"/>
        <v>25级1班</v>
      </c>
      <c r="D5" s="1">
        <v>73</v>
      </c>
      <c r="E5" s="1">
        <v>93</v>
      </c>
      <c r="F5" s="1">
        <v>33</v>
      </c>
      <c r="G5" s="1">
        <v>56</v>
      </c>
      <c r="H5" s="1">
        <v>44</v>
      </c>
      <c r="I5" s="1">
        <v>37</v>
      </c>
      <c r="J5" s="1">
        <v>25</v>
      </c>
      <c r="K5" s="1">
        <f t="shared" si="1"/>
        <v>361</v>
      </c>
      <c r="L5" s="1">
        <f>RANK(K5,$K$2:$K$31)</f>
        <v>20</v>
      </c>
      <c r="M5" s="1" t="str">
        <f>IF(AND(D5&gt;=AVERAGE($D$2:$D$31),E5&gt;=AVERAGE($E$2:$E$31),F5&gt;=AVERAGE($F$2:$F$31)),"TRUE","FALSE")</f>
        <v>FALSE</v>
      </c>
    </row>
    <row r="6" ht="14.25" hidden="1" spans="1:13">
      <c r="A6" s="2">
        <v>20250105</v>
      </c>
      <c r="B6" s="1" t="s">
        <v>17</v>
      </c>
      <c r="C6" s="1" t="str">
        <f t="shared" si="0"/>
        <v>25级1班</v>
      </c>
      <c r="D6" s="1">
        <v>108</v>
      </c>
      <c r="E6" s="1">
        <v>70</v>
      </c>
      <c r="F6" s="1">
        <v>120</v>
      </c>
      <c r="G6" s="1">
        <v>34</v>
      </c>
      <c r="H6" s="1">
        <v>25</v>
      </c>
      <c r="I6" s="1">
        <v>33</v>
      </c>
      <c r="J6" s="1">
        <v>25</v>
      </c>
      <c r="K6" s="1">
        <f t="shared" si="1"/>
        <v>415</v>
      </c>
      <c r="L6" s="1">
        <f>RANK(K6,$K$2:$K$31)</f>
        <v>7</v>
      </c>
      <c r="M6" s="1" t="str">
        <f>IF(AND(D6&gt;=AVERAGE($D$2:$D$31),E6&gt;=AVERAGE($E$2:$E$31),F6&gt;=AVERAGE($F$2:$F$31)),"TRUE","FALSE")</f>
        <v>FALSE</v>
      </c>
    </row>
    <row r="7" ht="14.25" hidden="1" spans="1:13">
      <c r="A7" s="2">
        <v>20250106</v>
      </c>
      <c r="B7" s="1" t="s">
        <v>18</v>
      </c>
      <c r="C7" s="1" t="str">
        <f t="shared" si="0"/>
        <v>25级1班</v>
      </c>
      <c r="D7" s="1">
        <v>75</v>
      </c>
      <c r="E7" s="1">
        <v>110</v>
      </c>
      <c r="F7" s="1">
        <v>98</v>
      </c>
      <c r="G7" s="1">
        <v>27</v>
      </c>
      <c r="H7" s="1">
        <v>29</v>
      </c>
      <c r="I7" s="1">
        <v>36</v>
      </c>
      <c r="J7" s="1">
        <v>27</v>
      </c>
      <c r="K7" s="1">
        <f t="shared" si="1"/>
        <v>402</v>
      </c>
      <c r="L7" s="1">
        <f>RANK(K7,$K$2:$K$31)</f>
        <v>10</v>
      </c>
      <c r="M7" s="1" t="str">
        <f>IF(AND(D7&gt;=AVERAGE($D$2:$D$31),E7&gt;=AVERAGE($E$2:$E$31),F7&gt;=AVERAGE($F$2:$F$31)),"TRUE","FALSE")</f>
        <v>FALSE</v>
      </c>
    </row>
    <row r="8" ht="14.25" hidden="1" spans="1:13">
      <c r="A8" s="2">
        <v>20250107</v>
      </c>
      <c r="B8" s="1" t="s">
        <v>19</v>
      </c>
      <c r="C8" s="1" t="str">
        <f t="shared" si="0"/>
        <v>25级1班</v>
      </c>
      <c r="D8" s="1">
        <v>71</v>
      </c>
      <c r="E8" s="1">
        <v>49</v>
      </c>
      <c r="F8" s="1">
        <v>53</v>
      </c>
      <c r="G8" s="1">
        <v>47</v>
      </c>
      <c r="H8" s="1">
        <v>12</v>
      </c>
      <c r="I8" s="1">
        <v>40</v>
      </c>
      <c r="J8" s="1">
        <v>25</v>
      </c>
      <c r="K8" s="1">
        <f t="shared" si="1"/>
        <v>297</v>
      </c>
      <c r="L8" s="1">
        <f>RANK(K8,$K$2:$K$31)</f>
        <v>29</v>
      </c>
      <c r="M8" s="1" t="str">
        <f>IF(AND(D8&gt;=AVERAGE($D$2:$D$31),E8&gt;=AVERAGE($E$2:$E$31),F8&gt;=AVERAGE($F$2:$F$31)),"TRUE","FALSE")</f>
        <v>FALSE</v>
      </c>
    </row>
    <row r="9" ht="14.25" hidden="1" spans="1:13">
      <c r="A9" s="2">
        <v>20250108</v>
      </c>
      <c r="B9" s="1" t="s">
        <v>20</v>
      </c>
      <c r="C9" s="1" t="str">
        <f t="shared" si="0"/>
        <v>25级1班</v>
      </c>
      <c r="D9" s="1">
        <v>87</v>
      </c>
      <c r="E9" s="1">
        <v>90</v>
      </c>
      <c r="F9" s="1">
        <v>77</v>
      </c>
      <c r="G9" s="1">
        <v>64</v>
      </c>
      <c r="H9" s="1">
        <v>12</v>
      </c>
      <c r="I9" s="1">
        <v>27</v>
      </c>
      <c r="J9" s="1">
        <v>25</v>
      </c>
      <c r="K9" s="1">
        <f t="shared" si="1"/>
        <v>382</v>
      </c>
      <c r="L9" s="1">
        <f>RANK(K9,$K$2:$K$31)</f>
        <v>15</v>
      </c>
      <c r="M9" s="1" t="str">
        <f>IF(AND(D9&gt;=AVERAGE($D$2:$D$31),E9&gt;=AVERAGE($E$2:$E$31),F9&gt;=AVERAGE($F$2:$F$31)),"TRUE","FALSE")</f>
        <v>FALSE</v>
      </c>
    </row>
    <row r="10" ht="14.25" hidden="1" spans="1:13">
      <c r="A10" s="2">
        <v>20250201</v>
      </c>
      <c r="B10" s="1" t="s">
        <v>21</v>
      </c>
      <c r="C10" s="1" t="str">
        <f t="shared" si="0"/>
        <v>25级2班</v>
      </c>
      <c r="D10" s="1">
        <v>89</v>
      </c>
      <c r="E10" s="1">
        <v>119</v>
      </c>
      <c r="F10" s="1">
        <v>106</v>
      </c>
      <c r="G10" s="1">
        <v>20</v>
      </c>
      <c r="H10" s="1">
        <v>16</v>
      </c>
      <c r="I10" s="1">
        <v>30</v>
      </c>
      <c r="J10" s="1">
        <v>28</v>
      </c>
      <c r="K10" s="1">
        <f t="shared" si="1"/>
        <v>408</v>
      </c>
      <c r="L10" s="1">
        <f>RANK(K10,$K$2:$K$31)</f>
        <v>9</v>
      </c>
      <c r="M10" s="1" t="str">
        <f>IF(AND(D10&gt;=AVERAGE($D$2:$D$31),E10&gt;=AVERAGE($E$2:$E$31),F10&gt;=AVERAGE($F$2:$F$31)),"TRUE","FALSE")</f>
        <v>FALSE</v>
      </c>
    </row>
    <row r="11" ht="14.25" hidden="1" spans="1:13">
      <c r="A11" s="2">
        <v>20250202</v>
      </c>
      <c r="B11" s="1" t="s">
        <v>22</v>
      </c>
      <c r="C11" s="1" t="str">
        <f t="shared" si="0"/>
        <v>25级2班</v>
      </c>
      <c r="D11" s="1">
        <v>74</v>
      </c>
      <c r="E11" s="1">
        <v>60</v>
      </c>
      <c r="F11" s="1">
        <v>38</v>
      </c>
      <c r="G11" s="1">
        <v>33</v>
      </c>
      <c r="H11" s="1">
        <v>19</v>
      </c>
      <c r="I11" s="1">
        <v>39</v>
      </c>
      <c r="J11" s="1">
        <v>26</v>
      </c>
      <c r="K11" s="1">
        <f t="shared" si="1"/>
        <v>289</v>
      </c>
      <c r="L11" s="1">
        <f>RANK(K11,$K$2:$K$31)</f>
        <v>30</v>
      </c>
      <c r="M11" s="1" t="str">
        <f>IF(AND(D11&gt;=AVERAGE($D$2:$D$31),E11&gt;=AVERAGE($E$2:$E$31),F11&gt;=AVERAGE($F$2:$F$31)),"TRUE","FALSE")</f>
        <v>FALSE</v>
      </c>
    </row>
    <row r="12" ht="14.25" hidden="1" spans="1:13">
      <c r="A12" s="2">
        <v>20250203</v>
      </c>
      <c r="B12" s="1" t="s">
        <v>23</v>
      </c>
      <c r="C12" s="1" t="str">
        <f t="shared" si="0"/>
        <v>25级2班</v>
      </c>
      <c r="D12" s="1">
        <v>112</v>
      </c>
      <c r="E12" s="1">
        <v>45</v>
      </c>
      <c r="F12" s="1">
        <v>75</v>
      </c>
      <c r="G12" s="1">
        <v>61</v>
      </c>
      <c r="H12" s="1">
        <v>32</v>
      </c>
      <c r="I12" s="1">
        <v>39</v>
      </c>
      <c r="J12" s="1">
        <v>29</v>
      </c>
      <c r="K12" s="1">
        <f t="shared" si="1"/>
        <v>393</v>
      </c>
      <c r="L12" s="1">
        <f>RANK(K12,$K$2:$K$31)</f>
        <v>12</v>
      </c>
      <c r="M12" s="1" t="str">
        <f>IF(AND(D12&gt;=AVERAGE($D$2:$D$31),E12&gt;=AVERAGE($E$2:$E$31),F12&gt;=AVERAGE($F$2:$F$31)),"TRUE","FALSE")</f>
        <v>FALSE</v>
      </c>
    </row>
    <row r="13" ht="14.25" hidden="1" spans="1:13">
      <c r="A13" s="2">
        <v>20250204</v>
      </c>
      <c r="B13" s="1" t="s">
        <v>24</v>
      </c>
      <c r="C13" s="1" t="str">
        <f t="shared" si="0"/>
        <v>25级2班</v>
      </c>
      <c r="D13" s="1">
        <v>97</v>
      </c>
      <c r="E13" s="1">
        <v>46</v>
      </c>
      <c r="F13" s="1">
        <v>46</v>
      </c>
      <c r="G13" s="1">
        <v>45</v>
      </c>
      <c r="H13" s="1">
        <v>33</v>
      </c>
      <c r="I13" s="1">
        <v>24</v>
      </c>
      <c r="J13" s="1">
        <v>25</v>
      </c>
      <c r="K13" s="1">
        <f t="shared" si="1"/>
        <v>316</v>
      </c>
      <c r="L13" s="1">
        <f>RANK(K13,$K$2:$K$31)</f>
        <v>27</v>
      </c>
      <c r="M13" s="1" t="str">
        <f>IF(AND(D13&gt;=AVERAGE($D$2:$D$31),E13&gt;=AVERAGE($E$2:$E$31),F13&gt;=AVERAGE($F$2:$F$31)),"TRUE","FALSE")</f>
        <v>FALSE</v>
      </c>
    </row>
    <row r="14" ht="14.25" hidden="1" spans="1:13">
      <c r="A14" s="2">
        <v>20250205</v>
      </c>
      <c r="B14" s="1" t="s">
        <v>25</v>
      </c>
      <c r="C14" s="1" t="str">
        <f t="shared" si="0"/>
        <v>25级2班</v>
      </c>
      <c r="D14" s="1">
        <v>116</v>
      </c>
      <c r="E14" s="1">
        <v>41</v>
      </c>
      <c r="F14" s="1">
        <v>71</v>
      </c>
      <c r="G14" s="1">
        <v>49</v>
      </c>
      <c r="H14" s="1">
        <v>20</v>
      </c>
      <c r="I14" s="1">
        <v>28</v>
      </c>
      <c r="J14" s="1">
        <v>29</v>
      </c>
      <c r="K14" s="1">
        <f t="shared" si="1"/>
        <v>354</v>
      </c>
      <c r="L14" s="1">
        <f>RANK(K14,$K$2:$K$31)</f>
        <v>21</v>
      </c>
      <c r="M14" s="1" t="str">
        <f>IF(AND(D14&gt;=AVERAGE($D$2:$D$31),E14&gt;=AVERAGE($E$2:$E$31),F14&gt;=AVERAGE($F$2:$F$31)),"TRUE","FALSE")</f>
        <v>FALSE</v>
      </c>
    </row>
    <row r="15" ht="14.25" hidden="1" spans="1:13">
      <c r="A15" s="2">
        <v>20250206</v>
      </c>
      <c r="B15" s="1" t="s">
        <v>26</v>
      </c>
      <c r="C15" s="1" t="str">
        <f t="shared" si="0"/>
        <v>25级2班</v>
      </c>
      <c r="D15" s="1">
        <v>98</v>
      </c>
      <c r="E15" s="1">
        <v>104</v>
      </c>
      <c r="F15" s="1">
        <v>83</v>
      </c>
      <c r="G15" s="1">
        <v>31</v>
      </c>
      <c r="H15" s="1">
        <v>13</v>
      </c>
      <c r="I15" s="1">
        <v>37</v>
      </c>
      <c r="J15" s="1">
        <v>30</v>
      </c>
      <c r="K15" s="1">
        <f t="shared" si="1"/>
        <v>396</v>
      </c>
      <c r="L15" s="1">
        <f>RANK(K15,$K$2:$K$31)</f>
        <v>11</v>
      </c>
      <c r="M15" s="1" t="str">
        <f>IF(AND(D15&gt;=AVERAGE($D$2:$D$31),E15&gt;=AVERAGE($E$2:$E$31),F15&gt;=AVERAGE($F$2:$F$31)),"TRUE","FALSE")</f>
        <v>TRUE</v>
      </c>
    </row>
    <row r="16" ht="14.25" hidden="1" spans="1:13">
      <c r="A16" s="2">
        <v>20250207</v>
      </c>
      <c r="B16" s="1" t="s">
        <v>27</v>
      </c>
      <c r="C16" s="1" t="str">
        <f t="shared" si="0"/>
        <v>25级2班</v>
      </c>
      <c r="D16" s="1">
        <v>77</v>
      </c>
      <c r="E16" s="1">
        <v>80</v>
      </c>
      <c r="F16" s="1">
        <v>69</v>
      </c>
      <c r="G16" s="1">
        <v>47</v>
      </c>
      <c r="H16" s="1">
        <v>20</v>
      </c>
      <c r="I16" s="1">
        <v>28</v>
      </c>
      <c r="J16" s="1">
        <v>26</v>
      </c>
      <c r="K16" s="1">
        <f t="shared" si="1"/>
        <v>347</v>
      </c>
      <c r="L16" s="1">
        <f>RANK(K16,$K$2:$K$31)</f>
        <v>23</v>
      </c>
      <c r="M16" s="1" t="str">
        <f>IF(AND(D16&gt;=AVERAGE($D$2:$D$31),E16&gt;=AVERAGE($E$2:$E$31),F16&gt;=AVERAGE($F$2:$F$31)),"TRUE","FALSE")</f>
        <v>FALSE</v>
      </c>
    </row>
    <row r="17" ht="14.25" hidden="1" spans="1:13">
      <c r="A17" s="2">
        <v>20250208</v>
      </c>
      <c r="B17" s="1" t="s">
        <v>28</v>
      </c>
      <c r="C17" s="1" t="str">
        <f t="shared" si="0"/>
        <v>25级2班</v>
      </c>
      <c r="D17" s="1">
        <v>100</v>
      </c>
      <c r="E17" s="1">
        <v>67</v>
      </c>
      <c r="F17" s="1">
        <v>86</v>
      </c>
      <c r="G17" s="1">
        <v>43</v>
      </c>
      <c r="H17" s="1">
        <v>24</v>
      </c>
      <c r="I17" s="1">
        <v>29</v>
      </c>
      <c r="J17" s="1">
        <v>26</v>
      </c>
      <c r="K17" s="1">
        <f t="shared" si="1"/>
        <v>375</v>
      </c>
      <c r="L17" s="1">
        <f>RANK(K17,$K$2:$K$31)</f>
        <v>16</v>
      </c>
      <c r="M17" s="1" t="str">
        <f>IF(AND(D17&gt;=AVERAGE($D$2:$D$31),E17&gt;=AVERAGE($E$2:$E$31),F17&gt;=AVERAGE($F$2:$F$31)),"TRUE","FALSE")</f>
        <v>FALSE</v>
      </c>
    </row>
    <row r="18" ht="14.25" hidden="1" spans="1:13">
      <c r="A18" s="2">
        <v>20250209</v>
      </c>
      <c r="B18" s="1" t="s">
        <v>29</v>
      </c>
      <c r="C18" s="1" t="str">
        <f t="shared" si="0"/>
        <v>25级2班</v>
      </c>
      <c r="D18" s="1">
        <v>100</v>
      </c>
      <c r="E18" s="1">
        <v>90</v>
      </c>
      <c r="F18" s="1">
        <v>50</v>
      </c>
      <c r="G18" s="1">
        <v>44</v>
      </c>
      <c r="H18" s="1">
        <v>36</v>
      </c>
      <c r="I18" s="1">
        <v>25</v>
      </c>
      <c r="J18" s="1">
        <v>30</v>
      </c>
      <c r="K18" s="1">
        <f t="shared" si="1"/>
        <v>375</v>
      </c>
      <c r="L18" s="1">
        <f>RANK(K18,$K$2:$K$31)</f>
        <v>16</v>
      </c>
      <c r="M18" s="1" t="str">
        <f>IF(AND(D18&gt;=AVERAGE($D$2:$D$31),E18&gt;=AVERAGE($E$2:$E$31),F18&gt;=AVERAGE($F$2:$F$31)),"TRUE","FALSE")</f>
        <v>FALSE</v>
      </c>
    </row>
    <row r="19" ht="14.25" hidden="1" spans="1:13">
      <c r="A19" s="2">
        <v>20250210</v>
      </c>
      <c r="B19" s="1" t="s">
        <v>30</v>
      </c>
      <c r="C19" s="1" t="str">
        <f t="shared" si="0"/>
        <v>25级2班</v>
      </c>
      <c r="D19" s="1">
        <v>75</v>
      </c>
      <c r="E19" s="1">
        <v>105</v>
      </c>
      <c r="F19" s="1">
        <v>106</v>
      </c>
      <c r="G19" s="1">
        <v>60</v>
      </c>
      <c r="H19" s="1">
        <v>16</v>
      </c>
      <c r="I19" s="1">
        <v>25</v>
      </c>
      <c r="J19" s="1">
        <v>29</v>
      </c>
      <c r="K19" s="1">
        <f t="shared" si="1"/>
        <v>416</v>
      </c>
      <c r="L19" s="1">
        <f>RANK(K19,$K$2:$K$31)</f>
        <v>6</v>
      </c>
      <c r="M19" s="1" t="str">
        <f>IF(AND(D19&gt;=AVERAGE($D$2:$D$31),E19&gt;=AVERAGE($E$2:$E$31),F19&gt;=AVERAGE($F$2:$F$31)),"TRUE","FALSE")</f>
        <v>FALSE</v>
      </c>
    </row>
    <row r="20" ht="14.25" hidden="1" spans="1:13">
      <c r="A20" s="2">
        <v>20250211</v>
      </c>
      <c r="B20" s="1" t="s">
        <v>31</v>
      </c>
      <c r="C20" s="1" t="str">
        <f t="shared" si="0"/>
        <v>25级2班</v>
      </c>
      <c r="D20" s="1">
        <v>120</v>
      </c>
      <c r="E20" s="1">
        <v>103</v>
      </c>
      <c r="F20" s="1">
        <v>101</v>
      </c>
      <c r="G20" s="1">
        <v>52</v>
      </c>
      <c r="H20" s="1">
        <v>34</v>
      </c>
      <c r="I20" s="1">
        <v>27</v>
      </c>
      <c r="J20" s="1">
        <v>25</v>
      </c>
      <c r="K20" s="1">
        <f t="shared" si="1"/>
        <v>462</v>
      </c>
      <c r="L20" s="1">
        <f>RANK(K20,$K$2:$K$31)</f>
        <v>2</v>
      </c>
      <c r="M20" s="1" t="str">
        <f>IF(AND(D20&gt;=AVERAGE($D$2:$D$31),E20&gt;=AVERAGE($E$2:$E$31),F20&gt;=AVERAGE($F$2:$F$31)),"TRUE","FALSE")</f>
        <v>TRUE</v>
      </c>
    </row>
    <row r="21" ht="14.25" hidden="1" spans="1:13">
      <c r="A21" s="2">
        <v>20250212</v>
      </c>
      <c r="B21" s="1" t="s">
        <v>32</v>
      </c>
      <c r="C21" s="1" t="str">
        <f t="shared" si="0"/>
        <v>25级2班</v>
      </c>
      <c r="D21" s="1">
        <v>101</v>
      </c>
      <c r="E21" s="1">
        <v>80</v>
      </c>
      <c r="F21" s="1">
        <v>44</v>
      </c>
      <c r="G21" s="1">
        <v>51</v>
      </c>
      <c r="H21" s="1">
        <v>10</v>
      </c>
      <c r="I21" s="1">
        <v>40</v>
      </c>
      <c r="J21" s="1">
        <v>26</v>
      </c>
      <c r="K21" s="1">
        <f t="shared" si="1"/>
        <v>352</v>
      </c>
      <c r="L21" s="1">
        <f>RANK(K21,$K$2:$K$31)</f>
        <v>22</v>
      </c>
      <c r="M21" s="1" t="str">
        <f>IF(AND(D21&gt;=AVERAGE($D$2:$D$31),E21&gt;=AVERAGE($E$2:$E$31),F21&gt;=AVERAGE($F$2:$F$31)),"TRUE","FALSE")</f>
        <v>FALSE</v>
      </c>
    </row>
    <row r="22" ht="14.25" hidden="1" spans="1:13">
      <c r="A22" s="2">
        <v>20250301</v>
      </c>
      <c r="B22" s="1" t="s">
        <v>33</v>
      </c>
      <c r="C22" s="1" t="str">
        <f t="shared" si="0"/>
        <v>25级3班</v>
      </c>
      <c r="D22" s="1">
        <v>88</v>
      </c>
      <c r="E22" s="1">
        <v>51</v>
      </c>
      <c r="F22" s="1">
        <v>97</v>
      </c>
      <c r="G22" s="1">
        <v>59</v>
      </c>
      <c r="H22" s="1">
        <v>47</v>
      </c>
      <c r="I22" s="1">
        <v>21</v>
      </c>
      <c r="J22" s="1">
        <v>27</v>
      </c>
      <c r="K22" s="1">
        <f t="shared" si="1"/>
        <v>390</v>
      </c>
      <c r="L22" s="1">
        <f>RANK(K22,$K$2:$K$31)</f>
        <v>13</v>
      </c>
      <c r="M22" s="1" t="str">
        <f>IF(AND(D22&gt;=AVERAGE($D$2:$D$31),E22&gt;=AVERAGE($E$2:$E$31),F22&gt;=AVERAGE($F$2:$F$31)),"TRUE","FALSE")</f>
        <v>FALSE</v>
      </c>
    </row>
    <row r="23" ht="14.25" hidden="1" spans="1:13">
      <c r="A23" s="2">
        <v>20250302</v>
      </c>
      <c r="B23" s="1" t="s">
        <v>34</v>
      </c>
      <c r="C23" s="1" t="str">
        <f t="shared" si="0"/>
        <v>25级3班</v>
      </c>
      <c r="D23" s="1">
        <v>63</v>
      </c>
      <c r="E23" s="1">
        <v>111</v>
      </c>
      <c r="F23" s="1">
        <v>109</v>
      </c>
      <c r="G23" s="1">
        <v>35</v>
      </c>
      <c r="H23" s="1">
        <v>46</v>
      </c>
      <c r="I23" s="1">
        <v>23</v>
      </c>
      <c r="J23" s="1">
        <v>26</v>
      </c>
      <c r="K23" s="1">
        <f t="shared" si="1"/>
        <v>413</v>
      </c>
      <c r="L23" s="1">
        <f>RANK(K23,$K$2:$K$31)</f>
        <v>8</v>
      </c>
      <c r="M23" s="1" t="str">
        <f>IF(AND(D23&gt;=AVERAGE($D$2:$D$31),E23&gt;=AVERAGE($E$2:$E$31),F23&gt;=AVERAGE($F$2:$F$31)),"TRUE","FALSE")</f>
        <v>FALSE</v>
      </c>
    </row>
    <row r="24" ht="14.25" hidden="1" spans="1:13">
      <c r="A24" s="2">
        <v>20250303</v>
      </c>
      <c r="B24" s="1" t="s">
        <v>35</v>
      </c>
      <c r="C24" s="1" t="str">
        <f t="shared" si="0"/>
        <v>25级3班</v>
      </c>
      <c r="D24" s="1">
        <v>85</v>
      </c>
      <c r="E24" s="1">
        <v>63</v>
      </c>
      <c r="F24" s="1">
        <v>39</v>
      </c>
      <c r="G24" s="1">
        <v>40</v>
      </c>
      <c r="H24" s="1">
        <v>19</v>
      </c>
      <c r="I24" s="1">
        <v>32</v>
      </c>
      <c r="J24" s="1">
        <v>28</v>
      </c>
      <c r="K24" s="1">
        <f t="shared" si="1"/>
        <v>306</v>
      </c>
      <c r="L24" s="1">
        <f>RANK(K24,$K$2:$K$31)</f>
        <v>28</v>
      </c>
      <c r="M24" s="1" t="str">
        <f>IF(AND(D24&gt;=AVERAGE($D$2:$D$31),E24&gt;=AVERAGE($E$2:$E$31),F24&gt;=AVERAGE($F$2:$F$31)),"TRUE","FALSE")</f>
        <v>FALSE</v>
      </c>
    </row>
    <row r="25" ht="14.25" hidden="1" spans="1:13">
      <c r="A25" s="2">
        <v>20250304</v>
      </c>
      <c r="B25" s="1" t="s">
        <v>36</v>
      </c>
      <c r="C25" s="1" t="str">
        <f t="shared" si="0"/>
        <v>25级3班</v>
      </c>
      <c r="D25" s="1">
        <v>98</v>
      </c>
      <c r="E25" s="1">
        <v>50</v>
      </c>
      <c r="F25" s="1">
        <v>66</v>
      </c>
      <c r="G25" s="1">
        <v>43</v>
      </c>
      <c r="H25" s="1">
        <v>23</v>
      </c>
      <c r="I25" s="1">
        <v>40</v>
      </c>
      <c r="J25" s="1">
        <v>25</v>
      </c>
      <c r="K25" s="1">
        <f t="shared" si="1"/>
        <v>345</v>
      </c>
      <c r="L25" s="1">
        <f>RANK(K25,$K$2:$K$31)</f>
        <v>24</v>
      </c>
      <c r="M25" s="1" t="str">
        <f>IF(AND(D25&gt;=AVERAGE($D$2:$D$31),E25&gt;=AVERAGE($E$2:$E$31),F25&gt;=AVERAGE($F$2:$F$31)),"TRUE","FALSE")</f>
        <v>FALSE</v>
      </c>
    </row>
    <row r="26" ht="14.25" hidden="1" spans="1:13">
      <c r="A26" s="2">
        <v>20250305</v>
      </c>
      <c r="B26" s="1" t="s">
        <v>37</v>
      </c>
      <c r="C26" s="1" t="str">
        <f t="shared" si="0"/>
        <v>25级3班</v>
      </c>
      <c r="D26" s="1">
        <v>108</v>
      </c>
      <c r="E26" s="1">
        <v>53</v>
      </c>
      <c r="F26" s="1">
        <v>57</v>
      </c>
      <c r="G26" s="1">
        <v>44</v>
      </c>
      <c r="H26" s="1">
        <v>16</v>
      </c>
      <c r="I26" s="1">
        <v>24</v>
      </c>
      <c r="J26" s="1">
        <v>30</v>
      </c>
      <c r="K26" s="1">
        <f t="shared" si="1"/>
        <v>332</v>
      </c>
      <c r="L26" s="1">
        <f>RANK(K26,$K$2:$K$31)</f>
        <v>25</v>
      </c>
      <c r="M26" s="1" t="str">
        <f>IF(AND(D26&gt;=AVERAGE($D$2:$D$31),E26&gt;=AVERAGE($E$2:$E$31),F26&gt;=AVERAGE($F$2:$F$31)),"TRUE","FALSE")</f>
        <v>FALSE</v>
      </c>
    </row>
    <row r="27" ht="14.25" hidden="1" spans="1:13">
      <c r="A27" s="2">
        <v>20250306</v>
      </c>
      <c r="B27" s="1" t="s">
        <v>38</v>
      </c>
      <c r="C27" s="1" t="str">
        <f t="shared" si="0"/>
        <v>25级3班</v>
      </c>
      <c r="D27" s="1">
        <v>95</v>
      </c>
      <c r="E27" s="1">
        <v>105</v>
      </c>
      <c r="F27" s="1">
        <v>114</v>
      </c>
      <c r="G27" s="1">
        <v>54</v>
      </c>
      <c r="H27" s="1">
        <v>44</v>
      </c>
      <c r="I27" s="1">
        <v>23</v>
      </c>
      <c r="J27" s="1">
        <v>27</v>
      </c>
      <c r="K27" s="1">
        <f t="shared" si="1"/>
        <v>462</v>
      </c>
      <c r="L27" s="1">
        <f>RANK(K27,$K$2:$K$31)</f>
        <v>2</v>
      </c>
      <c r="M27" s="1" t="str">
        <f>IF(AND(D27&gt;=AVERAGE($D$2:$D$31),E27&gt;=AVERAGE($E$2:$E$31),F27&gt;=AVERAGE($F$2:$F$31)),"TRUE","FALSE")</f>
        <v>TRUE</v>
      </c>
    </row>
    <row r="28" ht="14.25" hidden="1" spans="1:13">
      <c r="A28" s="2">
        <v>20250307</v>
      </c>
      <c r="B28" s="1" t="s">
        <v>39</v>
      </c>
      <c r="C28" s="1" t="str">
        <f t="shared" si="0"/>
        <v>25级3班</v>
      </c>
      <c r="D28" s="1">
        <v>111</v>
      </c>
      <c r="E28" s="1">
        <v>88</v>
      </c>
      <c r="F28" s="1">
        <v>38</v>
      </c>
      <c r="G28" s="1">
        <v>42</v>
      </c>
      <c r="H28" s="1">
        <v>37</v>
      </c>
      <c r="I28" s="1">
        <v>24</v>
      </c>
      <c r="J28" s="1">
        <v>28</v>
      </c>
      <c r="K28" s="1">
        <f t="shared" si="1"/>
        <v>368</v>
      </c>
      <c r="L28" s="1">
        <f>RANK(K28,$K$2:$K$31)</f>
        <v>19</v>
      </c>
      <c r="M28" s="1" t="str">
        <f>IF(AND(D28&gt;=AVERAGE($D$2:$D$31),E28&gt;=AVERAGE($E$2:$E$31),F28&gt;=AVERAGE($F$2:$F$31)),"TRUE","FALSE")</f>
        <v>FALSE</v>
      </c>
    </row>
    <row r="29" ht="14.25" hidden="1" spans="1:13">
      <c r="A29" s="2">
        <v>20250308</v>
      </c>
      <c r="B29" s="1" t="s">
        <v>40</v>
      </c>
      <c r="C29" s="1" t="str">
        <f t="shared" si="0"/>
        <v>25级3班</v>
      </c>
      <c r="D29" s="1">
        <v>95</v>
      </c>
      <c r="E29" s="1">
        <v>112</v>
      </c>
      <c r="F29" s="1">
        <v>44</v>
      </c>
      <c r="G29" s="1">
        <v>54</v>
      </c>
      <c r="H29" s="1">
        <v>27</v>
      </c>
      <c r="I29" s="1">
        <v>32</v>
      </c>
      <c r="J29" s="1">
        <v>25</v>
      </c>
      <c r="K29" s="1">
        <f t="shared" si="1"/>
        <v>389</v>
      </c>
      <c r="L29" s="1">
        <f>RANK(K29,$K$2:$K$31)</f>
        <v>14</v>
      </c>
      <c r="M29" s="1" t="str">
        <f>IF(AND(D29&gt;=AVERAGE($D$2:$D$31),E29&gt;=AVERAGE($E$2:$E$31),F29&gt;=AVERAGE($F$2:$F$31)),"TRUE","FALSE")</f>
        <v>FALSE</v>
      </c>
    </row>
    <row r="30" ht="14.25" hidden="1" spans="1:13">
      <c r="A30" s="2">
        <v>20250309</v>
      </c>
      <c r="B30" s="1" t="s">
        <v>41</v>
      </c>
      <c r="C30" s="1" t="str">
        <f t="shared" si="0"/>
        <v>25级3班</v>
      </c>
      <c r="D30" s="1">
        <v>113</v>
      </c>
      <c r="E30" s="1">
        <v>115</v>
      </c>
      <c r="F30" s="1">
        <v>97</v>
      </c>
      <c r="G30" s="1">
        <v>61</v>
      </c>
      <c r="H30" s="1">
        <v>39</v>
      </c>
      <c r="I30" s="1">
        <v>29</v>
      </c>
      <c r="J30" s="1">
        <v>28</v>
      </c>
      <c r="K30" s="1">
        <f t="shared" si="1"/>
        <v>482</v>
      </c>
      <c r="L30" s="1">
        <f>RANK(K30,$K$2:$K$31)</f>
        <v>1</v>
      </c>
      <c r="M30" s="1" t="str">
        <f>IF(AND(D30&gt;=AVERAGE($D$2:$D$31),E30&gt;=AVERAGE($E$2:$E$31),F30&gt;=AVERAGE($F$2:$F$31)),"TRUE","FALSE")</f>
        <v>TRUE</v>
      </c>
    </row>
    <row r="31" ht="14.25" hidden="1" spans="1:13">
      <c r="A31" s="2">
        <v>20250310</v>
      </c>
      <c r="B31" s="1" t="s">
        <v>42</v>
      </c>
      <c r="C31" s="1" t="str">
        <f t="shared" si="0"/>
        <v>25级3班</v>
      </c>
      <c r="D31" s="1">
        <v>102</v>
      </c>
      <c r="E31" s="1">
        <v>58</v>
      </c>
      <c r="F31" s="1">
        <v>47</v>
      </c>
      <c r="G31" s="1">
        <v>25</v>
      </c>
      <c r="H31" s="1">
        <v>41</v>
      </c>
      <c r="I31" s="1">
        <v>29</v>
      </c>
      <c r="J31" s="1">
        <v>28</v>
      </c>
      <c r="K31" s="1">
        <f t="shared" si="1"/>
        <v>330</v>
      </c>
      <c r="L31" s="1">
        <f>RANK(K31,$K$2:$K$31)</f>
        <v>26</v>
      </c>
      <c r="M31" s="1" t="str">
        <f>IF(AND(D31&gt;=AVERAGE($D$2:$D$31),E31&gt;=AVERAGE($E$2:$E$31),F31&gt;=AVERAGE($F$2:$F$31)),"TRUE","FALSE")</f>
        <v>FALSE</v>
      </c>
    </row>
  </sheetData>
  <conditionalFormatting sqref="A2:M31">
    <cfRule type="expression" dxfId="13" priority="1">
      <formula>AND($K2&lt;AVERAGE($K$2:$K$31),$C2="25级2班")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2:E7"/>
  <sheetViews>
    <sheetView workbookViewId="0">
      <selection activeCell="D31" sqref="D31"/>
    </sheetView>
  </sheetViews>
  <sheetFormatPr defaultColWidth="9" defaultRowHeight="13.5" outlineLevelRow="6" outlineLevelCol="4"/>
  <cols>
    <col min="2" max="2" width="12.75"/>
    <col min="3" max="4" width="25.375"/>
    <col min="5" max="5" width="5.125"/>
  </cols>
  <sheetData>
    <row r="2" spans="2:3">
      <c r="B2" t="s">
        <v>52</v>
      </c>
      <c r="C2" t="s">
        <v>12</v>
      </c>
    </row>
    <row r="3" spans="2:5">
      <c r="B3" t="s">
        <v>2</v>
      </c>
      <c r="C3" t="s">
        <v>53</v>
      </c>
      <c r="D3" t="s">
        <v>54</v>
      </c>
      <c r="E3" t="s">
        <v>55</v>
      </c>
    </row>
    <row r="4" spans="2:5">
      <c r="B4" t="s">
        <v>56</v>
      </c>
      <c r="C4">
        <v>8</v>
      </c>
      <c r="E4">
        <v>8</v>
      </c>
    </row>
    <row r="5" spans="2:5">
      <c r="B5" t="s">
        <v>57</v>
      </c>
      <c r="C5">
        <v>10</v>
      </c>
      <c r="D5">
        <v>2</v>
      </c>
      <c r="E5">
        <v>12</v>
      </c>
    </row>
    <row r="6" spans="2:5">
      <c r="B6" t="s">
        <v>58</v>
      </c>
      <c r="C6">
        <v>8</v>
      </c>
      <c r="D6">
        <v>2</v>
      </c>
      <c r="E6">
        <v>10</v>
      </c>
    </row>
    <row r="7" spans="2:5">
      <c r="B7" t="s">
        <v>55</v>
      </c>
      <c r="C7">
        <v>26</v>
      </c>
      <c r="D7">
        <v>4</v>
      </c>
      <c r="E7">
        <v>30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2025-11-18T06:31:03Z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
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3" activeTab="4"/>
  </bookViews>
  <sheets>
    <sheet name="餐饮数据" sheetId="5" r:id="rId1"/>
    <sheet name="地区" sheetId="4" r:id="rId2"/>
    <sheet name="详情" sheetId="6" r:id="rId3"/>
    <sheet name="图表分析" sheetId="8" r:id="rId4"/>
    <sheet name="数据可视" sheetId="7" r:id="rId5"/>
  </sheets>
  <definedNames>
    <definedName name="ExternalData_1" localSheetId="0" hidden="1">餐饮数据!$A$1:$I$1152</definedName>
    <definedName name="_xlnm._FilterDatabase" localSheetId="0" hidden="1">餐饮数据!$A$1:$I$1</definedName>
    <definedName name="_xlnm.Print_Area" localSheetId="0">餐饮数据!$A$1:$I$1152</definedName>
    <definedName name="_xlnm.Print_Titles" localSheetId="0">餐饮数据!$1:$1</definedName>
  </definedNames>
  <calcPr calcId="144525"/>
  <pivotCaches>
    <pivotCache cacheId="0" r:id="rId7"/>
  </pivotCaches>
</workbook>
</file>

<file path=xl/connections.xml><?xml version="1.0" encoding="utf-8"?>
<connections xmlns="http://schemas.openxmlformats.org/spreadsheetml/2006/main">
  <connection id="1" name="数据" type="6" background="1" refreshedVersion="2" saveData="1">
    <textPr sourceFile="C:\Users\25472\Desktop\题目\excel\2025\37-美食评分\数据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<sst xmlns="http://schemas.openxmlformats.org/spreadsheetml/2006/main" count="3571" uniqueCount="1270">
  <si>
    <t>城市</t>
  </si>
  <si>
    <t>地区</t>
  </si>
  <si>
    <t>类型</t>
  </si>
  <si>
    <t>店名</t>
  </si>
  <si>
    <t>点评</t>
  </si>
  <si>
    <t>人均</t>
  </si>
  <si>
    <t>口味</t>
  </si>
  <si>
    <t>环境</t>
  </si>
  <si>
    <t>服务</t>
  </si>
  <si>
    <t>北京</t>
  </si>
  <si>
    <t>私房菜</t>
  </si>
  <si>
    <t>梧桐宇私房菜</t>
  </si>
  <si>
    <t>小东北私房菜</t>
  </si>
  <si>
    <t>北京菜</t>
  </si>
  <si>
    <t>紫光园(常营店)分店</t>
  </si>
  <si>
    <t>粤菜</t>
  </si>
  <si>
    <t>汤城小厨(长楹天街购物中心店)分店</t>
  </si>
  <si>
    <t>德宏记·港式餐厅</t>
  </si>
  <si>
    <t>乌镇会精品酒店文昌阁中餐厅</t>
  </si>
  <si>
    <t>臻味潮汕砂锅粥(田村店)分店</t>
  </si>
  <si>
    <t>香港九道港式茶餐厅(中粮万科长...分店</t>
  </si>
  <si>
    <t>棕色茶餐厅</t>
  </si>
  <si>
    <t>福临门</t>
  </si>
  <si>
    <t>粤色天湘烤鸭家常菜</t>
  </si>
  <si>
    <t>粉面馆</t>
  </si>
  <si>
    <t>贝尔特西餐厅Pentalounge</t>
  </si>
  <si>
    <t>清真西直门老店拉面馆</t>
  </si>
  <si>
    <t>味千拉面(机场T3店)分店</t>
  </si>
  <si>
    <t>晋爱面全国连锁</t>
  </si>
  <si>
    <t>十七城重庆小面(五道口店)</t>
  </si>
  <si>
    <t>马兰拉面(化工大学分店)分店</t>
  </si>
  <si>
    <t>徽菜</t>
  </si>
  <si>
    <t>江君府臭鳜鱼·徽菜(西坝河店)分店</t>
  </si>
  <si>
    <t>咖啡厅</t>
  </si>
  <si>
    <t>1901 Cafe(西四店)</t>
  </si>
  <si>
    <t>沏点咖啡</t>
  </si>
  <si>
    <t>上岛咖啡(芳古园店)分店</t>
  </si>
  <si>
    <t>星巴克(望京新世界店)分店</t>
  </si>
  <si>
    <t>星巴克(丰葆路店)分店</t>
  </si>
  <si>
    <t>YOLO CAKE</t>
  </si>
  <si>
    <t>新疆菜</t>
  </si>
  <si>
    <t>大漠楼兰新疆美食(牡丹园店)分店</t>
  </si>
  <si>
    <t>西域明远(青年城店)</t>
  </si>
  <si>
    <t>民族餐厅</t>
  </si>
  <si>
    <t>长春</t>
  </si>
  <si>
    <t>川菜</t>
  </si>
  <si>
    <t>你的心跳酸菜鱼(欧亚新生活)</t>
  </si>
  <si>
    <t>巴渔人家</t>
  </si>
  <si>
    <t>李家小馆(德惠店)</t>
  </si>
  <si>
    <t>_辣坊麻辣香锅烤全鱼</t>
  </si>
  <si>
    <t>川香楼火锅</t>
  </si>
  <si>
    <t>北京麻辣香锅</t>
  </si>
  <si>
    <t>面馆</t>
  </si>
  <si>
    <t>吉妈妈手擀面(一汽高专店)</t>
  </si>
  <si>
    <t>兰州正宗牛肉拉面(飞跃路店)</t>
  </si>
  <si>
    <t>海鲜</t>
  </si>
  <si>
    <t>蚝掌柜</t>
  </si>
  <si>
    <t>龙门花甲时尚海鲜</t>
  </si>
  <si>
    <t>海川尚品</t>
  </si>
  <si>
    <t>火锅</t>
  </si>
  <si>
    <t>德羊府老北京羊蝎子火锅(建设街...</t>
  </si>
  <si>
    <t>十一越猪蹄火锅</t>
  </si>
  <si>
    <t>蜀香楼火锅(东风店)分店</t>
  </si>
  <si>
    <t>康二姐(金川街店)</t>
  </si>
  <si>
    <t>鲜入围煮彝乡牛汤火锅</t>
  </si>
  <si>
    <t>将军府火锅</t>
  </si>
  <si>
    <t>四牌楼老北京炭火锅</t>
  </si>
  <si>
    <t>麻辣三国</t>
  </si>
  <si>
    <t>龙祥斑鱼庄</t>
  </si>
  <si>
    <t>福顺德老北京炭火锅</t>
  </si>
  <si>
    <t>老北京碳火锅</t>
  </si>
  <si>
    <t>阿田大虾麻辣火锅店</t>
  </si>
  <si>
    <t>小吃快餐</t>
  </si>
  <si>
    <t>东方饺子王(中东自由大路店)分店</t>
  </si>
  <si>
    <t>喜家德水饺</t>
  </si>
  <si>
    <t>老妈手擀面(人民大街店)分店</t>
  </si>
  <si>
    <t>姐弟俩土豆粉分店</t>
  </si>
  <si>
    <t>派乐汉堡(高新园区店)</t>
  </si>
  <si>
    <t>米家乐粥铺</t>
  </si>
  <si>
    <t>韩国料理</t>
  </si>
  <si>
    <t>春明风味馆(经开一区店)</t>
  </si>
  <si>
    <t>竹林小木屋</t>
  </si>
  <si>
    <t>韩一馆</t>
  </si>
  <si>
    <t>金子酱汤馆</t>
  </si>
  <si>
    <t>长沙</t>
  </si>
  <si>
    <t>面包甜点</t>
  </si>
  <si>
    <t>酒窝甜品(德思勤城市广场店)</t>
  </si>
  <si>
    <t>鲜芋仙(步步高梅溪新天地店)</t>
  </si>
  <si>
    <t>1点点(_城_店)</t>
  </si>
  <si>
    <t>罗莎蛋糕(蔡锷北店)分店</t>
  </si>
  <si>
    <t>其他</t>
  </si>
  <si>
    <t>尚粤粥铺(玛依拉店)</t>
  </si>
  <si>
    <t>花与麋鹿</t>
  </si>
  <si>
    <t>苏菲玛索全球红酒体验中心</t>
  </si>
  <si>
    <t>紫燕百味鸡(桔园店)分店</t>
  </si>
  <si>
    <t>一号锅烤鱼干锅</t>
  </si>
  <si>
    <t>重庆饭店</t>
  </si>
  <si>
    <t>董记老清泉北京涮羊肉(总店)</t>
  </si>
  <si>
    <t>犟娃重庆老火锅</t>
  </si>
  <si>
    <t>虾吃虾涮(王家湾步步高店)分店</t>
  </si>
  <si>
    <t>韩疯味韩式自助烤肉火锅店</t>
  </si>
  <si>
    <t>美丽人生中西餐厅(水晶店)分店</t>
  </si>
  <si>
    <t>MORE· 大客厅</t>
  </si>
  <si>
    <t>星巴克(步步高店)</t>
  </si>
  <si>
    <t>西餐</t>
  </si>
  <si>
    <t>纽约客炸鸡汉堡店(乐和城店)</t>
  </si>
  <si>
    <t>优益沙拉吧</t>
  </si>
  <si>
    <t>吃不胖沙拉(星沙店)</t>
  </si>
  <si>
    <t>哆哆基(宁乡南站店)</t>
  </si>
  <si>
    <t>预见披萨(北盛店)</t>
  </si>
  <si>
    <t>成都</t>
  </si>
  <si>
    <t>捉鸭记吮指鸭爪爪干锅(奥克斯广...</t>
  </si>
  <si>
    <t>串串香</t>
  </si>
  <si>
    <t>钢管厂五区小郡肝串串香(金沙店)分店</t>
  </si>
  <si>
    <t>何老二冷锅串串分店</t>
  </si>
  <si>
    <t>钢管厂小郡肝串串(郫县中信城店)</t>
  </si>
  <si>
    <t>厕所串串(总店)</t>
  </si>
  <si>
    <t>厕所串串(桂王桥北街店)分店</t>
  </si>
  <si>
    <t>守柴炉北京烤鸭(蜀汉路店)分店</t>
  </si>
  <si>
    <t>茴香记小郡肝砂罐串串</t>
  </si>
  <si>
    <t>八品道_记锅食_(海滨城店)</t>
  </si>
  <si>
    <t>风云堂韩式烤肉(成华店)</t>
  </si>
  <si>
    <t>思密达炭火烤肉(钱江美域店)</t>
  </si>
  <si>
    <t>三国惹火烤肉(海上海店)</t>
  </si>
  <si>
    <t>自助餐</t>
  </si>
  <si>
    <t>望江宾馆普吉岛餐厅</t>
  </si>
  <si>
    <t>战旗红火锅自助餐厅</t>
  </si>
  <si>
    <t>鱼跃食光河鲜自助火锅</t>
  </si>
  <si>
    <t>花乡风情苑农家乐(三圣乡店)</t>
  </si>
  <si>
    <t>一糖一会(阳光新业中心店)分店</t>
  </si>
  <si>
    <t>1__(南_帽店)</t>
  </si>
  <si>
    <t>早安巴黎(新世纪环球中心店)分店</t>
  </si>
  <si>
    <t>早安巴黎(万达锦华店)分店</t>
  </si>
  <si>
    <t>大通冰室(大悦城店)分店</t>
  </si>
  <si>
    <t>爱达乐(成都东方广场店)</t>
  </si>
  <si>
    <t>锦城印象火锅酒楼(高新店)分店</t>
  </si>
  <si>
    <t>蛙来哒(金牛万达广场店)分店</t>
  </si>
  <si>
    <t>渝北十碗水老火锅</t>
  </si>
  <si>
    <t>蜀中吴养生板栗鸡(环球中心店)分店</t>
  </si>
  <si>
    <t>泸州酸菜豆花火锅(共和路店)分店</t>
  </si>
  <si>
    <t>廖老四鲜鹅肠火锅(玉林店)</t>
  </si>
  <si>
    <t>有茗塘鱼馆(高升桥店)</t>
  </si>
  <si>
    <t>重庆</t>
  </si>
  <si>
    <t>芭蕉小筑傣味私房菜</t>
  </si>
  <si>
    <t>秦阿哥私房菜馆</t>
  </si>
  <si>
    <t>小龙虾</t>
  </si>
  <si>
    <t>李掌柜虾楼</t>
  </si>
  <si>
    <t>虾皇(九龙滨江店)</t>
  </si>
  <si>
    <t>盱眙龙虾(龙湖紫都城店)</t>
  </si>
  <si>
    <t>铜锣湾(重庆星光68广场店)分店</t>
  </si>
  <si>
    <t>Restaurant A(蓝湖郡店)分店</t>
  </si>
  <si>
    <t>歌乐山辣子鸡(解放碑店)</t>
  </si>
  <si>
    <t>程大嘴美蛙</t>
  </si>
  <si>
    <t>广潮荟</t>
  </si>
  <si>
    <t>阳光世纪美食广场</t>
  </si>
  <si>
    <t>日本料理</t>
  </si>
  <si>
    <t>寿司老爸(亿象城一店)</t>
  </si>
  <si>
    <t>秋水</t>
  </si>
  <si>
    <t>美厨娘铁板烧(铁板套饭)</t>
  </si>
  <si>
    <t>北平楼涮羊肉</t>
  </si>
  <si>
    <t>沧龙火锅</t>
  </si>
  <si>
    <t>久斗生串串老火锅</t>
  </si>
  <si>
    <t>巴山林老火锅(回龙湾直营店)</t>
  </si>
  <si>
    <t>顺水鱼馆＆藕然间(洋河体育场店)分店</t>
  </si>
  <si>
    <t>多喝汤(解放碑英利大融城店)分店</t>
  </si>
  <si>
    <t>游来烤鸭坊</t>
  </si>
  <si>
    <t>Muapizza慕玛披萨(沙坪坝店)</t>
  </si>
  <si>
    <t>轻点沙拉</t>
  </si>
  <si>
    <t>HEA SPOT喜士泊轻食·咖啡餐厅</t>
  </si>
  <si>
    <t>绿色皮卡精酿酒馆(九街店)分店</t>
  </si>
  <si>
    <t>西豪果木牛排</t>
  </si>
  <si>
    <t>懂咖</t>
  </si>
  <si>
    <t>米萝咖啡(合川区店)</t>
  </si>
  <si>
    <t>大连</t>
  </si>
  <si>
    <t>北京片皮烤鸭</t>
  </si>
  <si>
    <t>北京烤鸭(山东路店)分店</t>
  </si>
  <si>
    <t>水一方现烤鱿鱼丝鱿鱼头鱿鱼片(...分店</t>
  </si>
  <si>
    <t>味道香鸡公煲(三八广场店)</t>
  </si>
  <si>
    <t>鱼城印象炭火烤全鱼(普兰店)</t>
  </si>
  <si>
    <t>不见不散麻辣龙虾</t>
  </si>
  <si>
    <t>喜辣郎巫山传奇土家烤全鱼(旅顺...</t>
  </si>
  <si>
    <t>大连海鲜</t>
  </si>
  <si>
    <t>苏大嘴海鲜牧场(北石道街店)分店</t>
  </si>
  <si>
    <t>会飞的筷子</t>
  </si>
  <si>
    <t>巨无霸海鲜状元楼(太原街店)</t>
  </si>
  <si>
    <t>付家庄小渔村(椒房街店)分店</t>
  </si>
  <si>
    <t>海味当家(山东路店)分店</t>
  </si>
  <si>
    <t>杜记海鲜食府</t>
  </si>
  <si>
    <t>理工小馆</t>
  </si>
  <si>
    <t>广东菜馆</t>
  </si>
  <si>
    <t>李先生牛肉面(和平广场店)分店</t>
  </si>
  <si>
    <t>清香拉面(黑石礁店)</t>
  </si>
  <si>
    <t>毕富肥牛海鲜豆捞(湾家店)分店</t>
  </si>
  <si>
    <t>过锅瘾三汁焖锅(罗斯福店)</t>
  </si>
  <si>
    <t>何鲜菇(八一路店)分店</t>
  </si>
  <si>
    <t>李记铸铁锅炖鱼(胜利路店)</t>
  </si>
  <si>
    <t>东莞</t>
  </si>
  <si>
    <t>Rotiboy(万达虎门店)</t>
  </si>
  <si>
    <t>卡蜜林(凤岗三正财富新地店)分店</t>
  </si>
  <si>
    <t>爱丽丝烘焙生活馆</t>
  </si>
  <si>
    <t>微咖啡(东城石井天骄店)</t>
  </si>
  <si>
    <t>自信的一杯</t>
  </si>
  <si>
    <t>英伦优品(二店)分店</t>
  </si>
  <si>
    <t>潘朵拉·城市行动咖啡店(常平店)</t>
  </si>
  <si>
    <t>85极致咖啡</t>
  </si>
  <si>
    <t>老陕面馆</t>
  </si>
  <si>
    <t>海霸酒楼</t>
  </si>
  <si>
    <t>欧亚国际酒店布拉格西餐厅</t>
  </si>
  <si>
    <t>虎门美思威尔顿酒店(海之光自助...</t>
  </si>
  <si>
    <t>稻城自助火锅城(厦边店)</t>
  </si>
  <si>
    <t>佛山</t>
  </si>
  <si>
    <t>快餐简餐</t>
  </si>
  <si>
    <t>巧阿婆烧汁鸡</t>
  </si>
  <si>
    <t>鲜芋仙(容桂店)</t>
  </si>
  <si>
    <t>妙香居韩国料理(鹏瑞利季华广场...</t>
  </si>
  <si>
    <t>粥家庄(普君店)</t>
  </si>
  <si>
    <t>松阪日本料理</t>
  </si>
  <si>
    <t>金太郎拉面</t>
  </si>
  <si>
    <t>寿司吧</t>
  </si>
  <si>
    <t>The paddy field 田野西餐厅(禅...</t>
  </si>
  <si>
    <t>KAKA CASTLE卡卡松堡</t>
  </si>
  <si>
    <t>蜜思沙拉Miss Salad(创意园店)</t>
  </si>
  <si>
    <t>银太阳(雾岗路店)</t>
  </si>
  <si>
    <t>石湾宾馆爱琴海西餐厅</t>
  </si>
  <si>
    <t>尊享披萨(杏坛店)</t>
  </si>
  <si>
    <t>默</t>
  </si>
  <si>
    <t>洛菲尔面包坊(铂顿城店)</t>
  </si>
  <si>
    <t>初茶(铂顿城店)</t>
  </si>
  <si>
    <t>coco都可茶饮(创意店)</t>
  </si>
  <si>
    <t>仙芋世家(南海广场店)分店</t>
  </si>
  <si>
    <t>探茶(龙江店)</t>
  </si>
  <si>
    <t>小绿柠越南汤粉(丽日广场店)</t>
  </si>
  <si>
    <t>The tipping point Cafe</t>
  </si>
  <si>
    <t>烧烤</t>
  </si>
  <si>
    <t>马哥孛罗酒店露天餐吧</t>
  </si>
  <si>
    <t>小吃</t>
  </si>
  <si>
    <t>老表艇仔粥(第一城店)</t>
  </si>
  <si>
    <t>旺角亭</t>
  </si>
  <si>
    <t>我爱我烫麻辣烫</t>
  </si>
  <si>
    <t>福州</t>
  </si>
  <si>
    <t>不见不膳创意私房菜(东二环泰禾...分店</t>
  </si>
  <si>
    <t>中庚喜来登酒店采悦轩中餐厅</t>
  </si>
  <si>
    <t>创元 · 香港轩</t>
  </si>
  <si>
    <t>半岛翡丽海鲜自助餐厅</t>
  </si>
  <si>
    <t>海通上合自助百汇(五四北泰禾广...</t>
  </si>
  <si>
    <t>漳港海鲜食府</t>
  </si>
  <si>
    <t>达摩食堂(东大路店)</t>
  </si>
  <si>
    <t>欧巴韩国餐厅OppaKorean(学生街...</t>
  </si>
  <si>
    <t>韩悦韩式烤肉(福清万达店)</t>
  </si>
  <si>
    <t>首尔厨房(学生街店)</t>
  </si>
  <si>
    <t>石锅拌饭(东方华庭店)</t>
  </si>
  <si>
    <t>这里有意式料理(东二环泰禾店)分店</t>
  </si>
  <si>
    <t>EO蔬果料理(世欧店)</t>
  </si>
  <si>
    <t>雕刻时光咖啡馆(上三路店)</t>
  </si>
  <si>
    <t>DEC：20西餐厅</t>
  </si>
  <si>
    <t>19番咖啡料理</t>
  </si>
  <si>
    <t>西小游</t>
  </si>
  <si>
    <t>世纪金源大饭店(温泉公园店中餐...</t>
  </si>
  <si>
    <t>金太郎韩式自助烤肉火锅(台江万...分店</t>
  </si>
  <si>
    <t>KOI Thé(福州东百元洪店)</t>
  </si>
  <si>
    <t>贡茶·漾漾好(世欧店)分店</t>
  </si>
  <si>
    <t>85度C(东方店)分店</t>
  </si>
  <si>
    <t>松枝记(三坊七巷店)</t>
  </si>
  <si>
    <t>罗得滋</t>
  </si>
  <si>
    <t>SOLO复合式茶饮(大利嘉店)分店</t>
  </si>
  <si>
    <t>大叔奶茶</t>
  </si>
  <si>
    <t>澜记老香港茶点(黎明店)</t>
  </si>
  <si>
    <t>张阿姨奶茶</t>
  </si>
  <si>
    <t>莲花阁茶艺素食馆</t>
  </si>
  <si>
    <t>羽禾家宴</t>
  </si>
  <si>
    <t>红糖馒头(温泉店)</t>
  </si>
  <si>
    <t>湘菜</t>
  </si>
  <si>
    <t>婆一手(万达店)分店</t>
  </si>
  <si>
    <t>广州</t>
  </si>
  <si>
    <t>外婆家私房菜(大学城店)</t>
  </si>
  <si>
    <t>茶档(花城汇店)</t>
  </si>
  <si>
    <t>赣湘食舫(群众路店)</t>
  </si>
  <si>
    <t>海门鱼仔店(花城宾馆店)</t>
  </si>
  <si>
    <t>悦榕庄(白云旗舰店)分店</t>
  </si>
  <si>
    <t>新泰乐(盘福店)分店</t>
  </si>
  <si>
    <t>大岗仙庙烧鸡(客村店)</t>
  </si>
  <si>
    <t>东山小厨(东山口店)</t>
  </si>
  <si>
    <t>茶餐厅</t>
  </si>
  <si>
    <t>好彩港式茶餐厅(乐峰广场店)分店</t>
  </si>
  <si>
    <t>六三市农家美食村</t>
  </si>
  <si>
    <t>老港茶餐厅(海印又一城店)</t>
  </si>
  <si>
    <t>永隆茶餐厅</t>
  </si>
  <si>
    <t>光禄第</t>
  </si>
  <si>
    <t>泰豪时尚园林餐厅(百花广场店)</t>
  </si>
  <si>
    <t>红棉珍味</t>
  </si>
  <si>
    <t>细工坊(海珠区罗马店)</t>
  </si>
  <si>
    <t>兰州拉面</t>
  </si>
  <si>
    <t>贵阳</t>
  </si>
  <si>
    <t>贵州菜</t>
  </si>
  <si>
    <t>厨房里铁锅卤味(汇金星力城店)</t>
  </si>
  <si>
    <t>树厨地道黔菜餐厅(世纪金源店)</t>
  </si>
  <si>
    <t>杨阿姨丝娃娃店(都司路店)</t>
  </si>
  <si>
    <t>雨田辣子鸡</t>
  </si>
  <si>
    <t>贤来居</t>
  </si>
  <si>
    <t>懒人炒鸡(龙湾国际店)</t>
  </si>
  <si>
    <t>米辣原滋味麻辣香锅(南国花锦店)</t>
  </si>
  <si>
    <t>王记重庆特色纸上烤鱼(公园路店)</t>
  </si>
  <si>
    <t>韩国酵素茶餐厅(美可土廊)</t>
  </si>
  <si>
    <t>兰桂酒楼</t>
  </si>
  <si>
    <t>逍魂炒饭</t>
  </si>
  <si>
    <t>天府棒棒鸡(北京路店)</t>
  </si>
  <si>
    <t>蜂子厨房便当</t>
  </si>
  <si>
    <t>卡米拉雷门拉面馆</t>
  </si>
  <si>
    <t>牛太郎自助烧烤(万宜广场店)</t>
  </si>
  <si>
    <t>斗牛士牛排餐厅(星力银海元隆广...分店</t>
  </si>
  <si>
    <t>哈尔滨</t>
  </si>
  <si>
    <t>龙门花甲</t>
  </si>
  <si>
    <t>四海香馨月海鲜(香坊大街店)分店</t>
  </si>
  <si>
    <t>大理寺过桥米线(霞曼街店)</t>
  </si>
  <si>
    <t>五柒小龙虾</t>
  </si>
  <si>
    <t>串根香麻辣涮(会展店)</t>
  </si>
  <si>
    <t>咖啡卜卜</t>
  </si>
  <si>
    <t>阳光小厨港式餐厅(艺汇家店)</t>
  </si>
  <si>
    <t>大呼啦烤肉(海河东路店)</t>
  </si>
  <si>
    <t>宝宇新悦串场</t>
  </si>
  <si>
    <t>撸串吧</t>
  </si>
  <si>
    <t>阿里巴巴(民生尚都店)</t>
  </si>
  <si>
    <t>大胡子烧烤城(宏伟路店)分店</t>
  </si>
  <si>
    <t>一格烧烤</t>
  </si>
  <si>
    <t>咖喱张的口水小妹(西城红场店)</t>
  </si>
  <si>
    <t>鲜悦寿司</t>
  </si>
  <si>
    <t>一米鸡肉韩国料理(远大购物中心...</t>
  </si>
  <si>
    <t>老朴朝鲜风味(嵩山店)</t>
  </si>
  <si>
    <t>烤肉乐</t>
  </si>
  <si>
    <t>东北菜</t>
  </si>
  <si>
    <t>桂萍餐馆</t>
  </si>
  <si>
    <t>高家小院(香坊店)</t>
  </si>
  <si>
    <t>福成厚外婆家江鱼馆(宏伟路店)</t>
  </si>
  <si>
    <t>神农笨锅炖(江南分店)</t>
  </si>
  <si>
    <t>瀚八旗食府(淮河路总店)</t>
  </si>
  <si>
    <t>中来顺回民饭店(农林二道街店)</t>
  </si>
  <si>
    <t>三八饭店分店</t>
  </si>
  <si>
    <t>炭火蛙居(开发区店)</t>
  </si>
  <si>
    <t>朋克家火锅便利餐厅(汉广店)</t>
  </si>
  <si>
    <t>3年6班火锅</t>
  </si>
  <si>
    <t>海口</t>
  </si>
  <si>
    <t>海南菜</t>
  </si>
  <si>
    <t>拾味馆(海甸城店)</t>
  </si>
  <si>
    <t>君晟红茶馆</t>
  </si>
  <si>
    <t>麻辣跳跳香锅</t>
  </si>
  <si>
    <t>逅花园</t>
  </si>
  <si>
    <t>椰子不语(宜欣店)</t>
  </si>
  <si>
    <t>京味小厨 北京涮羊肉</t>
  </si>
  <si>
    <t>六爷烧烤火锅</t>
  </si>
  <si>
    <t>冰火工房(府城店)</t>
  </si>
  <si>
    <t>露莎(得胜沙店)分店</t>
  </si>
  <si>
    <t>张亮麻辣烫(南宝路店)</t>
  </si>
  <si>
    <t>壹指烤吧</t>
  </si>
  <si>
    <t>尚道儿碳烤</t>
  </si>
  <si>
    <t>佳客来牛排专家</t>
  </si>
  <si>
    <t>么二抱罗粉(南宝店)</t>
  </si>
  <si>
    <t>哈根达斯(海口京华城店)分店</t>
  </si>
  <si>
    <t>自游岛小站</t>
  </si>
  <si>
    <t>大叔港式丝袜奶茶</t>
  </si>
  <si>
    <t>陇_烧肉酒场(宜欣店)</t>
  </si>
  <si>
    <t>全手握寿司</t>
  </si>
  <si>
    <t>金百合烤肉</t>
  </si>
  <si>
    <t>Half&amp;Half</t>
  </si>
  <si>
    <t>沿江鸡餐厅</t>
  </si>
  <si>
    <t>兴家盛椰子鸡汤店</t>
  </si>
  <si>
    <t>尚和轩</t>
  </si>
  <si>
    <t>3咖啡</t>
  </si>
  <si>
    <t>龙泉咖啡(大同路店)</t>
  </si>
  <si>
    <t>杭州</t>
  </si>
  <si>
    <t>香港新记茶餐厅(古墩店)分店</t>
  </si>
  <si>
    <t>MyWay麦味餐厅(西溪店)</t>
  </si>
  <si>
    <t>汝拉小镇焰鱼码头餐厅(福堤店)分店</t>
  </si>
  <si>
    <t>新郭记烤鱼(万达店)</t>
  </si>
  <si>
    <t>好巴适川味香锅(富阳店)</t>
  </si>
  <si>
    <t>蛙来哒(中大银泰城店)</t>
  </si>
  <si>
    <t>火红年代</t>
  </si>
  <si>
    <t>湘味观</t>
  </si>
  <si>
    <t>杭帮/江浙菜</t>
  </si>
  <si>
    <t>岽阳餐馆(长生路店)分店</t>
  </si>
  <si>
    <t>老头儿油爆虾(姚园寺店)分店</t>
  </si>
  <si>
    <t>雷峰塔·藕香居餐厅</t>
  </si>
  <si>
    <t>绿茶青年中餐厅</t>
  </si>
  <si>
    <t>浙江宾馆中餐厅(花园餐厅、茶吧)分店</t>
  </si>
  <si>
    <t>啪嘭papong龙虾料理(中赢康康谷...广告</t>
  </si>
  <si>
    <t>明洞世家(萧山工人路店)分店</t>
  </si>
  <si>
    <t>拾穗咖啡馆</t>
  </si>
  <si>
    <t>即有咖啡Jooooy Coffee</t>
  </si>
  <si>
    <t>合肥</t>
  </si>
  <si>
    <t>万氏小胖子功夫龙虾</t>
  </si>
  <si>
    <t>微山湖地锅城(琥珀山庄店)</t>
  </si>
  <si>
    <t>乡味小厨</t>
  </si>
  <si>
    <t>润锦大酒店</t>
  </si>
  <si>
    <t>五七油焖大虾</t>
  </si>
  <si>
    <t>紫燕百味鸡(琅琊山店)分店</t>
  </si>
  <si>
    <t>紫燕百味鸡(大通店)分店</t>
  </si>
  <si>
    <t>紫燕百味鸡(淠河路店)分店</t>
  </si>
  <si>
    <t>三味鱼馆</t>
  </si>
  <si>
    <t>农家菜</t>
  </si>
  <si>
    <t>银领人家</t>
  </si>
  <si>
    <t>铭家料理</t>
  </si>
  <si>
    <t>仟吉西饼(财富广场店)分店</t>
  </si>
  <si>
    <t>柏兆记(芜湖路店)</t>
  </si>
  <si>
    <t>詹记宫廷桃酥王(淮河路店)分店</t>
  </si>
  <si>
    <t>无敌铁炮</t>
  </si>
  <si>
    <t>老乡鸡(水阳江路店)分店</t>
  </si>
  <si>
    <t>元禧日式料理</t>
  </si>
  <si>
    <t>刘主任秘制牛肉面</t>
  </si>
  <si>
    <t>济南</t>
  </si>
  <si>
    <t>麻小龙虾</t>
  </si>
  <si>
    <t>桃花洛音乐餐厅</t>
  </si>
  <si>
    <t>九月天(省体店)分店</t>
  </si>
  <si>
    <t>川味家常菜</t>
  </si>
  <si>
    <t>江浙菜</t>
  </si>
  <si>
    <t>浙江饭庄(渔府饭堂店)</t>
  </si>
  <si>
    <t>高第街56号餐厅(世茂国际广场店)分店</t>
  </si>
  <si>
    <t>小城故事(优品汇奥特莱斯店)分店</t>
  </si>
  <si>
    <t>东北私房菜馆</t>
  </si>
  <si>
    <t>劈柴院(贤文庄店)</t>
  </si>
  <si>
    <t>许记胶东海鲜惠宾楼(许记全羊馆)</t>
  </si>
  <si>
    <t>老根山庄暂停营业</t>
  </si>
  <si>
    <t>鲁菜</t>
  </si>
  <si>
    <t>小广寒.电影艺术餐厅(经三路店)</t>
  </si>
  <si>
    <t>八不食儒家菜馆(建新路店)</t>
  </si>
  <si>
    <t>加个桌(南辛庄店)分店</t>
  </si>
  <si>
    <t>枣庄庄</t>
  </si>
  <si>
    <t>玛格利塔(文化东路店)</t>
  </si>
  <si>
    <t>美味无穷之宅客披萨</t>
  </si>
  <si>
    <t>文氏湘菜馆(二店)</t>
  </si>
  <si>
    <t>嘉兴</t>
  </si>
  <si>
    <t>维尼花园咖啡</t>
  </si>
  <si>
    <t>8588咖啡烘焙(南溪店)</t>
  </si>
  <si>
    <t>巴黎·旧时光coffeeshop</t>
  </si>
  <si>
    <t>CC CAFE</t>
  </si>
  <si>
    <t>顺风酸菜鱼馆</t>
  </si>
  <si>
    <t>蜀味园烧鸡公火锅</t>
  </si>
  <si>
    <t>蒸会拼</t>
  </si>
  <si>
    <t>锦堂会所</t>
  </si>
  <si>
    <t>小桥人家川菜杭帮菜主题餐厅</t>
  </si>
  <si>
    <t>又一村酒家</t>
  </si>
  <si>
    <t>盛庭餐厅</t>
  </si>
  <si>
    <t>胖哥俩肉蟹煲(新华北路店)分店</t>
  </si>
  <si>
    <t>国强食府</t>
  </si>
  <si>
    <t>金龙门农家土菜</t>
  </si>
  <si>
    <t>川_火锅(平湖店)</t>
  </si>
  <si>
    <t>魔法帽牛肉和酱料火锅(恒利店)</t>
  </si>
  <si>
    <t>小吃面食</t>
  </si>
  <si>
    <t>爱林小吃</t>
  </si>
  <si>
    <t>正新鸡排(周王庙4店)</t>
  </si>
  <si>
    <t>鲜聚寿司</t>
  </si>
  <si>
    <t>英尚精致料理铁板烧</t>
  </si>
  <si>
    <t>福建沙县特色小吃(景宜路店)</t>
  </si>
  <si>
    <t>汤臣一品</t>
  </si>
  <si>
    <t>昆明</t>
  </si>
  <si>
    <t>云南菜</t>
  </si>
  <si>
    <t>私荟迤萨花园餐厅</t>
  </si>
  <si>
    <t>傣香淳(总店)</t>
  </si>
  <si>
    <t>青于蓝(园西路店)</t>
  </si>
  <si>
    <t>兴朝思茅野菜馆(昌宏路店)</t>
  </si>
  <si>
    <t>川_</t>
  </si>
  <si>
    <t>一品川味苑</t>
  </si>
  <si>
    <t>莱莎公爵泰国海鲜火锅</t>
  </si>
  <si>
    <t>嫡炉火锅(南亚店)</t>
  </si>
  <si>
    <t>读书铺酸笋鸡(滇池路旗舰店)分店</t>
  </si>
  <si>
    <t>老房老舍重庆传统火锅(穿金路店)</t>
  </si>
  <si>
    <t>永昌清真火瓢牛肉分店</t>
  </si>
  <si>
    <t>鼎呱呱老火锅</t>
  </si>
  <si>
    <t>丽江腊排骨(北市区店)</t>
  </si>
  <si>
    <t>韩国纸上烤肉馆</t>
  </si>
  <si>
    <t>东冬炸洋芋</t>
  </si>
  <si>
    <t>必胜客宅急送(霖雨路店)</t>
  </si>
  <si>
    <t>当麦基DMJ萨客思</t>
  </si>
  <si>
    <t>嘉皇披萨</t>
  </si>
  <si>
    <t>痴草沙拉</t>
  </si>
  <si>
    <t>好利来(正义路店)分店</t>
  </si>
  <si>
    <t>嘉华饼屋(云安阳光城店)</t>
  </si>
  <si>
    <t>经贸宾馆鲜花饼</t>
  </si>
  <si>
    <t>嘉华饼屋(东寺街店)</t>
  </si>
  <si>
    <t>罗莎蛋糕(新迎店)分店</t>
  </si>
  <si>
    <t>嘉华饼屋(安康路店)</t>
  </si>
  <si>
    <t>昆明万达文华酒店美食汇自助餐厅</t>
  </si>
  <si>
    <t>素吉祥素食主题餐厅</t>
  </si>
  <si>
    <t>常来尝碗(环城东路店)</t>
  </si>
  <si>
    <t>东方之旅菊花过桥米线</t>
  </si>
  <si>
    <t>洪闸官渡姐妹园(状元路店)</t>
  </si>
  <si>
    <t>北京烤鸭(青年路店)</t>
  </si>
  <si>
    <t>正新鸡排(官渡店)</t>
  </si>
  <si>
    <t>寿司小屋</t>
  </si>
  <si>
    <t>非子书吧</t>
  </si>
  <si>
    <t>尚品黄记煌三汁焖锅(世纪金源店)</t>
  </si>
  <si>
    <t>巳酉丑私人素厨</t>
  </si>
  <si>
    <t>Chapter One</t>
  </si>
  <si>
    <t>食膳酒楼</t>
  </si>
  <si>
    <t>兰州</t>
  </si>
  <si>
    <t>辣界麻辣香锅(大润发店)</t>
  </si>
  <si>
    <t>99烤鱼</t>
  </si>
  <si>
    <t>妈妈小厨</t>
  </si>
  <si>
    <t>回家吃饭</t>
  </si>
  <si>
    <t>肯德基(西津DT店)分店</t>
  </si>
  <si>
    <t>百味集黄焖鸡米饭(兰州店)</t>
  </si>
  <si>
    <t>金强牛肉面(滩尖子店)分店</t>
  </si>
  <si>
    <t>润仟祥黄焖鸡米饭(西北师大店)</t>
  </si>
  <si>
    <t>湘涛萨达姆牛肉面</t>
  </si>
  <si>
    <t>北街口</t>
  </si>
  <si>
    <t>好食多(百安店)</t>
  </si>
  <si>
    <t>东北饺子馆</t>
  </si>
  <si>
    <t>高记铁板烧(甘南路店)</t>
  </si>
  <si>
    <t>赛百味烤坊</t>
  </si>
  <si>
    <t>重庆巴将军自助火锅</t>
  </si>
  <si>
    <t>黄记煌三汁焖锅(甘南路店)分店</t>
  </si>
  <si>
    <t>九月娇时尚海鲜自选火锅超市(雁...</t>
  </si>
  <si>
    <t>清真·杨大师鸭爪爪特色火锅(瑞...</t>
  </si>
  <si>
    <t>嘉福元火锅全天营业(正宁路清真...</t>
  </si>
  <si>
    <t>逸山伍转转火锅(西固店)</t>
  </si>
  <si>
    <t>飘飘鱼仙火锅鱼</t>
  </si>
  <si>
    <t>天怡音乐餐吧</t>
  </si>
  <si>
    <t>北家姓转转小火锅(正宁路店)</t>
  </si>
  <si>
    <t>张掖路甜食店</t>
  </si>
  <si>
    <t>海龙炒面</t>
  </si>
  <si>
    <t>啃我黑鸭(和平镇店)</t>
  </si>
  <si>
    <t>纵横羊肉(铁路局店)</t>
  </si>
  <si>
    <t>6号楼（清真）民族餐厅</t>
  </si>
  <si>
    <t>志斌羊羔肉</t>
  </si>
  <si>
    <t>德克士(红星巷店)分店</t>
  </si>
  <si>
    <t>馨隆海养生茶楼</t>
  </si>
  <si>
    <t>公主家的年糕火锅</t>
  </si>
  <si>
    <t>音桃咖啡</t>
  </si>
  <si>
    <t>花地甜品</t>
  </si>
  <si>
    <t>放下咖啡</t>
  </si>
  <si>
    <t>南昌</t>
  </si>
  <si>
    <t>尝湘思私房菜馆</t>
  </si>
  <si>
    <t>赣菜</t>
  </si>
  <si>
    <t>佐佑时尚经典餐厅(莲塘店)分店</t>
  </si>
  <si>
    <t>家常饭(民德路店)分店</t>
  </si>
  <si>
    <t>姐妹家风味馆</t>
  </si>
  <si>
    <t>好滋味烧菜馆</t>
  </si>
  <si>
    <t>紫燕百味鸡(昌盛路店)分店</t>
  </si>
  <si>
    <t>丰城牛杂馆(贵妃龙虾粥城)</t>
  </si>
  <si>
    <t>千味小馆</t>
  </si>
  <si>
    <t>丁桂付绝味龙虾</t>
  </si>
  <si>
    <t>食止冷锅串串香(酷加天虹店)</t>
  </si>
  <si>
    <t>汉丽轩自助烤肉火锅</t>
  </si>
  <si>
    <t>欢辣联盟串串料理</t>
  </si>
  <si>
    <t>好滋味生态旋转小火锅</t>
  </si>
  <si>
    <t>牛太郎时尚自助烧烤</t>
  </si>
  <si>
    <t>西北菜</t>
  </si>
  <si>
    <t>牧羊庄烤全羊</t>
  </si>
  <si>
    <t>大娘水饺(万达广场)分店</t>
  </si>
  <si>
    <t>拾光码头(原8号码头系马桩店)分店</t>
  </si>
  <si>
    <t>绝味水煮</t>
  </si>
  <si>
    <t>欧兰朵无国界餐厅</t>
  </si>
  <si>
    <t>奥斯卡比萨(莲塘店)</t>
  </si>
  <si>
    <t>喜茶</t>
  </si>
  <si>
    <t>雪贝尔(洪城店)</t>
  </si>
  <si>
    <t>youyizi优伊滋(老蓝天店)</t>
  </si>
  <si>
    <t>好利来</t>
  </si>
  <si>
    <t>马得利(阳明东路店)</t>
  </si>
  <si>
    <t>奉贤家(奥体天虹店)</t>
  </si>
  <si>
    <t>味千拉面(京东大道店)</t>
  </si>
  <si>
    <t>鑫海盗船龙虾主题欢乐餐厅</t>
  </si>
  <si>
    <t>昌昌烧烤(苏圃路店)</t>
  </si>
  <si>
    <t>聚福海鲜蒸锅(旗舰店)</t>
  </si>
  <si>
    <t>星巴克(恒茂梦时代广场店)分店</t>
  </si>
  <si>
    <t>大胡子拿铁馆</t>
  </si>
  <si>
    <t>南宁</t>
  </si>
  <si>
    <t>韶山冲湘菜馆(民主店)</t>
  </si>
  <si>
    <t>重庆人家</t>
  </si>
  <si>
    <t>鱼影新概念酸菜鱼</t>
  </si>
  <si>
    <t>溪缘里</t>
  </si>
  <si>
    <t>年年不忘中餐厅(航洋国际广场店)</t>
  </si>
  <si>
    <t>来记名点(万象城店)</t>
  </si>
  <si>
    <t>南宁肥仔茶楼(大学路店)分店</t>
  </si>
  <si>
    <t>维多利茶餐厅(望园店)</t>
  </si>
  <si>
    <t>胖巴哥肉蟹煲餐厅(航洋国际广场...</t>
  </si>
  <si>
    <t>灌县老妈砂锅串串(云景店)</t>
  </si>
  <si>
    <t>山盛创作料理(航洋国际广场店)</t>
  </si>
  <si>
    <t>阿桶木(保利店)</t>
  </si>
  <si>
    <t>拾味记全州出榨红油米粉</t>
  </si>
  <si>
    <t>正新鸡排(富德凤凰农贸市场店)</t>
  </si>
  <si>
    <t>苹果阳光寿司店</t>
  </si>
  <si>
    <t>悦膳日本料理</t>
  </si>
  <si>
    <t>爱德华精品咖啡(青秀店)</t>
  </si>
  <si>
    <t>Chanson香颂丨Cafe·Bar</t>
  </si>
  <si>
    <t>欧乐西点披萨</t>
  </si>
  <si>
    <t>水街九记伦教糕店(新印象美食城...</t>
  </si>
  <si>
    <t>范记饼屋(汇东郦城店)分店</t>
  </si>
  <si>
    <t>九度缘(祥宾路店)分店</t>
  </si>
  <si>
    <t>乌玛(亭江店)</t>
  </si>
  <si>
    <t>宜家生活咖啡</t>
  </si>
  <si>
    <t>茶道夫(北湖店)</t>
  </si>
  <si>
    <t>榴芒来了</t>
  </si>
  <si>
    <t>天鹰蒸汽海鲜城(保利店)</t>
  </si>
  <si>
    <t>太平洋咖啡(万象城第一分店)分店</t>
  </si>
  <si>
    <t>鲜蚝汇海鲜烧烤主题餐厅</t>
  </si>
  <si>
    <t>太师烧鸭风味餐厅</t>
  </si>
  <si>
    <t>土豪火锅铁锅门</t>
  </si>
  <si>
    <t>高文达素食餐厅</t>
  </si>
  <si>
    <t>好月缘海鲜鲍翅楼</t>
  </si>
  <si>
    <t>米粉/米线</t>
  </si>
  <si>
    <t>三品王(友爱北店)分店</t>
  </si>
  <si>
    <t>三品王(长岗店)分店</t>
  </si>
  <si>
    <t>南通</t>
  </si>
  <si>
    <t>九憬私房菜</t>
  </si>
  <si>
    <t>烤鱼堂</t>
  </si>
  <si>
    <t>醉爱酸菜鱼(一店)</t>
  </si>
  <si>
    <t>临家外卖酸菜鱼</t>
  </si>
  <si>
    <t>辣道坊麻辣锅皇</t>
  </si>
  <si>
    <t>炜炜小厨(五一路店)</t>
  </si>
  <si>
    <t>江鲜美食-狼山迎春饭店</t>
  </si>
  <si>
    <t>偶像咖啡(idol coffee)</t>
  </si>
  <si>
    <t>江南厨房(星湖店)</t>
  </si>
  <si>
    <t>沈府酒楼</t>
  </si>
  <si>
    <t>吕老二酒店</t>
  </si>
  <si>
    <t>重庆德庄火锅</t>
  </si>
  <si>
    <t>一品皇记煌三汁焖锅</t>
  </si>
  <si>
    <t>川金楼精致干锅火锅万州烤鱼</t>
  </si>
  <si>
    <t>友达面馆</t>
  </si>
  <si>
    <t>韩国爱_炸鸡</t>
  </si>
  <si>
    <t>遵义羊肉粉</t>
  </si>
  <si>
    <t>包福记牛肉面馆(轻纺城店)分店</t>
  </si>
  <si>
    <t>东北烧烤王(川味干锅)</t>
  </si>
  <si>
    <t>全州拌饭</t>
  </si>
  <si>
    <t>宁波</t>
  </si>
  <si>
    <t>鱼旨寿司(环球银泰城店)</t>
  </si>
  <si>
    <t>掌柜家的猫</t>
  </si>
  <si>
    <t>秋田家(箕漕街店)分店</t>
  </si>
  <si>
    <t>南苑环球酒店云庭下午茶餐厅</t>
  </si>
  <si>
    <t>寻味鲜_海鲜</t>
  </si>
  <si>
    <t>福润德海鲜大排档</t>
  </si>
  <si>
    <t>渝味晓宇火锅</t>
  </si>
  <si>
    <t>汤岛涮(西子国际店)</t>
  </si>
  <si>
    <t>记忆重庆火锅</t>
  </si>
  <si>
    <t>重庆金秋老火锅(高凤路店)</t>
  </si>
  <si>
    <t>幺妹时尚自助火锅</t>
  </si>
  <si>
    <t>Vivapolo(来福士广场店)分店广告</t>
  </si>
  <si>
    <t>米有沙拉(镇海新城店)</t>
  </si>
  <si>
    <t>必胜客(城隍庙店)分店</t>
  </si>
  <si>
    <t>澳洲肉派</t>
  </si>
  <si>
    <t>意_意大利风情休闲餐吧(黄金海...分店</t>
  </si>
  <si>
    <t>汉堡王子(宝善店)</t>
  </si>
  <si>
    <t>阿兰碧卡</t>
  </si>
  <si>
    <t>宁波柏悦酒店-悦轩餐厅</t>
  </si>
  <si>
    <t>达蓬山大酒店中餐厅</t>
  </si>
  <si>
    <t>鄞州天港禧悦酒店浩全日餐厅</t>
  </si>
  <si>
    <t>华侨豪生西餐厅</t>
  </si>
  <si>
    <t>重庆818自助火锅(徐家漕店)分店</t>
  </si>
  <si>
    <t>觅物甜品哲学(港隆广场店)</t>
  </si>
  <si>
    <t>糖纸甜品(银泰城店)分店</t>
  </si>
  <si>
    <t>可莎蜜_(万科广场店)</t>
  </si>
  <si>
    <t>四云奶盖贡茶(世纪东方广场店)分店</t>
  </si>
  <si>
    <t>大通冰室(轻纺城洛兹店)</t>
  </si>
  <si>
    <t>麦棵丰老香港手工蛋糕(鼓楼二店)</t>
  </si>
  <si>
    <t>Kuma island</t>
  </si>
  <si>
    <t>青岛</t>
  </si>
  <si>
    <t>大长今中韩料理</t>
  </si>
  <si>
    <t>松枝记(李村步行街店)</t>
  </si>
  <si>
    <t>元祖食品(辽宁路店)分店</t>
  </si>
  <si>
    <t>仙芋世家(丽达店)分店</t>
  </si>
  <si>
    <t>松枝记(李村小吃街总店)</t>
  </si>
  <si>
    <t>苏记炒酸奶</t>
  </si>
  <si>
    <t>coco都可茶饮(长江利群店)</t>
  </si>
  <si>
    <t>鸭仙芝烤鸭</t>
  </si>
  <si>
    <t>清真海鲜菜馆</t>
  </si>
  <si>
    <t>福榕菜馆</t>
  </si>
  <si>
    <t>大潘石榴汁</t>
  </si>
  <si>
    <t>竹香园铁锅炖</t>
  </si>
  <si>
    <t>燕凤楼</t>
  </si>
  <si>
    <t>睿佰味肘子砂锅</t>
  </si>
  <si>
    <t>海祺商务酒店田园餐厅</t>
  </si>
  <si>
    <t>悦顺菜馆</t>
  </si>
  <si>
    <t>尚品小土屋涮毛肚(东方城店)</t>
  </si>
  <si>
    <t>渔_传奇云南原生态石锅鱼</t>
  </si>
  <si>
    <t>彤德莱火锅(胶南人民路店)分店</t>
  </si>
  <si>
    <t>钱钱家原桥底烧烤馄饨</t>
  </si>
  <si>
    <t>野百合蒙古烤羊腿</t>
  </si>
  <si>
    <t>东北串王(黄浦江路分店)分店</t>
  </si>
  <si>
    <t>海之家特色饭店</t>
  </si>
  <si>
    <t>金氏石板烤肉(澳门路店)</t>
  </si>
  <si>
    <t>泉州</t>
  </si>
  <si>
    <t>酷猫烤鱼(东海店)</t>
  </si>
  <si>
    <t>罗记烤全鱼</t>
  </si>
  <si>
    <t>仁风·烤鱼烤海鲜(温陵北路店)</t>
  </si>
  <si>
    <t>老四川石锅鱼(泉港山腰店)</t>
  </si>
  <si>
    <t>麻辣鲜捞</t>
  </si>
  <si>
    <t>闽菜</t>
  </si>
  <si>
    <t>金芳阁美食馆</t>
  </si>
  <si>
    <t>泉商希尔顿酒店</t>
  </si>
  <si>
    <t>宝石湾海鲜馆</t>
  </si>
  <si>
    <t>富临茶餐厅</t>
  </si>
  <si>
    <t>胖哥俩肉蟹煲(泉州浦西万达店)</t>
  </si>
  <si>
    <t>正宗台湾盐酥鸡专卖店(大润发店)</t>
  </si>
  <si>
    <t>比哥鸡排</t>
  </si>
  <si>
    <t>一休站美食店(大润发店)</t>
  </si>
  <si>
    <t>新义隆烤肉王(水头总店)</t>
  </si>
  <si>
    <t>湖心街夜市烧烤</t>
  </si>
  <si>
    <t>酒乐日本料理(南俊店)分店</t>
  </si>
  <si>
    <t>必胜客(天山店)</t>
  </si>
  <si>
    <t>icome手握披萨</t>
  </si>
  <si>
    <t>潘达芝士挞(万达店)</t>
  </si>
  <si>
    <t>放牛斑(江声店)分店</t>
  </si>
  <si>
    <t>爷茶</t>
  </si>
  <si>
    <t>张姐烤肉拌饭脆皮鸡饭(泉州总店)</t>
  </si>
  <si>
    <t>随适咖啡(西湖店)</t>
  </si>
  <si>
    <t>每天咖啡</t>
  </si>
  <si>
    <t>0595香辣虾</t>
  </si>
  <si>
    <t>转转乐涮涮锅(中闽新华店)</t>
  </si>
  <si>
    <t>大宅门老北京铜锅涮肉</t>
  </si>
  <si>
    <t>山里人家</t>
  </si>
  <si>
    <t>九鼎煌鲜牛肉火锅城(安溪店)</t>
  </si>
  <si>
    <t>康庄满煎糕店</t>
  </si>
  <si>
    <t>来二两重庆小面</t>
  </si>
  <si>
    <t>桥亭活鱼小镇(东海店)</t>
  </si>
  <si>
    <t>湘赢映湘红</t>
  </si>
  <si>
    <t>椿福川湘楼</t>
  </si>
  <si>
    <t>上海</t>
  </si>
  <si>
    <t>家常菜</t>
  </si>
  <si>
    <t>阿琴家常菜</t>
  </si>
  <si>
    <t>同乐家常菜(白玉路店)</t>
  </si>
  <si>
    <t>宏泰祥生煎馆(梅川店)</t>
  </si>
  <si>
    <t>宝燕海货工场三店蒸汽海鲜(大宁...分店</t>
  </si>
  <si>
    <t>宝燕壹号海鲜餐厅(民生路店)分店</t>
  </si>
  <si>
    <t>海尚蒸(富荟广场店)</t>
  </si>
  <si>
    <t>随缘蒸汽海鲜坊</t>
  </si>
  <si>
    <t>尚滋味我家酸菜鱼(月浦店)</t>
  </si>
  <si>
    <t>八面玲珑龙虾坊(仓场路店)分店</t>
  </si>
  <si>
    <t>老于家东北人家(徐家汇店)分店</t>
  </si>
  <si>
    <t>翠花老菜饺子馆(七宝店)分店</t>
  </si>
  <si>
    <t>东北筋饼骨头王(科苑路店)</t>
  </si>
  <si>
    <t>哈尔滨风味饺子馆</t>
  </si>
  <si>
    <t>黄焖鸡米饭(秋竹路店)</t>
  </si>
  <si>
    <t>重庆鸡公煲</t>
  </si>
  <si>
    <t>宋记香辣蟹(七宝万科广场店)分店</t>
  </si>
  <si>
    <t>归蜀第成都串串料理(万科海上传...分店</t>
  </si>
  <si>
    <t>青花椒砂锅鱼(开元地中海店)分店</t>
  </si>
  <si>
    <t>鱼蛙岛淘虾</t>
  </si>
  <si>
    <t>味道江湖(泗泾店)</t>
  </si>
  <si>
    <t>本清素我家酸菜鱼(顾村店)分店</t>
  </si>
  <si>
    <t>绍兴</t>
  </si>
  <si>
    <t>湘会楼(鲁迅西路店)</t>
  </si>
  <si>
    <t>大树龙虾馆</t>
  </si>
  <si>
    <t>老屋川菜(新昌店)</t>
  </si>
  <si>
    <t>黑皮酸菜鱼</t>
  </si>
  <si>
    <t>炉鱼(绍兴汇金广场店)</t>
  </si>
  <si>
    <t>好味觉&amp;彩虹站(世茂百盛店)</t>
  </si>
  <si>
    <t>郑文琪龙虾盖浇饭(世贸店)</t>
  </si>
  <si>
    <t>和平饭店</t>
  </si>
  <si>
    <t>313羊庄(绍兴店)</t>
  </si>
  <si>
    <t>酸菜鱼馆</t>
  </si>
  <si>
    <t>魔法帽牛肉和酱料火锅(大唐大润...</t>
  </si>
  <si>
    <t>巴食火锅(笛扬路店)</t>
  </si>
  <si>
    <t>古炉火锅-老成都(柯桥店)</t>
  </si>
  <si>
    <t>海派牛鼎记</t>
  </si>
  <si>
    <t>创意菜</t>
  </si>
  <si>
    <t>鼎鼎</t>
  </si>
  <si>
    <t>西嘉士</t>
  </si>
  <si>
    <t>CoCo都可(绍兴银泰城店)</t>
  </si>
  <si>
    <t>漫时光·私房蛋糕</t>
  </si>
  <si>
    <t>鱼姐姐私房蛋糕</t>
  </si>
  <si>
    <t>DQ(汇金店)分店</t>
  </si>
  <si>
    <t>麦香城食品</t>
  </si>
  <si>
    <t>DQ(雄风新天地店)</t>
  </si>
  <si>
    <t>资溪面包(江东店)分店</t>
  </si>
  <si>
    <t>易烤易锅海鲜·烤肉·火锅自助</t>
  </si>
  <si>
    <t>帕米尔餐厅</t>
  </si>
  <si>
    <t>阿嬷泡芙(绍兴店)</t>
  </si>
  <si>
    <t>兄妹煲仔饭(永兴店)分店</t>
  </si>
  <si>
    <t>绝味鸭脖(华汇广场西店)分店</t>
  </si>
  <si>
    <t>咭味哆(沥海店)</t>
  </si>
  <si>
    <t>咭味哆(斗门店)</t>
  </si>
  <si>
    <t>深圳</t>
  </si>
  <si>
    <t>荷香记川式私房菜</t>
  </si>
  <si>
    <t>如意农家菜</t>
  </si>
  <si>
    <t>台湾菜</t>
  </si>
  <si>
    <t>成记小厨(大芬店)</t>
  </si>
  <si>
    <t>辣家私厨(华强北店)分店</t>
  </si>
  <si>
    <t>兄弟龙虾馆</t>
  </si>
  <si>
    <t>麻辣鲜虾</t>
  </si>
  <si>
    <t>贪吃一品小龙虾</t>
  </si>
  <si>
    <t>潮梅里卤鹅</t>
  </si>
  <si>
    <t>新仙清汤腩(太古城店)分店</t>
  </si>
  <si>
    <t>渔记餐厅广告</t>
  </si>
  <si>
    <t>坝光_蟹(福田店)</t>
  </si>
  <si>
    <t>东临金厨</t>
  </si>
  <si>
    <t>皇潮食府</t>
  </si>
  <si>
    <t>品正品茶餐厅(三联路店)分店</t>
  </si>
  <si>
    <t>吃道@2047港式餐厅(丹桂路店)</t>
  </si>
  <si>
    <t>好江南茶餐厅</t>
  </si>
  <si>
    <t>小龙虾大闸蟹</t>
  </si>
  <si>
    <t>茶语餐厅(沙井京基百纳广场店)</t>
  </si>
  <si>
    <t>哈尔滨东北菜</t>
  </si>
  <si>
    <t>金手勺东北菜馆</t>
  </si>
  <si>
    <t>鸡煲王</t>
  </si>
  <si>
    <t>东北铁锅炖</t>
  </si>
  <si>
    <t>天鹅饺子馆</t>
  </si>
  <si>
    <t>粥粉面</t>
  </si>
  <si>
    <t>红荔村肠粉(卓越时代广场店)分店</t>
  </si>
  <si>
    <t>四方面庄(常兴二店)分店</t>
  </si>
  <si>
    <t>包粥稻(车公庙店)</t>
  </si>
  <si>
    <t>巴依的小羊歌舞餐厅(九方购物中...</t>
  </si>
  <si>
    <t>沈阳</t>
  </si>
  <si>
    <t>韩国N2U熨斗烤肉(中街店)</t>
  </si>
  <si>
    <t>巴蜀烤鱼(太原街万达店)分店</t>
  </si>
  <si>
    <t>斗牛家烧烤(首府店)</t>
  </si>
  <si>
    <t>韩嘴水煎肉分店</t>
  </si>
  <si>
    <t>老灶台全季火锅(太原街店)</t>
  </si>
  <si>
    <t>羊羊羊老北京铜火锅</t>
  </si>
  <si>
    <t>朋友的火锅店(苏家屯店)</t>
  </si>
  <si>
    <t>巴适串串香</t>
  </si>
  <si>
    <t>那些年云南生态菌类火锅店</t>
  </si>
  <si>
    <t>巴鼎红重庆老火锅</t>
  </si>
  <si>
    <t>大联渔港</t>
  </si>
  <si>
    <t>水手海鲜菜馆</t>
  </si>
  <si>
    <t>韩乐道海鲜烤肉店</t>
  </si>
  <si>
    <t>虾蛙传奇</t>
  </si>
  <si>
    <t>彤德莱火锅(淘乐新天地店)分店</t>
  </si>
  <si>
    <t>天天海鲜人家</t>
  </si>
  <si>
    <t>金岸海鲜饺子</t>
  </si>
  <si>
    <t>奇遇烹鱼小馆</t>
  </si>
  <si>
    <t>689炸鸡海鲜码面(西塔店)分店</t>
  </si>
  <si>
    <t>快乐咖啡</t>
  </si>
  <si>
    <t>瑞咖啡</t>
  </si>
  <si>
    <t>遇咖啡馆</t>
  </si>
  <si>
    <t>缤果咖啡简餐</t>
  </si>
  <si>
    <t>你的故事主题咖啡馆</t>
  </si>
  <si>
    <t>藤崎寿司(合作街店)</t>
  </si>
  <si>
    <t>味千拉面(兴隆大都汇店)</t>
  </si>
  <si>
    <t>派食鲜精致寿司</t>
  </si>
  <si>
    <t>丰元永和豆腐坊(宁山东路店)分店</t>
  </si>
  <si>
    <t>钱宝儿创意寿司(大东店)</t>
  </si>
  <si>
    <t>朝韩料理</t>
  </si>
  <si>
    <t>金家烤鳗鱼分店</t>
  </si>
  <si>
    <t>石家庄</t>
  </si>
  <si>
    <t>东北饺子馆(恒州南街店)</t>
  </si>
  <si>
    <t>六车间主题餐厅</t>
  </si>
  <si>
    <t>牧人手扒羊肉</t>
  </si>
  <si>
    <t>沧州火锅鸡</t>
  </si>
  <si>
    <t>巴派锅里捞火锅店</t>
  </si>
  <si>
    <t>椒麻铜锅鸡</t>
  </si>
  <si>
    <t>聚胜涮园</t>
  </si>
  <si>
    <t>继福园羊蝎子火锅</t>
  </si>
  <si>
    <t>湘村柴火鱼</t>
  </si>
  <si>
    <t>容而煎饼道(万达步行街店)</t>
  </si>
  <si>
    <t>喜识嘎嘣脆抹茶炒酸奶(中华北店)分店</t>
  </si>
  <si>
    <t>过桥米线(范光胡同)</t>
  </si>
  <si>
    <t>小磊铁锅焖面</t>
  </si>
  <si>
    <t>脆皮烤猪蹄(怀特店)</t>
  </si>
  <si>
    <t>周大嘴黑鸭(新石南店)</t>
  </si>
  <si>
    <t>膨膨冰(万达旗舰店)</t>
  </si>
  <si>
    <t>好望角蛋糕屋</t>
  </si>
  <si>
    <t>modia摩点</t>
  </si>
  <si>
    <t>纽罗宾</t>
  </si>
  <si>
    <t>米莎贝尔(卓达书香店)分店</t>
  </si>
  <si>
    <t>世纪大饭店三特美食屋</t>
  </si>
  <si>
    <t>玛仕德甜甜圈(益友百货店)</t>
  </si>
  <si>
    <t>泰国榴莲酥</t>
  </si>
  <si>
    <t>纷享时光休闲餐厅</t>
  </si>
  <si>
    <t>清真楼</t>
  </si>
  <si>
    <t>苏州</t>
  </si>
  <si>
    <t>张府私房菜</t>
  </si>
  <si>
    <t>盱眙好兄弟龙虾</t>
  </si>
  <si>
    <t>京东夜宵龙虾烧烤</t>
  </si>
  <si>
    <t>苏园广式茶餐厅</t>
  </si>
  <si>
    <t>京粤汇</t>
  </si>
  <si>
    <t>苏州江浙</t>
  </si>
  <si>
    <t>老苏州大客堂·特色小吃(山塘街...分店广告</t>
  </si>
  <si>
    <t>新梅华·四季厨房(四季厨房)分店</t>
  </si>
  <si>
    <t>苏洪妹阿婆家时尚餐厅(百盛店)</t>
  </si>
  <si>
    <t>湖碟轩·私厨坊</t>
  </si>
  <si>
    <t>盘韵阁私房菜</t>
  </si>
  <si>
    <t>老土灶</t>
  </si>
  <si>
    <t>三千粉牛肉米粉(圆融星座店)分店</t>
  </si>
  <si>
    <t>大闸蟹</t>
  </si>
  <si>
    <t>小琳蟹庄</t>
  </si>
  <si>
    <t>小陆莲花蟹园农家乐(莲花岛店)</t>
  </si>
  <si>
    <t>阳澄湖莲花岛江南蟹阁</t>
  </si>
  <si>
    <t>澳港城海鲜自助餐厅(昆山店)</t>
  </si>
  <si>
    <t>盱眙兄弟龙虾</t>
  </si>
  <si>
    <t>龙门花甲(石浦店)</t>
  </si>
  <si>
    <t>牛蛙君炭烧牛蛙锅(方塔街店)</t>
  </si>
  <si>
    <t>渔上签 烤鱼·烧烤·川菜音乐餐...</t>
  </si>
  <si>
    <t>笔杆青极品杠子面分店</t>
  </si>
  <si>
    <t>钦味面馆</t>
  </si>
  <si>
    <t>同得兴精品面馆(十全街店)分店</t>
  </si>
  <si>
    <t>东吴面馆(南施街店)</t>
  </si>
  <si>
    <t>太原</t>
  </si>
  <si>
    <t>土财土菜</t>
  </si>
  <si>
    <t>重庆小面(柳南店)</t>
  </si>
  <si>
    <t>茗品食府</t>
  </si>
  <si>
    <t>龙茶坊皇后大道</t>
  </si>
  <si>
    <t>大塞北(杏花岭店)</t>
  </si>
  <si>
    <t>麦当劳(太原朝阳街店)分店</t>
  </si>
  <si>
    <t>王先生煎饼店</t>
  </si>
  <si>
    <t>小皇牛筋头巴脑(大同路店)</t>
  </si>
  <si>
    <t>西来顺</t>
  </si>
  <si>
    <t>湘尚粉馆</t>
  </si>
  <si>
    <t>串串叔叔(五一广场店)分店</t>
  </si>
  <si>
    <t>金绣源粥品专家(翊粥店)分店</t>
  </si>
  <si>
    <t>胡同(和信店)</t>
  </si>
  <si>
    <t>六味斋(高新店)分店</t>
  </si>
  <si>
    <t>土大力(茂业天地店)</t>
  </si>
  <si>
    <t>五福西点</t>
  </si>
  <si>
    <t>谷田记</t>
  </si>
  <si>
    <t>摩提工房(铜锣湾国际店)分店</t>
  </si>
  <si>
    <t>贝客新语面包烘培(长风西街店)</t>
  </si>
  <si>
    <t>提拉米酥</t>
  </si>
  <si>
    <t>皖湘情</t>
  </si>
  <si>
    <t>阿瓦山寨(兴华店)</t>
  </si>
  <si>
    <t>必胜客宅急送(府西店)</t>
  </si>
  <si>
    <t>丹尼斯披萨</t>
  </si>
  <si>
    <t>认一力(桥头街总店)</t>
  </si>
  <si>
    <t>大哥家(佳地花园店)</t>
  </si>
  <si>
    <t>天津</t>
  </si>
  <si>
    <t>风车之家西餐(金元宝东方广场店)</t>
  </si>
  <si>
    <t>必胜宅急送(光明道店)</t>
  </si>
  <si>
    <t>团泊湖温泉酒店(自助餐厅)</t>
  </si>
  <si>
    <t>沪上阿姨(熙悦汇店)</t>
  </si>
  <si>
    <t>好利来(白堤路店)分店</t>
  </si>
  <si>
    <t>多乐之日(天津万达店)</t>
  </si>
  <si>
    <t>杜夫朗格蛋糕</t>
  </si>
  <si>
    <t>起士林(鞍山西道店)</t>
  </si>
  <si>
    <t>梁子刨冰王(王顶堤商业中心店)分店</t>
  </si>
  <si>
    <t>上海江浙</t>
  </si>
  <si>
    <t>百姓生活菜馆</t>
  </si>
  <si>
    <t>7咖啡sevennotes coffee</t>
  </si>
  <si>
    <t>OAA·并不是咖啡馆</t>
  </si>
  <si>
    <t>咖啡印记主题馆</t>
  </si>
  <si>
    <t>麦咖啡(创意大厦店)分店</t>
  </si>
  <si>
    <t>外院咖啡</t>
  </si>
  <si>
    <t>大吉利潮汕牛肉火锅(南开店)分店</t>
  </si>
  <si>
    <t>有料儿铜锅(王府壹号店)分店</t>
  </si>
  <si>
    <t>王牌大虾(二马路店)</t>
  </si>
  <si>
    <t>沸洋洋自助火锅(缤纷购物广场店)</t>
  </si>
  <si>
    <t>恩福来涮羊肉清真(南开大学店)</t>
  </si>
  <si>
    <t>宝莱纳里士满西餐酒吧</t>
  </si>
  <si>
    <t>徽湘印巷(西康路店)</t>
  </si>
  <si>
    <t>玲玲美食府</t>
  </si>
  <si>
    <t>鑫悦鹏饭庄</t>
  </si>
  <si>
    <t>彤德莱(小站物美超市店)</t>
  </si>
  <si>
    <t>幸助_屋</t>
  </si>
  <si>
    <t>宝寿司(北辰店)</t>
  </si>
  <si>
    <t>鸟亭</t>
  </si>
  <si>
    <t>大__拉面分店</t>
  </si>
  <si>
    <t>小魏铁板烧</t>
  </si>
  <si>
    <t>鸡铁日本料理</t>
  </si>
  <si>
    <t>乌鲁木齐</t>
  </si>
  <si>
    <t>一线天烤鸭私房菜</t>
  </si>
  <si>
    <t>重庆万州烤鱼</t>
  </si>
  <si>
    <t>老掌柜分店</t>
  </si>
  <si>
    <t>老院子铁锅芦花鸡(总店)</t>
  </si>
  <si>
    <t>浙江嘉兴饭店(开发区店)</t>
  </si>
  <si>
    <t>回府君悦无烟酒自助火锅</t>
  </si>
  <si>
    <t>好彩_骨鱼火锅(第一分店·王家...</t>
  </si>
  <si>
    <t>一号桥自助火锅</t>
  </si>
  <si>
    <t>香之源时尚烧烤火锅自助</t>
  </si>
  <si>
    <t>__肉饼</t>
  </si>
  <si>
    <t>马三元牛肉拉面(红山店)</t>
  </si>
  <si>
    <t>啊臻味道米粉</t>
  </si>
  <si>
    <t>曾记烤鸭脖(万达店)</t>
  </si>
  <si>
    <t>ROGERS_格斯美国炸薯条(欧乐星...</t>
  </si>
  <si>
    <t>胖嫂卤肉专卖店</t>
  </si>
  <si>
    <t>085早晚八点半(宝山路店)</t>
  </si>
  <si>
    <t>邱家唐老鸭擀面皮</t>
  </si>
  <si>
    <t>德克士(机场店)分店</t>
  </si>
  <si>
    <t>正新鸡排(小西沟家乐福店)</t>
  </si>
  <si>
    <t>尕骏儿农家饭馆</t>
  </si>
  <si>
    <t>三合烤铺</t>
  </si>
  <si>
    <t>金爱尚韩国芝士年糕自助</t>
  </si>
  <si>
    <t>阿里郎韩国特色小吃</t>
  </si>
  <si>
    <t>新语咖啡</t>
  </si>
  <si>
    <t>比萨大帝(领馆巷店)</t>
  </si>
  <si>
    <t>海尔巴格餐饮美都(摩洛哥咖啡厅)</t>
  </si>
  <si>
    <t>金权道自助烧烤海鲜火锅【清真】</t>
  </si>
  <si>
    <t>好日子自助烤吧-清真(和平桥店)</t>
  </si>
  <si>
    <t>麻辣世家自助火锅</t>
  </si>
  <si>
    <t>苹果之父风情音乐餐厅</t>
  </si>
  <si>
    <t>大掌柜芦花鸡主题餐厅</t>
  </si>
  <si>
    <t>大碗厨烤鸭</t>
  </si>
  <si>
    <t>孙家村海鲜酒楼</t>
  </si>
  <si>
    <t>蜜果蜜制鲜饮</t>
  </si>
  <si>
    <t>马来拜拉条子(南湖店)</t>
  </si>
  <si>
    <t>尕盼舍餐饮连锁(总店)</t>
  </si>
  <si>
    <t>吾饮良品(万达广场店)</t>
  </si>
  <si>
    <t>南贝儿西饼</t>
  </si>
  <si>
    <t>无锡</t>
  </si>
  <si>
    <t>小荣包龙虾工厂店·至尊全虾宴</t>
  </si>
  <si>
    <t>兄弟龙虾</t>
  </si>
  <si>
    <t>高家庄龙虾馆</t>
  </si>
  <si>
    <t>洪泽湖大闸蟹</t>
  </si>
  <si>
    <t>李师傅私房菜</t>
  </si>
  <si>
    <t>庆合私房菜馆</t>
  </si>
  <si>
    <t>_府一号</t>
  </si>
  <si>
    <t>银丝面馆(人民路店)</t>
  </si>
  <si>
    <t>王家老太镇江锅盖面(健康路店)</t>
  </si>
  <si>
    <t>富祥春面馆(新区百盛店)</t>
  </si>
  <si>
    <t>状元府捞面(三阳地铁店)</t>
  </si>
  <si>
    <t>烤鸭面饭店(安镇店)</t>
  </si>
  <si>
    <t>清真兰州拉面</t>
  </si>
  <si>
    <t>重庆地瓜老火锅</t>
  </si>
  <si>
    <t>醉渝味(钱桥晴山蓝城店)</t>
  </si>
  <si>
    <t>北平往事火锅(红豆万花城店)</t>
  </si>
  <si>
    <t>难得老鹅汤</t>
  </si>
  <si>
    <t>老成都火锅(康桥丽景店)</t>
  </si>
  <si>
    <t>金三峡火锅店</t>
  </si>
  <si>
    <t>拳师料理</t>
  </si>
  <si>
    <t>N多寿司(茂业店)</t>
  </si>
  <si>
    <t>金年任石锅拌饭年糕火锅韩国料理...</t>
  </si>
  <si>
    <t>景福宫(江阴店)</t>
  </si>
  <si>
    <t>喜来稀肉(无锡T12店)</t>
  </si>
  <si>
    <t>必胜客(江阴万达店)分店</t>
  </si>
  <si>
    <t>香达克汉堡</t>
  </si>
  <si>
    <t>汉堡王(苏南硕放国际机场店)</t>
  </si>
  <si>
    <t>FRESH FORMULA+</t>
  </si>
  <si>
    <t>无锡江浙</t>
  </si>
  <si>
    <t>大船格餐厅</t>
  </si>
  <si>
    <t>虾蛙约会(新之城广场店)</t>
  </si>
  <si>
    <t>妖怪美食(湖滨店)</t>
  </si>
  <si>
    <t>五丰食府（原五丰烤鸭馆）(锡城...</t>
  </si>
  <si>
    <t>开元精舍酒店</t>
  </si>
  <si>
    <t>段氏龙虾(长江路店)</t>
  </si>
  <si>
    <t>武汉</t>
  </si>
  <si>
    <t>一代天椒广告</t>
  </si>
  <si>
    <t>老房子(春江花月店)</t>
  </si>
  <si>
    <t>热火朝天麻辣香锅(银泰百货店)</t>
  </si>
  <si>
    <t>秦见面(中南店)</t>
  </si>
  <si>
    <t>私厨捞面(积玉桥店)分店</t>
  </si>
  <si>
    <t>新农村儒家牛肉(南国西汇城市广...分店</t>
  </si>
  <si>
    <t>江北牛肉粉</t>
  </si>
  <si>
    <t>uka 巴士车咖啡店</t>
  </si>
  <si>
    <t>隆盛全简餐厅</t>
  </si>
  <si>
    <t>科林伍德咖啡吧</t>
  </si>
  <si>
    <t>爷爷土钵菜(光谷天地二期店)</t>
  </si>
  <si>
    <t>彭厨(南湖店)</t>
  </si>
  <si>
    <t>姜辣坊</t>
  </si>
  <si>
    <t>乡里人湘菜馆</t>
  </si>
  <si>
    <t>快乐人家</t>
  </si>
  <si>
    <t>9020时尚餐厅</t>
  </si>
  <si>
    <t>金楚轩时尚餐厅</t>
  </si>
  <si>
    <t>优仙美地茶餐厅</t>
  </si>
  <si>
    <t>一品粥道(汉西店)分店暂停营业</t>
  </si>
  <si>
    <t>吾锅料理重庆牛油火锅(武汉荟聚...</t>
  </si>
  <si>
    <t>重庆光富火锅(吉庆街店)</t>
  </si>
  <si>
    <t>Fancy福喜轩韩式碳烤(万达广场店...</t>
  </si>
  <si>
    <t>武汉张鲜记海鲜火锅</t>
  </si>
  <si>
    <t>玉林串串香(司门口店)分店</t>
  </si>
  <si>
    <t>九牛一锅(顺道街店)</t>
  </si>
  <si>
    <t>四川乐山开心麻辣烫</t>
  </si>
  <si>
    <t>爱尚潮牛(万达广场店)</t>
  </si>
  <si>
    <t>凯威食享家(建设大道汉口店)分店</t>
  </si>
  <si>
    <t>北京东来顺(沌口分店)分店</t>
  </si>
  <si>
    <t>德派自助烤肉火锅店</t>
  </si>
  <si>
    <t>飚锅砂锅串串·成都火锅(经开万...</t>
  </si>
  <si>
    <t>小月靓虾(创业路金融街店)分店</t>
  </si>
  <si>
    <t>老万泡菜虾</t>
  </si>
  <si>
    <t>广记海鲜烧烤</t>
  </si>
  <si>
    <t>我家鱼馆</t>
  </si>
  <si>
    <t>二胖烧烤(湖大店)分店</t>
  </si>
  <si>
    <t>齐天大肾烤吧</t>
  </si>
  <si>
    <t>尚槿韩式烤肉(泛海城市广场店)分店</t>
  </si>
  <si>
    <t>老街烧烤(循礼门店)</t>
  </si>
  <si>
    <t>品得海鲜自助火锅烤肉</t>
  </si>
  <si>
    <t>小胡子烧烤</t>
  </si>
  <si>
    <t>大菊铁板烧(凯德西城店)</t>
  </si>
  <si>
    <t>井_日膳(汉阳人信汇店)分店</t>
  </si>
  <si>
    <t>芙蓉咔滋 Katsu House(群星城店)</t>
  </si>
  <si>
    <t>y-sushi精致日式料理(万隆广场店...</t>
  </si>
  <si>
    <t>鲜品萃外带寿司(汉街万达店)</t>
  </si>
  <si>
    <t>秀粤情港式铁板烧(奥山世纪城店)</t>
  </si>
  <si>
    <t>芝士邦恩炭烤肋排Cheese Bangon(...</t>
  </si>
  <si>
    <t>济州烤肉(江夏店)</t>
  </si>
  <si>
    <t>东南亚菜</t>
  </si>
  <si>
    <t>印度玛咖(群星城店)分店</t>
  </si>
  <si>
    <t>俏鲜生自助火锅餐厅(光谷意大利...</t>
  </si>
  <si>
    <t>西安</t>
  </si>
  <si>
    <t>歪的馆子whycoffee</t>
  </si>
  <si>
    <t>冰凌咖啡</t>
  </si>
  <si>
    <t>西安美诺咖啡</t>
  </si>
  <si>
    <t>初代宇治抹茶(熙地港店)</t>
  </si>
  <si>
    <t>Godiva(西安老城根)</t>
  </si>
  <si>
    <t>憩屋洋果子铺</t>
  </si>
  <si>
    <t>丁大房</t>
  </si>
  <si>
    <t>MARRY YOU麦瑞优蛋糕店</t>
  </si>
  <si>
    <t>米旗(李家村店)分店</t>
  </si>
  <si>
    <t>WCAKE白色风车生日蛋糕工坊(大明...</t>
  </si>
  <si>
    <t>集合土锅灶【樱园情农家乐】</t>
  </si>
  <si>
    <t>麦芽糖与花生的故事(回民街店)</t>
  </si>
  <si>
    <t>马老虎炒菜烤鸭店</t>
  </si>
  <si>
    <t>梧桐苑</t>
  </si>
  <si>
    <t>明明大盘鸡</t>
  </si>
  <si>
    <t>顶牛兰州牛肉拉面(高新路店)分店</t>
  </si>
  <si>
    <t>_一碗大块牛肉面</t>
  </si>
  <si>
    <t>老城家面</t>
  </si>
  <si>
    <t>酬勤面道</t>
  </si>
  <si>
    <t>弄</t>
  </si>
  <si>
    <t>赛百味(海洋极地公园店)分店</t>
  </si>
  <si>
    <t>比萨来了(唐延永辉店)</t>
  </si>
  <si>
    <t>小谭川菜</t>
  </si>
  <si>
    <t>川渝炒菜馆</t>
  </si>
  <si>
    <t>渝尚品纸包鱼</t>
  </si>
  <si>
    <t>辣界私房麻辣香锅(总店)</t>
  </si>
  <si>
    <t>关西香辣蟹菜馆(阳光天地店)分店</t>
  </si>
  <si>
    <t>小口福</t>
  </si>
  <si>
    <t>厦门</t>
  </si>
  <si>
    <t>六传屋东京豚骨拉面(骏豪美食汇...</t>
  </si>
  <si>
    <t>烧将居酒屋分店</t>
  </si>
  <si>
    <t>山沽居炉端烧·酒</t>
  </si>
  <si>
    <t>朴大妈韩日料理</t>
  </si>
  <si>
    <t>Clovers创意披萨连锁店(SM二期购...</t>
  </si>
  <si>
    <t>必胜客(城市广场店)分店</t>
  </si>
  <si>
    <t>江畔餐厅</t>
  </si>
  <si>
    <t>南海渔村(环岛东路店)分店</t>
  </si>
  <si>
    <t>宛若庭花</t>
  </si>
  <si>
    <t>花梦蝶</t>
  </si>
  <si>
    <t>x兔(金融中心店)</t>
  </si>
  <si>
    <t>布兰妮咖啡</t>
  </si>
  <si>
    <t>锄膳</t>
  </si>
  <si>
    <t>杨帮煮私厨</t>
  </si>
  <si>
    <t>炸出阁同安香骨鸡腿(明发商业广...</t>
  </si>
  <si>
    <t>夜神仙烧烤(夜神仙烤鱼吧)</t>
  </si>
  <si>
    <t>怪兽兄弟烧烤工厂(厦禾路店)</t>
  </si>
  <si>
    <t>赵大冰(思北店)</t>
  </si>
  <si>
    <t>李布兰格烘焙(厦大西村)分店</t>
  </si>
  <si>
    <t>名柯南炸店鸡腿(乐海店)</t>
  </si>
  <si>
    <t>Hi~饺子(禾祥店)</t>
  </si>
  <si>
    <t>八婆婆(SM城市广场店)</t>
  </si>
  <si>
    <t>真功夫(厦门市高崎国际机场店)</t>
  </si>
  <si>
    <t>樊家唐瓷面(新景店)分店</t>
  </si>
  <si>
    <t>德克士(集美店)</t>
  </si>
  <si>
    <t>徐州</t>
  </si>
  <si>
    <t>彭老头家常菜</t>
  </si>
  <si>
    <t>小胡同精品私房菜</t>
  </si>
  <si>
    <t>爱转角旋转小火锅</t>
  </si>
  <si>
    <t>民主路把子肉(总店)</t>
  </si>
  <si>
    <t>藤州菜煎饼</t>
  </si>
  <si>
    <t>杨铭宇黄焖鸡米饭(高铁店)</t>
  </si>
  <si>
    <t>华莱堡(贾汪新工区店)</t>
  </si>
  <si>
    <t>管记烧腊快餐店</t>
  </si>
  <si>
    <t>友鸭(三中店)</t>
  </si>
  <si>
    <t>木槿花自助烤肉火锅</t>
  </si>
  <si>
    <t>好饭</t>
  </si>
  <si>
    <t>纽约克披萨(世茂店)</t>
  </si>
  <si>
    <t>四川酒家</t>
  </si>
  <si>
    <t>一条古法酸菜鱼(古法酸菜鱼)</t>
  </si>
  <si>
    <t>zoocoffee</t>
  </si>
  <si>
    <t>Caffe Bene 咖啡陪你(万达广场店...</t>
  </si>
  <si>
    <t>圆圆圆大酒店</t>
  </si>
  <si>
    <t>满记甜品(金鹰彭城广场店)分店</t>
  </si>
  <si>
    <t>爱和蛋糕房(华建路店)</t>
  </si>
  <si>
    <t>追茶(煤建路店)</t>
  </si>
  <si>
    <t>雪贝尔蛋糕(白玉兰3店)</t>
  </si>
  <si>
    <t>烟台</t>
  </si>
  <si>
    <t>快乐的鱼</t>
  </si>
  <si>
    <t>重庆纸上烤鱼</t>
  </si>
  <si>
    <t>满香居麻辣香锅</t>
  </si>
  <si>
    <t>天源大酒店</t>
  </si>
  <si>
    <t>三合园饺子馆(二马路店)分店</t>
  </si>
  <si>
    <t>尚德小龙虾</t>
  </si>
  <si>
    <t>祈福阁酒楼</t>
  </si>
  <si>
    <t>希伯仑渔家乐</t>
  </si>
  <si>
    <t>翠峰苑火锅(二马路店)分店</t>
  </si>
  <si>
    <t>君徕品火锅(友谊店)</t>
  </si>
  <si>
    <t>台北大鸡排(大润发店)</t>
  </si>
  <si>
    <t>小吃货脱骨凤爪</t>
  </si>
  <si>
    <t>爱馍说轰炸坊</t>
  </si>
  <si>
    <t>西门外包子铺</t>
  </si>
  <si>
    <t>易食客(佳世客店)</t>
  </si>
  <si>
    <t>华莱士旌旗路店(莱阳旌旗路店)</t>
  </si>
  <si>
    <t>_记涮烤小木屋</t>
  </si>
  <si>
    <t>小火苗烧烤</t>
  </si>
  <si>
    <t>喜旺食品(珠玑金相和超市店)</t>
  </si>
  <si>
    <t>尊王美食城</t>
  </si>
  <si>
    <t>青岛扎啤屋二店(二店)</t>
  </si>
  <si>
    <t>启程烤肉</t>
  </si>
  <si>
    <t>小蒋烧烤火锅</t>
  </si>
  <si>
    <t>必胜客(观海路店)分店</t>
  </si>
  <si>
    <t>巴厘岛中西餐厅</t>
  </si>
  <si>
    <t>LOFT西餐</t>
  </si>
  <si>
    <t>福乐园烘焙(海悦城店)</t>
  </si>
  <si>
    <t>鑫利来蛋糕</t>
  </si>
  <si>
    <t>躔度咖啡馆</t>
  </si>
  <si>
    <t>咖啡之心</t>
  </si>
  <si>
    <t>太平洋咖啡(振华店)分店</t>
  </si>
  <si>
    <t>京味烤鸭店</t>
  </si>
  <si>
    <t>槿花小馆(南洪街店)</t>
  </si>
  <si>
    <t>爱自然韩国料理</t>
  </si>
  <si>
    <t>郑州</t>
  </si>
  <si>
    <t>乡村二号</t>
  </si>
  <si>
    <t>小小饺子家常菜(旗舰店)</t>
  </si>
  <si>
    <t>御味祥道口烧鸡(汝河路店)分店</t>
  </si>
  <si>
    <t>工农兵铁锅炖菜(三全路店)分店</t>
  </si>
  <si>
    <t>豫菜</t>
  </si>
  <si>
    <t>成师傅汴京烤鸭(红专路店)</t>
  </si>
  <si>
    <t>合记(南大街店)分店</t>
  </si>
  <si>
    <t>76人老烩面(农业南路店)分店</t>
  </si>
  <si>
    <t>艾尚小厨</t>
  </si>
  <si>
    <t>西部大盘鸡</t>
  </si>
  <si>
    <t>邓记叫化鸡(长兴路店)分店</t>
  </si>
  <si>
    <t>格尔国际饭店(老郑州烤鸭餐厅)</t>
  </si>
  <si>
    <t>韩舍美食&amp;久靓珍味龙虾</t>
  </si>
  <si>
    <t>湘西土家菜</t>
  </si>
  <si>
    <t>乔家酒楼湘豫美食</t>
  </si>
  <si>
    <t>湖南米粉牛肉面湖南大碗菜(腊梅...</t>
  </si>
  <si>
    <t>韩槿轩炭火休闲烤肉</t>
  </si>
  <si>
    <t>俊熙家(北京华联总店)</t>
  </si>
  <si>
    <t>町上寿司(经五路店)</t>
  </si>
  <si>
    <t>真鱿味铁板烧</t>
  </si>
  <si>
    <t>阿郎大盘鸡(柳西路店)</t>
  </si>
  <si>
    <t>兄弟爆炒大盘鸡</t>
  </si>
  <si>
    <t>刘记烩面大盘鸡</t>
  </si>
  <si>
    <t>豫见新疆传承西域美食</t>
  </si>
  <si>
    <t>三毛烙馍村大盘鸡</t>
  </si>
  <si>
    <t>釜山第一烤场</t>
  </si>
  <si>
    <t>五顺斋清真烤鸭(文化路店)</t>
  </si>
  <si>
    <t>炫启回转自助火锅</t>
  </si>
  <si>
    <t>意品香北京烤鸭</t>
  </si>
  <si>
    <t>郝佬大北京烤鸭</t>
  </si>
  <si>
    <t>舟山味道海鲜馆</t>
  </si>
  <si>
    <t>麻辣壹号</t>
  </si>
  <si>
    <t>西杭轩杭帮菜分店</t>
  </si>
  <si>
    <t>掂档潮汕牛肉火锅(华润万象城店)</t>
  </si>
  <si>
    <t>王婆大虾(五龙口店)</t>
  </si>
  <si>
    <t>金诺郎烧烤涮自助餐厅</t>
  </si>
  <si>
    <t>珠海</t>
  </si>
  <si>
    <t>横琴湾酒店渔港食街</t>
  </si>
  <si>
    <t>长隆企鹅酒店喷泉广场餐厅</t>
  </si>
  <si>
    <t>鲜乐三文鱼</t>
  </si>
  <si>
    <t>坤记多味烤鱼</t>
  </si>
  <si>
    <t>回家湘(横琴店)</t>
  </si>
  <si>
    <t>001印象湘家(香洲店)</t>
  </si>
  <si>
    <t>味之林(沿河路店)分店</t>
  </si>
  <si>
    <t>龙轩怡庭宴会海鲜酒家</t>
  </si>
  <si>
    <t>第壹面(香华分店)</t>
  </si>
  <si>
    <t>芝麻串串香重庆火锅(南屏店)</t>
  </si>
  <si>
    <t>那些年重庆老火锅</t>
  </si>
  <si>
    <t>古琢餐厅(南方软件园店)</t>
  </si>
  <si>
    <t>柒月一_</t>
  </si>
  <si>
    <t>客香园海南椰子鸡餐厅</t>
  </si>
  <si>
    <t>颍川堂客家美食</t>
  </si>
  <si>
    <t>曼岛物语咖啡</t>
  </si>
  <si>
    <t>亲吻榴莲-榴莲研究所(摩尔广场店...</t>
  </si>
  <si>
    <t>源记传承</t>
  </si>
  <si>
    <t>甜品蔡</t>
  </si>
  <si>
    <t>甜蜜蜜糖水</t>
  </si>
  <si>
    <t>Honey Kobo麦佬汇(兰埔总店)分店</t>
  </si>
  <si>
    <t>Resound 皇茶(花花街店)</t>
  </si>
  <si>
    <t>喜凤梨鲜榨果汁(百汇城店)</t>
  </si>
  <si>
    <t>阿2时尚茶饮(凤凰北华海店)分店</t>
  </si>
  <si>
    <t>深蓝金枪</t>
  </si>
  <si>
    <t>大家乐(富绅花园店)分店</t>
  </si>
  <si>
    <t>傻发港式牛_云吞面</t>
  </si>
  <si>
    <t>海象餐厅</t>
  </si>
  <si>
    <t>拾味时光餐厅</t>
  </si>
  <si>
    <t>花溪牛肉粉(柠溪店)</t>
  </si>
  <si>
    <t>东北地区</t>
  </si>
  <si>
    <t>华北地区</t>
  </si>
  <si>
    <t>西北地区</t>
  </si>
  <si>
    <t>华中地区</t>
  </si>
  <si>
    <t>华东地区</t>
  </si>
  <si>
    <t>西南地区</t>
  </si>
  <si>
    <t>华南地区</t>
  </si>
  <si>
    <t>迷你图</t>
  </si>
  <si>
    <t>平均值</t>
  </si>
  <si>
    <t>最大值</t>
  </si>
  <si>
    <t>最小值</t>
  </si>
  <si>
    <t>求和</t>
  </si>
  <si>
    <t>中位数</t>
  </si>
  <si>
    <t>众数</t>
  </si>
  <si>
    <t>(全部)</t>
  </si>
  <si>
    <t>标准偏差项:口味</t>
  </si>
  <si>
    <t>总体方差项:环境</t>
  </si>
  <si>
    <t>总体标准偏差项:服务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</si>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</sst>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</dxfs>
  <tableStyles count="1" defaultTableStyle="TableStyleMedium2" defaultPivotStyle="PivotStyleLight16">
    <tableStyle name="TableStylePreset3_Accent3" pivot="0" count="7" xr9:uid="{4198C2AC-19AE-44E8-8863-95DC21443AF6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[标准文件.xlsx]数据可视!数据透视表1</c:name>
    <c:fmtId val="2"/>
  </c:pivotSource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数据可视!$C$3</c:f>
              <c:strCache>
                <c:ptCount val="1"/>
                <c:pt idx="0">
                  <c:v>标准偏差项:口味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strRef>
              <c:f>数据可视!$B$4:$B$8</c:f>
              <c:strCache>
                <c:ptCount val="4"/>
                <c:pt idx="0">
                  <c:v>华北地区</c:v>
                </c:pt>
                <c:pt idx="1">
                  <c:v>华东地区</c:v>
                </c:pt>
                <c:pt idx="2">
                  <c:v>华南地区</c:v>
                </c:pt>
                <c:pt idx="3">
                  <c:v>华中地区</c:v>
                </c:pt>
              </c:strCache>
            </c:strRef>
          </c:cat>
          <c:val>
            <c:numRef>
              <c:f>数据可视!$C$4:$C$8</c:f>
              <c:numCache>
                <c:formatCode>General</c:formatCode>
                <c:ptCount val="4"/>
                <c:pt idx="0">
                  <c:v>0.629048221496338</c:v>
                </c:pt>
                <c:pt idx="1">
                  <c:v>0.488857325181898</c:v>
                </c:pt>
                <c:pt idx="2">
                  <c:v>0.439524782627518</c:v>
                </c:pt>
                <c:pt idx="3">
                  <c:v>0.517439043486714</c:v>
                </c:pt>
              </c:numCache>
            </c:numRef>
          </c:val>
        </c:ser>
        <c:ser>
          <c:idx val="1"/>
          <c:order val="1"/>
          <c:tx>
            <c:strRef>
              <c:f>数据可视!$D$3</c:f>
              <c:strCache>
                <c:ptCount val="1"/>
                <c:pt idx="0">
                  <c:v>总体方差项:环境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strRef>
              <c:f>数据可视!$B$4:$B$8</c:f>
              <c:strCache>
                <c:ptCount val="4"/>
                <c:pt idx="0">
                  <c:v>华北地区</c:v>
                </c:pt>
                <c:pt idx="1">
                  <c:v>华东地区</c:v>
                </c:pt>
                <c:pt idx="2">
                  <c:v>华南地区</c:v>
                </c:pt>
                <c:pt idx="3">
                  <c:v>华中地区</c:v>
                </c:pt>
              </c:strCache>
            </c:strRef>
          </c:cat>
          <c:val>
            <c:numRef>
              <c:f>数据可视!$D$4:$D$8</c:f>
              <c:numCache>
                <c:formatCode>General</c:formatCode>
                <c:ptCount val="4"/>
                <c:pt idx="0">
                  <c:v>0.459784529921681</c:v>
                </c:pt>
                <c:pt idx="1">
                  <c:v>0.313530003544535</c:v>
                </c:pt>
                <c:pt idx="2">
                  <c:v>0.299396971335924</c:v>
                </c:pt>
                <c:pt idx="3">
                  <c:v>0.244721364883486</c:v>
                </c:pt>
              </c:numCache>
            </c:numRef>
          </c:val>
        </c:ser>
        <c:ser>
          <c:idx val="2"/>
          <c:order val="2"/>
          <c:tx>
            <c:strRef>
              <c:f>数据可视!$E$3</c:f>
              <c:strCache>
                <c:ptCount val="1"/>
                <c:pt idx="0">
                  <c:v>总体标准偏差项:服务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marker>
          <c:dLbls>
            <c:delete val="1"/>
          </c:dLbls>
          <c:cat>
            <c:strRef>
              <c:f>数据可视!$B$4:$B$8</c:f>
              <c:strCache>
                <c:ptCount val="4"/>
                <c:pt idx="0">
                  <c:v>华北地区</c:v>
                </c:pt>
                <c:pt idx="1">
                  <c:v>华东地区</c:v>
                </c:pt>
                <c:pt idx="2">
                  <c:v>华南地区</c:v>
                </c:pt>
                <c:pt idx="3">
                  <c:v>华中地区</c:v>
                </c:pt>
              </c:strCache>
            </c:strRef>
          </c:cat>
          <c:val>
            <c:numRef>
              <c:f>数据可视!$E$4:$E$8</c:f>
              <c:numCache>
                <c:formatCode>General</c:formatCode>
                <c:ptCount val="4"/>
                <c:pt idx="0">
                  <c:v>0.662845147772168</c:v>
                </c:pt>
                <c:pt idx="1">
                  <c:v>0.513904220655672</c:v>
                </c:pt>
                <c:pt idx="2">
                  <c:v>0.489838606548297</c:v>
                </c:pt>
                <c:pt idx="3">
                  <c:v>0.517442666949911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24908"/>
        <c:axId val="114450805"/>
      </c:radarChart>
      <c:catAx>
        <c:axId val="3777249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450805"/>
        <c:crosses val="autoZero"/>
        <c:auto val="1"/>
        <c:lblAlgn val="ctr"/>
        <c:lblOffset val="100"/>
        <c:noMultiLvlLbl val="0"/>
      </c:catAx>
      <c:valAx>
        <c:axId val="1144508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7249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bg1"/>
        </a:soli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396240</xdr:colOff>
      <xdr:row>35</xdr:row>
      <xdr:rowOff>83820</xdr:rowOff>
    </xdr:to>
    <xdr:graphicFrame>
      <xdr:nvGraphicFramePr>
        <xdr:cNvPr id="3" name="图表 2"/>
        <xdr:cNvGraphicFramePr/>
      </xdr:nvGraphicFramePr>
      <xdr:xfrm>
        <a:off x="0" y="0"/>
        <a:ext cx="9311640" cy="6084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4.6745949074" refreshedBy="25472" recordCount="1151">
  <cacheSource type="worksheet">
    <worksheetSource name="数据源"/>
  </cacheSource>
  <cacheFields count="9">
    <cacheField name="城市" numFmtId="0">
      <sharedItems count="42">
        <s v="北京"/>
        <s v="长春"/>
        <s v="长沙"/>
        <s v="成都"/>
        <s v="重庆"/>
        <s v="大连"/>
        <s v="东莞"/>
        <s v="佛山"/>
        <s v="福州"/>
        <s v="广州"/>
        <s v="贵阳"/>
        <s v="哈尔滨"/>
        <s v="海口"/>
        <s v="杭州"/>
        <s v="合肥"/>
        <s v="济南"/>
        <s v="嘉兴"/>
        <s v="昆明"/>
        <s v="兰州"/>
        <s v="南昌"/>
        <s v="南宁"/>
        <s v="南通"/>
        <s v="宁波"/>
        <s v="青岛"/>
        <s v="泉州"/>
        <s v="上海"/>
        <s v="绍兴"/>
        <s v="深圳"/>
        <s v="沈阳"/>
        <s v="石家庄"/>
        <s v="苏州"/>
        <s v="太原"/>
        <s v="天津"/>
        <s v="乌鲁木齐"/>
        <s v="无锡"/>
        <s v="武汉"/>
        <s v="西安"/>
        <s v="厦门"/>
        <s v="徐州"/>
        <s v="烟台"/>
        <s v="郑州"/>
        <s v="珠海"/>
      </sharedItems>
    </cacheField>
    <cacheField name="地区" numFmtId="0">
      <sharedItems count="7">
        <s v="华北地区"/>
        <s v="东北地区"/>
        <s v="华中地区"/>
        <s v="西南地区"/>
        <s v="华南地区"/>
        <s v="华东地区"/>
        <s v="西北地区"/>
      </sharedItems>
    </cacheField>
    <cacheField name="类型" numFmtId="0">
      <sharedItems count="50">
        <s v="私房菜"/>
        <s v="北京菜"/>
        <s v="粤菜"/>
        <s v="粉面馆"/>
        <s v="徽菜"/>
        <s v="咖啡厅"/>
        <s v="新疆菜"/>
        <s v="川菜"/>
        <s v="面馆"/>
        <s v="海鲜"/>
        <s v="火锅"/>
        <s v="小吃快餐"/>
        <s v="韩国料理"/>
        <s v="面包甜点"/>
        <s v="其他"/>
        <s v="西餐"/>
        <s v="串串香"/>
        <s v="自助餐"/>
        <s v="小龙虾"/>
        <s v="日本料理"/>
        <s v="大连海鲜"/>
        <s v="快餐简餐"/>
        <s v="烧烤"/>
        <s v="小吃"/>
        <s v="湘菜"/>
        <s v="茶餐厅"/>
        <s v="贵州菜"/>
        <s v="东北菜"/>
        <s v="海南菜"/>
        <s v="杭帮/江浙菜"/>
        <s v="农家菜"/>
        <s v="江浙菜"/>
        <s v="鲁菜"/>
        <s v="小吃面食"/>
        <s v="云南菜"/>
        <s v="赣菜"/>
        <s v="西北菜"/>
        <s v="米粉/米线"/>
        <s v="闽菜"/>
        <s v="家常菜"/>
        <s v="创意菜"/>
        <s v="台湾菜"/>
        <s v="粥粉面"/>
        <s v="朝韩料理"/>
        <s v="苏州江浙"/>
        <s v="大闸蟹"/>
        <s v="上海江浙"/>
        <s v="无锡江浙"/>
        <s v="东南亚菜"/>
        <s v="豫菜"/>
      </sharedItems>
    </cacheField>
    <cacheField name="店名" numFmtId="0">
      <sharedItems count="1150">
        <s v="梧桐宇私房菜"/>
        <s v="小东北私房菜"/>
        <s v="紫光园(常营店)分店"/>
        <s v="汤城小厨(长楹天街购物中心店)分店"/>
        <s v="德宏记·港式餐厅"/>
        <s v="乌镇会精品酒店文昌阁中餐厅"/>
        <s v="臻味潮汕砂锅粥(田村店)分店"/>
        <s v="香港九道港式茶餐厅(中粮万科长...分店"/>
        <s v="棕色茶餐厅"/>
        <s v="福临门"/>
        <s v="粤色天湘烤鸭家常菜"/>
        <s v="贝尔特西餐厅Pentalounge"/>
        <s v="清真西直门老店拉面馆"/>
        <s v="味千拉面(机场T3店)分店"/>
        <s v="晋爱面全国连锁"/>
        <s v="十七城重庆小面(五道口店)"/>
        <s v="马兰拉面(化工大学分店)分店"/>
        <s v="江君府臭鳜鱼·徽菜(西坝河店)分店"/>
        <s v="1901 Cafe(西四店)"/>
        <s v="沏点咖啡"/>
        <s v="上岛咖啡(芳古园店)分店"/>
        <s v="星巴克(望京新世界店)分店"/>
        <s v="星巴克(丰葆路店)分店"/>
        <s v="YOLO CAKE"/>
        <s v="大漠楼兰新疆美食(牡丹园店)分店"/>
        <s v="西域明远(青年城店)"/>
        <s v="民族餐厅"/>
        <s v="你的心跳酸菜鱼(欧亚新生活)"/>
        <s v="巴渔人家"/>
        <s v="李家小馆(德惠店)"/>
        <s v="_辣坊麻辣香锅烤全鱼"/>
        <s v="川香楼火锅"/>
        <s v="北京麻辣香锅"/>
        <s v="吉妈妈手擀面(一汽高专店)"/>
        <s v="兰州正宗牛肉拉面(飞跃路店)"/>
        <s v="蚝掌柜"/>
        <s v="龙门花甲时尚海鲜"/>
        <s v="海川尚品"/>
        <s v="德羊府老北京羊蝎子火锅(建设街..."/>
        <s v="十一越猪蹄火锅"/>
        <s v="蜀香楼火锅(东风店)分店"/>
        <s v="康二姐(金川街店)"/>
        <s v="鲜入围煮彝乡牛汤火锅"/>
        <s v="将军府火锅"/>
        <s v="四牌楼老北京炭火锅"/>
        <s v="麻辣三国"/>
        <s v="龙祥斑鱼庄"/>
        <s v="福顺德老北京炭火锅"/>
        <s v="老北京碳火锅"/>
        <s v="阿田大虾麻辣火锅店"/>
        <s v="东方饺子王(中东自由大路店)分店"/>
        <s v="喜家德水饺"/>
        <s v="老妈手擀面(人民大街店)分店"/>
        <s v="姐弟俩土豆粉分店"/>
        <s v="派乐汉堡(高新园区店)"/>
        <s v="米家乐粥铺"/>
        <s v="春明风味馆(经开一区店)"/>
        <s v="竹林小木屋"/>
        <s v="韩一馆"/>
        <s v="金子酱汤馆"/>
        <s v="酒窝甜品(德思勤城市广场店)"/>
        <s v="鲜芋仙(步步高梅溪新天地店)"/>
        <s v="1点点(_城_店)"/>
        <s v="罗莎蛋糕(蔡锷北店)分店"/>
        <s v="尚粤粥铺(玛依拉店)"/>
        <s v="花与麋鹿"/>
        <s v="苏菲玛索全球红酒体验中心"/>
        <s v="紫燕百味鸡(桔园店)分店"/>
        <s v="一号锅烤鱼干锅"/>
        <s v="重庆饭店"/>
        <s v="董记老清泉北京涮羊肉(总店)"/>
        <s v="犟娃重庆老火锅"/>
        <s v="虾吃虾涮(王家湾步步高店)分店"/>
        <s v="韩疯味韩式自助烤肉火锅店"/>
        <s v="美丽人生中西餐厅(水晶店)分店"/>
        <s v="MORE· 大客厅"/>
        <s v="星巴克(步步高店)"/>
        <s v="纽约客炸鸡汉堡店(乐和城店)"/>
        <s v="优益沙拉吧"/>
        <s v="吃不胖沙拉(星沙店)"/>
        <s v="哆哆基(宁乡南站店)"/>
        <s v="预见披萨(北盛店)"/>
        <s v="捉鸭记吮指鸭爪爪干锅(奥克斯广..."/>
        <s v="钢管厂五区小郡肝串串香(金沙店)分店"/>
        <s v="何老二冷锅串串分店"/>
        <s v="钢管厂小郡肝串串(郫县中信城店)"/>
        <s v="厕所串串(总店)"/>
        <s v="厕所串串(桂王桥北街店)分店"/>
        <s v="守柴炉北京烤鸭(蜀汉路店)分店"/>
        <s v="茴香记小郡肝砂罐串串"/>
        <s v="八品道_记锅食_(海滨城店)"/>
        <s v="风云堂韩式烤肉(成华店)"/>
        <s v="思密达炭火烤肉(钱江美域店)"/>
        <s v="三国惹火烤肉(海上海店)"/>
        <s v="望江宾馆普吉岛餐厅"/>
        <s v="战旗红火锅自助餐厅"/>
        <s v="鱼跃食光河鲜自助火锅"/>
        <s v="花乡风情苑农家乐(三圣乡店)"/>
        <s v="一糖一会(阳光新业中心店)分店"/>
        <s v="1__(南_帽店)"/>
        <s v="早安巴黎(新世纪环球中心店)分店"/>
        <s v="早安巴黎(万达锦华店)分店"/>
        <s v="大通冰室(大悦城店)分店"/>
        <s v="爱达乐(成都东方广场店)"/>
        <s v="锦城印象火锅酒楼(高新店)分店"/>
        <s v="蛙来哒(金牛万达广场店)分店"/>
        <s v="渝北十碗水老火锅"/>
        <s v="蜀中吴养生板栗鸡(环球中心店)分店"/>
        <s v="泸州酸菜豆花火锅(共和路店)分店"/>
        <s v="廖老四鲜鹅肠火锅(玉林店)"/>
        <s v="有茗塘鱼馆(高升桥店)"/>
        <s v="芭蕉小筑傣味私房菜"/>
        <s v="秦阿哥私房菜馆"/>
        <s v="李掌柜虾楼"/>
        <s v="虾皇(九龙滨江店)"/>
        <s v="盱眙龙虾(龙湖紫都城店)"/>
        <s v="铜锣湾(重庆星光68广场店)分店"/>
        <s v="Restaurant A(蓝湖郡店)分店"/>
        <s v="歌乐山辣子鸡(解放碑店)"/>
        <s v="程大嘴美蛙"/>
        <s v="广潮荟"/>
        <s v="阳光世纪美食广场"/>
        <s v="寿司老爸(亿象城一店)"/>
        <s v="秋水"/>
        <s v="美厨娘铁板烧(铁板套饭)"/>
        <s v="北平楼涮羊肉"/>
        <s v="沧龙火锅"/>
        <s v="久斗生串串老火锅"/>
        <s v="巴山林老火锅(回龙湾直营店)"/>
        <s v="顺水鱼馆＆藕然间(洋河体育场店)分店"/>
        <s v="多喝汤(解放碑英利大融城店)分店"/>
        <s v="游来烤鸭坊"/>
        <s v="Muapizza慕玛披萨(沙坪坝店)"/>
        <s v="轻点沙拉"/>
        <s v="HEA SPOT喜士泊轻食·咖啡餐厅"/>
        <s v="绿色皮卡精酿酒馆(九街店)分店"/>
        <s v="西豪果木牛排"/>
        <s v="懂咖"/>
        <s v="米萝咖啡(合川区店)"/>
        <s v="北京片皮烤鸭"/>
        <s v="北京烤鸭(山东路店)分店"/>
        <s v="水一方现烤鱿鱼丝鱿鱼头鱿鱼片(...分店"/>
        <s v="味道香鸡公煲(三八广场店)"/>
        <s v="鱼城印象炭火烤全鱼(普兰店)"/>
        <s v="不见不散麻辣龙虾"/>
        <s v="喜辣郎巫山传奇土家烤全鱼(旅顺..."/>
        <s v="苏大嘴海鲜牧场(北石道街店)分店"/>
        <s v="会飞的筷子"/>
        <s v="巨无霸海鲜状元楼(太原街店)"/>
        <s v="付家庄小渔村(椒房街店)分店"/>
        <s v="海味当家(山东路店)分店"/>
        <s v="杜记海鲜食府"/>
        <s v="理工小馆"/>
        <s v="广东菜馆"/>
        <s v="李先生牛肉面(和平广场店)分店"/>
        <s v="清香拉面(黑石礁店)"/>
        <s v="毕富肥牛海鲜豆捞(湾家店)分店"/>
        <s v="过锅瘾三汁焖锅(罗斯福店)"/>
        <s v="何鲜菇(八一路店)分店"/>
        <s v="李记铸铁锅炖鱼(胜利路店)"/>
        <s v="Rotiboy(万达虎门店)"/>
        <s v="卡蜜林(凤岗三正财富新地店)分店"/>
        <s v="爱丽丝烘焙生活馆"/>
        <s v="微咖啡(东城石井天骄店)"/>
        <s v="自信的一杯"/>
        <s v="英伦优品(二店)分店"/>
        <s v="潘朵拉·城市行动咖啡店(常平店)"/>
        <s v="85极致咖啡"/>
        <s v="老陕面馆"/>
        <s v="海霸酒楼"/>
        <s v="欧亚国际酒店布拉格西餐厅"/>
        <s v="虎门美思威尔顿酒店(海之光自助..."/>
        <s v="稻城自助火锅城(厦边店)"/>
        <s v="巧阿婆烧汁鸡"/>
        <s v="鲜芋仙(容桂店)"/>
        <s v="妙香居韩国料理(鹏瑞利季华广场..."/>
        <s v="粥家庄(普君店)"/>
        <s v="松阪日本料理"/>
        <s v="金太郎拉面"/>
        <s v="寿司吧"/>
        <s v="The paddy field 田野西餐厅(禅..."/>
        <s v="KAKA CASTLE卡卡松堡"/>
        <s v="蜜思沙拉Miss Salad(创意园店)"/>
        <s v="银太阳(雾岗路店)"/>
        <s v="石湾宾馆爱琴海西餐厅"/>
        <s v="尊享披萨(杏坛店)"/>
        <s v="默"/>
        <s v="洛菲尔面包坊(铂顿城店)"/>
        <s v="初茶(铂顿城店)"/>
        <s v="coco都可茶饮(创意店)"/>
        <s v="仙芋世家(南海广场店)分店"/>
        <s v="探茶(龙江店)"/>
        <s v="小绿柠越南汤粉(丽日广场店)"/>
        <s v="The tipping point Cafe"/>
        <s v="马哥孛罗酒店露天餐吧"/>
        <s v="老表艇仔粥(第一城店)"/>
        <s v="旺角亭"/>
        <s v="我爱我烫麻辣烫"/>
        <s v="不见不膳创意私房菜(东二环泰禾...分店"/>
        <s v="中庚喜来登酒店采悦轩中餐厅"/>
        <s v="创元 · 香港轩"/>
        <s v="半岛翡丽海鲜自助餐厅"/>
        <s v="海通上合自助百汇(五四北泰禾广..."/>
        <s v="漳港海鲜食府"/>
        <s v="达摩食堂(东大路店)"/>
        <s v="欧巴韩国餐厅OppaKorean(学生街..."/>
        <s v="韩悦韩式烤肉(福清万达店)"/>
        <s v="首尔厨房(学生街店)"/>
        <s v="石锅拌饭(东方华庭店)"/>
        <s v="这里有意式料理(东二环泰禾店)分店"/>
        <s v="EO蔬果料理(世欧店)"/>
        <s v="雕刻时光咖啡馆(上三路店)"/>
        <s v="DEC：20西餐厅"/>
        <s v="19番咖啡料理"/>
        <s v="西小游"/>
        <s v="世纪金源大饭店(温泉公园店中餐..."/>
        <s v="金太郎韩式自助烤肉火锅(台江万...分店"/>
        <s v="KOI Thé(福州东百元洪店)"/>
        <s v="贡茶·漾漾好(世欧店)分店"/>
        <s v="85度C(东方店)分店"/>
        <s v="松枝记(三坊七巷店)"/>
        <s v="罗得滋"/>
        <s v="SOLO复合式茶饮(大利嘉店)分店"/>
        <s v="大叔奶茶"/>
        <s v="澜记老香港茶点(黎明店)"/>
        <s v="张阿姨奶茶"/>
        <s v="莲花阁茶艺素食馆"/>
        <s v="羽禾家宴"/>
        <s v="红糖馒头(温泉店)"/>
        <s v="婆一手(万达店)分店"/>
        <s v="外婆家私房菜(大学城店)"/>
        <s v="茶档(花城汇店)"/>
        <s v="赣湘食舫(群众路店)"/>
        <s v="海门鱼仔店(花城宾馆店)"/>
        <s v="悦榕庄(白云旗舰店)分店"/>
        <s v="新泰乐(盘福店)分店"/>
        <s v="大岗仙庙烧鸡(客村店)"/>
        <s v="东山小厨(东山口店)"/>
        <s v="好彩港式茶餐厅(乐峰广场店)分店"/>
        <s v="六三市农家美食村"/>
        <s v="老港茶餐厅(海印又一城店)"/>
        <s v="永隆茶餐厅"/>
        <s v="光禄第"/>
        <s v="泰豪时尚园林餐厅(百花广场店)"/>
        <s v="红棉珍味"/>
        <s v="细工坊(海珠区罗马店)"/>
        <s v="兰州拉面"/>
        <s v="厨房里铁锅卤味(汇金星力城店)"/>
        <s v="树厨地道黔菜餐厅(世纪金源店)"/>
        <s v="杨阿姨丝娃娃店(都司路店)"/>
        <s v="雨田辣子鸡"/>
        <s v="贤来居"/>
        <s v="懒人炒鸡(龙湾国际店)"/>
        <s v="米辣原滋味麻辣香锅(南国花锦店)"/>
        <s v="王记重庆特色纸上烤鱼(公园路店)"/>
        <s v="韩国酵素茶餐厅(美可土廊)"/>
        <s v="兰桂酒楼"/>
        <s v="逍魂炒饭"/>
        <s v="天府棒棒鸡(北京路店)"/>
        <s v="蜂子厨房便当"/>
        <s v="卡米拉雷门拉面馆"/>
        <s v="牛太郎自助烧烤(万宜广场店)"/>
        <s v="斗牛士牛排餐厅(星力银海元隆广...分店"/>
        <s v="龙门花甲"/>
        <s v="四海香馨月海鲜(香坊大街店)分店"/>
        <s v="大理寺过桥米线(霞曼街店)"/>
        <s v="五柒小龙虾"/>
        <s v="串根香麻辣涮(会展店)"/>
        <s v="咖啡卜卜"/>
        <s v="阳光小厨港式餐厅(艺汇家店)"/>
        <s v="大呼啦烤肉(海河东路店)"/>
        <s v="宝宇新悦串场"/>
        <s v="撸串吧"/>
        <s v="阿里巴巴(民生尚都店)"/>
        <s v="大胡子烧烤城(宏伟路店)分店"/>
        <s v="一格烧烤"/>
        <s v="咖喱张的口水小妹(西城红场店)"/>
        <s v="鲜悦寿司"/>
        <s v="一米鸡肉韩国料理(远大购物中心..."/>
        <s v="老朴朝鲜风味(嵩山店)"/>
        <s v="烤肉乐"/>
        <s v="桂萍餐馆"/>
        <s v="高家小院(香坊店)"/>
        <s v="福成厚外婆家江鱼馆(宏伟路店)"/>
        <s v="神农笨锅炖(江南分店)"/>
        <s v="瀚八旗食府(淮河路总店)"/>
        <s v="中来顺回民饭店(农林二道街店)"/>
        <s v="三八饭店分店"/>
        <s v="炭火蛙居(开发区店)"/>
        <s v="朋克家火锅便利餐厅(汉广店)"/>
        <s v="3年6班火锅"/>
        <s v="拾味馆(海甸城店)"/>
        <s v="君晟红茶馆"/>
        <s v="麻辣跳跳香锅"/>
        <s v="逅花园"/>
        <s v="椰子不语(宜欣店)"/>
        <s v="京味小厨 北京涮羊肉"/>
        <s v="六爷烧烤火锅"/>
        <s v="冰火工房(府城店)"/>
        <s v="露莎(得胜沙店)分店"/>
        <s v="张亮麻辣烫(南宝路店)"/>
        <s v="壹指烤吧"/>
        <s v="尚道儿碳烤"/>
        <s v="佳客来牛排专家"/>
        <s v="么二抱罗粉(南宝店)"/>
        <s v="哈根达斯(海口京华城店)分店"/>
        <s v="自游岛小站"/>
        <s v="大叔港式丝袜奶茶"/>
        <s v="陇_烧肉酒场(宜欣店)"/>
        <s v="全手握寿司"/>
        <s v="金百合烤肉"/>
        <s v="Half&amp;Half"/>
        <s v="沿江鸡餐厅"/>
        <s v="兴家盛椰子鸡汤店"/>
        <s v="尚和轩"/>
        <s v="3咖啡"/>
        <s v="龙泉咖啡(大同路店)"/>
        <s v="香港新记茶餐厅(古墩店)分店"/>
        <s v="MyWay麦味餐厅(西溪店)"/>
        <s v="汝拉小镇焰鱼码头餐厅(福堤店)分店"/>
        <s v="新郭记烤鱼(万达店)"/>
        <s v="好巴适川味香锅(富阳店)"/>
        <s v="蛙来哒(中大银泰城店)"/>
        <s v="火红年代"/>
        <s v="湘味观"/>
        <s v="岽阳餐馆(长生路店)分店"/>
        <s v="老头儿油爆虾(姚园寺店)分店"/>
        <s v="雷峰塔·藕香居餐厅"/>
        <s v="绿茶青年中餐厅"/>
        <s v="浙江宾馆中餐厅(花园餐厅、茶吧)分店"/>
        <s v="啪嘭papong龙虾料理(中赢康康谷...广告"/>
        <s v="明洞世家(萧山工人路店)分店"/>
        <s v="拾穗咖啡馆"/>
        <s v="即有咖啡Jooooy Coffee"/>
        <s v="万氏小胖子功夫龙虾"/>
        <s v="微山湖地锅城(琥珀山庄店)"/>
        <s v="乡味小厨"/>
        <s v="润锦大酒店"/>
        <s v="五七油焖大虾"/>
        <s v="紫燕百味鸡(琅琊山店)分店"/>
        <s v="紫燕百味鸡(大通店)分店"/>
        <s v="紫燕百味鸡(淠河路店)分店"/>
        <s v="三味鱼馆"/>
        <s v="银领人家"/>
        <s v="铭家料理"/>
        <s v="仟吉西饼(财富广场店)分店"/>
        <s v="柏兆记(芜湖路店)"/>
        <s v="詹记宫廷桃酥王(淮河路店)分店"/>
        <s v="无敌铁炮"/>
        <s v="老乡鸡(水阳江路店)分店"/>
        <s v="元禧日式料理"/>
        <s v="刘主任秘制牛肉面"/>
        <s v="麻小龙虾"/>
        <s v="桃花洛音乐餐厅"/>
        <s v="九月天(省体店)分店"/>
        <s v="川味家常菜"/>
        <s v="浙江饭庄(渔府饭堂店)"/>
        <s v="高第街56号餐厅(世茂国际广场店)分店"/>
        <s v="小城故事(优品汇奥特莱斯店)分店"/>
        <s v="东北私房菜馆"/>
        <s v="劈柴院(贤文庄店)"/>
        <s v="许记胶东海鲜惠宾楼(许记全羊馆)"/>
        <s v="老根山庄暂停营业"/>
        <s v="小广寒.电影艺术餐厅(经三路店)"/>
        <s v="八不食儒家菜馆(建新路店)"/>
        <s v="加个桌(南辛庄店)分店"/>
        <s v="枣庄庄"/>
        <s v="玛格利塔(文化东路店)"/>
        <s v="美味无穷之宅客披萨"/>
        <s v="文氏湘菜馆(二店)"/>
        <s v="维尼花园咖啡"/>
        <s v="8588咖啡烘焙(南溪店)"/>
        <s v="巴黎·旧时光coffeeshop"/>
        <s v="CC CAFE"/>
        <s v="顺风酸菜鱼馆"/>
        <s v="蜀味园烧鸡公火锅"/>
        <s v="蒸会拼"/>
        <s v="锦堂会所"/>
        <s v="小桥人家川菜杭帮菜主题餐厅"/>
        <s v="又一村酒家"/>
        <s v="盛庭餐厅"/>
        <s v="胖哥俩肉蟹煲(新华北路店)分店"/>
        <s v="国强食府"/>
        <s v="金龙门农家土菜"/>
        <s v="川_火锅(平湖店)"/>
        <s v="魔法帽牛肉和酱料火锅(恒利店)"/>
        <s v="爱林小吃"/>
        <s v="正新鸡排(周王庙4店)"/>
        <s v="鲜聚寿司"/>
        <s v="英尚精致料理铁板烧"/>
        <s v="福建沙县特色小吃(景宜路店)"/>
        <s v="汤臣一品"/>
        <s v="私荟迤萨花园餐厅"/>
        <s v="傣香淳(总店)"/>
        <s v="青于蓝(园西路店)"/>
        <s v="兴朝思茅野菜馆(昌宏路店)"/>
        <s v="川_"/>
        <s v="一品川味苑"/>
        <s v="莱莎公爵泰国海鲜火锅"/>
        <s v="嫡炉火锅(南亚店)"/>
        <s v="读书铺酸笋鸡(滇池路旗舰店)分店"/>
        <s v="老房老舍重庆传统火锅(穿金路店)"/>
        <s v="永昌清真火瓢牛肉分店"/>
        <s v="鼎呱呱老火锅"/>
        <s v="丽江腊排骨(北市区店)"/>
        <s v="韩国纸上烤肉馆"/>
        <s v="东冬炸洋芋"/>
        <s v="必胜客宅急送(霖雨路店)"/>
        <s v="当麦基DMJ萨客思"/>
        <s v="嘉皇披萨"/>
        <s v="痴草沙拉"/>
        <s v="好利来(正义路店)分店"/>
        <s v="嘉华饼屋(云安阳光城店)"/>
        <s v="经贸宾馆鲜花饼"/>
        <s v="嘉华饼屋(东寺街店)"/>
        <s v="罗莎蛋糕(新迎店)分店"/>
        <s v="嘉华饼屋(安康路店)"/>
        <s v="昆明万达文华酒店美食汇自助餐厅"/>
        <s v="素吉祥素食主题餐厅"/>
        <s v="常来尝碗(环城东路店)"/>
        <s v="东方之旅菊花过桥米线"/>
        <s v="洪闸官渡姐妹园(状元路店)"/>
        <s v="北京烤鸭(青年路店)"/>
        <s v="正新鸡排(官渡店)"/>
        <s v="寿司小屋"/>
        <s v="非子书吧"/>
        <s v="尚品黄记煌三汁焖锅(世纪金源店)"/>
        <s v="巳酉丑私人素厨"/>
        <s v="Chapter One"/>
        <s v="食膳酒楼"/>
        <s v="辣界麻辣香锅(大润发店)"/>
        <s v="99烤鱼"/>
        <s v="妈妈小厨"/>
        <s v="回家吃饭"/>
        <s v="肯德基(西津DT店)分店"/>
        <s v="百味集黄焖鸡米饭(兰州店)"/>
        <s v="金强牛肉面(滩尖子店)分店"/>
        <s v="润仟祥黄焖鸡米饭(西北师大店)"/>
        <s v="湘涛萨达姆牛肉面"/>
        <s v="北街口"/>
        <s v="好食多(百安店)"/>
        <s v="东北饺子馆"/>
        <s v="高记铁板烧(甘南路店)"/>
        <s v="赛百味烤坊"/>
        <s v="重庆巴将军自助火锅"/>
        <s v="黄记煌三汁焖锅(甘南路店)分店"/>
        <s v="九月娇时尚海鲜自选火锅超市(雁..."/>
        <s v="清真·杨大师鸭爪爪特色火锅(瑞..."/>
        <s v="嘉福元火锅全天营业(正宁路清真..."/>
        <s v="逸山伍转转火锅(西固店)"/>
        <s v="飘飘鱼仙火锅鱼"/>
        <s v="天怡音乐餐吧"/>
        <s v="北家姓转转小火锅(正宁路店)"/>
        <s v="张掖路甜食店"/>
        <s v="海龙炒面"/>
        <s v="啃我黑鸭(和平镇店)"/>
        <s v="纵横羊肉(铁路局店)"/>
        <s v="6号楼（清真）民族餐厅"/>
        <s v="志斌羊羔肉"/>
        <s v="德克士(红星巷店)分店"/>
        <s v="馨隆海养生茶楼"/>
        <s v="公主家的年糕火锅"/>
        <s v="音桃咖啡"/>
        <s v="花地甜品"/>
        <s v="放下咖啡"/>
        <s v="尝湘思私房菜馆"/>
        <s v="佐佑时尚经典餐厅(莲塘店)分店"/>
        <s v="家常饭(民德路店)分店"/>
        <s v="姐妹家风味馆"/>
        <s v="好滋味烧菜馆"/>
        <s v="紫燕百味鸡(昌盛路店)分店"/>
        <s v="丰城牛杂馆(贵妃龙虾粥城)"/>
        <s v="千味小馆"/>
        <s v="丁桂付绝味龙虾"/>
        <s v="食止冷锅串串香(酷加天虹店)"/>
        <s v="汉丽轩自助烤肉火锅"/>
        <s v="欢辣联盟串串料理"/>
        <s v="好滋味生态旋转小火锅"/>
        <s v="牛太郎时尚自助烧烤"/>
        <s v="牧羊庄烤全羊"/>
        <s v="大娘水饺(万达广场)分店"/>
        <s v="拾光码头(原8号码头系马桩店)分店"/>
        <s v="绝味水煮"/>
        <s v="欧兰朵无国界餐厅"/>
        <s v="奥斯卡比萨(莲塘店)"/>
        <s v="喜茶"/>
        <s v="雪贝尔(洪城店)"/>
        <s v="youyizi优伊滋(老蓝天店)"/>
        <s v="好利来"/>
        <s v="马得利(阳明东路店)"/>
        <s v="奉贤家(奥体天虹店)"/>
        <s v="味千拉面(京东大道店)"/>
        <s v="鑫海盗船龙虾主题欢乐餐厅"/>
        <s v="昌昌烧烤(苏圃路店)"/>
        <s v="聚福海鲜蒸锅(旗舰店)"/>
        <s v="星巴克(恒茂梦时代广场店)分店"/>
        <s v="大胡子拿铁馆"/>
        <s v="韶山冲湘菜馆(民主店)"/>
        <s v="重庆人家"/>
        <s v="鱼影新概念酸菜鱼"/>
        <s v="溪缘里"/>
        <s v="年年不忘中餐厅(航洋国际广场店)"/>
        <s v="来记名点(万象城店)"/>
        <s v="南宁肥仔茶楼(大学路店)分店"/>
        <s v="维多利茶餐厅(望园店)"/>
        <s v="胖巴哥肉蟹煲餐厅(航洋国际广场..."/>
        <s v="灌县老妈砂锅串串(云景店)"/>
        <s v="山盛创作料理(航洋国际广场店)"/>
        <s v="阿桶木(保利店)"/>
        <s v="拾味记全州出榨红油米粉"/>
        <s v="正新鸡排(富德凤凰农贸市场店)"/>
        <s v="苹果阳光寿司店"/>
        <s v="悦膳日本料理"/>
        <s v="爱德华精品咖啡(青秀店)"/>
        <s v="Chanson香颂丨Cafe·Bar"/>
        <s v="欧乐西点披萨"/>
        <s v="水街九记伦教糕店(新印象美食城..."/>
        <s v="范记饼屋(汇东郦城店)分店"/>
        <s v="九度缘(祥宾路店)分店"/>
        <s v="乌玛(亭江店)"/>
        <s v="宜家生活咖啡"/>
        <s v="茶道夫(北湖店)"/>
        <s v="榴芒来了"/>
        <s v="天鹰蒸汽海鲜城(保利店)"/>
        <s v="太平洋咖啡(万象城第一分店)分店"/>
        <s v="鲜蚝汇海鲜烧烤主题餐厅"/>
        <s v="太师烧鸭风味餐厅"/>
        <s v="土豪火锅铁锅门"/>
        <s v="高文达素食餐厅"/>
        <s v="好月缘海鲜鲍翅楼"/>
        <s v="三品王(友爱北店)分店"/>
        <s v="三品王(长岗店)分店"/>
        <s v="九憬私房菜"/>
        <s v="烤鱼堂"/>
        <s v="醉爱酸菜鱼(一店)"/>
        <s v="临家外卖酸菜鱼"/>
        <s v="辣道坊麻辣锅皇"/>
        <s v="炜炜小厨(五一路店)"/>
        <s v="江鲜美食-狼山迎春饭店"/>
        <s v="偶像咖啡(idol coffee)"/>
        <s v="江南厨房(星湖店)"/>
        <s v="沈府酒楼"/>
        <s v="吕老二酒店"/>
        <s v="重庆德庄火锅"/>
        <s v="一品皇记煌三汁焖锅"/>
        <s v="川金楼精致干锅火锅万州烤鱼"/>
        <s v="友达面馆"/>
        <s v="韩国爱_炸鸡"/>
        <s v="遵义羊肉粉"/>
        <s v="包福记牛肉面馆(轻纺城店)分店"/>
        <s v="东北烧烤王(川味干锅)"/>
        <s v="全州拌饭"/>
        <s v="鱼旨寿司(环球银泰城店)"/>
        <s v="掌柜家的猫"/>
        <s v="秋田家(箕漕街店)分店"/>
        <s v="南苑环球酒店云庭下午茶餐厅"/>
        <s v="寻味鲜_海鲜"/>
        <s v="福润德海鲜大排档"/>
        <s v="渝味晓宇火锅"/>
        <s v="汤岛涮(西子国际店)"/>
        <s v="记忆重庆火锅"/>
        <s v="重庆金秋老火锅(高凤路店)"/>
        <s v="幺妹时尚自助火锅"/>
        <s v="Vivapolo(来福士广场店)分店广告"/>
        <s v="米有沙拉(镇海新城店)"/>
        <s v="必胜客(城隍庙店)分店"/>
        <s v="澳洲肉派"/>
        <s v="意_意大利风情休闲餐吧(黄金海...分店"/>
        <s v="汉堡王子(宝善店)"/>
        <s v="阿兰碧卡"/>
        <s v="宁波柏悦酒店-悦轩餐厅"/>
        <s v="达蓬山大酒店中餐厅"/>
        <s v="鄞州天港禧悦酒店浩全日餐厅"/>
        <s v="华侨豪生西餐厅"/>
        <s v="重庆818自助火锅(徐家漕店)分店"/>
        <s v="觅物甜品哲学(港隆广场店)"/>
        <s v="糖纸甜品(银泰城店)分店"/>
        <s v="可莎蜜_(万科广场店)"/>
        <s v="四云奶盖贡茶(世纪东方广场店)分店"/>
        <s v="大通冰室(轻纺城洛兹店)"/>
        <s v="麦棵丰老香港手工蛋糕(鼓楼二店)"/>
        <s v="Kuma island"/>
        <s v="大长今中韩料理"/>
        <s v="松枝记(李村步行街店)"/>
        <s v="元祖食品(辽宁路店)分店"/>
        <s v="仙芋世家(丽达店)分店"/>
        <s v="松枝记(李村小吃街总店)"/>
        <s v="苏记炒酸奶"/>
        <s v="coco都可茶饮(长江利群店)"/>
        <s v="鸭仙芝烤鸭"/>
        <s v="清真海鲜菜馆"/>
        <s v="福榕菜馆"/>
        <s v="大潘石榴汁"/>
        <s v="竹香园铁锅炖"/>
        <s v="燕凤楼"/>
        <s v="睿佰味肘子砂锅"/>
        <s v="海祺商务酒店田园餐厅"/>
        <s v="悦顺菜馆"/>
        <s v="尚品小土屋涮毛肚(东方城店)"/>
        <s v="渔_传奇云南原生态石锅鱼"/>
        <s v="彤德莱火锅(胶南人民路店)分店"/>
        <s v="钱钱家原桥底烧烤馄饨"/>
        <s v="野百合蒙古烤羊腿"/>
        <s v="东北串王(黄浦江路分店)分店"/>
        <s v="海之家特色饭店"/>
        <s v="金氏石板烤肉(澳门路店)"/>
        <s v="酷猫烤鱼(东海店)"/>
        <s v="罗记烤全鱼"/>
        <s v="仁风·烤鱼烤海鲜(温陵北路店)"/>
        <s v="老四川石锅鱼(泉港山腰店)"/>
        <s v="麻辣鲜捞"/>
        <s v="金芳阁美食馆"/>
        <s v="泉商希尔顿酒店"/>
        <s v="宝石湾海鲜馆"/>
        <s v="富临茶餐厅"/>
        <s v="胖哥俩肉蟹煲(泉州浦西万达店)"/>
        <s v="正宗台湾盐酥鸡专卖店(大润发店)"/>
        <s v="比哥鸡排"/>
        <s v="一休站美食店(大润发店)"/>
        <s v="新义隆烤肉王(水头总店)"/>
        <s v="湖心街夜市烧烤"/>
        <s v="酒乐日本料理(南俊店)分店"/>
        <s v="必胜客(天山店)"/>
        <s v="icome手握披萨"/>
        <s v="潘达芝士挞(万达店)"/>
        <s v="放牛斑(江声店)分店"/>
        <s v="爷茶"/>
        <s v="张姐烤肉拌饭脆皮鸡饭(泉州总店)"/>
        <s v="随适咖啡(西湖店)"/>
        <s v="每天咖啡"/>
        <s v="0595香辣虾"/>
        <s v="转转乐涮涮锅(中闽新华店)"/>
        <s v="大宅门老北京铜锅涮肉"/>
        <s v="山里人家"/>
        <s v="九鼎煌鲜牛肉火锅城(安溪店)"/>
        <s v="康庄满煎糕店"/>
        <s v="来二两重庆小面"/>
        <s v="桥亭活鱼小镇(东海店)"/>
        <s v="湘赢映湘红"/>
        <s v="椿福川湘楼"/>
        <s v="阿琴家常菜"/>
        <s v="同乐家常菜(白玉路店)"/>
        <s v="宏泰祥生煎馆(梅川店)"/>
        <s v="宝燕海货工场三店蒸汽海鲜(大宁...分店"/>
        <s v="宝燕壹号海鲜餐厅(民生路店)分店"/>
        <s v="海尚蒸(富荟广场店)"/>
        <s v="随缘蒸汽海鲜坊"/>
        <s v="尚滋味我家酸菜鱼(月浦店)"/>
        <s v="八面玲珑龙虾坊(仓场路店)分店"/>
        <s v="老于家东北人家(徐家汇店)分店"/>
        <s v="翠花老菜饺子馆(七宝店)分店"/>
        <s v="东北筋饼骨头王(科苑路店)"/>
        <s v="哈尔滨风味饺子馆"/>
        <s v="黄焖鸡米饭(秋竹路店)"/>
        <s v="重庆鸡公煲"/>
        <s v="宋记香辣蟹(七宝万科广场店)分店"/>
        <s v="归蜀第成都串串料理(万科海上传...分店"/>
        <s v="青花椒砂锅鱼(开元地中海店)分店"/>
        <s v="鱼蛙岛淘虾"/>
        <s v="味道江湖(泗泾店)"/>
        <s v="本清素我家酸菜鱼(顾村店)分店"/>
        <s v="湘会楼(鲁迅西路店)"/>
        <s v="大树龙虾馆"/>
        <s v="老屋川菜(新昌店)"/>
        <s v="黑皮酸菜鱼"/>
        <s v="炉鱼(绍兴汇金广场店)"/>
        <s v="好味觉&amp;彩虹站(世茂百盛店)"/>
        <s v="郑文琪龙虾盖浇饭(世贸店)"/>
        <s v="和平饭店"/>
        <s v="313羊庄(绍兴店)"/>
        <s v="酸菜鱼馆"/>
        <s v="魔法帽牛肉和酱料火锅(大唐大润..."/>
        <s v="巴食火锅(笛扬路店)"/>
        <s v="古炉火锅-老成都(柯桥店)"/>
        <s v="海派牛鼎记"/>
        <s v="鼎鼎"/>
        <s v="西嘉士"/>
        <s v="CoCo都可(绍兴银泰城店)"/>
        <s v="漫时光·私房蛋糕"/>
        <s v="鱼姐姐私房蛋糕"/>
        <s v="DQ(汇金店)分店"/>
        <s v="麦香城食品"/>
        <s v="DQ(雄风新天地店)"/>
        <s v="资溪面包(江东店)分店"/>
        <s v="易烤易锅海鲜·烤肉·火锅自助"/>
        <s v="帕米尔餐厅"/>
        <s v="阿嬷泡芙(绍兴店)"/>
        <s v="兄妹煲仔饭(永兴店)分店"/>
        <s v="绝味鸭脖(华汇广场西店)分店"/>
        <s v="咭味哆(沥海店)"/>
        <s v="咭味哆(斗门店)"/>
        <s v="荷香记川式私房菜"/>
        <s v="如意农家菜"/>
        <s v="成记小厨(大芬店)"/>
        <s v="辣家私厨(华强北店)分店"/>
        <s v="兄弟龙虾馆"/>
        <s v="麻辣鲜虾"/>
        <s v="贪吃一品小龙虾"/>
        <s v="潮梅里卤鹅"/>
        <s v="新仙清汤腩(太古城店)分店"/>
        <s v="渔记餐厅广告"/>
        <s v="坝光_蟹(福田店)"/>
        <s v="东临金厨"/>
        <s v="皇潮食府"/>
        <s v="品正品茶餐厅(三联路店)分店"/>
        <s v="吃道@2047港式餐厅(丹桂路店)"/>
        <s v="好江南茶餐厅"/>
        <s v="小龙虾大闸蟹"/>
        <s v="茶语餐厅(沙井京基百纳广场店)"/>
        <s v="哈尔滨东北菜"/>
        <s v="金手勺东北菜馆"/>
        <s v="鸡煲王"/>
        <s v="东北铁锅炖"/>
        <s v="天鹅饺子馆"/>
        <s v="红荔村肠粉(卓越时代广场店)分店"/>
        <s v="四方面庄(常兴二店)分店"/>
        <s v="包粥稻(车公庙店)"/>
        <s v="巴依的小羊歌舞餐厅(九方购物中..."/>
        <s v="韩国N2U熨斗烤肉(中街店)"/>
        <s v="巴蜀烤鱼(太原街万达店)分店"/>
        <s v="斗牛家烧烤(首府店)"/>
        <s v="韩嘴水煎肉分店"/>
        <s v="老灶台全季火锅(太原街店)"/>
        <s v="羊羊羊老北京铜火锅"/>
        <s v="朋友的火锅店(苏家屯店)"/>
        <s v="巴适串串香"/>
        <s v="那些年云南生态菌类火锅店"/>
        <s v="巴鼎红重庆老火锅"/>
        <s v="大联渔港"/>
        <s v="水手海鲜菜馆"/>
        <s v="韩乐道海鲜烤肉店"/>
        <s v="虾蛙传奇"/>
        <s v="彤德莱火锅(淘乐新天地店)分店"/>
        <s v="天天海鲜人家"/>
        <s v="金岸海鲜饺子"/>
        <s v="奇遇烹鱼小馆"/>
        <s v="689炸鸡海鲜码面(西塔店)分店"/>
        <s v="快乐咖啡"/>
        <s v="瑞咖啡"/>
        <s v="遇咖啡馆"/>
        <s v="缤果咖啡简餐"/>
        <s v="你的故事主题咖啡馆"/>
        <s v="藤崎寿司(合作街店)"/>
        <s v="味千拉面(兴隆大都汇店)"/>
        <s v="派食鲜精致寿司"/>
        <s v="丰元永和豆腐坊(宁山东路店)分店"/>
        <s v="钱宝儿创意寿司(大东店)"/>
        <s v="金家烤鳗鱼分店"/>
        <s v="东北饺子馆(恒州南街店)"/>
        <s v="六车间主题餐厅"/>
        <s v="牧人手扒羊肉"/>
        <s v="沧州火锅鸡"/>
        <s v="巴派锅里捞火锅店"/>
        <s v="椒麻铜锅鸡"/>
        <s v="聚胜涮园"/>
        <s v="继福园羊蝎子火锅"/>
        <s v="湘村柴火鱼"/>
        <s v="容而煎饼道(万达步行街店)"/>
        <s v="喜识嘎嘣脆抹茶炒酸奶(中华北店)分店"/>
        <s v="过桥米线(范光胡同)"/>
        <s v="小磊铁锅焖面"/>
        <s v="脆皮烤猪蹄(怀特店)"/>
        <s v="周大嘴黑鸭(新石南店)"/>
        <s v="膨膨冰(万达旗舰店)"/>
        <s v="好望角蛋糕屋"/>
        <s v="modia摩点"/>
        <s v="纽罗宾"/>
        <s v="米莎贝尔(卓达书香店)分店"/>
        <s v="世纪大饭店三特美食屋"/>
        <s v="玛仕德甜甜圈(益友百货店)"/>
        <s v="泰国榴莲酥"/>
        <s v="纷享时光休闲餐厅"/>
        <s v="清真楼"/>
        <s v="张府私房菜"/>
        <s v="盱眙好兄弟龙虾"/>
        <s v="京东夜宵龙虾烧烤"/>
        <s v="苏园广式茶餐厅"/>
        <s v="京粤汇"/>
        <s v="老苏州大客堂·特色小吃(山塘街...分店广告"/>
        <s v="新梅华·四季厨房(四季厨房)分店"/>
        <s v="苏洪妹阿婆家时尚餐厅(百盛店)"/>
        <s v="湖碟轩·私厨坊"/>
        <s v="盘韵阁私房菜"/>
        <s v="老土灶"/>
        <s v="三千粉牛肉米粉(圆融星座店)分店"/>
        <s v="小琳蟹庄"/>
        <s v="小陆莲花蟹园农家乐(莲花岛店)"/>
        <s v="阳澄湖莲花岛江南蟹阁"/>
        <s v="澳港城海鲜自助餐厅(昆山店)"/>
        <s v="盱眙兄弟龙虾"/>
        <s v="龙门花甲(石浦店)"/>
        <s v="牛蛙君炭烧牛蛙锅(方塔街店)"/>
        <s v="渔上签 烤鱼·烧烤·川菜音乐餐..."/>
        <s v="笔杆青极品杠子面分店"/>
        <s v="钦味面馆"/>
        <s v="同得兴精品面馆(十全街店)分店"/>
        <s v="东吴面馆(南施街店)"/>
        <s v="土财土菜"/>
        <s v="重庆小面(柳南店)"/>
        <s v="茗品食府"/>
        <s v="龙茶坊皇后大道"/>
        <s v="大塞北(杏花岭店)"/>
        <s v="麦当劳(太原朝阳街店)分店"/>
        <s v="王先生煎饼店"/>
        <s v="小皇牛筋头巴脑(大同路店)"/>
        <s v="西来顺"/>
        <s v="湘尚粉馆"/>
        <s v="串串叔叔(五一广场店)分店"/>
        <s v="金绣源粥品专家(翊粥店)分店"/>
        <s v="胡同(和信店)"/>
        <s v="六味斋(高新店)分店"/>
        <s v="土大力(茂业天地店)"/>
        <s v="五福西点"/>
        <s v="谷田记"/>
        <s v="摩提工房(铜锣湾国际店)分店"/>
        <s v="贝客新语面包烘培(长风西街店)"/>
        <s v="提拉米酥"/>
        <s v="皖湘情"/>
        <s v="阿瓦山寨(兴华店)"/>
        <s v="必胜客宅急送(府西店)"/>
        <s v="丹尼斯披萨"/>
        <s v="认一力(桥头街总店)"/>
        <s v="大哥家(佳地花园店)"/>
        <s v="风车之家西餐(金元宝东方广场店)"/>
        <s v="必胜宅急送(光明道店)"/>
        <s v="团泊湖温泉酒店(自助餐厅)"/>
        <s v="沪上阿姨(熙悦汇店)"/>
        <s v="好利来(白堤路店)分店"/>
        <s v="多乐之日(天津万达店)"/>
        <s v="杜夫朗格蛋糕"/>
        <s v="起士林(鞍山西道店)"/>
        <s v="梁子刨冰王(王顶堤商业中心店)分店"/>
        <s v="百姓生活菜馆"/>
        <s v="7咖啡sevennotes coffee"/>
        <s v="OAA·并不是咖啡馆"/>
        <s v="咖啡印记主题馆"/>
        <s v="麦咖啡(创意大厦店)分店"/>
        <s v="外院咖啡"/>
        <s v="大吉利潮汕牛肉火锅(南开店)分店"/>
        <s v="有料儿铜锅(王府壹号店)分店"/>
        <s v="王牌大虾(二马路店)"/>
        <s v="沸洋洋自助火锅(缤纷购物广场店)"/>
        <s v="恩福来涮羊肉清真(南开大学店)"/>
        <s v="宝莱纳里士满西餐酒吧"/>
        <s v="徽湘印巷(西康路店)"/>
        <s v="玲玲美食府"/>
        <s v="鑫悦鹏饭庄"/>
        <s v="彤德莱(小站物美超市店)"/>
        <s v="幸助_屋"/>
        <s v="宝寿司(北辰店)"/>
        <s v="鸟亭"/>
        <s v="大__拉面分店"/>
        <s v="小魏铁板烧"/>
        <s v="鸡铁日本料理"/>
        <s v="一线天烤鸭私房菜"/>
        <s v="重庆万州烤鱼"/>
        <s v="老掌柜分店"/>
        <s v="老院子铁锅芦花鸡(总店)"/>
        <s v="浙江嘉兴饭店(开发区店)"/>
        <s v="回府君悦无烟酒自助火锅"/>
        <s v="好彩_骨鱼火锅(第一分店·王家..."/>
        <s v="一号桥自助火锅"/>
        <s v="香之源时尚烧烤火锅自助"/>
        <s v="__肉饼"/>
        <s v="马三元牛肉拉面(红山店)"/>
        <s v="啊臻味道米粉"/>
        <s v="曾记烤鸭脖(万达店)"/>
        <s v="ROGERS_格斯美国炸薯条(欧乐星..."/>
        <s v="胖嫂卤肉专卖店"/>
        <s v="085早晚八点半(宝山路店)"/>
        <s v="邱家唐老鸭擀面皮"/>
        <s v="德克士(机场店)分店"/>
        <s v="正新鸡排(小西沟家乐福店)"/>
        <s v="尕骏儿农家饭馆"/>
        <s v="三合烤铺"/>
        <s v="金爱尚韩国芝士年糕自助"/>
        <s v="阿里郎韩国特色小吃"/>
        <s v="新语咖啡"/>
        <s v="比萨大帝(领馆巷店)"/>
        <s v="海尔巴格餐饮美都(摩洛哥咖啡厅)"/>
        <s v="金权道自助烧烤海鲜火锅【清真】"/>
        <s v="好日子自助烤吧-清真(和平桥店)"/>
        <s v="麻辣世家自助火锅"/>
        <s v="苹果之父风情音乐餐厅"/>
        <s v="大掌柜芦花鸡主题餐厅"/>
        <s v="大碗厨烤鸭"/>
        <s v="孙家村海鲜酒楼"/>
        <s v="蜜果蜜制鲜饮"/>
        <s v="马来拜拉条子(南湖店)"/>
        <s v="尕盼舍餐饮连锁(总店)"/>
        <s v="吾饮良品(万达广场店)"/>
        <s v="南贝儿西饼"/>
        <s v="小荣包龙虾工厂店·至尊全虾宴"/>
        <s v="兄弟龙虾"/>
        <s v="高家庄龙虾馆"/>
        <s v="洪泽湖大闸蟹"/>
        <s v="李师傅私房菜"/>
        <s v="庆合私房菜馆"/>
        <s v="_府一号"/>
        <s v="银丝面馆(人民路店)"/>
        <s v="王家老太镇江锅盖面(健康路店)"/>
        <s v="富祥春面馆(新区百盛店)"/>
        <s v="状元府捞面(三阳地铁店)"/>
        <s v="烤鸭面饭店(安镇店)"/>
        <s v="清真兰州拉面"/>
        <s v="重庆地瓜老火锅"/>
        <s v="醉渝味(钱桥晴山蓝城店)"/>
        <s v="北平往事火锅(红豆万花城店)"/>
        <s v="难得老鹅汤"/>
        <s v="老成都火锅(康桥丽景店)"/>
        <s v="金三峡火锅店"/>
        <s v="拳师料理"/>
        <s v="N多寿司(茂业店)"/>
        <s v="金年任石锅拌饭年糕火锅韩国料理..."/>
        <s v="景福宫(江阴店)"/>
        <s v="喜来稀肉(无锡T12店)"/>
        <s v="必胜客(江阴万达店)分店"/>
        <s v="香达克汉堡"/>
        <s v="汉堡王(苏南硕放国际机场店)"/>
        <s v="FRESH FORMULA+"/>
        <s v="大船格餐厅"/>
        <s v="虾蛙约会(新之城广场店)"/>
        <s v="妖怪美食(湖滨店)"/>
        <s v="五丰食府（原五丰烤鸭馆）(锡城..."/>
        <s v="开元精舍酒店"/>
        <s v="段氏龙虾(长江路店)"/>
        <s v="一代天椒广告"/>
        <s v="老房子(春江花月店)"/>
        <s v="热火朝天麻辣香锅(银泰百货店)"/>
        <s v="秦见面(中南店)"/>
        <s v="私厨捞面(积玉桥店)分店"/>
        <s v="新农村儒家牛肉(南国西汇城市广...分店"/>
        <s v="江北牛肉粉"/>
        <s v="uka 巴士车咖啡店"/>
        <s v="隆盛全简餐厅"/>
        <s v="科林伍德咖啡吧"/>
        <s v="爷爷土钵菜(光谷天地二期店)"/>
        <s v="彭厨(南湖店)"/>
        <s v="姜辣坊"/>
        <s v="乡里人湘菜馆"/>
        <s v="快乐人家"/>
        <s v="9020时尚餐厅"/>
        <s v="金楚轩时尚餐厅"/>
        <s v="优仙美地茶餐厅"/>
        <s v="一品粥道(汉西店)分店暂停营业"/>
        <s v="吾锅料理重庆牛油火锅(武汉荟聚..."/>
        <s v="重庆光富火锅(吉庆街店)"/>
        <s v="Fancy福喜轩韩式碳烤(万达广场店..."/>
        <s v="武汉张鲜记海鲜火锅"/>
        <s v="玉林串串香(司门口店)分店"/>
        <s v="九牛一锅(顺道街店)"/>
        <s v="四川乐山开心麻辣烫"/>
        <s v="爱尚潮牛(万达广场店)"/>
        <s v="凯威食享家(建设大道汉口店)分店"/>
        <s v="北京东来顺(沌口分店)分店"/>
        <s v="德派自助烤肉火锅店"/>
        <s v="飚锅砂锅串串·成都火锅(经开万..."/>
        <s v="小月靓虾(创业路金融街店)分店"/>
        <s v="老万泡菜虾"/>
        <s v="广记海鲜烧烤"/>
        <s v="我家鱼馆"/>
        <s v="二胖烧烤(湖大店)分店"/>
        <s v="齐天大肾烤吧"/>
        <s v="尚槿韩式烤肉(泛海城市广场店)分店"/>
        <s v="老街烧烤(循礼门店)"/>
        <s v="品得海鲜自助火锅烤肉"/>
        <s v="小胡子烧烤"/>
        <s v="大菊铁板烧(凯德西城店)"/>
        <s v="井_日膳(汉阳人信汇店)分店"/>
        <s v="芙蓉咔滋 Katsu House(群星城店)"/>
        <s v="y-sushi精致日式料理(万隆广场店..."/>
        <s v="鲜品萃外带寿司(汉街万达店)"/>
        <s v="秀粤情港式铁板烧(奥山世纪城店)"/>
        <s v="芝士邦恩炭烤肋排Cheese Bangon(..."/>
        <s v="济州烤肉(江夏店)"/>
        <s v="印度玛咖(群星城店)分店"/>
        <s v="俏鲜生自助火锅餐厅(光谷意大利..."/>
        <s v="歪的馆子whycoffee"/>
        <s v="冰凌咖啡"/>
        <s v="西安美诺咖啡"/>
        <s v="初代宇治抹茶(熙地港店)"/>
        <s v="Godiva(西安老城根)"/>
        <s v="憩屋洋果子铺"/>
        <s v="丁大房"/>
        <s v="MARRY YOU麦瑞优蛋糕店"/>
        <s v="米旗(李家村店)分店"/>
        <s v="WCAKE白色风车生日蛋糕工坊(大明..."/>
        <s v="集合土锅灶【樱园情农家乐】"/>
        <s v="麦芽糖与花生的故事(回民街店)"/>
        <s v="马老虎炒菜烤鸭店"/>
        <s v="梧桐苑"/>
        <s v="明明大盘鸡"/>
        <s v="顶牛兰州牛肉拉面(高新路店)分店"/>
        <s v="_一碗大块牛肉面"/>
        <s v="老城家面"/>
        <s v="酬勤面道"/>
        <s v="弄"/>
        <s v="赛百味(海洋极地公园店)分店"/>
        <s v="比萨来了(唐延永辉店)"/>
        <s v="小谭川菜"/>
        <s v="川渝炒菜馆"/>
        <s v="渝尚品纸包鱼"/>
        <s v="辣界私房麻辣香锅(总店)"/>
        <s v="关西香辣蟹菜馆(阳光天地店)分店"/>
        <s v="小口福"/>
        <s v="六传屋东京豚骨拉面(骏豪美食汇..."/>
        <s v="烧将居酒屋分店"/>
        <s v="山沽居炉端烧·酒"/>
        <s v="朴大妈韩日料理"/>
        <s v="Clovers创意披萨连锁店(SM二期购..."/>
        <s v="必胜客(城市广场店)分店"/>
        <s v="江畔餐厅"/>
        <s v="南海渔村(环岛东路店)分店"/>
        <s v="宛若庭花"/>
        <s v="花梦蝶"/>
        <s v="x兔(金融中心店)"/>
        <s v="布兰妮咖啡"/>
        <s v="锄膳"/>
        <s v="杨帮煮私厨"/>
        <s v="炸出阁同安香骨鸡腿(明发商业广..."/>
        <s v="夜神仙烧烤(夜神仙烤鱼吧)"/>
        <s v="怪兽兄弟烧烤工厂(厦禾路店)"/>
        <s v="赵大冰(思北店)"/>
        <s v="李布兰格烘焙(厦大西村)分店"/>
        <s v="名柯南炸店鸡腿(乐海店)"/>
        <s v="Hi~饺子(禾祥店)"/>
        <s v="八婆婆(SM城市广场店)"/>
        <s v="真功夫(厦门市高崎国际机场店)"/>
        <s v="樊家唐瓷面(新景店)分店"/>
        <s v="德克士(集美店)"/>
        <s v="彭老头家常菜"/>
        <s v="小胡同精品私房菜"/>
        <s v="爱转角旋转小火锅"/>
        <s v="民主路把子肉(总店)"/>
        <s v="藤州菜煎饼"/>
        <s v="杨铭宇黄焖鸡米饭(高铁店)"/>
        <s v="华莱堡(贾汪新工区店)"/>
        <s v="管记烧腊快餐店"/>
        <s v="友鸭(三中店)"/>
        <s v="木槿花自助烤肉火锅"/>
        <s v="好饭"/>
        <s v="纽约克披萨(世茂店)"/>
        <s v="四川酒家"/>
        <s v="一条古法酸菜鱼(古法酸菜鱼)"/>
        <s v="zoocoffee"/>
        <s v="Caffe Bene 咖啡陪你(万达广场店..."/>
        <s v="圆圆圆大酒店"/>
        <s v="满记甜品(金鹰彭城广场店)分店"/>
        <s v="爱和蛋糕房(华建路店)"/>
        <s v="追茶(煤建路店)"/>
        <s v="雪贝尔蛋糕(白玉兰3店)"/>
        <s v="快乐的鱼"/>
        <s v="重庆纸上烤鱼"/>
        <s v="满香居麻辣香锅"/>
        <s v="天源大酒店"/>
        <s v="三合园饺子馆(二马路店)分店"/>
        <s v="尚德小龙虾"/>
        <s v="祈福阁酒楼"/>
        <s v="希伯仑渔家乐"/>
        <s v="翠峰苑火锅(二马路店)分店"/>
        <s v="君徕品火锅(友谊店)"/>
        <s v="台北大鸡排(大润发店)"/>
        <s v="小吃货脱骨凤爪"/>
        <s v="爱馍说轰炸坊"/>
        <s v="西门外包子铺"/>
        <s v="易食客(佳世客店)"/>
        <s v="华莱士旌旗路店(莱阳旌旗路店)"/>
        <s v="_记涮烤小木屋"/>
        <s v="小火苗烧烤"/>
        <s v="喜旺食品(珠玑金相和超市店)"/>
        <s v="尊王美食城"/>
        <s v="青岛扎啤屋二店(二店)"/>
        <s v="启程烤肉"/>
        <s v="小蒋烧烤火锅"/>
        <s v="必胜客(观海路店)分店"/>
        <s v="巴厘岛中西餐厅"/>
        <s v="LOFT西餐"/>
        <s v="福乐园烘焙(海悦城店)"/>
        <s v="鑫利来蛋糕"/>
        <s v="躔度咖啡馆"/>
        <s v="咖啡之心"/>
        <s v="太平洋咖啡(振华店)分店"/>
        <s v="京味烤鸭店"/>
        <s v="槿花小馆(南洪街店)"/>
        <s v="爱自然韩国料理"/>
        <s v="乡村二号"/>
        <s v="小小饺子家常菜(旗舰店)"/>
        <s v="御味祥道口烧鸡(汝河路店)分店"/>
        <s v="工农兵铁锅炖菜(三全路店)分店"/>
        <s v="成师傅汴京烤鸭(红专路店)"/>
        <s v="合记(南大街店)分店"/>
        <s v="76人老烩面(农业南路店)分店"/>
        <s v="艾尚小厨"/>
        <s v="西部大盘鸡"/>
        <s v="邓记叫化鸡(长兴路店)分店"/>
        <s v="格尔国际饭店(老郑州烤鸭餐厅)"/>
        <s v="韩舍美食&amp;久靓珍味龙虾"/>
        <s v="湘西土家菜"/>
        <s v="乔家酒楼湘豫美食"/>
        <s v="湖南米粉牛肉面湖南大碗菜(腊梅..."/>
        <s v="韩槿轩炭火休闲烤肉"/>
        <s v="俊熙家(北京华联总店)"/>
        <s v="町上寿司(经五路店)"/>
        <s v="真鱿味铁板烧"/>
        <s v="阿郎大盘鸡(柳西路店)"/>
        <s v="兄弟爆炒大盘鸡"/>
        <s v="刘记烩面大盘鸡"/>
        <s v="豫见新疆传承西域美食"/>
        <s v="三毛烙馍村大盘鸡"/>
        <s v="釜山第一烤场"/>
        <s v="五顺斋清真烤鸭(文化路店)"/>
        <s v="炫启回转自助火锅"/>
        <s v="意品香北京烤鸭"/>
        <s v="郝佬大北京烤鸭"/>
        <s v="舟山味道海鲜馆"/>
        <s v="麻辣壹号"/>
        <s v="西杭轩杭帮菜分店"/>
        <s v="掂档潮汕牛肉火锅(华润万象城店)"/>
        <s v="王婆大虾(五龙口店)"/>
        <s v="金诺郎烧烤涮自助餐厅"/>
        <s v="横琴湾酒店渔港食街"/>
        <s v="长隆企鹅酒店喷泉广场餐厅"/>
        <s v="鲜乐三文鱼"/>
        <s v="坤记多味烤鱼"/>
        <s v="回家湘(横琴店)"/>
        <s v="001印象湘家(香洲店)"/>
        <s v="味之林(沿河路店)分店"/>
        <s v="龙轩怡庭宴会海鲜酒家"/>
        <s v="第壹面(香华分店)"/>
        <s v="芝麻串串香重庆火锅(南屏店)"/>
        <s v="那些年重庆老火锅"/>
        <s v="古琢餐厅(南方软件园店)"/>
        <s v="柒月一_"/>
        <s v="客香园海南椰子鸡餐厅"/>
        <s v="颍川堂客家美食"/>
        <s v="曼岛物语咖啡"/>
        <s v="亲吻榴莲-榴莲研究所(摩尔广场店..."/>
        <s v="源记传承"/>
        <s v="甜品蔡"/>
        <s v="甜蜜蜜糖水"/>
        <s v="Honey Kobo麦佬汇(兰埔总店)分店"/>
        <s v="Resound 皇茶(花花街店)"/>
        <s v="喜凤梨鲜榨果汁(百汇城店)"/>
        <s v="阿2时尚茶饮(凤凰北华海店)分店"/>
        <s v="深蓝金枪"/>
        <s v="大家乐(富绅花园店)分店"/>
        <s v="傻发港式牛_云吞面"/>
        <s v="海象餐厅"/>
        <s v="拾味时光餐厅"/>
        <s v="花溪牛肉粉(柠溪店)"/>
      </sharedItems>
    </cacheField>
    <cacheField name="点评" numFmtId="0">
      <sharedItems containsSemiMixedTypes="0" containsString="0" containsNumber="1" containsInteger="1" minValue="1" maxValue="7691" count="336">
        <n v="45"/>
        <n v="1"/>
        <n v="4420"/>
        <n v="6081"/>
        <n v="611"/>
        <n v="178"/>
        <n v="145"/>
        <n v="819"/>
        <n v="13"/>
        <n v="68"/>
        <n v="305"/>
        <n v="48"/>
        <n v="347"/>
        <n v="22"/>
        <n v="69"/>
        <n v="761"/>
        <n v="646"/>
        <n v="37"/>
        <n v="1481"/>
        <n v="446"/>
        <n v="483"/>
        <n v="263"/>
        <n v="82"/>
        <n v="255"/>
        <n v="1242"/>
        <n v="81"/>
        <n v="30"/>
        <n v="47"/>
        <n v="661"/>
        <n v="5"/>
        <n v="4"/>
        <n v="3"/>
        <n v="12"/>
        <n v="10"/>
        <n v="351"/>
        <n v="162"/>
        <n v="250"/>
        <n v="31"/>
        <n v="52"/>
        <n v="18"/>
        <n v="19"/>
        <n v="24"/>
        <n v="283"/>
        <n v="27"/>
        <n v="108"/>
        <n v="143"/>
        <n v="175"/>
        <n v="89"/>
        <n v="266"/>
        <n v="39"/>
        <n v="2"/>
        <n v="17"/>
        <n v="211"/>
        <n v="415"/>
        <n v="67"/>
        <n v="129"/>
        <n v="21"/>
        <n v="365"/>
        <n v="15"/>
        <n v="6"/>
        <n v="95"/>
        <n v="70"/>
        <n v="51"/>
        <n v="423"/>
        <n v="43"/>
        <n v="55"/>
        <n v="536"/>
        <n v="11"/>
        <n v="35"/>
        <n v="53"/>
        <n v="137"/>
        <n v="28"/>
        <n v="7"/>
        <n v="763"/>
        <n v="394"/>
        <n v="1298"/>
        <n v="1453"/>
        <n v="300"/>
        <n v="97"/>
        <n v="1445"/>
        <n v="514"/>
        <n v="286"/>
        <n v="2130"/>
        <n v="577"/>
        <n v="381"/>
        <n v="476"/>
        <n v="299"/>
        <n v="73"/>
        <n v="370"/>
        <n v="58"/>
        <n v="371"/>
        <n v="71"/>
        <n v="205"/>
        <n v="127"/>
        <n v="136"/>
        <n v="26"/>
        <n v="77"/>
        <n v="5829"/>
        <n v="537"/>
        <n v="25"/>
        <n v="85"/>
        <n v="460"/>
        <n v="36"/>
        <n v="9"/>
        <n v="1474"/>
        <n v="111"/>
        <n v="2215"/>
        <n v="163"/>
        <n v="288"/>
        <n v="122"/>
        <n v="561"/>
        <n v="32"/>
        <n v="258"/>
        <n v="439"/>
        <n v="99"/>
        <n v="230"/>
        <n v="8"/>
        <n v="2097"/>
        <n v="259"/>
        <n v="212"/>
        <n v="135"/>
        <n v="578"/>
        <n v="228"/>
        <n v="167"/>
        <n v="59"/>
        <n v="20"/>
        <n v="29"/>
        <n v="242"/>
        <n v="16"/>
        <n v="102"/>
        <n v="4938"/>
        <n v="285"/>
        <n v="44"/>
        <n v="237"/>
        <n v="275"/>
        <n v="218"/>
        <n v="671"/>
        <n v="165"/>
        <n v="60"/>
        <n v="88"/>
        <n v="54"/>
        <n v="93"/>
        <n v="3414"/>
        <n v="4039"/>
        <n v="1251"/>
        <n v="525"/>
        <n v="5311"/>
        <n v="311"/>
        <n v="74"/>
        <n v="14"/>
        <n v="512"/>
        <n v="61"/>
        <n v="364"/>
        <n v="197"/>
        <n v="112"/>
        <n v="57"/>
        <n v="119"/>
        <n v="110"/>
        <n v="179"/>
        <n v="340"/>
        <n v="140"/>
        <n v="38"/>
        <n v="41"/>
        <n v="56"/>
        <n v="72"/>
        <n v="155"/>
        <n v="100"/>
        <n v="1694"/>
        <n v="23"/>
        <n v="1779"/>
        <n v="435"/>
        <n v="3635"/>
        <n v="2494"/>
        <n v="118"/>
        <n v="743"/>
        <n v="315"/>
        <n v="589"/>
        <n v="34"/>
        <n v="256"/>
        <n v="478"/>
        <n v="90"/>
        <n v="149"/>
        <n v="312"/>
        <n v="328"/>
        <n v="414"/>
        <n v="674"/>
        <n v="608"/>
        <n v="822"/>
        <n v="210"/>
        <n v="992"/>
        <n v="98"/>
        <n v="332"/>
        <n v="168"/>
        <n v="104"/>
        <n v="551"/>
        <n v="215"/>
        <n v="86"/>
        <n v="40"/>
        <n v="353"/>
        <n v="80"/>
        <n v="107"/>
        <n v="126"/>
        <n v="128"/>
        <n v="214"/>
        <n v="199"/>
        <n v="160"/>
        <n v="262"/>
        <n v="4514"/>
        <n v="731"/>
        <n v="297"/>
        <n v="336"/>
        <n v="154"/>
        <n v="153"/>
        <n v="454"/>
        <n v="273"/>
        <n v="42"/>
        <n v="87"/>
        <n v="628"/>
        <n v="451"/>
        <n v="75"/>
        <n v="643"/>
        <n v="631"/>
        <n v="1142"/>
        <n v="62"/>
        <n v="861"/>
        <n v="196"/>
        <n v="46"/>
        <n v="138"/>
        <n v="557"/>
        <n v="202"/>
        <n v="33"/>
        <n v="354"/>
        <n v="66"/>
        <n v="84"/>
        <n v="531"/>
        <n v="272"/>
        <n v="682"/>
        <n v="2463"/>
        <n v="2970"/>
        <n v="79"/>
        <n v="207"/>
        <n v="254"/>
        <n v="391"/>
        <n v="109"/>
        <n v="560"/>
        <n v="417"/>
        <n v="489"/>
        <n v="2321"/>
        <n v="264"/>
        <n v="1725"/>
        <n v="239"/>
        <n v="788"/>
        <n v="123"/>
        <n v="252"/>
        <n v="287"/>
        <n v="105"/>
        <n v="366"/>
        <n v="65"/>
        <n v="83"/>
        <n v="50"/>
        <n v="466"/>
        <n v="1015"/>
        <n v="198"/>
        <n v="64"/>
        <n v="764"/>
        <n v="159"/>
        <n v="556"/>
        <n v="157"/>
        <n v="209"/>
        <n v="352"/>
        <n v="681"/>
        <n v="1637"/>
        <n v="333"/>
        <n v="183"/>
        <n v="295"/>
        <n v="348"/>
        <n v="96"/>
        <n v="2965"/>
        <n v="144"/>
        <n v="291"/>
        <n v="181"/>
        <n v="363"/>
        <n v="591"/>
        <n v="133"/>
        <n v="569"/>
        <n v="7691"/>
        <n v="502"/>
        <n v="375"/>
        <n v="658"/>
        <n v="141"/>
        <n v="121"/>
        <n v="390"/>
        <n v="268"/>
        <n v="1141"/>
        <n v="830"/>
        <n v="437"/>
        <n v="434"/>
        <n v="3078"/>
        <n v="63"/>
        <n v="158"/>
        <n v="223"/>
        <n v="161"/>
        <n v="232"/>
        <n v="1370"/>
        <n v="606"/>
        <n v="164"/>
        <n v="1661"/>
        <n v="2375"/>
        <n v="492"/>
        <n v="980"/>
        <n v="1083"/>
        <n v="1128"/>
        <n v="405"/>
        <n v="900"/>
        <n v="101"/>
        <n v="184"/>
        <n v="759"/>
        <n v="91"/>
        <n v="115"/>
        <n v="182"/>
        <n v="134"/>
        <n v="729"/>
        <n v="248"/>
        <n v="49"/>
        <n v="373"/>
        <n v="701"/>
        <n v="572"/>
        <n v="192"/>
        <n v="403"/>
        <n v="176"/>
        <n v="346"/>
        <n v="231"/>
        <n v="150"/>
        <n v="177"/>
        <n v="92"/>
        <n v="320"/>
      </sharedItems>
    </cacheField>
    <cacheField name="人均" numFmtId="0">
      <sharedItems containsSemiMixedTypes="0" containsString="0" containsNumber="1" containsInteger="1" minValue="3" maxValue="462" count="164">
        <n v="80"/>
        <n v="35"/>
        <n v="74"/>
        <n v="89"/>
        <n v="78"/>
        <n v="129"/>
        <n v="65"/>
        <n v="67"/>
        <n v="68"/>
        <n v="177"/>
        <n v="125"/>
        <n v="84"/>
        <n v="31"/>
        <n v="50"/>
        <n v="24"/>
        <n v="25"/>
        <n v="69"/>
        <n v="56"/>
        <n v="59"/>
        <n v="39"/>
        <n v="41"/>
        <n v="62"/>
        <n v="46"/>
        <n v="64"/>
        <n v="30"/>
        <n v="10"/>
        <n v="15"/>
        <n v="13"/>
        <n v="20"/>
        <n v="27"/>
        <n v="38"/>
        <n v="82"/>
        <n v="37"/>
        <n v="73"/>
        <n v="53"/>
        <n v="33"/>
        <n v="32"/>
        <n v="44"/>
        <n v="23"/>
        <n v="49"/>
        <n v="29"/>
        <n v="45"/>
        <n v="19"/>
        <n v="66"/>
        <n v="100"/>
        <n v="21"/>
        <n v="70"/>
        <n v="75"/>
        <n v="40"/>
        <n v="36"/>
        <n v="58"/>
        <n v="47"/>
        <n v="51"/>
        <n v="48"/>
        <n v="71"/>
        <n v="120"/>
        <n v="14"/>
        <n v="16"/>
        <n v="101"/>
        <n v="79"/>
        <n v="112"/>
        <n v="119"/>
        <n v="87"/>
        <n v="108"/>
        <n v="168"/>
        <n v="85"/>
        <n v="121"/>
        <n v="60"/>
        <n v="76"/>
        <n v="54"/>
        <n v="149"/>
        <n v="42"/>
        <n v="114"/>
        <n v="139"/>
        <n v="26"/>
        <n v="77"/>
        <n v="88"/>
        <n v="22"/>
        <n v="145"/>
        <n v="195"/>
        <n v="34"/>
        <n v="63"/>
        <n v="93"/>
        <n v="18"/>
        <n v="17"/>
        <n v="128"/>
        <n v="229"/>
        <n v="462"/>
        <n v="157"/>
        <n v="94"/>
        <n v="28"/>
        <n v="176"/>
        <n v="287"/>
        <n v="81"/>
        <n v="3"/>
        <n v="99"/>
        <n v="86"/>
        <n v="12"/>
        <n v="11"/>
        <n v="90"/>
        <n v="43"/>
        <n v="122"/>
        <n v="52"/>
        <n v="109"/>
        <n v="55"/>
        <n v="57"/>
        <n v="92"/>
        <n v="61"/>
        <n v="142"/>
        <n v="111"/>
        <n v="373"/>
        <n v="130"/>
        <n v="364"/>
        <n v="72"/>
        <n v="127"/>
        <n v="107"/>
        <n v="4"/>
        <n v="194"/>
        <n v="9"/>
        <n v="7"/>
        <n v="83"/>
        <n v="250"/>
        <n v="97"/>
        <n v="115"/>
        <n v="8"/>
        <n v="106"/>
        <n v="297"/>
        <n v="146"/>
        <n v="289"/>
        <n v="181"/>
        <n v="196"/>
        <n v="240"/>
        <n v="357"/>
        <n v="255"/>
        <n v="105"/>
        <n v="256"/>
        <n v="218"/>
        <n v="140"/>
        <n v="173"/>
        <n v="116"/>
        <n v="98"/>
        <n v="102"/>
        <n v="91"/>
        <n v="96"/>
        <n v="118"/>
        <n v="251"/>
        <n v="138"/>
        <n v="150"/>
        <n v="153"/>
        <n v="6"/>
        <n v="202"/>
        <n v="174"/>
        <n v="148"/>
        <n v="126"/>
        <n v="271"/>
        <n v="104"/>
        <n v="208"/>
        <n v="95"/>
        <n v="135"/>
        <n v="161"/>
        <n v="113"/>
        <n v="141"/>
        <n v="200"/>
        <n v="152"/>
      </sharedItems>
    </cacheField>
    <cacheField name="口味" numFmtId="0">
      <sharedItems containsSemiMixedTypes="0" containsString="0" containsNumber="1" minValue="6.2" maxValue="9.2" count="31">
        <n v="7.3"/>
        <n v="6.9"/>
        <n v="8.9"/>
        <n v="8.5"/>
        <n v="8"/>
        <n v="8.8"/>
        <n v="8.2"/>
        <n v="7.8"/>
        <n v="7.4"/>
        <n v="6.7"/>
        <n v="7.1"/>
        <n v="7.5"/>
        <n v="8.1"/>
        <n v="7.6"/>
        <n v="7.2"/>
        <n v="9"/>
        <n v="7.7"/>
        <n v="7.9"/>
        <n v="7"/>
        <n v="6.5"/>
        <n v="8.7"/>
        <n v="8.4"/>
        <n v="8.6"/>
        <n v="6.3"/>
        <n v="8.3"/>
        <n v="6.8"/>
        <n v="9.1"/>
        <n v="9.2"/>
        <n v="6.2"/>
        <n v="6.4"/>
        <n v="6.6"/>
      </sharedItems>
    </cacheField>
    <cacheField name="环境" numFmtId="0">
      <sharedItems containsSemiMixedTypes="0" containsString="0" containsNumber="1" minValue="5.7" maxValue="9.3" count="33">
        <n v="7.3"/>
        <n v="6.9"/>
        <n v="8.5"/>
        <n v="8.8"/>
        <n v="9.1"/>
        <n v="8.3"/>
        <n v="7.4"/>
        <n v="7.9"/>
        <n v="7"/>
        <n v="6.8"/>
        <n v="7.1"/>
        <n v="8"/>
        <n v="8.6"/>
        <n v="8.2"/>
        <n v="7.7"/>
        <n v="8.1"/>
        <n v="7.2"/>
        <n v="8.4"/>
        <n v="7.5"/>
        <n v="7.8"/>
        <n v="7.6"/>
        <n v="6.5"/>
        <n v="6.7"/>
        <n v="6.3"/>
        <n v="6.2"/>
        <n v="6.6"/>
        <n v="8.7"/>
        <n v="9.2"/>
        <n v="9"/>
        <n v="5.7"/>
        <n v="6.4"/>
        <n v="8.9"/>
        <n v="9.3"/>
      </sharedItems>
    </cacheField>
    <cacheField name="服务" numFmtId="0">
      <sharedItems containsSemiMixedTypes="0" containsString="0" containsNumber="1" minValue="5.8" maxValue="9.2" count="33">
        <n v="7.1"/>
        <n v="6.9"/>
        <n v="8.3"/>
        <n v="8.6"/>
        <n v="7.8"/>
        <n v="8.9"/>
        <n v="7.9"/>
        <n v="8.2"/>
        <n v="7.5"/>
        <n v="6.7"/>
        <n v="7"/>
        <n v="7.6"/>
        <n v="6.5"/>
        <n v="6.8"/>
        <n v="7.7"/>
        <n v="9.2"/>
        <n v="8.1"/>
        <n v="8"/>
        <n v="7.3"/>
        <n v="7.2"/>
        <n v="9"/>
        <n v="7.4"/>
        <n v="6.6"/>
        <n v="6.4"/>
        <n v="8.5"/>
        <n v="8.4"/>
        <n v="8.7"/>
        <n v="9.1"/>
        <n v="5.8"/>
        <n v="6.2"/>
        <n v="6.1"/>
        <n v="8.8"/>
        <n v="6.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1">
  <r>
    <x v="0"/>
    <x v="0"/>
    <x v="0"/>
    <x v="0"/>
    <x v="0"/>
    <x v="0"/>
    <x v="0"/>
    <x v="0"/>
    <x v="0"/>
  </r>
  <r>
    <x v="0"/>
    <x v="0"/>
    <x v="0"/>
    <x v="1"/>
    <x v="1"/>
    <x v="1"/>
    <x v="1"/>
    <x v="1"/>
    <x v="1"/>
  </r>
  <r>
    <x v="0"/>
    <x v="0"/>
    <x v="1"/>
    <x v="2"/>
    <x v="2"/>
    <x v="2"/>
    <x v="2"/>
    <x v="2"/>
    <x v="2"/>
  </r>
  <r>
    <x v="0"/>
    <x v="0"/>
    <x v="2"/>
    <x v="3"/>
    <x v="3"/>
    <x v="3"/>
    <x v="3"/>
    <x v="3"/>
    <x v="3"/>
  </r>
  <r>
    <x v="0"/>
    <x v="0"/>
    <x v="2"/>
    <x v="4"/>
    <x v="4"/>
    <x v="4"/>
    <x v="4"/>
    <x v="3"/>
    <x v="4"/>
  </r>
  <r>
    <x v="0"/>
    <x v="0"/>
    <x v="2"/>
    <x v="5"/>
    <x v="5"/>
    <x v="5"/>
    <x v="5"/>
    <x v="4"/>
    <x v="5"/>
  </r>
  <r>
    <x v="0"/>
    <x v="0"/>
    <x v="2"/>
    <x v="6"/>
    <x v="6"/>
    <x v="6"/>
    <x v="6"/>
    <x v="5"/>
    <x v="6"/>
  </r>
  <r>
    <x v="0"/>
    <x v="0"/>
    <x v="2"/>
    <x v="7"/>
    <x v="7"/>
    <x v="7"/>
    <x v="7"/>
    <x v="2"/>
    <x v="7"/>
  </r>
  <r>
    <x v="0"/>
    <x v="0"/>
    <x v="2"/>
    <x v="8"/>
    <x v="8"/>
    <x v="8"/>
    <x v="8"/>
    <x v="6"/>
    <x v="8"/>
  </r>
  <r>
    <x v="0"/>
    <x v="0"/>
    <x v="2"/>
    <x v="9"/>
    <x v="9"/>
    <x v="9"/>
    <x v="9"/>
    <x v="1"/>
    <x v="9"/>
  </r>
  <r>
    <x v="0"/>
    <x v="0"/>
    <x v="2"/>
    <x v="10"/>
    <x v="10"/>
    <x v="10"/>
    <x v="10"/>
    <x v="0"/>
    <x v="10"/>
  </r>
  <r>
    <x v="0"/>
    <x v="0"/>
    <x v="3"/>
    <x v="11"/>
    <x v="11"/>
    <x v="11"/>
    <x v="11"/>
    <x v="7"/>
    <x v="11"/>
  </r>
  <r>
    <x v="0"/>
    <x v="0"/>
    <x v="3"/>
    <x v="12"/>
    <x v="12"/>
    <x v="12"/>
    <x v="12"/>
    <x v="8"/>
    <x v="0"/>
  </r>
  <r>
    <x v="0"/>
    <x v="0"/>
    <x v="3"/>
    <x v="13"/>
    <x v="13"/>
    <x v="13"/>
    <x v="9"/>
    <x v="9"/>
    <x v="12"/>
  </r>
  <r>
    <x v="0"/>
    <x v="0"/>
    <x v="3"/>
    <x v="14"/>
    <x v="14"/>
    <x v="14"/>
    <x v="13"/>
    <x v="10"/>
    <x v="13"/>
  </r>
  <r>
    <x v="0"/>
    <x v="0"/>
    <x v="3"/>
    <x v="15"/>
    <x v="15"/>
    <x v="15"/>
    <x v="14"/>
    <x v="10"/>
    <x v="13"/>
  </r>
  <r>
    <x v="0"/>
    <x v="0"/>
    <x v="3"/>
    <x v="16"/>
    <x v="16"/>
    <x v="15"/>
    <x v="0"/>
    <x v="6"/>
    <x v="0"/>
  </r>
  <r>
    <x v="0"/>
    <x v="0"/>
    <x v="4"/>
    <x v="17"/>
    <x v="17"/>
    <x v="3"/>
    <x v="8"/>
    <x v="11"/>
    <x v="14"/>
  </r>
  <r>
    <x v="0"/>
    <x v="0"/>
    <x v="5"/>
    <x v="18"/>
    <x v="18"/>
    <x v="16"/>
    <x v="11"/>
    <x v="12"/>
    <x v="4"/>
  </r>
  <r>
    <x v="0"/>
    <x v="0"/>
    <x v="5"/>
    <x v="19"/>
    <x v="19"/>
    <x v="17"/>
    <x v="15"/>
    <x v="4"/>
    <x v="15"/>
  </r>
  <r>
    <x v="0"/>
    <x v="0"/>
    <x v="5"/>
    <x v="20"/>
    <x v="20"/>
    <x v="18"/>
    <x v="6"/>
    <x v="13"/>
    <x v="16"/>
  </r>
  <r>
    <x v="0"/>
    <x v="0"/>
    <x v="5"/>
    <x v="21"/>
    <x v="21"/>
    <x v="19"/>
    <x v="12"/>
    <x v="14"/>
    <x v="11"/>
  </r>
  <r>
    <x v="0"/>
    <x v="0"/>
    <x v="5"/>
    <x v="22"/>
    <x v="22"/>
    <x v="20"/>
    <x v="4"/>
    <x v="15"/>
    <x v="8"/>
  </r>
  <r>
    <x v="0"/>
    <x v="0"/>
    <x v="5"/>
    <x v="23"/>
    <x v="23"/>
    <x v="21"/>
    <x v="16"/>
    <x v="11"/>
    <x v="17"/>
  </r>
  <r>
    <x v="0"/>
    <x v="0"/>
    <x v="6"/>
    <x v="24"/>
    <x v="24"/>
    <x v="21"/>
    <x v="15"/>
    <x v="4"/>
    <x v="15"/>
  </r>
  <r>
    <x v="0"/>
    <x v="0"/>
    <x v="6"/>
    <x v="25"/>
    <x v="25"/>
    <x v="22"/>
    <x v="8"/>
    <x v="16"/>
    <x v="18"/>
  </r>
  <r>
    <x v="0"/>
    <x v="0"/>
    <x v="6"/>
    <x v="26"/>
    <x v="26"/>
    <x v="20"/>
    <x v="10"/>
    <x v="1"/>
    <x v="10"/>
  </r>
  <r>
    <x v="1"/>
    <x v="1"/>
    <x v="7"/>
    <x v="27"/>
    <x v="27"/>
    <x v="20"/>
    <x v="6"/>
    <x v="17"/>
    <x v="3"/>
  </r>
  <r>
    <x v="1"/>
    <x v="1"/>
    <x v="7"/>
    <x v="28"/>
    <x v="28"/>
    <x v="13"/>
    <x v="17"/>
    <x v="14"/>
    <x v="8"/>
  </r>
  <r>
    <x v="1"/>
    <x v="1"/>
    <x v="7"/>
    <x v="29"/>
    <x v="29"/>
    <x v="23"/>
    <x v="11"/>
    <x v="18"/>
    <x v="8"/>
  </r>
  <r>
    <x v="1"/>
    <x v="1"/>
    <x v="7"/>
    <x v="30"/>
    <x v="1"/>
    <x v="24"/>
    <x v="10"/>
    <x v="9"/>
    <x v="13"/>
  </r>
  <r>
    <x v="1"/>
    <x v="1"/>
    <x v="7"/>
    <x v="31"/>
    <x v="30"/>
    <x v="24"/>
    <x v="18"/>
    <x v="8"/>
    <x v="10"/>
  </r>
  <r>
    <x v="1"/>
    <x v="1"/>
    <x v="7"/>
    <x v="32"/>
    <x v="1"/>
    <x v="25"/>
    <x v="18"/>
    <x v="1"/>
    <x v="1"/>
  </r>
  <r>
    <x v="1"/>
    <x v="1"/>
    <x v="8"/>
    <x v="33"/>
    <x v="31"/>
    <x v="26"/>
    <x v="11"/>
    <x v="18"/>
    <x v="8"/>
  </r>
  <r>
    <x v="1"/>
    <x v="1"/>
    <x v="8"/>
    <x v="34"/>
    <x v="31"/>
    <x v="27"/>
    <x v="18"/>
    <x v="8"/>
    <x v="0"/>
  </r>
  <r>
    <x v="1"/>
    <x v="1"/>
    <x v="9"/>
    <x v="35"/>
    <x v="32"/>
    <x v="17"/>
    <x v="8"/>
    <x v="16"/>
    <x v="19"/>
  </r>
  <r>
    <x v="1"/>
    <x v="1"/>
    <x v="9"/>
    <x v="36"/>
    <x v="33"/>
    <x v="28"/>
    <x v="11"/>
    <x v="0"/>
    <x v="8"/>
  </r>
  <r>
    <x v="1"/>
    <x v="1"/>
    <x v="9"/>
    <x v="37"/>
    <x v="31"/>
    <x v="29"/>
    <x v="1"/>
    <x v="1"/>
    <x v="1"/>
  </r>
  <r>
    <x v="1"/>
    <x v="1"/>
    <x v="10"/>
    <x v="38"/>
    <x v="34"/>
    <x v="7"/>
    <x v="15"/>
    <x v="4"/>
    <x v="20"/>
  </r>
  <r>
    <x v="1"/>
    <x v="1"/>
    <x v="10"/>
    <x v="39"/>
    <x v="35"/>
    <x v="30"/>
    <x v="3"/>
    <x v="15"/>
    <x v="3"/>
  </r>
  <r>
    <x v="1"/>
    <x v="1"/>
    <x v="10"/>
    <x v="40"/>
    <x v="10"/>
    <x v="16"/>
    <x v="12"/>
    <x v="13"/>
    <x v="4"/>
  </r>
  <r>
    <x v="1"/>
    <x v="1"/>
    <x v="10"/>
    <x v="41"/>
    <x v="36"/>
    <x v="16"/>
    <x v="4"/>
    <x v="19"/>
    <x v="4"/>
  </r>
  <r>
    <x v="1"/>
    <x v="1"/>
    <x v="10"/>
    <x v="42"/>
    <x v="37"/>
    <x v="31"/>
    <x v="16"/>
    <x v="17"/>
    <x v="7"/>
  </r>
  <r>
    <x v="1"/>
    <x v="1"/>
    <x v="10"/>
    <x v="43"/>
    <x v="13"/>
    <x v="32"/>
    <x v="11"/>
    <x v="20"/>
    <x v="17"/>
  </r>
  <r>
    <x v="1"/>
    <x v="1"/>
    <x v="10"/>
    <x v="44"/>
    <x v="38"/>
    <x v="33"/>
    <x v="13"/>
    <x v="18"/>
    <x v="11"/>
  </r>
  <r>
    <x v="1"/>
    <x v="1"/>
    <x v="10"/>
    <x v="45"/>
    <x v="30"/>
    <x v="32"/>
    <x v="19"/>
    <x v="21"/>
    <x v="12"/>
  </r>
  <r>
    <x v="1"/>
    <x v="1"/>
    <x v="10"/>
    <x v="46"/>
    <x v="8"/>
    <x v="13"/>
    <x v="11"/>
    <x v="0"/>
    <x v="8"/>
  </r>
  <r>
    <x v="1"/>
    <x v="1"/>
    <x v="10"/>
    <x v="47"/>
    <x v="39"/>
    <x v="34"/>
    <x v="8"/>
    <x v="6"/>
    <x v="21"/>
  </r>
  <r>
    <x v="1"/>
    <x v="1"/>
    <x v="10"/>
    <x v="48"/>
    <x v="40"/>
    <x v="13"/>
    <x v="14"/>
    <x v="16"/>
    <x v="18"/>
  </r>
  <r>
    <x v="1"/>
    <x v="1"/>
    <x v="10"/>
    <x v="49"/>
    <x v="41"/>
    <x v="19"/>
    <x v="0"/>
    <x v="0"/>
    <x v="8"/>
  </r>
  <r>
    <x v="1"/>
    <x v="1"/>
    <x v="11"/>
    <x v="50"/>
    <x v="42"/>
    <x v="35"/>
    <x v="16"/>
    <x v="19"/>
    <x v="21"/>
  </r>
  <r>
    <x v="1"/>
    <x v="1"/>
    <x v="11"/>
    <x v="51"/>
    <x v="43"/>
    <x v="36"/>
    <x v="8"/>
    <x v="16"/>
    <x v="21"/>
  </r>
  <r>
    <x v="1"/>
    <x v="1"/>
    <x v="11"/>
    <x v="52"/>
    <x v="35"/>
    <x v="37"/>
    <x v="14"/>
    <x v="22"/>
    <x v="9"/>
  </r>
  <r>
    <x v="1"/>
    <x v="1"/>
    <x v="11"/>
    <x v="53"/>
    <x v="13"/>
    <x v="26"/>
    <x v="8"/>
    <x v="6"/>
    <x v="21"/>
  </r>
  <r>
    <x v="1"/>
    <x v="1"/>
    <x v="11"/>
    <x v="54"/>
    <x v="1"/>
    <x v="26"/>
    <x v="8"/>
    <x v="6"/>
    <x v="21"/>
  </r>
  <r>
    <x v="1"/>
    <x v="1"/>
    <x v="11"/>
    <x v="55"/>
    <x v="37"/>
    <x v="38"/>
    <x v="0"/>
    <x v="0"/>
    <x v="19"/>
  </r>
  <r>
    <x v="1"/>
    <x v="1"/>
    <x v="12"/>
    <x v="56"/>
    <x v="44"/>
    <x v="12"/>
    <x v="0"/>
    <x v="23"/>
    <x v="22"/>
  </r>
  <r>
    <x v="1"/>
    <x v="1"/>
    <x v="12"/>
    <x v="57"/>
    <x v="43"/>
    <x v="39"/>
    <x v="13"/>
    <x v="18"/>
    <x v="11"/>
  </r>
  <r>
    <x v="1"/>
    <x v="1"/>
    <x v="12"/>
    <x v="58"/>
    <x v="38"/>
    <x v="40"/>
    <x v="9"/>
    <x v="22"/>
    <x v="9"/>
  </r>
  <r>
    <x v="1"/>
    <x v="1"/>
    <x v="12"/>
    <x v="59"/>
    <x v="45"/>
    <x v="14"/>
    <x v="10"/>
    <x v="24"/>
    <x v="23"/>
  </r>
  <r>
    <x v="2"/>
    <x v="2"/>
    <x v="13"/>
    <x v="60"/>
    <x v="46"/>
    <x v="41"/>
    <x v="18"/>
    <x v="0"/>
    <x v="19"/>
  </r>
  <r>
    <x v="2"/>
    <x v="2"/>
    <x v="13"/>
    <x v="61"/>
    <x v="47"/>
    <x v="24"/>
    <x v="14"/>
    <x v="0"/>
    <x v="19"/>
  </r>
  <r>
    <x v="2"/>
    <x v="2"/>
    <x v="13"/>
    <x v="62"/>
    <x v="39"/>
    <x v="27"/>
    <x v="13"/>
    <x v="20"/>
    <x v="11"/>
  </r>
  <r>
    <x v="2"/>
    <x v="2"/>
    <x v="13"/>
    <x v="63"/>
    <x v="48"/>
    <x v="42"/>
    <x v="7"/>
    <x v="14"/>
    <x v="11"/>
  </r>
  <r>
    <x v="2"/>
    <x v="2"/>
    <x v="14"/>
    <x v="64"/>
    <x v="49"/>
    <x v="28"/>
    <x v="8"/>
    <x v="0"/>
    <x v="19"/>
  </r>
  <r>
    <x v="2"/>
    <x v="2"/>
    <x v="14"/>
    <x v="65"/>
    <x v="13"/>
    <x v="43"/>
    <x v="0"/>
    <x v="6"/>
    <x v="21"/>
  </r>
  <r>
    <x v="2"/>
    <x v="2"/>
    <x v="7"/>
    <x v="66"/>
    <x v="50"/>
    <x v="44"/>
    <x v="18"/>
    <x v="8"/>
    <x v="10"/>
  </r>
  <r>
    <x v="2"/>
    <x v="2"/>
    <x v="7"/>
    <x v="67"/>
    <x v="51"/>
    <x v="45"/>
    <x v="14"/>
    <x v="8"/>
    <x v="19"/>
  </r>
  <r>
    <x v="2"/>
    <x v="2"/>
    <x v="7"/>
    <x v="68"/>
    <x v="52"/>
    <x v="30"/>
    <x v="14"/>
    <x v="10"/>
    <x v="10"/>
  </r>
  <r>
    <x v="2"/>
    <x v="2"/>
    <x v="7"/>
    <x v="69"/>
    <x v="50"/>
    <x v="15"/>
    <x v="18"/>
    <x v="8"/>
    <x v="10"/>
  </r>
  <r>
    <x v="2"/>
    <x v="2"/>
    <x v="10"/>
    <x v="70"/>
    <x v="53"/>
    <x v="46"/>
    <x v="20"/>
    <x v="11"/>
    <x v="24"/>
  </r>
  <r>
    <x v="2"/>
    <x v="2"/>
    <x v="10"/>
    <x v="71"/>
    <x v="54"/>
    <x v="4"/>
    <x v="8"/>
    <x v="7"/>
    <x v="21"/>
  </r>
  <r>
    <x v="2"/>
    <x v="2"/>
    <x v="10"/>
    <x v="72"/>
    <x v="55"/>
    <x v="47"/>
    <x v="12"/>
    <x v="11"/>
    <x v="25"/>
  </r>
  <r>
    <x v="2"/>
    <x v="2"/>
    <x v="10"/>
    <x v="73"/>
    <x v="56"/>
    <x v="48"/>
    <x v="18"/>
    <x v="10"/>
    <x v="18"/>
  </r>
  <r>
    <x v="2"/>
    <x v="2"/>
    <x v="5"/>
    <x v="74"/>
    <x v="57"/>
    <x v="37"/>
    <x v="7"/>
    <x v="11"/>
    <x v="6"/>
  </r>
  <r>
    <x v="2"/>
    <x v="2"/>
    <x v="5"/>
    <x v="75"/>
    <x v="58"/>
    <x v="47"/>
    <x v="18"/>
    <x v="0"/>
    <x v="18"/>
  </r>
  <r>
    <x v="2"/>
    <x v="2"/>
    <x v="5"/>
    <x v="76"/>
    <x v="59"/>
    <x v="1"/>
    <x v="0"/>
    <x v="6"/>
    <x v="21"/>
  </r>
  <r>
    <x v="2"/>
    <x v="2"/>
    <x v="15"/>
    <x v="77"/>
    <x v="60"/>
    <x v="27"/>
    <x v="21"/>
    <x v="11"/>
    <x v="24"/>
  </r>
  <r>
    <x v="2"/>
    <x v="2"/>
    <x v="15"/>
    <x v="78"/>
    <x v="61"/>
    <x v="49"/>
    <x v="22"/>
    <x v="2"/>
    <x v="24"/>
  </r>
  <r>
    <x v="2"/>
    <x v="2"/>
    <x v="15"/>
    <x v="79"/>
    <x v="29"/>
    <x v="24"/>
    <x v="0"/>
    <x v="6"/>
    <x v="11"/>
  </r>
  <r>
    <x v="2"/>
    <x v="2"/>
    <x v="15"/>
    <x v="80"/>
    <x v="62"/>
    <x v="28"/>
    <x v="8"/>
    <x v="6"/>
    <x v="8"/>
  </r>
  <r>
    <x v="2"/>
    <x v="2"/>
    <x v="15"/>
    <x v="81"/>
    <x v="1"/>
    <x v="26"/>
    <x v="1"/>
    <x v="1"/>
    <x v="1"/>
  </r>
  <r>
    <x v="3"/>
    <x v="3"/>
    <x v="7"/>
    <x v="82"/>
    <x v="63"/>
    <x v="50"/>
    <x v="6"/>
    <x v="15"/>
    <x v="6"/>
  </r>
  <r>
    <x v="3"/>
    <x v="3"/>
    <x v="16"/>
    <x v="83"/>
    <x v="40"/>
    <x v="51"/>
    <x v="18"/>
    <x v="8"/>
    <x v="0"/>
  </r>
  <r>
    <x v="3"/>
    <x v="3"/>
    <x v="16"/>
    <x v="84"/>
    <x v="64"/>
    <x v="49"/>
    <x v="1"/>
    <x v="25"/>
    <x v="1"/>
  </r>
  <r>
    <x v="3"/>
    <x v="3"/>
    <x v="16"/>
    <x v="85"/>
    <x v="9"/>
    <x v="52"/>
    <x v="0"/>
    <x v="0"/>
    <x v="14"/>
  </r>
  <r>
    <x v="3"/>
    <x v="3"/>
    <x v="16"/>
    <x v="86"/>
    <x v="56"/>
    <x v="6"/>
    <x v="23"/>
    <x v="25"/>
    <x v="22"/>
  </r>
  <r>
    <x v="3"/>
    <x v="3"/>
    <x v="16"/>
    <x v="87"/>
    <x v="65"/>
    <x v="24"/>
    <x v="0"/>
    <x v="9"/>
    <x v="19"/>
  </r>
  <r>
    <x v="3"/>
    <x v="3"/>
    <x v="1"/>
    <x v="88"/>
    <x v="66"/>
    <x v="53"/>
    <x v="24"/>
    <x v="14"/>
    <x v="11"/>
  </r>
  <r>
    <x v="3"/>
    <x v="3"/>
    <x v="16"/>
    <x v="89"/>
    <x v="67"/>
    <x v="17"/>
    <x v="10"/>
    <x v="10"/>
    <x v="0"/>
  </r>
  <r>
    <x v="3"/>
    <x v="3"/>
    <x v="12"/>
    <x v="90"/>
    <x v="33"/>
    <x v="53"/>
    <x v="14"/>
    <x v="16"/>
    <x v="0"/>
  </r>
  <r>
    <x v="3"/>
    <x v="3"/>
    <x v="12"/>
    <x v="91"/>
    <x v="0"/>
    <x v="51"/>
    <x v="1"/>
    <x v="21"/>
    <x v="9"/>
  </r>
  <r>
    <x v="3"/>
    <x v="3"/>
    <x v="12"/>
    <x v="92"/>
    <x v="68"/>
    <x v="39"/>
    <x v="14"/>
    <x v="16"/>
    <x v="0"/>
  </r>
  <r>
    <x v="3"/>
    <x v="3"/>
    <x v="12"/>
    <x v="93"/>
    <x v="69"/>
    <x v="54"/>
    <x v="14"/>
    <x v="18"/>
    <x v="1"/>
  </r>
  <r>
    <x v="3"/>
    <x v="3"/>
    <x v="17"/>
    <x v="94"/>
    <x v="70"/>
    <x v="55"/>
    <x v="0"/>
    <x v="11"/>
    <x v="8"/>
  </r>
  <r>
    <x v="3"/>
    <x v="3"/>
    <x v="17"/>
    <x v="95"/>
    <x v="71"/>
    <x v="23"/>
    <x v="1"/>
    <x v="0"/>
    <x v="1"/>
  </r>
  <r>
    <x v="3"/>
    <x v="3"/>
    <x v="17"/>
    <x v="96"/>
    <x v="8"/>
    <x v="41"/>
    <x v="10"/>
    <x v="8"/>
    <x v="10"/>
  </r>
  <r>
    <x v="3"/>
    <x v="3"/>
    <x v="17"/>
    <x v="97"/>
    <x v="72"/>
    <x v="13"/>
    <x v="10"/>
    <x v="0"/>
    <x v="0"/>
  </r>
  <r>
    <x v="3"/>
    <x v="3"/>
    <x v="13"/>
    <x v="98"/>
    <x v="73"/>
    <x v="49"/>
    <x v="4"/>
    <x v="17"/>
    <x v="7"/>
  </r>
  <r>
    <x v="3"/>
    <x v="3"/>
    <x v="13"/>
    <x v="99"/>
    <x v="74"/>
    <x v="56"/>
    <x v="4"/>
    <x v="14"/>
    <x v="2"/>
  </r>
  <r>
    <x v="3"/>
    <x v="3"/>
    <x v="13"/>
    <x v="100"/>
    <x v="75"/>
    <x v="40"/>
    <x v="6"/>
    <x v="15"/>
    <x v="14"/>
  </r>
  <r>
    <x v="3"/>
    <x v="3"/>
    <x v="13"/>
    <x v="101"/>
    <x v="76"/>
    <x v="40"/>
    <x v="16"/>
    <x v="14"/>
    <x v="21"/>
  </r>
  <r>
    <x v="3"/>
    <x v="3"/>
    <x v="13"/>
    <x v="102"/>
    <x v="77"/>
    <x v="27"/>
    <x v="16"/>
    <x v="20"/>
    <x v="14"/>
  </r>
  <r>
    <x v="3"/>
    <x v="3"/>
    <x v="13"/>
    <x v="103"/>
    <x v="78"/>
    <x v="57"/>
    <x v="13"/>
    <x v="11"/>
    <x v="14"/>
  </r>
  <r>
    <x v="3"/>
    <x v="3"/>
    <x v="10"/>
    <x v="104"/>
    <x v="79"/>
    <x v="58"/>
    <x v="5"/>
    <x v="2"/>
    <x v="24"/>
  </r>
  <r>
    <x v="3"/>
    <x v="3"/>
    <x v="10"/>
    <x v="105"/>
    <x v="80"/>
    <x v="54"/>
    <x v="21"/>
    <x v="26"/>
    <x v="3"/>
  </r>
  <r>
    <x v="3"/>
    <x v="3"/>
    <x v="10"/>
    <x v="106"/>
    <x v="81"/>
    <x v="46"/>
    <x v="22"/>
    <x v="5"/>
    <x v="3"/>
  </r>
  <r>
    <x v="3"/>
    <x v="3"/>
    <x v="10"/>
    <x v="107"/>
    <x v="82"/>
    <x v="2"/>
    <x v="24"/>
    <x v="12"/>
    <x v="25"/>
  </r>
  <r>
    <x v="3"/>
    <x v="3"/>
    <x v="10"/>
    <x v="108"/>
    <x v="83"/>
    <x v="37"/>
    <x v="24"/>
    <x v="20"/>
    <x v="11"/>
  </r>
  <r>
    <x v="3"/>
    <x v="3"/>
    <x v="10"/>
    <x v="109"/>
    <x v="84"/>
    <x v="8"/>
    <x v="24"/>
    <x v="14"/>
    <x v="7"/>
  </r>
  <r>
    <x v="3"/>
    <x v="3"/>
    <x v="10"/>
    <x v="110"/>
    <x v="85"/>
    <x v="7"/>
    <x v="21"/>
    <x v="2"/>
    <x v="26"/>
  </r>
  <r>
    <x v="4"/>
    <x v="3"/>
    <x v="0"/>
    <x v="111"/>
    <x v="86"/>
    <x v="59"/>
    <x v="4"/>
    <x v="20"/>
    <x v="7"/>
  </r>
  <r>
    <x v="4"/>
    <x v="3"/>
    <x v="0"/>
    <x v="112"/>
    <x v="1"/>
    <x v="48"/>
    <x v="25"/>
    <x v="1"/>
    <x v="13"/>
  </r>
  <r>
    <x v="4"/>
    <x v="3"/>
    <x v="18"/>
    <x v="113"/>
    <x v="87"/>
    <x v="60"/>
    <x v="6"/>
    <x v="17"/>
    <x v="26"/>
  </r>
  <r>
    <x v="4"/>
    <x v="3"/>
    <x v="18"/>
    <x v="114"/>
    <x v="88"/>
    <x v="61"/>
    <x v="7"/>
    <x v="2"/>
    <x v="11"/>
  </r>
  <r>
    <x v="4"/>
    <x v="3"/>
    <x v="18"/>
    <x v="115"/>
    <x v="89"/>
    <x v="62"/>
    <x v="12"/>
    <x v="19"/>
    <x v="7"/>
  </r>
  <r>
    <x v="4"/>
    <x v="3"/>
    <x v="2"/>
    <x v="116"/>
    <x v="90"/>
    <x v="63"/>
    <x v="3"/>
    <x v="26"/>
    <x v="17"/>
  </r>
  <r>
    <x v="4"/>
    <x v="3"/>
    <x v="2"/>
    <x v="117"/>
    <x v="91"/>
    <x v="64"/>
    <x v="17"/>
    <x v="27"/>
    <x v="27"/>
  </r>
  <r>
    <x v="4"/>
    <x v="3"/>
    <x v="7"/>
    <x v="118"/>
    <x v="92"/>
    <x v="0"/>
    <x v="11"/>
    <x v="15"/>
    <x v="4"/>
  </r>
  <r>
    <x v="4"/>
    <x v="3"/>
    <x v="7"/>
    <x v="119"/>
    <x v="93"/>
    <x v="65"/>
    <x v="22"/>
    <x v="9"/>
    <x v="26"/>
  </r>
  <r>
    <x v="4"/>
    <x v="3"/>
    <x v="7"/>
    <x v="120"/>
    <x v="94"/>
    <x v="66"/>
    <x v="14"/>
    <x v="20"/>
    <x v="21"/>
  </r>
  <r>
    <x v="4"/>
    <x v="3"/>
    <x v="7"/>
    <x v="121"/>
    <x v="59"/>
    <x v="66"/>
    <x v="16"/>
    <x v="14"/>
    <x v="6"/>
  </r>
  <r>
    <x v="4"/>
    <x v="3"/>
    <x v="19"/>
    <x v="122"/>
    <x v="95"/>
    <x v="28"/>
    <x v="8"/>
    <x v="6"/>
    <x v="8"/>
  </r>
  <r>
    <x v="4"/>
    <x v="3"/>
    <x v="19"/>
    <x v="123"/>
    <x v="37"/>
    <x v="40"/>
    <x v="13"/>
    <x v="20"/>
    <x v="11"/>
  </r>
  <r>
    <x v="4"/>
    <x v="3"/>
    <x v="19"/>
    <x v="124"/>
    <x v="50"/>
    <x v="45"/>
    <x v="14"/>
    <x v="16"/>
    <x v="19"/>
  </r>
  <r>
    <x v="4"/>
    <x v="3"/>
    <x v="10"/>
    <x v="125"/>
    <x v="96"/>
    <x v="47"/>
    <x v="26"/>
    <x v="28"/>
    <x v="15"/>
  </r>
  <r>
    <x v="4"/>
    <x v="3"/>
    <x v="10"/>
    <x v="126"/>
    <x v="97"/>
    <x v="31"/>
    <x v="3"/>
    <x v="15"/>
    <x v="16"/>
  </r>
  <r>
    <x v="4"/>
    <x v="3"/>
    <x v="10"/>
    <x v="127"/>
    <x v="98"/>
    <x v="7"/>
    <x v="24"/>
    <x v="19"/>
    <x v="17"/>
  </r>
  <r>
    <x v="4"/>
    <x v="3"/>
    <x v="10"/>
    <x v="128"/>
    <x v="99"/>
    <x v="67"/>
    <x v="7"/>
    <x v="20"/>
    <x v="6"/>
  </r>
  <r>
    <x v="4"/>
    <x v="3"/>
    <x v="10"/>
    <x v="129"/>
    <x v="66"/>
    <x v="47"/>
    <x v="16"/>
    <x v="19"/>
    <x v="8"/>
  </r>
  <r>
    <x v="4"/>
    <x v="3"/>
    <x v="10"/>
    <x v="130"/>
    <x v="100"/>
    <x v="29"/>
    <x v="8"/>
    <x v="20"/>
    <x v="11"/>
  </r>
  <r>
    <x v="4"/>
    <x v="3"/>
    <x v="15"/>
    <x v="131"/>
    <x v="101"/>
    <x v="62"/>
    <x v="13"/>
    <x v="2"/>
    <x v="4"/>
  </r>
  <r>
    <x v="4"/>
    <x v="3"/>
    <x v="15"/>
    <x v="132"/>
    <x v="58"/>
    <x v="20"/>
    <x v="18"/>
    <x v="10"/>
    <x v="0"/>
  </r>
  <r>
    <x v="4"/>
    <x v="3"/>
    <x v="15"/>
    <x v="133"/>
    <x v="0"/>
    <x v="49"/>
    <x v="10"/>
    <x v="8"/>
    <x v="0"/>
  </r>
  <r>
    <x v="4"/>
    <x v="3"/>
    <x v="15"/>
    <x v="134"/>
    <x v="102"/>
    <x v="32"/>
    <x v="8"/>
    <x v="3"/>
    <x v="8"/>
  </r>
  <r>
    <x v="4"/>
    <x v="3"/>
    <x v="15"/>
    <x v="135"/>
    <x v="37"/>
    <x v="7"/>
    <x v="7"/>
    <x v="19"/>
    <x v="6"/>
  </r>
  <r>
    <x v="4"/>
    <x v="3"/>
    <x v="15"/>
    <x v="136"/>
    <x v="30"/>
    <x v="68"/>
    <x v="13"/>
    <x v="20"/>
    <x v="21"/>
  </r>
  <r>
    <x v="4"/>
    <x v="3"/>
    <x v="15"/>
    <x v="137"/>
    <x v="59"/>
    <x v="15"/>
    <x v="13"/>
    <x v="14"/>
    <x v="11"/>
  </r>
  <r>
    <x v="4"/>
    <x v="3"/>
    <x v="15"/>
    <x v="138"/>
    <x v="32"/>
    <x v="69"/>
    <x v="14"/>
    <x v="16"/>
    <x v="19"/>
  </r>
  <r>
    <x v="5"/>
    <x v="1"/>
    <x v="1"/>
    <x v="139"/>
    <x v="30"/>
    <x v="26"/>
    <x v="10"/>
    <x v="10"/>
    <x v="0"/>
  </r>
  <r>
    <x v="5"/>
    <x v="1"/>
    <x v="1"/>
    <x v="140"/>
    <x v="103"/>
    <x v="42"/>
    <x v="1"/>
    <x v="22"/>
    <x v="13"/>
  </r>
  <r>
    <x v="5"/>
    <x v="1"/>
    <x v="7"/>
    <x v="141"/>
    <x v="104"/>
    <x v="17"/>
    <x v="27"/>
    <x v="4"/>
    <x v="27"/>
  </r>
  <r>
    <x v="5"/>
    <x v="1"/>
    <x v="7"/>
    <x v="142"/>
    <x v="105"/>
    <x v="40"/>
    <x v="13"/>
    <x v="18"/>
    <x v="11"/>
  </r>
  <r>
    <x v="5"/>
    <x v="1"/>
    <x v="7"/>
    <x v="143"/>
    <x v="13"/>
    <x v="13"/>
    <x v="8"/>
    <x v="16"/>
    <x v="0"/>
  </r>
  <r>
    <x v="5"/>
    <x v="1"/>
    <x v="7"/>
    <x v="144"/>
    <x v="92"/>
    <x v="8"/>
    <x v="19"/>
    <x v="29"/>
    <x v="28"/>
  </r>
  <r>
    <x v="5"/>
    <x v="1"/>
    <x v="7"/>
    <x v="145"/>
    <x v="67"/>
    <x v="63"/>
    <x v="1"/>
    <x v="22"/>
    <x v="9"/>
  </r>
  <r>
    <x v="5"/>
    <x v="1"/>
    <x v="20"/>
    <x v="146"/>
    <x v="106"/>
    <x v="70"/>
    <x v="27"/>
    <x v="27"/>
    <x v="27"/>
  </r>
  <r>
    <x v="5"/>
    <x v="1"/>
    <x v="20"/>
    <x v="147"/>
    <x v="107"/>
    <x v="71"/>
    <x v="20"/>
    <x v="26"/>
    <x v="7"/>
  </r>
  <r>
    <x v="5"/>
    <x v="1"/>
    <x v="20"/>
    <x v="148"/>
    <x v="108"/>
    <x v="72"/>
    <x v="14"/>
    <x v="20"/>
    <x v="19"/>
  </r>
  <r>
    <x v="5"/>
    <x v="1"/>
    <x v="20"/>
    <x v="149"/>
    <x v="109"/>
    <x v="22"/>
    <x v="11"/>
    <x v="18"/>
    <x v="8"/>
  </r>
  <r>
    <x v="5"/>
    <x v="1"/>
    <x v="20"/>
    <x v="150"/>
    <x v="110"/>
    <x v="73"/>
    <x v="2"/>
    <x v="12"/>
    <x v="25"/>
  </r>
  <r>
    <x v="5"/>
    <x v="1"/>
    <x v="20"/>
    <x v="151"/>
    <x v="51"/>
    <x v="67"/>
    <x v="16"/>
    <x v="0"/>
    <x v="21"/>
  </r>
  <r>
    <x v="5"/>
    <x v="1"/>
    <x v="20"/>
    <x v="152"/>
    <x v="111"/>
    <x v="53"/>
    <x v="14"/>
    <x v="0"/>
    <x v="21"/>
  </r>
  <r>
    <x v="5"/>
    <x v="1"/>
    <x v="2"/>
    <x v="153"/>
    <x v="112"/>
    <x v="33"/>
    <x v="20"/>
    <x v="13"/>
    <x v="7"/>
  </r>
  <r>
    <x v="5"/>
    <x v="1"/>
    <x v="8"/>
    <x v="154"/>
    <x v="113"/>
    <x v="74"/>
    <x v="4"/>
    <x v="19"/>
    <x v="8"/>
  </r>
  <r>
    <x v="5"/>
    <x v="1"/>
    <x v="8"/>
    <x v="155"/>
    <x v="50"/>
    <x v="56"/>
    <x v="10"/>
    <x v="10"/>
    <x v="18"/>
  </r>
  <r>
    <x v="5"/>
    <x v="1"/>
    <x v="10"/>
    <x v="156"/>
    <x v="114"/>
    <x v="75"/>
    <x v="15"/>
    <x v="4"/>
    <x v="27"/>
  </r>
  <r>
    <x v="5"/>
    <x v="1"/>
    <x v="10"/>
    <x v="157"/>
    <x v="58"/>
    <x v="33"/>
    <x v="7"/>
    <x v="14"/>
    <x v="11"/>
  </r>
  <r>
    <x v="5"/>
    <x v="1"/>
    <x v="10"/>
    <x v="158"/>
    <x v="115"/>
    <x v="76"/>
    <x v="12"/>
    <x v="13"/>
    <x v="2"/>
  </r>
  <r>
    <x v="5"/>
    <x v="1"/>
    <x v="10"/>
    <x v="159"/>
    <x v="44"/>
    <x v="31"/>
    <x v="21"/>
    <x v="12"/>
    <x v="3"/>
  </r>
  <r>
    <x v="6"/>
    <x v="4"/>
    <x v="13"/>
    <x v="160"/>
    <x v="50"/>
    <x v="28"/>
    <x v="8"/>
    <x v="6"/>
    <x v="14"/>
  </r>
  <r>
    <x v="6"/>
    <x v="4"/>
    <x v="13"/>
    <x v="161"/>
    <x v="8"/>
    <x v="12"/>
    <x v="10"/>
    <x v="16"/>
    <x v="19"/>
  </r>
  <r>
    <x v="6"/>
    <x v="4"/>
    <x v="13"/>
    <x v="162"/>
    <x v="29"/>
    <x v="13"/>
    <x v="0"/>
    <x v="14"/>
    <x v="14"/>
  </r>
  <r>
    <x v="6"/>
    <x v="4"/>
    <x v="5"/>
    <x v="163"/>
    <x v="29"/>
    <x v="77"/>
    <x v="11"/>
    <x v="18"/>
    <x v="8"/>
  </r>
  <r>
    <x v="6"/>
    <x v="4"/>
    <x v="5"/>
    <x v="164"/>
    <x v="1"/>
    <x v="45"/>
    <x v="13"/>
    <x v="20"/>
    <x v="11"/>
  </r>
  <r>
    <x v="6"/>
    <x v="4"/>
    <x v="5"/>
    <x v="165"/>
    <x v="8"/>
    <x v="12"/>
    <x v="18"/>
    <x v="8"/>
    <x v="0"/>
  </r>
  <r>
    <x v="6"/>
    <x v="4"/>
    <x v="5"/>
    <x v="166"/>
    <x v="67"/>
    <x v="26"/>
    <x v="9"/>
    <x v="9"/>
    <x v="13"/>
  </r>
  <r>
    <x v="6"/>
    <x v="4"/>
    <x v="5"/>
    <x v="167"/>
    <x v="50"/>
    <x v="56"/>
    <x v="1"/>
    <x v="1"/>
    <x v="1"/>
  </r>
  <r>
    <x v="6"/>
    <x v="4"/>
    <x v="14"/>
    <x v="168"/>
    <x v="31"/>
    <x v="42"/>
    <x v="11"/>
    <x v="19"/>
    <x v="8"/>
  </r>
  <r>
    <x v="6"/>
    <x v="4"/>
    <x v="14"/>
    <x v="169"/>
    <x v="1"/>
    <x v="53"/>
    <x v="18"/>
    <x v="8"/>
    <x v="10"/>
  </r>
  <r>
    <x v="6"/>
    <x v="4"/>
    <x v="17"/>
    <x v="170"/>
    <x v="99"/>
    <x v="78"/>
    <x v="11"/>
    <x v="14"/>
    <x v="11"/>
  </r>
  <r>
    <x v="6"/>
    <x v="4"/>
    <x v="17"/>
    <x v="171"/>
    <x v="27"/>
    <x v="79"/>
    <x v="1"/>
    <x v="18"/>
    <x v="21"/>
  </r>
  <r>
    <x v="6"/>
    <x v="4"/>
    <x v="17"/>
    <x v="172"/>
    <x v="116"/>
    <x v="15"/>
    <x v="28"/>
    <x v="24"/>
    <x v="29"/>
  </r>
  <r>
    <x v="7"/>
    <x v="4"/>
    <x v="21"/>
    <x v="173"/>
    <x v="103"/>
    <x v="28"/>
    <x v="18"/>
    <x v="8"/>
    <x v="19"/>
  </r>
  <r>
    <x v="7"/>
    <x v="4"/>
    <x v="21"/>
    <x v="174"/>
    <x v="116"/>
    <x v="80"/>
    <x v="18"/>
    <x v="10"/>
    <x v="8"/>
  </r>
  <r>
    <x v="7"/>
    <x v="4"/>
    <x v="12"/>
    <x v="175"/>
    <x v="117"/>
    <x v="81"/>
    <x v="24"/>
    <x v="17"/>
    <x v="17"/>
  </r>
  <r>
    <x v="7"/>
    <x v="4"/>
    <x v="21"/>
    <x v="176"/>
    <x v="118"/>
    <x v="77"/>
    <x v="14"/>
    <x v="10"/>
    <x v="10"/>
  </r>
  <r>
    <x v="7"/>
    <x v="4"/>
    <x v="19"/>
    <x v="177"/>
    <x v="119"/>
    <x v="82"/>
    <x v="17"/>
    <x v="15"/>
    <x v="2"/>
  </r>
  <r>
    <x v="7"/>
    <x v="4"/>
    <x v="19"/>
    <x v="178"/>
    <x v="120"/>
    <x v="13"/>
    <x v="21"/>
    <x v="3"/>
    <x v="27"/>
  </r>
  <r>
    <x v="7"/>
    <x v="4"/>
    <x v="19"/>
    <x v="179"/>
    <x v="1"/>
    <x v="13"/>
    <x v="1"/>
    <x v="1"/>
    <x v="1"/>
  </r>
  <r>
    <x v="7"/>
    <x v="4"/>
    <x v="15"/>
    <x v="180"/>
    <x v="121"/>
    <x v="75"/>
    <x v="11"/>
    <x v="17"/>
    <x v="16"/>
  </r>
  <r>
    <x v="7"/>
    <x v="4"/>
    <x v="15"/>
    <x v="181"/>
    <x v="41"/>
    <x v="34"/>
    <x v="7"/>
    <x v="5"/>
    <x v="16"/>
  </r>
  <r>
    <x v="7"/>
    <x v="4"/>
    <x v="15"/>
    <x v="182"/>
    <x v="122"/>
    <x v="51"/>
    <x v="23"/>
    <x v="30"/>
    <x v="30"/>
  </r>
  <r>
    <x v="7"/>
    <x v="4"/>
    <x v="15"/>
    <x v="183"/>
    <x v="87"/>
    <x v="22"/>
    <x v="18"/>
    <x v="10"/>
    <x v="1"/>
  </r>
  <r>
    <x v="7"/>
    <x v="4"/>
    <x v="15"/>
    <x v="184"/>
    <x v="87"/>
    <x v="49"/>
    <x v="14"/>
    <x v="0"/>
    <x v="8"/>
  </r>
  <r>
    <x v="7"/>
    <x v="4"/>
    <x v="15"/>
    <x v="185"/>
    <x v="37"/>
    <x v="83"/>
    <x v="0"/>
    <x v="6"/>
    <x v="21"/>
  </r>
  <r>
    <x v="7"/>
    <x v="4"/>
    <x v="13"/>
    <x v="186"/>
    <x v="26"/>
    <x v="39"/>
    <x v="8"/>
    <x v="19"/>
    <x v="11"/>
  </r>
  <r>
    <x v="7"/>
    <x v="4"/>
    <x v="13"/>
    <x v="187"/>
    <x v="43"/>
    <x v="56"/>
    <x v="17"/>
    <x v="13"/>
    <x v="16"/>
  </r>
  <r>
    <x v="7"/>
    <x v="4"/>
    <x v="13"/>
    <x v="188"/>
    <x v="58"/>
    <x v="26"/>
    <x v="16"/>
    <x v="7"/>
    <x v="17"/>
  </r>
  <r>
    <x v="7"/>
    <x v="4"/>
    <x v="13"/>
    <x v="189"/>
    <x v="13"/>
    <x v="56"/>
    <x v="14"/>
    <x v="0"/>
    <x v="18"/>
  </r>
  <r>
    <x v="7"/>
    <x v="4"/>
    <x v="13"/>
    <x v="190"/>
    <x v="123"/>
    <x v="84"/>
    <x v="0"/>
    <x v="6"/>
    <x v="21"/>
  </r>
  <r>
    <x v="7"/>
    <x v="4"/>
    <x v="13"/>
    <x v="191"/>
    <x v="124"/>
    <x v="57"/>
    <x v="8"/>
    <x v="18"/>
    <x v="21"/>
  </r>
  <r>
    <x v="7"/>
    <x v="4"/>
    <x v="14"/>
    <x v="192"/>
    <x v="0"/>
    <x v="24"/>
    <x v="17"/>
    <x v="15"/>
    <x v="24"/>
  </r>
  <r>
    <x v="7"/>
    <x v="4"/>
    <x v="14"/>
    <x v="193"/>
    <x v="59"/>
    <x v="28"/>
    <x v="10"/>
    <x v="16"/>
    <x v="10"/>
  </r>
  <r>
    <x v="7"/>
    <x v="4"/>
    <x v="22"/>
    <x v="194"/>
    <x v="125"/>
    <x v="85"/>
    <x v="1"/>
    <x v="22"/>
    <x v="9"/>
  </r>
  <r>
    <x v="7"/>
    <x v="4"/>
    <x v="23"/>
    <x v="195"/>
    <x v="126"/>
    <x v="57"/>
    <x v="0"/>
    <x v="10"/>
    <x v="18"/>
  </r>
  <r>
    <x v="7"/>
    <x v="4"/>
    <x v="23"/>
    <x v="196"/>
    <x v="30"/>
    <x v="26"/>
    <x v="9"/>
    <x v="25"/>
    <x v="0"/>
  </r>
  <r>
    <x v="7"/>
    <x v="4"/>
    <x v="23"/>
    <x v="197"/>
    <x v="30"/>
    <x v="28"/>
    <x v="14"/>
    <x v="16"/>
    <x v="19"/>
  </r>
  <r>
    <x v="8"/>
    <x v="5"/>
    <x v="0"/>
    <x v="198"/>
    <x v="127"/>
    <x v="68"/>
    <x v="0"/>
    <x v="14"/>
    <x v="18"/>
  </r>
  <r>
    <x v="8"/>
    <x v="5"/>
    <x v="2"/>
    <x v="199"/>
    <x v="127"/>
    <x v="86"/>
    <x v="11"/>
    <x v="13"/>
    <x v="8"/>
  </r>
  <r>
    <x v="8"/>
    <x v="5"/>
    <x v="2"/>
    <x v="200"/>
    <x v="128"/>
    <x v="8"/>
    <x v="14"/>
    <x v="0"/>
    <x v="19"/>
  </r>
  <r>
    <x v="8"/>
    <x v="5"/>
    <x v="9"/>
    <x v="201"/>
    <x v="129"/>
    <x v="87"/>
    <x v="3"/>
    <x v="3"/>
    <x v="31"/>
  </r>
  <r>
    <x v="8"/>
    <x v="5"/>
    <x v="9"/>
    <x v="202"/>
    <x v="130"/>
    <x v="88"/>
    <x v="24"/>
    <x v="31"/>
    <x v="25"/>
  </r>
  <r>
    <x v="8"/>
    <x v="5"/>
    <x v="9"/>
    <x v="203"/>
    <x v="41"/>
    <x v="68"/>
    <x v="10"/>
    <x v="9"/>
    <x v="1"/>
  </r>
  <r>
    <x v="8"/>
    <x v="5"/>
    <x v="19"/>
    <x v="204"/>
    <x v="56"/>
    <x v="76"/>
    <x v="11"/>
    <x v="18"/>
    <x v="14"/>
  </r>
  <r>
    <x v="8"/>
    <x v="5"/>
    <x v="12"/>
    <x v="205"/>
    <x v="121"/>
    <x v="43"/>
    <x v="8"/>
    <x v="0"/>
    <x v="8"/>
  </r>
  <r>
    <x v="8"/>
    <x v="5"/>
    <x v="12"/>
    <x v="206"/>
    <x v="131"/>
    <x v="89"/>
    <x v="10"/>
    <x v="10"/>
    <x v="0"/>
  </r>
  <r>
    <x v="8"/>
    <x v="5"/>
    <x v="12"/>
    <x v="207"/>
    <x v="132"/>
    <x v="17"/>
    <x v="18"/>
    <x v="10"/>
    <x v="19"/>
  </r>
  <r>
    <x v="8"/>
    <x v="5"/>
    <x v="12"/>
    <x v="208"/>
    <x v="50"/>
    <x v="90"/>
    <x v="25"/>
    <x v="9"/>
    <x v="13"/>
  </r>
  <r>
    <x v="8"/>
    <x v="5"/>
    <x v="15"/>
    <x v="209"/>
    <x v="133"/>
    <x v="18"/>
    <x v="4"/>
    <x v="17"/>
    <x v="7"/>
  </r>
  <r>
    <x v="8"/>
    <x v="5"/>
    <x v="15"/>
    <x v="210"/>
    <x v="61"/>
    <x v="47"/>
    <x v="13"/>
    <x v="13"/>
    <x v="11"/>
  </r>
  <r>
    <x v="8"/>
    <x v="5"/>
    <x v="15"/>
    <x v="211"/>
    <x v="134"/>
    <x v="22"/>
    <x v="11"/>
    <x v="20"/>
    <x v="18"/>
  </r>
  <r>
    <x v="8"/>
    <x v="5"/>
    <x v="15"/>
    <x v="212"/>
    <x v="59"/>
    <x v="53"/>
    <x v="10"/>
    <x v="16"/>
    <x v="0"/>
  </r>
  <r>
    <x v="8"/>
    <x v="5"/>
    <x v="15"/>
    <x v="213"/>
    <x v="126"/>
    <x v="52"/>
    <x v="19"/>
    <x v="22"/>
    <x v="23"/>
  </r>
  <r>
    <x v="8"/>
    <x v="5"/>
    <x v="15"/>
    <x v="214"/>
    <x v="50"/>
    <x v="26"/>
    <x v="1"/>
    <x v="1"/>
    <x v="1"/>
  </r>
  <r>
    <x v="8"/>
    <x v="5"/>
    <x v="17"/>
    <x v="215"/>
    <x v="126"/>
    <x v="91"/>
    <x v="1"/>
    <x v="10"/>
    <x v="1"/>
  </r>
  <r>
    <x v="8"/>
    <x v="5"/>
    <x v="17"/>
    <x v="216"/>
    <x v="135"/>
    <x v="17"/>
    <x v="0"/>
    <x v="0"/>
    <x v="21"/>
  </r>
  <r>
    <x v="8"/>
    <x v="5"/>
    <x v="13"/>
    <x v="217"/>
    <x v="32"/>
    <x v="56"/>
    <x v="14"/>
    <x v="6"/>
    <x v="21"/>
  </r>
  <r>
    <x v="8"/>
    <x v="5"/>
    <x v="13"/>
    <x v="218"/>
    <x v="136"/>
    <x v="83"/>
    <x v="4"/>
    <x v="15"/>
    <x v="17"/>
  </r>
  <r>
    <x v="8"/>
    <x v="5"/>
    <x v="13"/>
    <x v="219"/>
    <x v="137"/>
    <x v="84"/>
    <x v="0"/>
    <x v="16"/>
    <x v="0"/>
  </r>
  <r>
    <x v="8"/>
    <x v="5"/>
    <x v="13"/>
    <x v="220"/>
    <x v="8"/>
    <x v="84"/>
    <x v="14"/>
    <x v="16"/>
    <x v="19"/>
  </r>
  <r>
    <x v="8"/>
    <x v="5"/>
    <x v="13"/>
    <x v="221"/>
    <x v="37"/>
    <x v="26"/>
    <x v="11"/>
    <x v="20"/>
    <x v="8"/>
  </r>
  <r>
    <x v="8"/>
    <x v="5"/>
    <x v="13"/>
    <x v="222"/>
    <x v="67"/>
    <x v="57"/>
    <x v="1"/>
    <x v="1"/>
    <x v="10"/>
  </r>
  <r>
    <x v="8"/>
    <x v="5"/>
    <x v="13"/>
    <x v="223"/>
    <x v="138"/>
    <x v="27"/>
    <x v="11"/>
    <x v="18"/>
    <x v="8"/>
  </r>
  <r>
    <x v="8"/>
    <x v="5"/>
    <x v="13"/>
    <x v="224"/>
    <x v="33"/>
    <x v="42"/>
    <x v="14"/>
    <x v="16"/>
    <x v="19"/>
  </r>
  <r>
    <x v="8"/>
    <x v="5"/>
    <x v="13"/>
    <x v="225"/>
    <x v="0"/>
    <x v="25"/>
    <x v="0"/>
    <x v="6"/>
    <x v="21"/>
  </r>
  <r>
    <x v="8"/>
    <x v="5"/>
    <x v="14"/>
    <x v="226"/>
    <x v="139"/>
    <x v="92"/>
    <x v="8"/>
    <x v="19"/>
    <x v="21"/>
  </r>
  <r>
    <x v="8"/>
    <x v="5"/>
    <x v="14"/>
    <x v="227"/>
    <x v="140"/>
    <x v="93"/>
    <x v="16"/>
    <x v="20"/>
    <x v="21"/>
  </r>
  <r>
    <x v="8"/>
    <x v="5"/>
    <x v="13"/>
    <x v="228"/>
    <x v="27"/>
    <x v="94"/>
    <x v="13"/>
    <x v="16"/>
    <x v="0"/>
  </r>
  <r>
    <x v="8"/>
    <x v="5"/>
    <x v="24"/>
    <x v="229"/>
    <x v="89"/>
    <x v="30"/>
    <x v="0"/>
    <x v="0"/>
    <x v="21"/>
  </r>
  <r>
    <x v="9"/>
    <x v="4"/>
    <x v="0"/>
    <x v="230"/>
    <x v="141"/>
    <x v="41"/>
    <x v="7"/>
    <x v="8"/>
    <x v="18"/>
  </r>
  <r>
    <x v="9"/>
    <x v="4"/>
    <x v="0"/>
    <x v="231"/>
    <x v="109"/>
    <x v="12"/>
    <x v="25"/>
    <x v="1"/>
    <x v="18"/>
  </r>
  <r>
    <x v="8"/>
    <x v="5"/>
    <x v="24"/>
    <x v="232"/>
    <x v="31"/>
    <x v="48"/>
    <x v="25"/>
    <x v="8"/>
    <x v="13"/>
  </r>
  <r>
    <x v="9"/>
    <x v="4"/>
    <x v="2"/>
    <x v="233"/>
    <x v="7"/>
    <x v="95"/>
    <x v="6"/>
    <x v="17"/>
    <x v="21"/>
  </r>
  <r>
    <x v="9"/>
    <x v="4"/>
    <x v="2"/>
    <x v="234"/>
    <x v="142"/>
    <x v="96"/>
    <x v="24"/>
    <x v="13"/>
    <x v="6"/>
  </r>
  <r>
    <x v="9"/>
    <x v="4"/>
    <x v="2"/>
    <x v="235"/>
    <x v="143"/>
    <x v="76"/>
    <x v="12"/>
    <x v="6"/>
    <x v="19"/>
  </r>
  <r>
    <x v="9"/>
    <x v="4"/>
    <x v="2"/>
    <x v="236"/>
    <x v="144"/>
    <x v="34"/>
    <x v="16"/>
    <x v="30"/>
    <x v="30"/>
  </r>
  <r>
    <x v="9"/>
    <x v="4"/>
    <x v="2"/>
    <x v="237"/>
    <x v="145"/>
    <x v="6"/>
    <x v="4"/>
    <x v="0"/>
    <x v="18"/>
  </r>
  <r>
    <x v="9"/>
    <x v="4"/>
    <x v="25"/>
    <x v="238"/>
    <x v="146"/>
    <x v="18"/>
    <x v="16"/>
    <x v="18"/>
    <x v="18"/>
  </r>
  <r>
    <x v="9"/>
    <x v="4"/>
    <x v="2"/>
    <x v="239"/>
    <x v="80"/>
    <x v="18"/>
    <x v="13"/>
    <x v="20"/>
    <x v="21"/>
  </r>
  <r>
    <x v="9"/>
    <x v="4"/>
    <x v="25"/>
    <x v="240"/>
    <x v="75"/>
    <x v="41"/>
    <x v="13"/>
    <x v="19"/>
    <x v="11"/>
  </r>
  <r>
    <x v="9"/>
    <x v="4"/>
    <x v="25"/>
    <x v="241"/>
    <x v="147"/>
    <x v="32"/>
    <x v="14"/>
    <x v="1"/>
    <x v="9"/>
  </r>
  <r>
    <x v="9"/>
    <x v="4"/>
    <x v="14"/>
    <x v="242"/>
    <x v="138"/>
    <x v="29"/>
    <x v="8"/>
    <x v="18"/>
    <x v="18"/>
  </r>
  <r>
    <x v="9"/>
    <x v="4"/>
    <x v="14"/>
    <x v="243"/>
    <x v="148"/>
    <x v="8"/>
    <x v="9"/>
    <x v="8"/>
    <x v="9"/>
  </r>
  <r>
    <x v="9"/>
    <x v="4"/>
    <x v="14"/>
    <x v="244"/>
    <x v="39"/>
    <x v="13"/>
    <x v="1"/>
    <x v="25"/>
    <x v="23"/>
  </r>
  <r>
    <x v="9"/>
    <x v="4"/>
    <x v="14"/>
    <x v="245"/>
    <x v="149"/>
    <x v="97"/>
    <x v="0"/>
    <x v="6"/>
    <x v="18"/>
  </r>
  <r>
    <x v="9"/>
    <x v="4"/>
    <x v="14"/>
    <x v="246"/>
    <x v="59"/>
    <x v="98"/>
    <x v="0"/>
    <x v="0"/>
    <x v="8"/>
  </r>
  <r>
    <x v="10"/>
    <x v="3"/>
    <x v="26"/>
    <x v="247"/>
    <x v="140"/>
    <x v="39"/>
    <x v="16"/>
    <x v="7"/>
    <x v="6"/>
  </r>
  <r>
    <x v="10"/>
    <x v="3"/>
    <x v="26"/>
    <x v="248"/>
    <x v="102"/>
    <x v="76"/>
    <x v="10"/>
    <x v="18"/>
    <x v="18"/>
  </r>
  <r>
    <x v="10"/>
    <x v="3"/>
    <x v="26"/>
    <x v="249"/>
    <x v="68"/>
    <x v="12"/>
    <x v="19"/>
    <x v="30"/>
    <x v="12"/>
  </r>
  <r>
    <x v="10"/>
    <x v="3"/>
    <x v="26"/>
    <x v="250"/>
    <x v="59"/>
    <x v="99"/>
    <x v="14"/>
    <x v="1"/>
    <x v="10"/>
  </r>
  <r>
    <x v="10"/>
    <x v="3"/>
    <x v="26"/>
    <x v="251"/>
    <x v="1"/>
    <x v="1"/>
    <x v="14"/>
    <x v="16"/>
    <x v="19"/>
  </r>
  <r>
    <x v="10"/>
    <x v="3"/>
    <x v="26"/>
    <x v="252"/>
    <x v="50"/>
    <x v="24"/>
    <x v="18"/>
    <x v="8"/>
    <x v="10"/>
  </r>
  <r>
    <x v="10"/>
    <x v="3"/>
    <x v="7"/>
    <x v="253"/>
    <x v="56"/>
    <x v="51"/>
    <x v="11"/>
    <x v="18"/>
    <x v="8"/>
  </r>
  <r>
    <x v="10"/>
    <x v="3"/>
    <x v="7"/>
    <x v="254"/>
    <x v="39"/>
    <x v="100"/>
    <x v="16"/>
    <x v="14"/>
    <x v="4"/>
  </r>
  <r>
    <x v="10"/>
    <x v="3"/>
    <x v="2"/>
    <x v="255"/>
    <x v="30"/>
    <x v="24"/>
    <x v="25"/>
    <x v="1"/>
    <x v="10"/>
  </r>
  <r>
    <x v="10"/>
    <x v="3"/>
    <x v="2"/>
    <x v="256"/>
    <x v="128"/>
    <x v="101"/>
    <x v="18"/>
    <x v="6"/>
    <x v="18"/>
  </r>
  <r>
    <x v="10"/>
    <x v="3"/>
    <x v="21"/>
    <x v="257"/>
    <x v="55"/>
    <x v="26"/>
    <x v="18"/>
    <x v="21"/>
    <x v="22"/>
  </r>
  <r>
    <x v="10"/>
    <x v="3"/>
    <x v="21"/>
    <x v="258"/>
    <x v="59"/>
    <x v="42"/>
    <x v="0"/>
    <x v="0"/>
    <x v="18"/>
  </r>
  <r>
    <x v="10"/>
    <x v="3"/>
    <x v="21"/>
    <x v="259"/>
    <x v="31"/>
    <x v="28"/>
    <x v="10"/>
    <x v="10"/>
    <x v="0"/>
  </r>
  <r>
    <x v="10"/>
    <x v="3"/>
    <x v="19"/>
    <x v="260"/>
    <x v="150"/>
    <x v="102"/>
    <x v="17"/>
    <x v="5"/>
    <x v="25"/>
  </r>
  <r>
    <x v="10"/>
    <x v="3"/>
    <x v="22"/>
    <x v="261"/>
    <x v="151"/>
    <x v="81"/>
    <x v="18"/>
    <x v="8"/>
    <x v="10"/>
  </r>
  <r>
    <x v="10"/>
    <x v="3"/>
    <x v="15"/>
    <x v="262"/>
    <x v="152"/>
    <x v="103"/>
    <x v="14"/>
    <x v="18"/>
    <x v="21"/>
  </r>
  <r>
    <x v="11"/>
    <x v="1"/>
    <x v="9"/>
    <x v="263"/>
    <x v="31"/>
    <x v="26"/>
    <x v="1"/>
    <x v="1"/>
    <x v="1"/>
  </r>
  <r>
    <x v="11"/>
    <x v="1"/>
    <x v="9"/>
    <x v="264"/>
    <x v="153"/>
    <x v="2"/>
    <x v="17"/>
    <x v="20"/>
    <x v="11"/>
  </r>
  <r>
    <x v="11"/>
    <x v="1"/>
    <x v="3"/>
    <x v="265"/>
    <x v="32"/>
    <x v="56"/>
    <x v="1"/>
    <x v="6"/>
    <x v="8"/>
  </r>
  <r>
    <x v="11"/>
    <x v="1"/>
    <x v="18"/>
    <x v="266"/>
    <x v="1"/>
    <x v="80"/>
    <x v="1"/>
    <x v="1"/>
    <x v="1"/>
  </r>
  <r>
    <x v="11"/>
    <x v="1"/>
    <x v="7"/>
    <x v="267"/>
    <x v="154"/>
    <x v="104"/>
    <x v="4"/>
    <x v="15"/>
    <x v="25"/>
  </r>
  <r>
    <x v="11"/>
    <x v="1"/>
    <x v="5"/>
    <x v="268"/>
    <x v="155"/>
    <x v="24"/>
    <x v="14"/>
    <x v="0"/>
    <x v="18"/>
  </r>
  <r>
    <x v="11"/>
    <x v="1"/>
    <x v="2"/>
    <x v="269"/>
    <x v="32"/>
    <x v="102"/>
    <x v="10"/>
    <x v="6"/>
    <x v="21"/>
  </r>
  <r>
    <x v="11"/>
    <x v="1"/>
    <x v="22"/>
    <x v="270"/>
    <x v="156"/>
    <x v="22"/>
    <x v="17"/>
    <x v="14"/>
    <x v="4"/>
  </r>
  <r>
    <x v="11"/>
    <x v="1"/>
    <x v="22"/>
    <x v="271"/>
    <x v="13"/>
    <x v="52"/>
    <x v="11"/>
    <x v="15"/>
    <x v="11"/>
  </r>
  <r>
    <x v="11"/>
    <x v="1"/>
    <x v="22"/>
    <x v="272"/>
    <x v="139"/>
    <x v="23"/>
    <x v="0"/>
    <x v="18"/>
    <x v="19"/>
  </r>
  <r>
    <x v="11"/>
    <x v="1"/>
    <x v="22"/>
    <x v="273"/>
    <x v="8"/>
    <x v="104"/>
    <x v="0"/>
    <x v="18"/>
    <x v="21"/>
  </r>
  <r>
    <x v="11"/>
    <x v="1"/>
    <x v="22"/>
    <x v="274"/>
    <x v="157"/>
    <x v="71"/>
    <x v="8"/>
    <x v="10"/>
    <x v="18"/>
  </r>
  <r>
    <x v="11"/>
    <x v="1"/>
    <x v="22"/>
    <x v="275"/>
    <x v="8"/>
    <x v="51"/>
    <x v="10"/>
    <x v="10"/>
    <x v="0"/>
  </r>
  <r>
    <x v="11"/>
    <x v="1"/>
    <x v="19"/>
    <x v="276"/>
    <x v="72"/>
    <x v="24"/>
    <x v="1"/>
    <x v="0"/>
    <x v="13"/>
  </r>
  <r>
    <x v="11"/>
    <x v="1"/>
    <x v="19"/>
    <x v="277"/>
    <x v="103"/>
    <x v="74"/>
    <x v="0"/>
    <x v="16"/>
    <x v="18"/>
  </r>
  <r>
    <x v="11"/>
    <x v="1"/>
    <x v="12"/>
    <x v="278"/>
    <x v="158"/>
    <x v="43"/>
    <x v="16"/>
    <x v="7"/>
    <x v="6"/>
  </r>
  <r>
    <x v="11"/>
    <x v="1"/>
    <x v="12"/>
    <x v="279"/>
    <x v="159"/>
    <x v="39"/>
    <x v="16"/>
    <x v="20"/>
    <x v="14"/>
  </r>
  <r>
    <x v="11"/>
    <x v="1"/>
    <x v="12"/>
    <x v="280"/>
    <x v="25"/>
    <x v="69"/>
    <x v="17"/>
    <x v="14"/>
    <x v="14"/>
  </r>
  <r>
    <x v="11"/>
    <x v="1"/>
    <x v="27"/>
    <x v="281"/>
    <x v="138"/>
    <x v="12"/>
    <x v="21"/>
    <x v="6"/>
    <x v="6"/>
  </r>
  <r>
    <x v="11"/>
    <x v="1"/>
    <x v="27"/>
    <x v="282"/>
    <x v="13"/>
    <x v="13"/>
    <x v="16"/>
    <x v="20"/>
    <x v="14"/>
  </r>
  <r>
    <x v="11"/>
    <x v="1"/>
    <x v="27"/>
    <x v="283"/>
    <x v="151"/>
    <x v="47"/>
    <x v="13"/>
    <x v="18"/>
    <x v="21"/>
  </r>
  <r>
    <x v="11"/>
    <x v="1"/>
    <x v="27"/>
    <x v="284"/>
    <x v="160"/>
    <x v="80"/>
    <x v="17"/>
    <x v="18"/>
    <x v="4"/>
  </r>
  <r>
    <x v="11"/>
    <x v="1"/>
    <x v="27"/>
    <x v="285"/>
    <x v="41"/>
    <x v="105"/>
    <x v="8"/>
    <x v="0"/>
    <x v="18"/>
  </r>
  <r>
    <x v="11"/>
    <x v="1"/>
    <x v="27"/>
    <x v="286"/>
    <x v="161"/>
    <x v="20"/>
    <x v="13"/>
    <x v="0"/>
    <x v="21"/>
  </r>
  <r>
    <x v="11"/>
    <x v="1"/>
    <x v="27"/>
    <x v="287"/>
    <x v="149"/>
    <x v="30"/>
    <x v="1"/>
    <x v="1"/>
    <x v="0"/>
  </r>
  <r>
    <x v="11"/>
    <x v="1"/>
    <x v="10"/>
    <x v="288"/>
    <x v="151"/>
    <x v="106"/>
    <x v="17"/>
    <x v="13"/>
    <x v="16"/>
  </r>
  <r>
    <x v="11"/>
    <x v="1"/>
    <x v="10"/>
    <x v="289"/>
    <x v="56"/>
    <x v="32"/>
    <x v="3"/>
    <x v="28"/>
    <x v="24"/>
  </r>
  <r>
    <x v="11"/>
    <x v="1"/>
    <x v="10"/>
    <x v="290"/>
    <x v="30"/>
    <x v="67"/>
    <x v="9"/>
    <x v="22"/>
    <x v="13"/>
  </r>
  <r>
    <x v="12"/>
    <x v="4"/>
    <x v="28"/>
    <x v="291"/>
    <x v="41"/>
    <x v="21"/>
    <x v="8"/>
    <x v="20"/>
    <x v="21"/>
  </r>
  <r>
    <x v="12"/>
    <x v="4"/>
    <x v="2"/>
    <x v="292"/>
    <x v="162"/>
    <x v="21"/>
    <x v="14"/>
    <x v="14"/>
    <x v="13"/>
  </r>
  <r>
    <x v="12"/>
    <x v="4"/>
    <x v="7"/>
    <x v="293"/>
    <x v="30"/>
    <x v="1"/>
    <x v="25"/>
    <x v="8"/>
    <x v="0"/>
  </r>
  <r>
    <x v="12"/>
    <x v="4"/>
    <x v="24"/>
    <x v="294"/>
    <x v="163"/>
    <x v="2"/>
    <x v="11"/>
    <x v="0"/>
    <x v="1"/>
  </r>
  <r>
    <x v="12"/>
    <x v="4"/>
    <x v="10"/>
    <x v="295"/>
    <x v="158"/>
    <x v="3"/>
    <x v="12"/>
    <x v="17"/>
    <x v="14"/>
  </r>
  <r>
    <x v="12"/>
    <x v="4"/>
    <x v="10"/>
    <x v="296"/>
    <x v="1"/>
    <x v="13"/>
    <x v="18"/>
    <x v="8"/>
    <x v="10"/>
  </r>
  <r>
    <x v="12"/>
    <x v="4"/>
    <x v="10"/>
    <x v="297"/>
    <x v="29"/>
    <x v="13"/>
    <x v="14"/>
    <x v="16"/>
    <x v="19"/>
  </r>
  <r>
    <x v="12"/>
    <x v="4"/>
    <x v="10"/>
    <x v="298"/>
    <x v="72"/>
    <x v="26"/>
    <x v="1"/>
    <x v="1"/>
    <x v="1"/>
  </r>
  <r>
    <x v="12"/>
    <x v="4"/>
    <x v="11"/>
    <x v="299"/>
    <x v="164"/>
    <x v="30"/>
    <x v="0"/>
    <x v="16"/>
    <x v="1"/>
  </r>
  <r>
    <x v="12"/>
    <x v="4"/>
    <x v="11"/>
    <x v="300"/>
    <x v="13"/>
    <x v="83"/>
    <x v="10"/>
    <x v="10"/>
    <x v="10"/>
  </r>
  <r>
    <x v="12"/>
    <x v="4"/>
    <x v="22"/>
    <x v="301"/>
    <x v="72"/>
    <x v="68"/>
    <x v="11"/>
    <x v="6"/>
    <x v="8"/>
  </r>
  <r>
    <x v="12"/>
    <x v="4"/>
    <x v="22"/>
    <x v="302"/>
    <x v="1"/>
    <x v="19"/>
    <x v="1"/>
    <x v="8"/>
    <x v="10"/>
  </r>
  <r>
    <x v="12"/>
    <x v="4"/>
    <x v="15"/>
    <x v="303"/>
    <x v="67"/>
    <x v="102"/>
    <x v="18"/>
    <x v="9"/>
    <x v="0"/>
  </r>
  <r>
    <x v="12"/>
    <x v="4"/>
    <x v="13"/>
    <x v="304"/>
    <x v="165"/>
    <x v="15"/>
    <x v="13"/>
    <x v="11"/>
    <x v="14"/>
  </r>
  <r>
    <x v="12"/>
    <x v="4"/>
    <x v="13"/>
    <x v="305"/>
    <x v="64"/>
    <x v="75"/>
    <x v="7"/>
    <x v="7"/>
    <x v="4"/>
  </r>
  <r>
    <x v="12"/>
    <x v="4"/>
    <x v="13"/>
    <x v="306"/>
    <x v="103"/>
    <x v="45"/>
    <x v="0"/>
    <x v="0"/>
    <x v="21"/>
  </r>
  <r>
    <x v="12"/>
    <x v="4"/>
    <x v="13"/>
    <x v="307"/>
    <x v="128"/>
    <x v="97"/>
    <x v="0"/>
    <x v="10"/>
    <x v="0"/>
  </r>
  <r>
    <x v="12"/>
    <x v="4"/>
    <x v="19"/>
    <x v="308"/>
    <x v="166"/>
    <x v="55"/>
    <x v="6"/>
    <x v="12"/>
    <x v="2"/>
  </r>
  <r>
    <x v="12"/>
    <x v="4"/>
    <x v="19"/>
    <x v="309"/>
    <x v="72"/>
    <x v="97"/>
    <x v="18"/>
    <x v="1"/>
    <x v="1"/>
  </r>
  <r>
    <x v="12"/>
    <x v="4"/>
    <x v="12"/>
    <x v="310"/>
    <x v="56"/>
    <x v="40"/>
    <x v="0"/>
    <x v="6"/>
    <x v="4"/>
  </r>
  <r>
    <x v="12"/>
    <x v="4"/>
    <x v="14"/>
    <x v="311"/>
    <x v="31"/>
    <x v="15"/>
    <x v="10"/>
    <x v="10"/>
    <x v="0"/>
  </r>
  <r>
    <x v="12"/>
    <x v="4"/>
    <x v="14"/>
    <x v="312"/>
    <x v="103"/>
    <x v="13"/>
    <x v="0"/>
    <x v="20"/>
    <x v="19"/>
  </r>
  <r>
    <x v="12"/>
    <x v="4"/>
    <x v="14"/>
    <x v="313"/>
    <x v="30"/>
    <x v="1"/>
    <x v="23"/>
    <x v="23"/>
    <x v="32"/>
  </r>
  <r>
    <x v="12"/>
    <x v="4"/>
    <x v="14"/>
    <x v="314"/>
    <x v="33"/>
    <x v="30"/>
    <x v="13"/>
    <x v="0"/>
    <x v="11"/>
  </r>
  <r>
    <x v="12"/>
    <x v="4"/>
    <x v="14"/>
    <x v="315"/>
    <x v="72"/>
    <x v="36"/>
    <x v="10"/>
    <x v="0"/>
    <x v="18"/>
  </r>
  <r>
    <x v="12"/>
    <x v="4"/>
    <x v="14"/>
    <x v="316"/>
    <x v="30"/>
    <x v="30"/>
    <x v="9"/>
    <x v="10"/>
    <x v="0"/>
  </r>
  <r>
    <x v="13"/>
    <x v="5"/>
    <x v="2"/>
    <x v="317"/>
    <x v="167"/>
    <x v="52"/>
    <x v="16"/>
    <x v="17"/>
    <x v="4"/>
  </r>
  <r>
    <x v="13"/>
    <x v="5"/>
    <x v="2"/>
    <x v="318"/>
    <x v="168"/>
    <x v="19"/>
    <x v="1"/>
    <x v="0"/>
    <x v="21"/>
  </r>
  <r>
    <x v="13"/>
    <x v="5"/>
    <x v="7"/>
    <x v="319"/>
    <x v="169"/>
    <x v="93"/>
    <x v="16"/>
    <x v="3"/>
    <x v="6"/>
  </r>
  <r>
    <x v="13"/>
    <x v="5"/>
    <x v="7"/>
    <x v="320"/>
    <x v="50"/>
    <x v="48"/>
    <x v="0"/>
    <x v="0"/>
    <x v="8"/>
  </r>
  <r>
    <x v="13"/>
    <x v="5"/>
    <x v="7"/>
    <x v="321"/>
    <x v="68"/>
    <x v="19"/>
    <x v="0"/>
    <x v="10"/>
    <x v="0"/>
  </r>
  <r>
    <x v="13"/>
    <x v="5"/>
    <x v="24"/>
    <x v="322"/>
    <x v="94"/>
    <x v="93"/>
    <x v="17"/>
    <x v="13"/>
    <x v="11"/>
  </r>
  <r>
    <x v="13"/>
    <x v="5"/>
    <x v="24"/>
    <x v="323"/>
    <x v="29"/>
    <x v="107"/>
    <x v="1"/>
    <x v="1"/>
    <x v="1"/>
  </r>
  <r>
    <x v="13"/>
    <x v="5"/>
    <x v="24"/>
    <x v="324"/>
    <x v="170"/>
    <x v="69"/>
    <x v="16"/>
    <x v="0"/>
    <x v="21"/>
  </r>
  <r>
    <x v="13"/>
    <x v="5"/>
    <x v="29"/>
    <x v="325"/>
    <x v="171"/>
    <x v="33"/>
    <x v="5"/>
    <x v="2"/>
    <x v="2"/>
  </r>
  <r>
    <x v="13"/>
    <x v="5"/>
    <x v="29"/>
    <x v="326"/>
    <x v="172"/>
    <x v="104"/>
    <x v="17"/>
    <x v="21"/>
    <x v="22"/>
  </r>
  <r>
    <x v="13"/>
    <x v="5"/>
    <x v="29"/>
    <x v="327"/>
    <x v="173"/>
    <x v="43"/>
    <x v="8"/>
    <x v="4"/>
    <x v="25"/>
  </r>
  <r>
    <x v="13"/>
    <x v="5"/>
    <x v="29"/>
    <x v="328"/>
    <x v="174"/>
    <x v="107"/>
    <x v="16"/>
    <x v="2"/>
    <x v="25"/>
  </r>
  <r>
    <x v="13"/>
    <x v="5"/>
    <x v="29"/>
    <x v="329"/>
    <x v="175"/>
    <x v="108"/>
    <x v="13"/>
    <x v="12"/>
    <x v="7"/>
  </r>
  <r>
    <x v="13"/>
    <x v="5"/>
    <x v="18"/>
    <x v="330"/>
    <x v="102"/>
    <x v="66"/>
    <x v="22"/>
    <x v="2"/>
    <x v="24"/>
  </r>
  <r>
    <x v="13"/>
    <x v="5"/>
    <x v="22"/>
    <x v="331"/>
    <x v="176"/>
    <x v="4"/>
    <x v="15"/>
    <x v="4"/>
    <x v="27"/>
  </r>
  <r>
    <x v="13"/>
    <x v="5"/>
    <x v="5"/>
    <x v="332"/>
    <x v="132"/>
    <x v="54"/>
    <x v="0"/>
    <x v="0"/>
    <x v="11"/>
  </r>
  <r>
    <x v="13"/>
    <x v="5"/>
    <x v="5"/>
    <x v="333"/>
    <x v="13"/>
    <x v="104"/>
    <x v="16"/>
    <x v="11"/>
    <x v="14"/>
  </r>
  <r>
    <x v="14"/>
    <x v="5"/>
    <x v="18"/>
    <x v="334"/>
    <x v="177"/>
    <x v="109"/>
    <x v="17"/>
    <x v="2"/>
    <x v="4"/>
  </r>
  <r>
    <x v="14"/>
    <x v="5"/>
    <x v="4"/>
    <x v="335"/>
    <x v="178"/>
    <x v="20"/>
    <x v="13"/>
    <x v="16"/>
    <x v="18"/>
  </r>
  <r>
    <x v="14"/>
    <x v="5"/>
    <x v="4"/>
    <x v="336"/>
    <x v="179"/>
    <x v="51"/>
    <x v="0"/>
    <x v="20"/>
    <x v="18"/>
  </r>
  <r>
    <x v="14"/>
    <x v="5"/>
    <x v="4"/>
    <x v="337"/>
    <x v="30"/>
    <x v="13"/>
    <x v="8"/>
    <x v="6"/>
    <x v="21"/>
  </r>
  <r>
    <x v="14"/>
    <x v="5"/>
    <x v="7"/>
    <x v="338"/>
    <x v="180"/>
    <x v="95"/>
    <x v="14"/>
    <x v="14"/>
    <x v="11"/>
  </r>
  <r>
    <x v="14"/>
    <x v="5"/>
    <x v="7"/>
    <x v="339"/>
    <x v="60"/>
    <x v="83"/>
    <x v="13"/>
    <x v="18"/>
    <x v="21"/>
  </r>
  <r>
    <x v="14"/>
    <x v="5"/>
    <x v="7"/>
    <x v="340"/>
    <x v="181"/>
    <x v="83"/>
    <x v="16"/>
    <x v="20"/>
    <x v="8"/>
  </r>
  <r>
    <x v="14"/>
    <x v="5"/>
    <x v="7"/>
    <x v="341"/>
    <x v="182"/>
    <x v="26"/>
    <x v="12"/>
    <x v="7"/>
    <x v="17"/>
  </r>
  <r>
    <x v="14"/>
    <x v="5"/>
    <x v="7"/>
    <x v="342"/>
    <x v="32"/>
    <x v="30"/>
    <x v="14"/>
    <x v="10"/>
    <x v="19"/>
  </r>
  <r>
    <x v="14"/>
    <x v="5"/>
    <x v="30"/>
    <x v="343"/>
    <x v="30"/>
    <x v="19"/>
    <x v="18"/>
    <x v="1"/>
    <x v="1"/>
  </r>
  <r>
    <x v="14"/>
    <x v="5"/>
    <x v="12"/>
    <x v="344"/>
    <x v="30"/>
    <x v="26"/>
    <x v="16"/>
    <x v="14"/>
    <x v="14"/>
  </r>
  <r>
    <x v="14"/>
    <x v="5"/>
    <x v="13"/>
    <x v="345"/>
    <x v="183"/>
    <x v="15"/>
    <x v="24"/>
    <x v="17"/>
    <x v="7"/>
  </r>
  <r>
    <x v="14"/>
    <x v="5"/>
    <x v="13"/>
    <x v="346"/>
    <x v="184"/>
    <x v="42"/>
    <x v="22"/>
    <x v="26"/>
    <x v="24"/>
  </r>
  <r>
    <x v="14"/>
    <x v="5"/>
    <x v="13"/>
    <x v="347"/>
    <x v="185"/>
    <x v="26"/>
    <x v="12"/>
    <x v="0"/>
    <x v="18"/>
  </r>
  <r>
    <x v="14"/>
    <x v="5"/>
    <x v="11"/>
    <x v="348"/>
    <x v="31"/>
    <x v="83"/>
    <x v="16"/>
    <x v="14"/>
    <x v="14"/>
  </r>
  <r>
    <x v="14"/>
    <x v="5"/>
    <x v="11"/>
    <x v="349"/>
    <x v="134"/>
    <x v="28"/>
    <x v="17"/>
    <x v="11"/>
    <x v="4"/>
  </r>
  <r>
    <x v="14"/>
    <x v="5"/>
    <x v="11"/>
    <x v="350"/>
    <x v="58"/>
    <x v="27"/>
    <x v="11"/>
    <x v="18"/>
    <x v="21"/>
  </r>
  <r>
    <x v="14"/>
    <x v="5"/>
    <x v="11"/>
    <x v="351"/>
    <x v="89"/>
    <x v="27"/>
    <x v="13"/>
    <x v="18"/>
    <x v="11"/>
  </r>
  <r>
    <x v="15"/>
    <x v="5"/>
    <x v="18"/>
    <x v="352"/>
    <x v="99"/>
    <x v="93"/>
    <x v="10"/>
    <x v="6"/>
    <x v="0"/>
  </r>
  <r>
    <x v="15"/>
    <x v="5"/>
    <x v="7"/>
    <x v="353"/>
    <x v="186"/>
    <x v="44"/>
    <x v="11"/>
    <x v="4"/>
    <x v="4"/>
  </r>
  <r>
    <x v="15"/>
    <x v="5"/>
    <x v="7"/>
    <x v="354"/>
    <x v="187"/>
    <x v="18"/>
    <x v="8"/>
    <x v="20"/>
    <x v="19"/>
  </r>
  <r>
    <x v="15"/>
    <x v="5"/>
    <x v="7"/>
    <x v="355"/>
    <x v="1"/>
    <x v="28"/>
    <x v="18"/>
    <x v="8"/>
    <x v="10"/>
  </r>
  <r>
    <x v="15"/>
    <x v="5"/>
    <x v="31"/>
    <x v="356"/>
    <x v="29"/>
    <x v="41"/>
    <x v="9"/>
    <x v="9"/>
    <x v="13"/>
  </r>
  <r>
    <x v="15"/>
    <x v="5"/>
    <x v="2"/>
    <x v="357"/>
    <x v="188"/>
    <x v="43"/>
    <x v="24"/>
    <x v="4"/>
    <x v="31"/>
  </r>
  <r>
    <x v="15"/>
    <x v="5"/>
    <x v="1"/>
    <x v="358"/>
    <x v="189"/>
    <x v="32"/>
    <x v="4"/>
    <x v="13"/>
    <x v="4"/>
  </r>
  <r>
    <x v="15"/>
    <x v="5"/>
    <x v="27"/>
    <x v="359"/>
    <x v="31"/>
    <x v="19"/>
    <x v="10"/>
    <x v="10"/>
    <x v="0"/>
  </r>
  <r>
    <x v="15"/>
    <x v="5"/>
    <x v="9"/>
    <x v="360"/>
    <x v="190"/>
    <x v="47"/>
    <x v="13"/>
    <x v="10"/>
    <x v="21"/>
  </r>
  <r>
    <x v="15"/>
    <x v="5"/>
    <x v="9"/>
    <x v="361"/>
    <x v="105"/>
    <x v="13"/>
    <x v="1"/>
    <x v="16"/>
    <x v="18"/>
  </r>
  <r>
    <x v="15"/>
    <x v="5"/>
    <x v="27"/>
    <x v="362"/>
    <x v="72"/>
    <x v="40"/>
    <x v="18"/>
    <x v="10"/>
    <x v="10"/>
  </r>
  <r>
    <x v="15"/>
    <x v="5"/>
    <x v="32"/>
    <x v="363"/>
    <x v="191"/>
    <x v="110"/>
    <x v="6"/>
    <x v="4"/>
    <x v="26"/>
  </r>
  <r>
    <x v="15"/>
    <x v="5"/>
    <x v="32"/>
    <x v="364"/>
    <x v="111"/>
    <x v="43"/>
    <x v="14"/>
    <x v="18"/>
    <x v="19"/>
  </r>
  <r>
    <x v="15"/>
    <x v="5"/>
    <x v="32"/>
    <x v="365"/>
    <x v="0"/>
    <x v="53"/>
    <x v="0"/>
    <x v="8"/>
    <x v="10"/>
  </r>
  <r>
    <x v="15"/>
    <x v="5"/>
    <x v="32"/>
    <x v="366"/>
    <x v="13"/>
    <x v="30"/>
    <x v="14"/>
    <x v="16"/>
    <x v="18"/>
  </r>
  <r>
    <x v="15"/>
    <x v="5"/>
    <x v="15"/>
    <x v="367"/>
    <x v="192"/>
    <x v="74"/>
    <x v="4"/>
    <x v="14"/>
    <x v="6"/>
  </r>
  <r>
    <x v="15"/>
    <x v="5"/>
    <x v="15"/>
    <x v="368"/>
    <x v="50"/>
    <x v="56"/>
    <x v="18"/>
    <x v="8"/>
    <x v="10"/>
  </r>
  <r>
    <x v="15"/>
    <x v="5"/>
    <x v="14"/>
    <x v="369"/>
    <x v="103"/>
    <x v="71"/>
    <x v="19"/>
    <x v="25"/>
    <x v="12"/>
  </r>
  <r>
    <x v="16"/>
    <x v="5"/>
    <x v="5"/>
    <x v="370"/>
    <x v="193"/>
    <x v="16"/>
    <x v="11"/>
    <x v="14"/>
    <x v="14"/>
  </r>
  <r>
    <x v="16"/>
    <x v="5"/>
    <x v="5"/>
    <x v="371"/>
    <x v="8"/>
    <x v="25"/>
    <x v="13"/>
    <x v="20"/>
    <x v="8"/>
  </r>
  <r>
    <x v="16"/>
    <x v="5"/>
    <x v="5"/>
    <x v="372"/>
    <x v="50"/>
    <x v="77"/>
    <x v="14"/>
    <x v="16"/>
    <x v="19"/>
  </r>
  <r>
    <x v="16"/>
    <x v="5"/>
    <x v="5"/>
    <x v="373"/>
    <x v="1"/>
    <x v="15"/>
    <x v="18"/>
    <x v="8"/>
    <x v="10"/>
  </r>
  <r>
    <x v="16"/>
    <x v="5"/>
    <x v="7"/>
    <x v="374"/>
    <x v="67"/>
    <x v="1"/>
    <x v="14"/>
    <x v="10"/>
    <x v="19"/>
  </r>
  <r>
    <x v="16"/>
    <x v="5"/>
    <x v="7"/>
    <x v="375"/>
    <x v="30"/>
    <x v="80"/>
    <x v="1"/>
    <x v="1"/>
    <x v="1"/>
  </r>
  <r>
    <x v="16"/>
    <x v="5"/>
    <x v="9"/>
    <x v="376"/>
    <x v="91"/>
    <x v="111"/>
    <x v="26"/>
    <x v="28"/>
    <x v="5"/>
  </r>
  <r>
    <x v="16"/>
    <x v="5"/>
    <x v="31"/>
    <x v="377"/>
    <x v="148"/>
    <x v="112"/>
    <x v="16"/>
    <x v="14"/>
    <x v="11"/>
  </r>
  <r>
    <x v="16"/>
    <x v="5"/>
    <x v="31"/>
    <x v="378"/>
    <x v="128"/>
    <x v="107"/>
    <x v="18"/>
    <x v="18"/>
    <x v="8"/>
  </r>
  <r>
    <x v="16"/>
    <x v="5"/>
    <x v="31"/>
    <x v="379"/>
    <x v="194"/>
    <x v="21"/>
    <x v="1"/>
    <x v="6"/>
    <x v="0"/>
  </r>
  <r>
    <x v="16"/>
    <x v="5"/>
    <x v="31"/>
    <x v="380"/>
    <x v="68"/>
    <x v="66"/>
    <x v="8"/>
    <x v="20"/>
    <x v="11"/>
  </r>
  <r>
    <x v="16"/>
    <x v="5"/>
    <x v="31"/>
    <x v="381"/>
    <x v="116"/>
    <x v="113"/>
    <x v="0"/>
    <x v="16"/>
    <x v="18"/>
  </r>
  <r>
    <x v="16"/>
    <x v="5"/>
    <x v="31"/>
    <x v="382"/>
    <x v="40"/>
    <x v="93"/>
    <x v="0"/>
    <x v="0"/>
    <x v="18"/>
  </r>
  <r>
    <x v="16"/>
    <x v="5"/>
    <x v="31"/>
    <x v="383"/>
    <x v="67"/>
    <x v="100"/>
    <x v="14"/>
    <x v="8"/>
    <x v="0"/>
  </r>
  <r>
    <x v="16"/>
    <x v="5"/>
    <x v="10"/>
    <x v="384"/>
    <x v="68"/>
    <x v="114"/>
    <x v="8"/>
    <x v="18"/>
    <x v="21"/>
  </r>
  <r>
    <x v="16"/>
    <x v="5"/>
    <x v="10"/>
    <x v="385"/>
    <x v="31"/>
    <x v="13"/>
    <x v="18"/>
    <x v="10"/>
    <x v="0"/>
  </r>
  <r>
    <x v="16"/>
    <x v="5"/>
    <x v="33"/>
    <x v="386"/>
    <x v="116"/>
    <x v="98"/>
    <x v="8"/>
    <x v="1"/>
    <x v="21"/>
  </r>
  <r>
    <x v="16"/>
    <x v="5"/>
    <x v="33"/>
    <x v="387"/>
    <x v="1"/>
    <x v="56"/>
    <x v="10"/>
    <x v="10"/>
    <x v="0"/>
  </r>
  <r>
    <x v="16"/>
    <x v="5"/>
    <x v="19"/>
    <x v="388"/>
    <x v="8"/>
    <x v="83"/>
    <x v="11"/>
    <x v="6"/>
    <x v="11"/>
  </r>
  <r>
    <x v="16"/>
    <x v="5"/>
    <x v="19"/>
    <x v="389"/>
    <x v="13"/>
    <x v="21"/>
    <x v="25"/>
    <x v="1"/>
    <x v="0"/>
  </r>
  <r>
    <x v="16"/>
    <x v="5"/>
    <x v="33"/>
    <x v="390"/>
    <x v="1"/>
    <x v="98"/>
    <x v="18"/>
    <x v="8"/>
    <x v="10"/>
  </r>
  <r>
    <x v="16"/>
    <x v="5"/>
    <x v="2"/>
    <x v="391"/>
    <x v="31"/>
    <x v="41"/>
    <x v="18"/>
    <x v="8"/>
    <x v="10"/>
  </r>
  <r>
    <x v="17"/>
    <x v="3"/>
    <x v="34"/>
    <x v="392"/>
    <x v="103"/>
    <x v="67"/>
    <x v="10"/>
    <x v="20"/>
    <x v="0"/>
  </r>
  <r>
    <x v="17"/>
    <x v="3"/>
    <x v="34"/>
    <x v="393"/>
    <x v="124"/>
    <x v="105"/>
    <x v="0"/>
    <x v="16"/>
    <x v="13"/>
  </r>
  <r>
    <x v="17"/>
    <x v="3"/>
    <x v="34"/>
    <x v="394"/>
    <x v="128"/>
    <x v="28"/>
    <x v="14"/>
    <x v="0"/>
    <x v="0"/>
  </r>
  <r>
    <x v="17"/>
    <x v="3"/>
    <x v="34"/>
    <x v="395"/>
    <x v="40"/>
    <x v="100"/>
    <x v="8"/>
    <x v="16"/>
    <x v="19"/>
  </r>
  <r>
    <x v="17"/>
    <x v="3"/>
    <x v="7"/>
    <x v="396"/>
    <x v="1"/>
    <x v="1"/>
    <x v="1"/>
    <x v="1"/>
    <x v="1"/>
  </r>
  <r>
    <x v="17"/>
    <x v="3"/>
    <x v="7"/>
    <x v="397"/>
    <x v="116"/>
    <x v="71"/>
    <x v="1"/>
    <x v="1"/>
    <x v="1"/>
  </r>
  <r>
    <x v="17"/>
    <x v="3"/>
    <x v="10"/>
    <x v="398"/>
    <x v="195"/>
    <x v="3"/>
    <x v="7"/>
    <x v="17"/>
    <x v="17"/>
  </r>
  <r>
    <x v="17"/>
    <x v="3"/>
    <x v="10"/>
    <x v="399"/>
    <x v="196"/>
    <x v="115"/>
    <x v="14"/>
    <x v="16"/>
    <x v="13"/>
  </r>
  <r>
    <x v="17"/>
    <x v="3"/>
    <x v="10"/>
    <x v="400"/>
    <x v="151"/>
    <x v="105"/>
    <x v="10"/>
    <x v="8"/>
    <x v="10"/>
  </r>
  <r>
    <x v="17"/>
    <x v="3"/>
    <x v="10"/>
    <x v="401"/>
    <x v="51"/>
    <x v="104"/>
    <x v="11"/>
    <x v="20"/>
    <x v="11"/>
  </r>
  <r>
    <x v="17"/>
    <x v="3"/>
    <x v="10"/>
    <x v="402"/>
    <x v="197"/>
    <x v="8"/>
    <x v="8"/>
    <x v="1"/>
    <x v="1"/>
  </r>
  <r>
    <x v="17"/>
    <x v="3"/>
    <x v="10"/>
    <x v="403"/>
    <x v="30"/>
    <x v="32"/>
    <x v="11"/>
    <x v="20"/>
    <x v="11"/>
  </r>
  <r>
    <x v="17"/>
    <x v="3"/>
    <x v="10"/>
    <x v="404"/>
    <x v="50"/>
    <x v="19"/>
    <x v="8"/>
    <x v="10"/>
    <x v="21"/>
  </r>
  <r>
    <x v="17"/>
    <x v="3"/>
    <x v="22"/>
    <x v="405"/>
    <x v="31"/>
    <x v="80"/>
    <x v="18"/>
    <x v="9"/>
    <x v="13"/>
  </r>
  <r>
    <x v="17"/>
    <x v="3"/>
    <x v="22"/>
    <x v="406"/>
    <x v="128"/>
    <x v="116"/>
    <x v="18"/>
    <x v="9"/>
    <x v="1"/>
  </r>
  <r>
    <x v="17"/>
    <x v="3"/>
    <x v="15"/>
    <x v="407"/>
    <x v="59"/>
    <x v="13"/>
    <x v="8"/>
    <x v="16"/>
    <x v="21"/>
  </r>
  <r>
    <x v="17"/>
    <x v="3"/>
    <x v="15"/>
    <x v="408"/>
    <x v="50"/>
    <x v="26"/>
    <x v="1"/>
    <x v="8"/>
    <x v="10"/>
  </r>
  <r>
    <x v="17"/>
    <x v="3"/>
    <x v="15"/>
    <x v="409"/>
    <x v="116"/>
    <x v="29"/>
    <x v="18"/>
    <x v="1"/>
    <x v="0"/>
  </r>
  <r>
    <x v="17"/>
    <x v="3"/>
    <x v="13"/>
    <x v="410"/>
    <x v="13"/>
    <x v="20"/>
    <x v="11"/>
    <x v="6"/>
    <x v="21"/>
  </r>
  <r>
    <x v="17"/>
    <x v="3"/>
    <x v="13"/>
    <x v="411"/>
    <x v="198"/>
    <x v="45"/>
    <x v="7"/>
    <x v="14"/>
    <x v="11"/>
  </r>
  <r>
    <x v="17"/>
    <x v="3"/>
    <x v="13"/>
    <x v="412"/>
    <x v="59"/>
    <x v="80"/>
    <x v="13"/>
    <x v="20"/>
    <x v="11"/>
  </r>
  <r>
    <x v="17"/>
    <x v="3"/>
    <x v="13"/>
    <x v="413"/>
    <x v="197"/>
    <x v="38"/>
    <x v="0"/>
    <x v="9"/>
    <x v="13"/>
  </r>
  <r>
    <x v="17"/>
    <x v="3"/>
    <x v="13"/>
    <x v="414"/>
    <x v="125"/>
    <x v="50"/>
    <x v="16"/>
    <x v="14"/>
    <x v="8"/>
  </r>
  <r>
    <x v="17"/>
    <x v="3"/>
    <x v="13"/>
    <x v="415"/>
    <x v="199"/>
    <x v="98"/>
    <x v="8"/>
    <x v="18"/>
    <x v="21"/>
  </r>
  <r>
    <x v="17"/>
    <x v="3"/>
    <x v="13"/>
    <x v="416"/>
    <x v="41"/>
    <x v="25"/>
    <x v="0"/>
    <x v="0"/>
    <x v="19"/>
  </r>
  <r>
    <x v="17"/>
    <x v="3"/>
    <x v="17"/>
    <x v="417"/>
    <x v="12"/>
    <x v="117"/>
    <x v="0"/>
    <x v="17"/>
    <x v="11"/>
  </r>
  <r>
    <x v="17"/>
    <x v="3"/>
    <x v="17"/>
    <x v="418"/>
    <x v="200"/>
    <x v="40"/>
    <x v="16"/>
    <x v="19"/>
    <x v="6"/>
  </r>
  <r>
    <x v="17"/>
    <x v="3"/>
    <x v="11"/>
    <x v="419"/>
    <x v="201"/>
    <x v="84"/>
    <x v="17"/>
    <x v="7"/>
    <x v="6"/>
  </r>
  <r>
    <x v="17"/>
    <x v="3"/>
    <x v="11"/>
    <x v="420"/>
    <x v="67"/>
    <x v="98"/>
    <x v="8"/>
    <x v="1"/>
    <x v="19"/>
  </r>
  <r>
    <x v="17"/>
    <x v="3"/>
    <x v="11"/>
    <x v="421"/>
    <x v="13"/>
    <x v="26"/>
    <x v="0"/>
    <x v="16"/>
    <x v="0"/>
  </r>
  <r>
    <x v="17"/>
    <x v="3"/>
    <x v="11"/>
    <x v="422"/>
    <x v="8"/>
    <x v="45"/>
    <x v="18"/>
    <x v="1"/>
    <x v="19"/>
  </r>
  <r>
    <x v="17"/>
    <x v="3"/>
    <x v="11"/>
    <x v="423"/>
    <x v="58"/>
    <x v="27"/>
    <x v="0"/>
    <x v="10"/>
    <x v="18"/>
  </r>
  <r>
    <x v="17"/>
    <x v="3"/>
    <x v="19"/>
    <x v="424"/>
    <x v="50"/>
    <x v="25"/>
    <x v="18"/>
    <x v="10"/>
    <x v="1"/>
  </r>
  <r>
    <x v="17"/>
    <x v="3"/>
    <x v="14"/>
    <x v="425"/>
    <x v="202"/>
    <x v="100"/>
    <x v="24"/>
    <x v="5"/>
    <x v="7"/>
  </r>
  <r>
    <x v="17"/>
    <x v="3"/>
    <x v="14"/>
    <x v="426"/>
    <x v="128"/>
    <x v="69"/>
    <x v="14"/>
    <x v="16"/>
    <x v="10"/>
  </r>
  <r>
    <x v="17"/>
    <x v="3"/>
    <x v="14"/>
    <x v="427"/>
    <x v="103"/>
    <x v="33"/>
    <x v="18"/>
    <x v="8"/>
    <x v="18"/>
  </r>
  <r>
    <x v="17"/>
    <x v="3"/>
    <x v="14"/>
    <x v="428"/>
    <x v="51"/>
    <x v="35"/>
    <x v="1"/>
    <x v="8"/>
    <x v="1"/>
  </r>
  <r>
    <x v="17"/>
    <x v="3"/>
    <x v="14"/>
    <x v="429"/>
    <x v="116"/>
    <x v="48"/>
    <x v="14"/>
    <x v="8"/>
    <x v="1"/>
  </r>
  <r>
    <x v="18"/>
    <x v="6"/>
    <x v="7"/>
    <x v="430"/>
    <x v="59"/>
    <x v="35"/>
    <x v="18"/>
    <x v="1"/>
    <x v="1"/>
  </r>
  <r>
    <x v="18"/>
    <x v="6"/>
    <x v="7"/>
    <x v="431"/>
    <x v="30"/>
    <x v="19"/>
    <x v="1"/>
    <x v="1"/>
    <x v="1"/>
  </r>
  <r>
    <x v="18"/>
    <x v="6"/>
    <x v="7"/>
    <x v="432"/>
    <x v="103"/>
    <x v="13"/>
    <x v="25"/>
    <x v="1"/>
    <x v="1"/>
  </r>
  <r>
    <x v="18"/>
    <x v="6"/>
    <x v="24"/>
    <x v="433"/>
    <x v="30"/>
    <x v="80"/>
    <x v="11"/>
    <x v="18"/>
    <x v="8"/>
  </r>
  <r>
    <x v="18"/>
    <x v="6"/>
    <x v="21"/>
    <x v="434"/>
    <x v="99"/>
    <x v="12"/>
    <x v="18"/>
    <x v="10"/>
    <x v="1"/>
  </r>
  <r>
    <x v="18"/>
    <x v="6"/>
    <x v="21"/>
    <x v="435"/>
    <x v="30"/>
    <x v="27"/>
    <x v="18"/>
    <x v="8"/>
    <x v="1"/>
  </r>
  <r>
    <x v="18"/>
    <x v="6"/>
    <x v="21"/>
    <x v="436"/>
    <x v="125"/>
    <x v="25"/>
    <x v="10"/>
    <x v="10"/>
    <x v="0"/>
  </r>
  <r>
    <x v="18"/>
    <x v="6"/>
    <x v="21"/>
    <x v="437"/>
    <x v="67"/>
    <x v="26"/>
    <x v="8"/>
    <x v="18"/>
    <x v="8"/>
  </r>
  <r>
    <x v="18"/>
    <x v="6"/>
    <x v="21"/>
    <x v="438"/>
    <x v="173"/>
    <x v="118"/>
    <x v="10"/>
    <x v="25"/>
    <x v="22"/>
  </r>
  <r>
    <x v="18"/>
    <x v="6"/>
    <x v="21"/>
    <x v="439"/>
    <x v="37"/>
    <x v="45"/>
    <x v="14"/>
    <x v="0"/>
    <x v="18"/>
  </r>
  <r>
    <x v="18"/>
    <x v="6"/>
    <x v="21"/>
    <x v="440"/>
    <x v="128"/>
    <x v="28"/>
    <x v="14"/>
    <x v="16"/>
    <x v="10"/>
  </r>
  <r>
    <x v="18"/>
    <x v="6"/>
    <x v="21"/>
    <x v="441"/>
    <x v="29"/>
    <x v="57"/>
    <x v="0"/>
    <x v="16"/>
    <x v="19"/>
  </r>
  <r>
    <x v="18"/>
    <x v="6"/>
    <x v="22"/>
    <x v="442"/>
    <x v="8"/>
    <x v="36"/>
    <x v="14"/>
    <x v="8"/>
    <x v="0"/>
  </r>
  <r>
    <x v="18"/>
    <x v="6"/>
    <x v="22"/>
    <x v="443"/>
    <x v="59"/>
    <x v="24"/>
    <x v="10"/>
    <x v="8"/>
    <x v="10"/>
  </r>
  <r>
    <x v="18"/>
    <x v="6"/>
    <x v="17"/>
    <x v="444"/>
    <x v="8"/>
    <x v="32"/>
    <x v="14"/>
    <x v="6"/>
    <x v="21"/>
  </r>
  <r>
    <x v="18"/>
    <x v="6"/>
    <x v="10"/>
    <x v="445"/>
    <x v="203"/>
    <x v="6"/>
    <x v="24"/>
    <x v="13"/>
    <x v="17"/>
  </r>
  <r>
    <x v="18"/>
    <x v="6"/>
    <x v="10"/>
    <x v="446"/>
    <x v="78"/>
    <x v="105"/>
    <x v="10"/>
    <x v="1"/>
    <x v="1"/>
  </r>
  <r>
    <x v="18"/>
    <x v="6"/>
    <x v="10"/>
    <x v="447"/>
    <x v="29"/>
    <x v="48"/>
    <x v="29"/>
    <x v="30"/>
    <x v="23"/>
  </r>
  <r>
    <x v="18"/>
    <x v="6"/>
    <x v="10"/>
    <x v="448"/>
    <x v="162"/>
    <x v="77"/>
    <x v="11"/>
    <x v="20"/>
    <x v="21"/>
  </r>
  <r>
    <x v="18"/>
    <x v="6"/>
    <x v="10"/>
    <x v="449"/>
    <x v="32"/>
    <x v="32"/>
    <x v="0"/>
    <x v="16"/>
    <x v="21"/>
  </r>
  <r>
    <x v="18"/>
    <x v="6"/>
    <x v="10"/>
    <x v="450"/>
    <x v="132"/>
    <x v="8"/>
    <x v="8"/>
    <x v="20"/>
    <x v="21"/>
  </r>
  <r>
    <x v="18"/>
    <x v="6"/>
    <x v="10"/>
    <x v="451"/>
    <x v="72"/>
    <x v="13"/>
    <x v="1"/>
    <x v="1"/>
    <x v="10"/>
  </r>
  <r>
    <x v="18"/>
    <x v="6"/>
    <x v="10"/>
    <x v="452"/>
    <x v="103"/>
    <x v="35"/>
    <x v="25"/>
    <x v="9"/>
    <x v="22"/>
  </r>
  <r>
    <x v="18"/>
    <x v="6"/>
    <x v="33"/>
    <x v="453"/>
    <x v="139"/>
    <x v="98"/>
    <x v="14"/>
    <x v="22"/>
    <x v="22"/>
  </r>
  <r>
    <x v="18"/>
    <x v="6"/>
    <x v="33"/>
    <x v="454"/>
    <x v="39"/>
    <x v="56"/>
    <x v="8"/>
    <x v="22"/>
    <x v="9"/>
  </r>
  <r>
    <x v="18"/>
    <x v="6"/>
    <x v="33"/>
    <x v="455"/>
    <x v="50"/>
    <x v="90"/>
    <x v="1"/>
    <x v="1"/>
    <x v="1"/>
  </r>
  <r>
    <x v="18"/>
    <x v="6"/>
    <x v="14"/>
    <x v="456"/>
    <x v="139"/>
    <x v="81"/>
    <x v="7"/>
    <x v="20"/>
    <x v="0"/>
  </r>
  <r>
    <x v="18"/>
    <x v="6"/>
    <x v="14"/>
    <x v="457"/>
    <x v="43"/>
    <x v="45"/>
    <x v="22"/>
    <x v="31"/>
    <x v="31"/>
  </r>
  <r>
    <x v="18"/>
    <x v="6"/>
    <x v="14"/>
    <x v="458"/>
    <x v="33"/>
    <x v="0"/>
    <x v="8"/>
    <x v="16"/>
    <x v="19"/>
  </r>
  <r>
    <x v="18"/>
    <x v="6"/>
    <x v="14"/>
    <x v="459"/>
    <x v="125"/>
    <x v="15"/>
    <x v="0"/>
    <x v="6"/>
    <x v="18"/>
  </r>
  <r>
    <x v="18"/>
    <x v="6"/>
    <x v="14"/>
    <x v="460"/>
    <x v="33"/>
    <x v="19"/>
    <x v="10"/>
    <x v="10"/>
    <x v="10"/>
  </r>
  <r>
    <x v="18"/>
    <x v="6"/>
    <x v="12"/>
    <x v="461"/>
    <x v="177"/>
    <x v="53"/>
    <x v="8"/>
    <x v="18"/>
    <x v="8"/>
  </r>
  <r>
    <x v="18"/>
    <x v="6"/>
    <x v="13"/>
    <x v="462"/>
    <x v="31"/>
    <x v="28"/>
    <x v="18"/>
    <x v="10"/>
    <x v="10"/>
  </r>
  <r>
    <x v="18"/>
    <x v="6"/>
    <x v="13"/>
    <x v="463"/>
    <x v="1"/>
    <x v="28"/>
    <x v="18"/>
    <x v="8"/>
    <x v="10"/>
  </r>
  <r>
    <x v="18"/>
    <x v="6"/>
    <x v="5"/>
    <x v="464"/>
    <x v="37"/>
    <x v="56"/>
    <x v="25"/>
    <x v="25"/>
    <x v="32"/>
  </r>
  <r>
    <x v="19"/>
    <x v="5"/>
    <x v="24"/>
    <x v="465"/>
    <x v="8"/>
    <x v="102"/>
    <x v="0"/>
    <x v="10"/>
    <x v="21"/>
  </r>
  <r>
    <x v="19"/>
    <x v="5"/>
    <x v="35"/>
    <x v="466"/>
    <x v="185"/>
    <x v="105"/>
    <x v="16"/>
    <x v="14"/>
    <x v="14"/>
  </r>
  <r>
    <x v="19"/>
    <x v="5"/>
    <x v="35"/>
    <x v="467"/>
    <x v="204"/>
    <x v="41"/>
    <x v="18"/>
    <x v="8"/>
    <x v="1"/>
  </r>
  <r>
    <x v="19"/>
    <x v="5"/>
    <x v="35"/>
    <x v="468"/>
    <x v="99"/>
    <x v="42"/>
    <x v="0"/>
    <x v="30"/>
    <x v="9"/>
  </r>
  <r>
    <x v="19"/>
    <x v="5"/>
    <x v="35"/>
    <x v="469"/>
    <x v="29"/>
    <x v="25"/>
    <x v="11"/>
    <x v="18"/>
    <x v="8"/>
  </r>
  <r>
    <x v="19"/>
    <x v="5"/>
    <x v="7"/>
    <x v="470"/>
    <x v="49"/>
    <x v="119"/>
    <x v="8"/>
    <x v="0"/>
    <x v="13"/>
  </r>
  <r>
    <x v="19"/>
    <x v="5"/>
    <x v="18"/>
    <x v="471"/>
    <x v="59"/>
    <x v="74"/>
    <x v="0"/>
    <x v="6"/>
    <x v="21"/>
  </r>
  <r>
    <x v="19"/>
    <x v="5"/>
    <x v="18"/>
    <x v="472"/>
    <x v="1"/>
    <x v="24"/>
    <x v="1"/>
    <x v="1"/>
    <x v="1"/>
  </r>
  <r>
    <x v="19"/>
    <x v="5"/>
    <x v="18"/>
    <x v="473"/>
    <x v="205"/>
    <x v="120"/>
    <x v="13"/>
    <x v="10"/>
    <x v="21"/>
  </r>
  <r>
    <x v="19"/>
    <x v="5"/>
    <x v="10"/>
    <x v="474"/>
    <x v="206"/>
    <x v="53"/>
    <x v="7"/>
    <x v="5"/>
    <x v="25"/>
  </r>
  <r>
    <x v="19"/>
    <x v="5"/>
    <x v="10"/>
    <x v="475"/>
    <x v="207"/>
    <x v="71"/>
    <x v="13"/>
    <x v="6"/>
    <x v="8"/>
  </r>
  <r>
    <x v="19"/>
    <x v="5"/>
    <x v="10"/>
    <x v="476"/>
    <x v="31"/>
    <x v="24"/>
    <x v="14"/>
    <x v="16"/>
    <x v="10"/>
  </r>
  <r>
    <x v="19"/>
    <x v="5"/>
    <x v="10"/>
    <x v="477"/>
    <x v="50"/>
    <x v="83"/>
    <x v="18"/>
    <x v="8"/>
    <x v="10"/>
  </r>
  <r>
    <x v="19"/>
    <x v="5"/>
    <x v="17"/>
    <x v="478"/>
    <x v="208"/>
    <x v="104"/>
    <x v="4"/>
    <x v="13"/>
    <x v="6"/>
  </r>
  <r>
    <x v="19"/>
    <x v="5"/>
    <x v="36"/>
    <x v="479"/>
    <x v="44"/>
    <x v="109"/>
    <x v="3"/>
    <x v="17"/>
    <x v="24"/>
  </r>
  <r>
    <x v="19"/>
    <x v="5"/>
    <x v="11"/>
    <x v="480"/>
    <x v="209"/>
    <x v="29"/>
    <x v="9"/>
    <x v="9"/>
    <x v="32"/>
  </r>
  <r>
    <x v="19"/>
    <x v="5"/>
    <x v="11"/>
    <x v="481"/>
    <x v="71"/>
    <x v="56"/>
    <x v="18"/>
    <x v="1"/>
    <x v="1"/>
  </r>
  <r>
    <x v="19"/>
    <x v="5"/>
    <x v="11"/>
    <x v="482"/>
    <x v="95"/>
    <x v="77"/>
    <x v="0"/>
    <x v="10"/>
    <x v="19"/>
  </r>
  <r>
    <x v="19"/>
    <x v="5"/>
    <x v="15"/>
    <x v="483"/>
    <x v="210"/>
    <x v="67"/>
    <x v="8"/>
    <x v="5"/>
    <x v="17"/>
  </r>
  <r>
    <x v="19"/>
    <x v="5"/>
    <x v="15"/>
    <x v="484"/>
    <x v="50"/>
    <x v="15"/>
    <x v="1"/>
    <x v="1"/>
    <x v="1"/>
  </r>
  <r>
    <x v="19"/>
    <x v="5"/>
    <x v="13"/>
    <x v="485"/>
    <x v="50"/>
    <x v="38"/>
    <x v="10"/>
    <x v="10"/>
    <x v="18"/>
  </r>
  <r>
    <x v="19"/>
    <x v="5"/>
    <x v="13"/>
    <x v="486"/>
    <x v="38"/>
    <x v="77"/>
    <x v="16"/>
    <x v="19"/>
    <x v="4"/>
  </r>
  <r>
    <x v="19"/>
    <x v="5"/>
    <x v="13"/>
    <x v="487"/>
    <x v="55"/>
    <x v="84"/>
    <x v="8"/>
    <x v="6"/>
    <x v="21"/>
  </r>
  <r>
    <x v="19"/>
    <x v="5"/>
    <x v="13"/>
    <x v="488"/>
    <x v="67"/>
    <x v="74"/>
    <x v="14"/>
    <x v="6"/>
    <x v="19"/>
  </r>
  <r>
    <x v="19"/>
    <x v="5"/>
    <x v="13"/>
    <x v="489"/>
    <x v="1"/>
    <x v="84"/>
    <x v="13"/>
    <x v="20"/>
    <x v="11"/>
  </r>
  <r>
    <x v="19"/>
    <x v="5"/>
    <x v="12"/>
    <x v="490"/>
    <x v="161"/>
    <x v="29"/>
    <x v="14"/>
    <x v="20"/>
    <x v="10"/>
  </r>
  <r>
    <x v="19"/>
    <x v="5"/>
    <x v="19"/>
    <x v="491"/>
    <x v="29"/>
    <x v="19"/>
    <x v="18"/>
    <x v="8"/>
    <x v="0"/>
  </r>
  <r>
    <x v="19"/>
    <x v="5"/>
    <x v="22"/>
    <x v="492"/>
    <x v="1"/>
    <x v="24"/>
    <x v="10"/>
    <x v="10"/>
    <x v="0"/>
  </r>
  <r>
    <x v="19"/>
    <x v="5"/>
    <x v="22"/>
    <x v="493"/>
    <x v="168"/>
    <x v="80"/>
    <x v="10"/>
    <x v="10"/>
    <x v="0"/>
  </r>
  <r>
    <x v="19"/>
    <x v="5"/>
    <x v="14"/>
    <x v="494"/>
    <x v="111"/>
    <x v="76"/>
    <x v="14"/>
    <x v="16"/>
    <x v="19"/>
  </r>
  <r>
    <x v="19"/>
    <x v="5"/>
    <x v="14"/>
    <x v="495"/>
    <x v="211"/>
    <x v="32"/>
    <x v="8"/>
    <x v="0"/>
    <x v="21"/>
  </r>
  <r>
    <x v="19"/>
    <x v="5"/>
    <x v="14"/>
    <x v="496"/>
    <x v="67"/>
    <x v="24"/>
    <x v="8"/>
    <x v="0"/>
    <x v="21"/>
  </r>
  <r>
    <x v="20"/>
    <x v="4"/>
    <x v="7"/>
    <x v="497"/>
    <x v="65"/>
    <x v="50"/>
    <x v="18"/>
    <x v="8"/>
    <x v="10"/>
  </r>
  <r>
    <x v="20"/>
    <x v="4"/>
    <x v="7"/>
    <x v="498"/>
    <x v="30"/>
    <x v="41"/>
    <x v="18"/>
    <x v="8"/>
    <x v="10"/>
  </r>
  <r>
    <x v="20"/>
    <x v="4"/>
    <x v="7"/>
    <x v="499"/>
    <x v="30"/>
    <x v="67"/>
    <x v="13"/>
    <x v="20"/>
    <x v="8"/>
  </r>
  <r>
    <x v="20"/>
    <x v="4"/>
    <x v="7"/>
    <x v="500"/>
    <x v="168"/>
    <x v="19"/>
    <x v="1"/>
    <x v="1"/>
    <x v="13"/>
  </r>
  <r>
    <x v="20"/>
    <x v="4"/>
    <x v="31"/>
    <x v="501"/>
    <x v="114"/>
    <x v="41"/>
    <x v="7"/>
    <x v="12"/>
    <x v="17"/>
  </r>
  <r>
    <x v="20"/>
    <x v="4"/>
    <x v="2"/>
    <x v="502"/>
    <x v="58"/>
    <x v="14"/>
    <x v="0"/>
    <x v="6"/>
    <x v="18"/>
  </r>
  <r>
    <x v="20"/>
    <x v="4"/>
    <x v="2"/>
    <x v="503"/>
    <x v="128"/>
    <x v="102"/>
    <x v="1"/>
    <x v="10"/>
    <x v="22"/>
  </r>
  <r>
    <x v="20"/>
    <x v="4"/>
    <x v="2"/>
    <x v="504"/>
    <x v="62"/>
    <x v="38"/>
    <x v="18"/>
    <x v="8"/>
    <x v="1"/>
  </r>
  <r>
    <x v="20"/>
    <x v="4"/>
    <x v="10"/>
    <x v="505"/>
    <x v="212"/>
    <x v="46"/>
    <x v="10"/>
    <x v="20"/>
    <x v="11"/>
  </r>
  <r>
    <x v="20"/>
    <x v="4"/>
    <x v="10"/>
    <x v="506"/>
    <x v="116"/>
    <x v="21"/>
    <x v="16"/>
    <x v="6"/>
    <x v="8"/>
  </r>
  <r>
    <x v="20"/>
    <x v="4"/>
    <x v="17"/>
    <x v="507"/>
    <x v="213"/>
    <x v="121"/>
    <x v="24"/>
    <x v="3"/>
    <x v="6"/>
  </r>
  <r>
    <x v="20"/>
    <x v="4"/>
    <x v="11"/>
    <x v="508"/>
    <x v="8"/>
    <x v="57"/>
    <x v="0"/>
    <x v="16"/>
    <x v="18"/>
  </r>
  <r>
    <x v="20"/>
    <x v="4"/>
    <x v="11"/>
    <x v="509"/>
    <x v="103"/>
    <x v="25"/>
    <x v="8"/>
    <x v="18"/>
    <x v="8"/>
  </r>
  <r>
    <x v="20"/>
    <x v="4"/>
    <x v="11"/>
    <x v="510"/>
    <x v="29"/>
    <x v="42"/>
    <x v="11"/>
    <x v="18"/>
    <x v="8"/>
  </r>
  <r>
    <x v="20"/>
    <x v="4"/>
    <x v="19"/>
    <x v="511"/>
    <x v="29"/>
    <x v="42"/>
    <x v="1"/>
    <x v="1"/>
    <x v="1"/>
  </r>
  <r>
    <x v="20"/>
    <x v="4"/>
    <x v="19"/>
    <x v="512"/>
    <x v="211"/>
    <x v="68"/>
    <x v="16"/>
    <x v="15"/>
    <x v="7"/>
  </r>
  <r>
    <x v="20"/>
    <x v="4"/>
    <x v="15"/>
    <x v="513"/>
    <x v="27"/>
    <x v="122"/>
    <x v="16"/>
    <x v="2"/>
    <x v="17"/>
  </r>
  <r>
    <x v="20"/>
    <x v="4"/>
    <x v="15"/>
    <x v="514"/>
    <x v="33"/>
    <x v="120"/>
    <x v="10"/>
    <x v="10"/>
    <x v="0"/>
  </r>
  <r>
    <x v="20"/>
    <x v="4"/>
    <x v="15"/>
    <x v="515"/>
    <x v="1"/>
    <x v="90"/>
    <x v="10"/>
    <x v="10"/>
    <x v="0"/>
  </r>
  <r>
    <x v="20"/>
    <x v="4"/>
    <x v="13"/>
    <x v="516"/>
    <x v="64"/>
    <x v="119"/>
    <x v="13"/>
    <x v="6"/>
    <x v="21"/>
  </r>
  <r>
    <x v="20"/>
    <x v="4"/>
    <x v="13"/>
    <x v="517"/>
    <x v="29"/>
    <x v="25"/>
    <x v="13"/>
    <x v="20"/>
    <x v="11"/>
  </r>
  <r>
    <x v="20"/>
    <x v="4"/>
    <x v="13"/>
    <x v="518"/>
    <x v="95"/>
    <x v="27"/>
    <x v="0"/>
    <x v="16"/>
    <x v="19"/>
  </r>
  <r>
    <x v="20"/>
    <x v="4"/>
    <x v="14"/>
    <x v="519"/>
    <x v="214"/>
    <x v="59"/>
    <x v="7"/>
    <x v="28"/>
    <x v="17"/>
  </r>
  <r>
    <x v="20"/>
    <x v="4"/>
    <x v="14"/>
    <x v="520"/>
    <x v="67"/>
    <x v="24"/>
    <x v="18"/>
    <x v="16"/>
    <x v="19"/>
  </r>
  <r>
    <x v="20"/>
    <x v="4"/>
    <x v="13"/>
    <x v="521"/>
    <x v="31"/>
    <x v="25"/>
    <x v="0"/>
    <x v="0"/>
    <x v="18"/>
  </r>
  <r>
    <x v="20"/>
    <x v="4"/>
    <x v="13"/>
    <x v="522"/>
    <x v="50"/>
    <x v="26"/>
    <x v="1"/>
    <x v="10"/>
    <x v="13"/>
  </r>
  <r>
    <x v="20"/>
    <x v="4"/>
    <x v="14"/>
    <x v="523"/>
    <x v="72"/>
    <x v="37"/>
    <x v="8"/>
    <x v="10"/>
    <x v="18"/>
  </r>
  <r>
    <x v="20"/>
    <x v="4"/>
    <x v="14"/>
    <x v="524"/>
    <x v="177"/>
    <x v="32"/>
    <x v="8"/>
    <x v="18"/>
    <x v="21"/>
  </r>
  <r>
    <x v="20"/>
    <x v="4"/>
    <x v="14"/>
    <x v="525"/>
    <x v="103"/>
    <x v="104"/>
    <x v="10"/>
    <x v="10"/>
    <x v="1"/>
  </r>
  <r>
    <x v="20"/>
    <x v="4"/>
    <x v="14"/>
    <x v="526"/>
    <x v="51"/>
    <x v="84"/>
    <x v="14"/>
    <x v="9"/>
    <x v="10"/>
  </r>
  <r>
    <x v="20"/>
    <x v="4"/>
    <x v="14"/>
    <x v="527"/>
    <x v="33"/>
    <x v="52"/>
    <x v="7"/>
    <x v="20"/>
    <x v="4"/>
  </r>
  <r>
    <x v="20"/>
    <x v="4"/>
    <x v="14"/>
    <x v="528"/>
    <x v="30"/>
    <x v="27"/>
    <x v="0"/>
    <x v="6"/>
    <x v="21"/>
  </r>
  <r>
    <x v="20"/>
    <x v="4"/>
    <x v="14"/>
    <x v="529"/>
    <x v="149"/>
    <x v="123"/>
    <x v="14"/>
    <x v="16"/>
    <x v="19"/>
  </r>
  <r>
    <x v="20"/>
    <x v="4"/>
    <x v="37"/>
    <x v="530"/>
    <x v="72"/>
    <x v="27"/>
    <x v="10"/>
    <x v="10"/>
    <x v="0"/>
  </r>
  <r>
    <x v="20"/>
    <x v="4"/>
    <x v="37"/>
    <x v="531"/>
    <x v="149"/>
    <x v="124"/>
    <x v="10"/>
    <x v="8"/>
    <x v="1"/>
  </r>
  <r>
    <x v="21"/>
    <x v="5"/>
    <x v="0"/>
    <x v="532"/>
    <x v="1"/>
    <x v="15"/>
    <x v="1"/>
    <x v="1"/>
    <x v="1"/>
  </r>
  <r>
    <x v="21"/>
    <x v="5"/>
    <x v="7"/>
    <x v="533"/>
    <x v="31"/>
    <x v="71"/>
    <x v="1"/>
    <x v="1"/>
    <x v="1"/>
  </r>
  <r>
    <x v="21"/>
    <x v="5"/>
    <x v="7"/>
    <x v="534"/>
    <x v="29"/>
    <x v="1"/>
    <x v="18"/>
    <x v="8"/>
    <x v="10"/>
  </r>
  <r>
    <x v="21"/>
    <x v="5"/>
    <x v="7"/>
    <x v="535"/>
    <x v="116"/>
    <x v="15"/>
    <x v="14"/>
    <x v="16"/>
    <x v="19"/>
  </r>
  <r>
    <x v="21"/>
    <x v="5"/>
    <x v="7"/>
    <x v="536"/>
    <x v="1"/>
    <x v="24"/>
    <x v="30"/>
    <x v="10"/>
    <x v="0"/>
  </r>
  <r>
    <x v="21"/>
    <x v="5"/>
    <x v="9"/>
    <x v="537"/>
    <x v="60"/>
    <x v="125"/>
    <x v="21"/>
    <x v="15"/>
    <x v="17"/>
  </r>
  <r>
    <x v="21"/>
    <x v="5"/>
    <x v="9"/>
    <x v="538"/>
    <x v="215"/>
    <x v="96"/>
    <x v="13"/>
    <x v="6"/>
    <x v="21"/>
  </r>
  <r>
    <x v="21"/>
    <x v="5"/>
    <x v="5"/>
    <x v="539"/>
    <x v="30"/>
    <x v="49"/>
    <x v="1"/>
    <x v="0"/>
    <x v="18"/>
  </r>
  <r>
    <x v="21"/>
    <x v="5"/>
    <x v="31"/>
    <x v="540"/>
    <x v="216"/>
    <x v="17"/>
    <x v="11"/>
    <x v="0"/>
    <x v="21"/>
  </r>
  <r>
    <x v="21"/>
    <x v="5"/>
    <x v="31"/>
    <x v="541"/>
    <x v="50"/>
    <x v="24"/>
    <x v="14"/>
    <x v="16"/>
    <x v="19"/>
  </r>
  <r>
    <x v="21"/>
    <x v="5"/>
    <x v="31"/>
    <x v="542"/>
    <x v="8"/>
    <x v="47"/>
    <x v="0"/>
    <x v="16"/>
    <x v="10"/>
  </r>
  <r>
    <x v="21"/>
    <x v="5"/>
    <x v="10"/>
    <x v="543"/>
    <x v="177"/>
    <x v="59"/>
    <x v="12"/>
    <x v="15"/>
    <x v="2"/>
  </r>
  <r>
    <x v="21"/>
    <x v="5"/>
    <x v="10"/>
    <x v="544"/>
    <x v="99"/>
    <x v="6"/>
    <x v="14"/>
    <x v="16"/>
    <x v="19"/>
  </r>
  <r>
    <x v="21"/>
    <x v="5"/>
    <x v="10"/>
    <x v="545"/>
    <x v="29"/>
    <x v="50"/>
    <x v="14"/>
    <x v="16"/>
    <x v="19"/>
  </r>
  <r>
    <x v="21"/>
    <x v="5"/>
    <x v="33"/>
    <x v="546"/>
    <x v="8"/>
    <x v="14"/>
    <x v="0"/>
    <x v="0"/>
    <x v="18"/>
  </r>
  <r>
    <x v="21"/>
    <x v="5"/>
    <x v="33"/>
    <x v="547"/>
    <x v="58"/>
    <x v="15"/>
    <x v="11"/>
    <x v="6"/>
    <x v="8"/>
  </r>
  <r>
    <x v="21"/>
    <x v="5"/>
    <x v="33"/>
    <x v="548"/>
    <x v="72"/>
    <x v="42"/>
    <x v="10"/>
    <x v="10"/>
    <x v="0"/>
  </r>
  <r>
    <x v="21"/>
    <x v="5"/>
    <x v="33"/>
    <x v="549"/>
    <x v="157"/>
    <x v="57"/>
    <x v="14"/>
    <x v="0"/>
    <x v="18"/>
  </r>
  <r>
    <x v="21"/>
    <x v="5"/>
    <x v="22"/>
    <x v="550"/>
    <x v="41"/>
    <x v="39"/>
    <x v="10"/>
    <x v="25"/>
    <x v="13"/>
  </r>
  <r>
    <x v="21"/>
    <x v="5"/>
    <x v="12"/>
    <x v="551"/>
    <x v="149"/>
    <x v="42"/>
    <x v="0"/>
    <x v="0"/>
    <x v="8"/>
  </r>
  <r>
    <x v="22"/>
    <x v="5"/>
    <x v="19"/>
    <x v="552"/>
    <x v="217"/>
    <x v="54"/>
    <x v="12"/>
    <x v="13"/>
    <x v="7"/>
  </r>
  <r>
    <x v="22"/>
    <x v="5"/>
    <x v="19"/>
    <x v="553"/>
    <x v="38"/>
    <x v="6"/>
    <x v="7"/>
    <x v="7"/>
    <x v="4"/>
  </r>
  <r>
    <x v="22"/>
    <x v="5"/>
    <x v="19"/>
    <x v="554"/>
    <x v="11"/>
    <x v="126"/>
    <x v="8"/>
    <x v="18"/>
    <x v="8"/>
  </r>
  <r>
    <x v="22"/>
    <x v="5"/>
    <x v="2"/>
    <x v="555"/>
    <x v="165"/>
    <x v="127"/>
    <x v="14"/>
    <x v="20"/>
    <x v="8"/>
  </r>
  <r>
    <x v="22"/>
    <x v="5"/>
    <x v="9"/>
    <x v="556"/>
    <x v="11"/>
    <x v="49"/>
    <x v="7"/>
    <x v="18"/>
    <x v="17"/>
  </r>
  <r>
    <x v="22"/>
    <x v="5"/>
    <x v="9"/>
    <x v="557"/>
    <x v="67"/>
    <x v="1"/>
    <x v="25"/>
    <x v="22"/>
    <x v="13"/>
  </r>
  <r>
    <x v="22"/>
    <x v="5"/>
    <x v="10"/>
    <x v="558"/>
    <x v="51"/>
    <x v="66"/>
    <x v="18"/>
    <x v="8"/>
    <x v="10"/>
  </r>
  <r>
    <x v="22"/>
    <x v="5"/>
    <x v="10"/>
    <x v="559"/>
    <x v="126"/>
    <x v="53"/>
    <x v="0"/>
    <x v="16"/>
    <x v="13"/>
  </r>
  <r>
    <x v="22"/>
    <x v="5"/>
    <x v="10"/>
    <x v="560"/>
    <x v="29"/>
    <x v="34"/>
    <x v="16"/>
    <x v="14"/>
    <x v="14"/>
  </r>
  <r>
    <x v="22"/>
    <x v="5"/>
    <x v="10"/>
    <x v="561"/>
    <x v="157"/>
    <x v="65"/>
    <x v="4"/>
    <x v="11"/>
    <x v="6"/>
  </r>
  <r>
    <x v="22"/>
    <x v="5"/>
    <x v="10"/>
    <x v="562"/>
    <x v="1"/>
    <x v="13"/>
    <x v="1"/>
    <x v="1"/>
    <x v="1"/>
  </r>
  <r>
    <x v="22"/>
    <x v="5"/>
    <x v="15"/>
    <x v="563"/>
    <x v="218"/>
    <x v="31"/>
    <x v="20"/>
    <x v="4"/>
    <x v="5"/>
  </r>
  <r>
    <x v="22"/>
    <x v="5"/>
    <x v="15"/>
    <x v="564"/>
    <x v="149"/>
    <x v="28"/>
    <x v="8"/>
    <x v="6"/>
    <x v="18"/>
  </r>
  <r>
    <x v="22"/>
    <x v="5"/>
    <x v="15"/>
    <x v="565"/>
    <x v="180"/>
    <x v="21"/>
    <x v="25"/>
    <x v="9"/>
    <x v="13"/>
  </r>
  <r>
    <x v="22"/>
    <x v="5"/>
    <x v="15"/>
    <x v="566"/>
    <x v="49"/>
    <x v="41"/>
    <x v="17"/>
    <x v="15"/>
    <x v="2"/>
  </r>
  <r>
    <x v="22"/>
    <x v="5"/>
    <x v="15"/>
    <x v="567"/>
    <x v="56"/>
    <x v="19"/>
    <x v="14"/>
    <x v="0"/>
    <x v="19"/>
  </r>
  <r>
    <x v="22"/>
    <x v="5"/>
    <x v="15"/>
    <x v="568"/>
    <x v="67"/>
    <x v="57"/>
    <x v="10"/>
    <x v="8"/>
    <x v="0"/>
  </r>
  <r>
    <x v="22"/>
    <x v="5"/>
    <x v="15"/>
    <x v="569"/>
    <x v="219"/>
    <x v="30"/>
    <x v="11"/>
    <x v="20"/>
    <x v="11"/>
  </r>
  <r>
    <x v="22"/>
    <x v="5"/>
    <x v="17"/>
    <x v="570"/>
    <x v="220"/>
    <x v="128"/>
    <x v="3"/>
    <x v="32"/>
    <x v="27"/>
  </r>
  <r>
    <x v="22"/>
    <x v="5"/>
    <x v="17"/>
    <x v="571"/>
    <x v="160"/>
    <x v="129"/>
    <x v="25"/>
    <x v="10"/>
    <x v="1"/>
  </r>
  <r>
    <x v="22"/>
    <x v="5"/>
    <x v="17"/>
    <x v="572"/>
    <x v="221"/>
    <x v="130"/>
    <x v="24"/>
    <x v="2"/>
    <x v="24"/>
  </r>
  <r>
    <x v="22"/>
    <x v="5"/>
    <x v="17"/>
    <x v="573"/>
    <x v="222"/>
    <x v="131"/>
    <x v="6"/>
    <x v="31"/>
    <x v="26"/>
  </r>
  <r>
    <x v="22"/>
    <x v="5"/>
    <x v="17"/>
    <x v="574"/>
    <x v="65"/>
    <x v="41"/>
    <x v="0"/>
    <x v="0"/>
    <x v="21"/>
  </r>
  <r>
    <x v="22"/>
    <x v="5"/>
    <x v="13"/>
    <x v="575"/>
    <x v="190"/>
    <x v="90"/>
    <x v="7"/>
    <x v="15"/>
    <x v="6"/>
  </r>
  <r>
    <x v="22"/>
    <x v="5"/>
    <x v="13"/>
    <x v="576"/>
    <x v="223"/>
    <x v="35"/>
    <x v="11"/>
    <x v="19"/>
    <x v="6"/>
  </r>
  <r>
    <x v="22"/>
    <x v="5"/>
    <x v="13"/>
    <x v="577"/>
    <x v="27"/>
    <x v="35"/>
    <x v="6"/>
    <x v="17"/>
    <x v="7"/>
  </r>
  <r>
    <x v="22"/>
    <x v="5"/>
    <x v="13"/>
    <x v="578"/>
    <x v="224"/>
    <x v="42"/>
    <x v="24"/>
    <x v="17"/>
    <x v="2"/>
  </r>
  <r>
    <x v="22"/>
    <x v="5"/>
    <x v="13"/>
    <x v="579"/>
    <x v="27"/>
    <x v="56"/>
    <x v="12"/>
    <x v="11"/>
    <x v="6"/>
  </r>
  <r>
    <x v="22"/>
    <x v="5"/>
    <x v="13"/>
    <x v="580"/>
    <x v="151"/>
    <x v="25"/>
    <x v="0"/>
    <x v="16"/>
    <x v="19"/>
  </r>
  <r>
    <x v="22"/>
    <x v="5"/>
    <x v="5"/>
    <x v="581"/>
    <x v="140"/>
    <x v="1"/>
    <x v="14"/>
    <x v="6"/>
    <x v="18"/>
  </r>
  <r>
    <x v="23"/>
    <x v="5"/>
    <x v="12"/>
    <x v="582"/>
    <x v="111"/>
    <x v="22"/>
    <x v="9"/>
    <x v="1"/>
    <x v="10"/>
  </r>
  <r>
    <x v="23"/>
    <x v="5"/>
    <x v="13"/>
    <x v="583"/>
    <x v="89"/>
    <x v="56"/>
    <x v="6"/>
    <x v="15"/>
    <x v="7"/>
  </r>
  <r>
    <x v="23"/>
    <x v="5"/>
    <x v="13"/>
    <x v="584"/>
    <x v="65"/>
    <x v="32"/>
    <x v="13"/>
    <x v="14"/>
    <x v="11"/>
  </r>
  <r>
    <x v="23"/>
    <x v="5"/>
    <x v="13"/>
    <x v="585"/>
    <x v="225"/>
    <x v="42"/>
    <x v="11"/>
    <x v="18"/>
    <x v="11"/>
  </r>
  <r>
    <x v="23"/>
    <x v="5"/>
    <x v="13"/>
    <x v="586"/>
    <x v="226"/>
    <x v="97"/>
    <x v="7"/>
    <x v="18"/>
    <x v="4"/>
  </r>
  <r>
    <x v="23"/>
    <x v="5"/>
    <x v="13"/>
    <x v="587"/>
    <x v="227"/>
    <x v="97"/>
    <x v="21"/>
    <x v="11"/>
    <x v="16"/>
  </r>
  <r>
    <x v="23"/>
    <x v="5"/>
    <x v="13"/>
    <x v="588"/>
    <x v="29"/>
    <x v="25"/>
    <x v="14"/>
    <x v="0"/>
    <x v="18"/>
  </r>
  <r>
    <x v="23"/>
    <x v="5"/>
    <x v="14"/>
    <x v="589"/>
    <x v="13"/>
    <x v="13"/>
    <x v="11"/>
    <x v="0"/>
    <x v="14"/>
  </r>
  <r>
    <x v="23"/>
    <x v="5"/>
    <x v="14"/>
    <x v="590"/>
    <x v="72"/>
    <x v="24"/>
    <x v="14"/>
    <x v="8"/>
    <x v="19"/>
  </r>
  <r>
    <x v="23"/>
    <x v="5"/>
    <x v="14"/>
    <x v="591"/>
    <x v="95"/>
    <x v="15"/>
    <x v="14"/>
    <x v="8"/>
    <x v="0"/>
  </r>
  <r>
    <x v="23"/>
    <x v="5"/>
    <x v="14"/>
    <x v="592"/>
    <x v="116"/>
    <x v="28"/>
    <x v="0"/>
    <x v="16"/>
    <x v="19"/>
  </r>
  <r>
    <x v="23"/>
    <x v="5"/>
    <x v="27"/>
    <x v="593"/>
    <x v="29"/>
    <x v="12"/>
    <x v="10"/>
    <x v="10"/>
    <x v="0"/>
  </r>
  <r>
    <x v="23"/>
    <x v="5"/>
    <x v="27"/>
    <x v="594"/>
    <x v="50"/>
    <x v="51"/>
    <x v="18"/>
    <x v="16"/>
    <x v="19"/>
  </r>
  <r>
    <x v="23"/>
    <x v="5"/>
    <x v="27"/>
    <x v="595"/>
    <x v="59"/>
    <x v="19"/>
    <x v="1"/>
    <x v="1"/>
    <x v="1"/>
  </r>
  <r>
    <x v="23"/>
    <x v="5"/>
    <x v="17"/>
    <x v="596"/>
    <x v="95"/>
    <x v="39"/>
    <x v="8"/>
    <x v="6"/>
    <x v="21"/>
  </r>
  <r>
    <x v="23"/>
    <x v="5"/>
    <x v="27"/>
    <x v="597"/>
    <x v="1"/>
    <x v="24"/>
    <x v="1"/>
    <x v="1"/>
    <x v="1"/>
  </r>
  <r>
    <x v="23"/>
    <x v="5"/>
    <x v="10"/>
    <x v="598"/>
    <x v="228"/>
    <x v="18"/>
    <x v="27"/>
    <x v="28"/>
    <x v="31"/>
  </r>
  <r>
    <x v="23"/>
    <x v="5"/>
    <x v="10"/>
    <x v="599"/>
    <x v="229"/>
    <x v="68"/>
    <x v="20"/>
    <x v="13"/>
    <x v="7"/>
  </r>
  <r>
    <x v="23"/>
    <x v="5"/>
    <x v="10"/>
    <x v="600"/>
    <x v="193"/>
    <x v="50"/>
    <x v="13"/>
    <x v="14"/>
    <x v="11"/>
  </r>
  <r>
    <x v="23"/>
    <x v="5"/>
    <x v="22"/>
    <x v="601"/>
    <x v="161"/>
    <x v="105"/>
    <x v="13"/>
    <x v="18"/>
    <x v="8"/>
  </r>
  <r>
    <x v="23"/>
    <x v="5"/>
    <x v="22"/>
    <x v="602"/>
    <x v="93"/>
    <x v="81"/>
    <x v="8"/>
    <x v="16"/>
    <x v="19"/>
  </r>
  <r>
    <x v="23"/>
    <x v="5"/>
    <x v="22"/>
    <x v="603"/>
    <x v="102"/>
    <x v="39"/>
    <x v="18"/>
    <x v="8"/>
    <x v="10"/>
  </r>
  <r>
    <x v="23"/>
    <x v="5"/>
    <x v="22"/>
    <x v="604"/>
    <x v="31"/>
    <x v="48"/>
    <x v="14"/>
    <x v="18"/>
    <x v="8"/>
  </r>
  <r>
    <x v="23"/>
    <x v="5"/>
    <x v="22"/>
    <x v="605"/>
    <x v="50"/>
    <x v="48"/>
    <x v="14"/>
    <x v="16"/>
    <x v="19"/>
  </r>
  <r>
    <x v="24"/>
    <x v="5"/>
    <x v="7"/>
    <x v="606"/>
    <x v="156"/>
    <x v="69"/>
    <x v="10"/>
    <x v="16"/>
    <x v="10"/>
  </r>
  <r>
    <x v="24"/>
    <x v="5"/>
    <x v="7"/>
    <x v="607"/>
    <x v="29"/>
    <x v="77"/>
    <x v="14"/>
    <x v="16"/>
    <x v="19"/>
  </r>
  <r>
    <x v="24"/>
    <x v="5"/>
    <x v="7"/>
    <x v="608"/>
    <x v="127"/>
    <x v="51"/>
    <x v="7"/>
    <x v="18"/>
    <x v="14"/>
  </r>
  <r>
    <x v="24"/>
    <x v="5"/>
    <x v="7"/>
    <x v="609"/>
    <x v="72"/>
    <x v="24"/>
    <x v="11"/>
    <x v="18"/>
    <x v="8"/>
  </r>
  <r>
    <x v="24"/>
    <x v="5"/>
    <x v="7"/>
    <x v="610"/>
    <x v="1"/>
    <x v="26"/>
    <x v="1"/>
    <x v="1"/>
    <x v="1"/>
  </r>
  <r>
    <x v="24"/>
    <x v="5"/>
    <x v="38"/>
    <x v="611"/>
    <x v="29"/>
    <x v="80"/>
    <x v="10"/>
    <x v="8"/>
    <x v="10"/>
  </r>
  <r>
    <x v="24"/>
    <x v="5"/>
    <x v="9"/>
    <x v="612"/>
    <x v="61"/>
    <x v="132"/>
    <x v="19"/>
    <x v="13"/>
    <x v="21"/>
  </r>
  <r>
    <x v="24"/>
    <x v="5"/>
    <x v="9"/>
    <x v="613"/>
    <x v="50"/>
    <x v="24"/>
    <x v="18"/>
    <x v="8"/>
    <x v="1"/>
  </r>
  <r>
    <x v="24"/>
    <x v="5"/>
    <x v="2"/>
    <x v="614"/>
    <x v="32"/>
    <x v="20"/>
    <x v="10"/>
    <x v="8"/>
    <x v="10"/>
  </r>
  <r>
    <x v="24"/>
    <x v="5"/>
    <x v="31"/>
    <x v="615"/>
    <x v="30"/>
    <x v="113"/>
    <x v="1"/>
    <x v="0"/>
    <x v="18"/>
  </r>
  <r>
    <x v="24"/>
    <x v="5"/>
    <x v="33"/>
    <x v="616"/>
    <x v="13"/>
    <x v="27"/>
    <x v="0"/>
    <x v="16"/>
    <x v="21"/>
  </r>
  <r>
    <x v="24"/>
    <x v="5"/>
    <x v="33"/>
    <x v="617"/>
    <x v="31"/>
    <x v="57"/>
    <x v="14"/>
    <x v="16"/>
    <x v="19"/>
  </r>
  <r>
    <x v="24"/>
    <x v="5"/>
    <x v="33"/>
    <x v="618"/>
    <x v="29"/>
    <x v="25"/>
    <x v="10"/>
    <x v="8"/>
    <x v="0"/>
  </r>
  <r>
    <x v="24"/>
    <x v="5"/>
    <x v="22"/>
    <x v="619"/>
    <x v="58"/>
    <x v="16"/>
    <x v="14"/>
    <x v="10"/>
    <x v="21"/>
  </r>
  <r>
    <x v="24"/>
    <x v="5"/>
    <x v="22"/>
    <x v="620"/>
    <x v="30"/>
    <x v="1"/>
    <x v="8"/>
    <x v="6"/>
    <x v="21"/>
  </r>
  <r>
    <x v="24"/>
    <x v="5"/>
    <x v="19"/>
    <x v="621"/>
    <x v="155"/>
    <x v="133"/>
    <x v="4"/>
    <x v="6"/>
    <x v="14"/>
  </r>
  <r>
    <x v="24"/>
    <x v="5"/>
    <x v="15"/>
    <x v="622"/>
    <x v="161"/>
    <x v="107"/>
    <x v="14"/>
    <x v="10"/>
    <x v="10"/>
  </r>
  <r>
    <x v="24"/>
    <x v="5"/>
    <x v="15"/>
    <x v="623"/>
    <x v="116"/>
    <x v="74"/>
    <x v="10"/>
    <x v="10"/>
    <x v="0"/>
  </r>
  <r>
    <x v="24"/>
    <x v="5"/>
    <x v="13"/>
    <x v="624"/>
    <x v="230"/>
    <x v="84"/>
    <x v="11"/>
    <x v="20"/>
    <x v="14"/>
  </r>
  <r>
    <x v="24"/>
    <x v="5"/>
    <x v="13"/>
    <x v="625"/>
    <x v="231"/>
    <x v="26"/>
    <x v="4"/>
    <x v="13"/>
    <x v="16"/>
  </r>
  <r>
    <x v="24"/>
    <x v="5"/>
    <x v="13"/>
    <x v="626"/>
    <x v="87"/>
    <x v="56"/>
    <x v="0"/>
    <x v="19"/>
    <x v="14"/>
  </r>
  <r>
    <x v="24"/>
    <x v="5"/>
    <x v="13"/>
    <x v="627"/>
    <x v="95"/>
    <x v="42"/>
    <x v="11"/>
    <x v="18"/>
    <x v="8"/>
  </r>
  <r>
    <x v="24"/>
    <x v="5"/>
    <x v="5"/>
    <x v="628"/>
    <x v="50"/>
    <x v="15"/>
    <x v="0"/>
    <x v="0"/>
    <x v="18"/>
  </r>
  <r>
    <x v="24"/>
    <x v="5"/>
    <x v="5"/>
    <x v="629"/>
    <x v="1"/>
    <x v="83"/>
    <x v="18"/>
    <x v="8"/>
    <x v="10"/>
  </r>
  <r>
    <x v="24"/>
    <x v="5"/>
    <x v="14"/>
    <x v="630"/>
    <x v="29"/>
    <x v="41"/>
    <x v="1"/>
    <x v="8"/>
    <x v="10"/>
  </r>
  <r>
    <x v="24"/>
    <x v="5"/>
    <x v="10"/>
    <x v="631"/>
    <x v="20"/>
    <x v="1"/>
    <x v="7"/>
    <x v="11"/>
    <x v="17"/>
  </r>
  <r>
    <x v="24"/>
    <x v="5"/>
    <x v="10"/>
    <x v="632"/>
    <x v="32"/>
    <x v="134"/>
    <x v="0"/>
    <x v="0"/>
    <x v="19"/>
  </r>
  <r>
    <x v="24"/>
    <x v="5"/>
    <x v="10"/>
    <x v="633"/>
    <x v="50"/>
    <x v="38"/>
    <x v="1"/>
    <x v="1"/>
    <x v="1"/>
  </r>
  <r>
    <x v="24"/>
    <x v="5"/>
    <x v="10"/>
    <x v="634"/>
    <x v="1"/>
    <x v="71"/>
    <x v="16"/>
    <x v="14"/>
    <x v="14"/>
  </r>
  <r>
    <x v="24"/>
    <x v="5"/>
    <x v="21"/>
    <x v="635"/>
    <x v="41"/>
    <x v="119"/>
    <x v="17"/>
    <x v="0"/>
    <x v="11"/>
  </r>
  <r>
    <x v="24"/>
    <x v="5"/>
    <x v="21"/>
    <x v="636"/>
    <x v="1"/>
    <x v="56"/>
    <x v="0"/>
    <x v="0"/>
    <x v="18"/>
  </r>
  <r>
    <x v="24"/>
    <x v="5"/>
    <x v="24"/>
    <x v="637"/>
    <x v="232"/>
    <x v="104"/>
    <x v="8"/>
    <x v="0"/>
    <x v="18"/>
  </r>
  <r>
    <x v="24"/>
    <x v="5"/>
    <x v="24"/>
    <x v="638"/>
    <x v="29"/>
    <x v="15"/>
    <x v="18"/>
    <x v="8"/>
    <x v="10"/>
  </r>
  <r>
    <x v="24"/>
    <x v="5"/>
    <x v="24"/>
    <x v="639"/>
    <x v="50"/>
    <x v="40"/>
    <x v="14"/>
    <x v="16"/>
    <x v="19"/>
  </r>
  <r>
    <x v="25"/>
    <x v="5"/>
    <x v="39"/>
    <x v="640"/>
    <x v="128"/>
    <x v="102"/>
    <x v="8"/>
    <x v="16"/>
    <x v="18"/>
  </r>
  <r>
    <x v="25"/>
    <x v="5"/>
    <x v="39"/>
    <x v="641"/>
    <x v="215"/>
    <x v="14"/>
    <x v="9"/>
    <x v="30"/>
    <x v="22"/>
  </r>
  <r>
    <x v="25"/>
    <x v="5"/>
    <x v="39"/>
    <x v="642"/>
    <x v="233"/>
    <x v="57"/>
    <x v="1"/>
    <x v="16"/>
    <x v="0"/>
  </r>
  <r>
    <x v="25"/>
    <x v="5"/>
    <x v="9"/>
    <x v="643"/>
    <x v="234"/>
    <x v="135"/>
    <x v="5"/>
    <x v="2"/>
    <x v="25"/>
  </r>
  <r>
    <x v="25"/>
    <x v="5"/>
    <x v="9"/>
    <x v="644"/>
    <x v="156"/>
    <x v="136"/>
    <x v="24"/>
    <x v="13"/>
    <x v="2"/>
  </r>
  <r>
    <x v="25"/>
    <x v="5"/>
    <x v="9"/>
    <x v="645"/>
    <x v="235"/>
    <x v="137"/>
    <x v="12"/>
    <x v="7"/>
    <x v="6"/>
  </r>
  <r>
    <x v="25"/>
    <x v="5"/>
    <x v="9"/>
    <x v="646"/>
    <x v="236"/>
    <x v="85"/>
    <x v="6"/>
    <x v="5"/>
    <x v="26"/>
  </r>
  <r>
    <x v="25"/>
    <x v="5"/>
    <x v="9"/>
    <x v="647"/>
    <x v="91"/>
    <x v="31"/>
    <x v="9"/>
    <x v="9"/>
    <x v="9"/>
  </r>
  <r>
    <x v="25"/>
    <x v="5"/>
    <x v="9"/>
    <x v="648"/>
    <x v="137"/>
    <x v="138"/>
    <x v="11"/>
    <x v="10"/>
    <x v="10"/>
  </r>
  <r>
    <x v="25"/>
    <x v="5"/>
    <x v="27"/>
    <x v="649"/>
    <x v="237"/>
    <x v="67"/>
    <x v="21"/>
    <x v="15"/>
    <x v="2"/>
  </r>
  <r>
    <x v="25"/>
    <x v="5"/>
    <x v="27"/>
    <x v="650"/>
    <x v="214"/>
    <x v="105"/>
    <x v="16"/>
    <x v="18"/>
    <x v="19"/>
  </r>
  <r>
    <x v="25"/>
    <x v="5"/>
    <x v="27"/>
    <x v="651"/>
    <x v="51"/>
    <x v="8"/>
    <x v="16"/>
    <x v="18"/>
    <x v="21"/>
  </r>
  <r>
    <x v="25"/>
    <x v="5"/>
    <x v="27"/>
    <x v="652"/>
    <x v="51"/>
    <x v="36"/>
    <x v="10"/>
    <x v="8"/>
    <x v="10"/>
  </r>
  <r>
    <x v="25"/>
    <x v="5"/>
    <x v="27"/>
    <x v="653"/>
    <x v="59"/>
    <x v="28"/>
    <x v="1"/>
    <x v="1"/>
    <x v="0"/>
  </r>
  <r>
    <x v="25"/>
    <x v="5"/>
    <x v="27"/>
    <x v="654"/>
    <x v="72"/>
    <x v="24"/>
    <x v="1"/>
    <x v="9"/>
    <x v="13"/>
  </r>
  <r>
    <x v="25"/>
    <x v="5"/>
    <x v="7"/>
    <x v="655"/>
    <x v="238"/>
    <x v="139"/>
    <x v="21"/>
    <x v="31"/>
    <x v="5"/>
  </r>
  <r>
    <x v="25"/>
    <x v="5"/>
    <x v="7"/>
    <x v="656"/>
    <x v="123"/>
    <x v="47"/>
    <x v="22"/>
    <x v="3"/>
    <x v="2"/>
  </r>
  <r>
    <x v="25"/>
    <x v="5"/>
    <x v="7"/>
    <x v="657"/>
    <x v="239"/>
    <x v="93"/>
    <x v="12"/>
    <x v="11"/>
    <x v="25"/>
  </r>
  <r>
    <x v="25"/>
    <x v="5"/>
    <x v="7"/>
    <x v="658"/>
    <x v="240"/>
    <x v="120"/>
    <x v="21"/>
    <x v="13"/>
    <x v="25"/>
  </r>
  <r>
    <x v="25"/>
    <x v="5"/>
    <x v="7"/>
    <x v="659"/>
    <x v="241"/>
    <x v="52"/>
    <x v="16"/>
    <x v="20"/>
    <x v="14"/>
  </r>
  <r>
    <x v="25"/>
    <x v="5"/>
    <x v="7"/>
    <x v="660"/>
    <x v="42"/>
    <x v="4"/>
    <x v="7"/>
    <x v="19"/>
    <x v="18"/>
  </r>
  <r>
    <x v="26"/>
    <x v="5"/>
    <x v="24"/>
    <x v="661"/>
    <x v="43"/>
    <x v="39"/>
    <x v="10"/>
    <x v="8"/>
    <x v="1"/>
  </r>
  <r>
    <x v="26"/>
    <x v="5"/>
    <x v="18"/>
    <x v="662"/>
    <x v="99"/>
    <x v="140"/>
    <x v="18"/>
    <x v="25"/>
    <x v="13"/>
  </r>
  <r>
    <x v="26"/>
    <x v="5"/>
    <x v="7"/>
    <x v="663"/>
    <x v="126"/>
    <x v="113"/>
    <x v="14"/>
    <x v="0"/>
    <x v="18"/>
  </r>
  <r>
    <x v="26"/>
    <x v="5"/>
    <x v="7"/>
    <x v="664"/>
    <x v="1"/>
    <x v="35"/>
    <x v="10"/>
    <x v="9"/>
    <x v="22"/>
  </r>
  <r>
    <x v="26"/>
    <x v="5"/>
    <x v="7"/>
    <x v="665"/>
    <x v="242"/>
    <x v="16"/>
    <x v="3"/>
    <x v="28"/>
    <x v="3"/>
  </r>
  <r>
    <x v="26"/>
    <x v="5"/>
    <x v="2"/>
    <x v="666"/>
    <x v="17"/>
    <x v="30"/>
    <x v="1"/>
    <x v="8"/>
    <x v="1"/>
  </r>
  <r>
    <x v="26"/>
    <x v="5"/>
    <x v="31"/>
    <x v="667"/>
    <x v="69"/>
    <x v="40"/>
    <x v="8"/>
    <x v="6"/>
    <x v="8"/>
  </r>
  <r>
    <x v="26"/>
    <x v="5"/>
    <x v="31"/>
    <x v="668"/>
    <x v="72"/>
    <x v="37"/>
    <x v="8"/>
    <x v="6"/>
    <x v="21"/>
  </r>
  <r>
    <x v="26"/>
    <x v="5"/>
    <x v="10"/>
    <x v="669"/>
    <x v="39"/>
    <x v="13"/>
    <x v="21"/>
    <x v="2"/>
    <x v="24"/>
  </r>
  <r>
    <x v="26"/>
    <x v="5"/>
    <x v="31"/>
    <x v="670"/>
    <x v="50"/>
    <x v="42"/>
    <x v="1"/>
    <x v="1"/>
    <x v="1"/>
  </r>
  <r>
    <x v="26"/>
    <x v="5"/>
    <x v="10"/>
    <x v="671"/>
    <x v="1"/>
    <x v="13"/>
    <x v="18"/>
    <x v="8"/>
    <x v="1"/>
  </r>
  <r>
    <x v="26"/>
    <x v="5"/>
    <x v="10"/>
    <x v="672"/>
    <x v="49"/>
    <x v="69"/>
    <x v="16"/>
    <x v="20"/>
    <x v="11"/>
  </r>
  <r>
    <x v="26"/>
    <x v="5"/>
    <x v="10"/>
    <x v="673"/>
    <x v="216"/>
    <x v="141"/>
    <x v="7"/>
    <x v="12"/>
    <x v="25"/>
  </r>
  <r>
    <x v="26"/>
    <x v="5"/>
    <x v="10"/>
    <x v="674"/>
    <x v="32"/>
    <x v="76"/>
    <x v="13"/>
    <x v="20"/>
    <x v="14"/>
  </r>
  <r>
    <x v="26"/>
    <x v="5"/>
    <x v="40"/>
    <x v="675"/>
    <x v="51"/>
    <x v="142"/>
    <x v="0"/>
    <x v="0"/>
    <x v="18"/>
  </r>
  <r>
    <x v="26"/>
    <x v="5"/>
    <x v="15"/>
    <x v="676"/>
    <x v="50"/>
    <x v="48"/>
    <x v="18"/>
    <x v="8"/>
    <x v="10"/>
  </r>
  <r>
    <x v="26"/>
    <x v="5"/>
    <x v="13"/>
    <x v="677"/>
    <x v="65"/>
    <x v="25"/>
    <x v="17"/>
    <x v="19"/>
    <x v="6"/>
  </r>
  <r>
    <x v="26"/>
    <x v="5"/>
    <x v="13"/>
    <x v="678"/>
    <x v="14"/>
    <x v="38"/>
    <x v="7"/>
    <x v="7"/>
    <x v="6"/>
  </r>
  <r>
    <x v="26"/>
    <x v="5"/>
    <x v="13"/>
    <x v="679"/>
    <x v="111"/>
    <x v="83"/>
    <x v="11"/>
    <x v="6"/>
    <x v="21"/>
  </r>
  <r>
    <x v="26"/>
    <x v="5"/>
    <x v="13"/>
    <x v="680"/>
    <x v="149"/>
    <x v="29"/>
    <x v="14"/>
    <x v="16"/>
    <x v="19"/>
  </r>
  <r>
    <x v="26"/>
    <x v="5"/>
    <x v="13"/>
    <x v="681"/>
    <x v="205"/>
    <x v="119"/>
    <x v="16"/>
    <x v="19"/>
    <x v="16"/>
  </r>
  <r>
    <x v="26"/>
    <x v="5"/>
    <x v="13"/>
    <x v="682"/>
    <x v="168"/>
    <x v="14"/>
    <x v="10"/>
    <x v="6"/>
    <x v="18"/>
  </r>
  <r>
    <x v="26"/>
    <x v="5"/>
    <x v="13"/>
    <x v="683"/>
    <x v="32"/>
    <x v="83"/>
    <x v="8"/>
    <x v="6"/>
    <x v="21"/>
  </r>
  <r>
    <x v="26"/>
    <x v="5"/>
    <x v="14"/>
    <x v="684"/>
    <x v="243"/>
    <x v="17"/>
    <x v="13"/>
    <x v="19"/>
    <x v="6"/>
  </r>
  <r>
    <x v="26"/>
    <x v="5"/>
    <x v="14"/>
    <x v="685"/>
    <x v="102"/>
    <x v="106"/>
    <x v="11"/>
    <x v="18"/>
    <x v="11"/>
  </r>
  <r>
    <x v="26"/>
    <x v="5"/>
    <x v="33"/>
    <x v="686"/>
    <x v="138"/>
    <x v="97"/>
    <x v="8"/>
    <x v="6"/>
    <x v="8"/>
  </r>
  <r>
    <x v="26"/>
    <x v="5"/>
    <x v="33"/>
    <x v="687"/>
    <x v="30"/>
    <x v="26"/>
    <x v="10"/>
    <x v="10"/>
    <x v="0"/>
  </r>
  <r>
    <x v="26"/>
    <x v="5"/>
    <x v="21"/>
    <x v="688"/>
    <x v="244"/>
    <x v="28"/>
    <x v="20"/>
    <x v="12"/>
    <x v="3"/>
  </r>
  <r>
    <x v="26"/>
    <x v="5"/>
    <x v="21"/>
    <x v="689"/>
    <x v="128"/>
    <x v="57"/>
    <x v="14"/>
    <x v="16"/>
    <x v="19"/>
  </r>
  <r>
    <x v="26"/>
    <x v="5"/>
    <x v="21"/>
    <x v="690"/>
    <x v="39"/>
    <x v="57"/>
    <x v="11"/>
    <x v="20"/>
    <x v="11"/>
  </r>
  <r>
    <x v="27"/>
    <x v="4"/>
    <x v="0"/>
    <x v="691"/>
    <x v="30"/>
    <x v="104"/>
    <x v="18"/>
    <x v="9"/>
    <x v="13"/>
  </r>
  <r>
    <x v="27"/>
    <x v="4"/>
    <x v="30"/>
    <x v="692"/>
    <x v="116"/>
    <x v="44"/>
    <x v="0"/>
    <x v="16"/>
    <x v="19"/>
  </r>
  <r>
    <x v="27"/>
    <x v="4"/>
    <x v="41"/>
    <x v="693"/>
    <x v="111"/>
    <x v="18"/>
    <x v="1"/>
    <x v="8"/>
    <x v="10"/>
  </r>
  <r>
    <x v="27"/>
    <x v="4"/>
    <x v="18"/>
    <x v="694"/>
    <x v="245"/>
    <x v="88"/>
    <x v="24"/>
    <x v="13"/>
    <x v="3"/>
  </r>
  <r>
    <x v="27"/>
    <x v="4"/>
    <x v="18"/>
    <x v="695"/>
    <x v="64"/>
    <x v="4"/>
    <x v="0"/>
    <x v="8"/>
    <x v="18"/>
  </r>
  <r>
    <x v="27"/>
    <x v="4"/>
    <x v="18"/>
    <x v="696"/>
    <x v="1"/>
    <x v="104"/>
    <x v="18"/>
    <x v="8"/>
    <x v="10"/>
  </r>
  <r>
    <x v="27"/>
    <x v="4"/>
    <x v="18"/>
    <x v="697"/>
    <x v="1"/>
    <x v="24"/>
    <x v="18"/>
    <x v="1"/>
    <x v="10"/>
  </r>
  <r>
    <x v="27"/>
    <x v="4"/>
    <x v="2"/>
    <x v="698"/>
    <x v="223"/>
    <x v="81"/>
    <x v="3"/>
    <x v="13"/>
    <x v="2"/>
  </r>
  <r>
    <x v="27"/>
    <x v="4"/>
    <x v="2"/>
    <x v="699"/>
    <x v="246"/>
    <x v="143"/>
    <x v="24"/>
    <x v="3"/>
    <x v="7"/>
  </r>
  <r>
    <x v="27"/>
    <x v="4"/>
    <x v="2"/>
    <x v="700"/>
    <x v="247"/>
    <x v="120"/>
    <x v="4"/>
    <x v="5"/>
    <x v="25"/>
  </r>
  <r>
    <x v="27"/>
    <x v="4"/>
    <x v="2"/>
    <x v="701"/>
    <x v="209"/>
    <x v="3"/>
    <x v="8"/>
    <x v="11"/>
    <x v="7"/>
  </r>
  <r>
    <x v="27"/>
    <x v="4"/>
    <x v="2"/>
    <x v="702"/>
    <x v="101"/>
    <x v="141"/>
    <x v="13"/>
    <x v="20"/>
    <x v="8"/>
  </r>
  <r>
    <x v="27"/>
    <x v="4"/>
    <x v="2"/>
    <x v="703"/>
    <x v="248"/>
    <x v="144"/>
    <x v="14"/>
    <x v="6"/>
    <x v="18"/>
  </r>
  <r>
    <x v="27"/>
    <x v="4"/>
    <x v="25"/>
    <x v="704"/>
    <x v="107"/>
    <x v="104"/>
    <x v="9"/>
    <x v="1"/>
    <x v="9"/>
  </r>
  <r>
    <x v="27"/>
    <x v="4"/>
    <x v="25"/>
    <x v="705"/>
    <x v="111"/>
    <x v="41"/>
    <x v="0"/>
    <x v="20"/>
    <x v="14"/>
  </r>
  <r>
    <x v="27"/>
    <x v="4"/>
    <x v="25"/>
    <x v="706"/>
    <x v="29"/>
    <x v="37"/>
    <x v="25"/>
    <x v="9"/>
    <x v="13"/>
  </r>
  <r>
    <x v="27"/>
    <x v="4"/>
    <x v="31"/>
    <x v="707"/>
    <x v="31"/>
    <x v="67"/>
    <x v="9"/>
    <x v="22"/>
    <x v="10"/>
  </r>
  <r>
    <x v="27"/>
    <x v="4"/>
    <x v="31"/>
    <x v="708"/>
    <x v="249"/>
    <x v="52"/>
    <x v="7"/>
    <x v="17"/>
    <x v="17"/>
  </r>
  <r>
    <x v="27"/>
    <x v="4"/>
    <x v="27"/>
    <x v="709"/>
    <x v="103"/>
    <x v="1"/>
    <x v="14"/>
    <x v="16"/>
    <x v="10"/>
  </r>
  <r>
    <x v="27"/>
    <x v="4"/>
    <x v="27"/>
    <x v="710"/>
    <x v="164"/>
    <x v="17"/>
    <x v="14"/>
    <x v="16"/>
    <x v="18"/>
  </r>
  <r>
    <x v="27"/>
    <x v="4"/>
    <x v="27"/>
    <x v="711"/>
    <x v="50"/>
    <x v="32"/>
    <x v="0"/>
    <x v="16"/>
    <x v="18"/>
  </r>
  <r>
    <x v="27"/>
    <x v="4"/>
    <x v="27"/>
    <x v="712"/>
    <x v="29"/>
    <x v="16"/>
    <x v="0"/>
    <x v="0"/>
    <x v="18"/>
  </r>
  <r>
    <x v="27"/>
    <x v="4"/>
    <x v="27"/>
    <x v="713"/>
    <x v="43"/>
    <x v="69"/>
    <x v="14"/>
    <x v="16"/>
    <x v="0"/>
  </r>
  <r>
    <x v="27"/>
    <x v="4"/>
    <x v="42"/>
    <x v="714"/>
    <x v="250"/>
    <x v="42"/>
    <x v="11"/>
    <x v="6"/>
    <x v="21"/>
  </r>
  <r>
    <x v="27"/>
    <x v="4"/>
    <x v="42"/>
    <x v="715"/>
    <x v="230"/>
    <x v="28"/>
    <x v="10"/>
    <x v="1"/>
    <x v="1"/>
  </r>
  <r>
    <x v="27"/>
    <x v="4"/>
    <x v="42"/>
    <x v="716"/>
    <x v="149"/>
    <x v="27"/>
    <x v="23"/>
    <x v="16"/>
    <x v="1"/>
  </r>
  <r>
    <x v="27"/>
    <x v="4"/>
    <x v="6"/>
    <x v="717"/>
    <x v="251"/>
    <x v="142"/>
    <x v="1"/>
    <x v="19"/>
    <x v="18"/>
  </r>
  <r>
    <x v="28"/>
    <x v="1"/>
    <x v="22"/>
    <x v="718"/>
    <x v="252"/>
    <x v="2"/>
    <x v="7"/>
    <x v="2"/>
    <x v="31"/>
  </r>
  <r>
    <x v="28"/>
    <x v="1"/>
    <x v="22"/>
    <x v="719"/>
    <x v="253"/>
    <x v="106"/>
    <x v="0"/>
    <x v="0"/>
    <x v="18"/>
  </r>
  <r>
    <x v="28"/>
    <x v="1"/>
    <x v="22"/>
    <x v="720"/>
    <x v="39"/>
    <x v="7"/>
    <x v="11"/>
    <x v="20"/>
    <x v="14"/>
  </r>
  <r>
    <x v="28"/>
    <x v="1"/>
    <x v="22"/>
    <x v="721"/>
    <x v="164"/>
    <x v="23"/>
    <x v="12"/>
    <x v="14"/>
    <x v="24"/>
  </r>
  <r>
    <x v="28"/>
    <x v="1"/>
    <x v="10"/>
    <x v="722"/>
    <x v="254"/>
    <x v="6"/>
    <x v="6"/>
    <x v="13"/>
    <x v="7"/>
  </r>
  <r>
    <x v="28"/>
    <x v="1"/>
    <x v="10"/>
    <x v="723"/>
    <x v="71"/>
    <x v="13"/>
    <x v="17"/>
    <x v="7"/>
    <x v="8"/>
  </r>
  <r>
    <x v="28"/>
    <x v="1"/>
    <x v="10"/>
    <x v="724"/>
    <x v="29"/>
    <x v="13"/>
    <x v="16"/>
    <x v="14"/>
    <x v="14"/>
  </r>
  <r>
    <x v="28"/>
    <x v="1"/>
    <x v="10"/>
    <x v="725"/>
    <x v="255"/>
    <x v="8"/>
    <x v="7"/>
    <x v="14"/>
    <x v="4"/>
  </r>
  <r>
    <x v="28"/>
    <x v="1"/>
    <x v="10"/>
    <x v="726"/>
    <x v="30"/>
    <x v="4"/>
    <x v="8"/>
    <x v="7"/>
    <x v="11"/>
  </r>
  <r>
    <x v="28"/>
    <x v="1"/>
    <x v="10"/>
    <x v="727"/>
    <x v="190"/>
    <x v="105"/>
    <x v="13"/>
    <x v="6"/>
    <x v="11"/>
  </r>
  <r>
    <x v="28"/>
    <x v="1"/>
    <x v="9"/>
    <x v="728"/>
    <x v="256"/>
    <x v="145"/>
    <x v="7"/>
    <x v="11"/>
    <x v="8"/>
  </r>
  <r>
    <x v="28"/>
    <x v="1"/>
    <x v="9"/>
    <x v="729"/>
    <x v="35"/>
    <x v="81"/>
    <x v="1"/>
    <x v="8"/>
    <x v="13"/>
  </r>
  <r>
    <x v="28"/>
    <x v="1"/>
    <x v="9"/>
    <x v="730"/>
    <x v="257"/>
    <x v="105"/>
    <x v="7"/>
    <x v="19"/>
    <x v="4"/>
  </r>
  <r>
    <x v="28"/>
    <x v="1"/>
    <x v="9"/>
    <x v="731"/>
    <x v="72"/>
    <x v="13"/>
    <x v="13"/>
    <x v="20"/>
    <x v="11"/>
  </r>
  <r>
    <x v="28"/>
    <x v="1"/>
    <x v="10"/>
    <x v="732"/>
    <x v="165"/>
    <x v="39"/>
    <x v="7"/>
    <x v="14"/>
    <x v="11"/>
  </r>
  <r>
    <x v="28"/>
    <x v="1"/>
    <x v="9"/>
    <x v="733"/>
    <x v="258"/>
    <x v="146"/>
    <x v="9"/>
    <x v="22"/>
    <x v="23"/>
  </r>
  <r>
    <x v="28"/>
    <x v="1"/>
    <x v="9"/>
    <x v="734"/>
    <x v="259"/>
    <x v="59"/>
    <x v="9"/>
    <x v="25"/>
    <x v="22"/>
  </r>
  <r>
    <x v="28"/>
    <x v="1"/>
    <x v="9"/>
    <x v="735"/>
    <x v="260"/>
    <x v="8"/>
    <x v="2"/>
    <x v="12"/>
    <x v="26"/>
  </r>
  <r>
    <x v="28"/>
    <x v="1"/>
    <x v="9"/>
    <x v="736"/>
    <x v="261"/>
    <x v="75"/>
    <x v="22"/>
    <x v="28"/>
    <x v="31"/>
  </r>
  <r>
    <x v="28"/>
    <x v="1"/>
    <x v="5"/>
    <x v="737"/>
    <x v="8"/>
    <x v="18"/>
    <x v="13"/>
    <x v="18"/>
    <x v="11"/>
  </r>
  <r>
    <x v="28"/>
    <x v="1"/>
    <x v="5"/>
    <x v="738"/>
    <x v="262"/>
    <x v="35"/>
    <x v="16"/>
    <x v="7"/>
    <x v="14"/>
  </r>
  <r>
    <x v="28"/>
    <x v="1"/>
    <x v="5"/>
    <x v="739"/>
    <x v="164"/>
    <x v="49"/>
    <x v="11"/>
    <x v="20"/>
    <x v="14"/>
  </r>
  <r>
    <x v="28"/>
    <x v="1"/>
    <x v="5"/>
    <x v="740"/>
    <x v="31"/>
    <x v="22"/>
    <x v="18"/>
    <x v="8"/>
    <x v="10"/>
  </r>
  <r>
    <x v="28"/>
    <x v="1"/>
    <x v="5"/>
    <x v="741"/>
    <x v="43"/>
    <x v="49"/>
    <x v="8"/>
    <x v="6"/>
    <x v="8"/>
  </r>
  <r>
    <x v="28"/>
    <x v="1"/>
    <x v="19"/>
    <x v="742"/>
    <x v="67"/>
    <x v="90"/>
    <x v="8"/>
    <x v="6"/>
    <x v="18"/>
  </r>
  <r>
    <x v="28"/>
    <x v="1"/>
    <x v="19"/>
    <x v="743"/>
    <x v="263"/>
    <x v="22"/>
    <x v="1"/>
    <x v="10"/>
    <x v="10"/>
  </r>
  <r>
    <x v="28"/>
    <x v="1"/>
    <x v="19"/>
    <x v="744"/>
    <x v="149"/>
    <x v="1"/>
    <x v="16"/>
    <x v="14"/>
    <x v="4"/>
  </r>
  <r>
    <x v="28"/>
    <x v="1"/>
    <x v="19"/>
    <x v="745"/>
    <x v="51"/>
    <x v="25"/>
    <x v="8"/>
    <x v="6"/>
    <x v="21"/>
  </r>
  <r>
    <x v="28"/>
    <x v="1"/>
    <x v="19"/>
    <x v="746"/>
    <x v="33"/>
    <x v="90"/>
    <x v="0"/>
    <x v="16"/>
    <x v="18"/>
  </r>
  <r>
    <x v="28"/>
    <x v="1"/>
    <x v="43"/>
    <x v="747"/>
    <x v="264"/>
    <x v="147"/>
    <x v="27"/>
    <x v="9"/>
    <x v="24"/>
  </r>
  <r>
    <x v="29"/>
    <x v="0"/>
    <x v="27"/>
    <x v="748"/>
    <x v="50"/>
    <x v="37"/>
    <x v="1"/>
    <x v="1"/>
    <x v="1"/>
  </r>
  <r>
    <x v="29"/>
    <x v="0"/>
    <x v="10"/>
    <x v="749"/>
    <x v="239"/>
    <x v="8"/>
    <x v="13"/>
    <x v="19"/>
    <x v="14"/>
  </r>
  <r>
    <x v="29"/>
    <x v="0"/>
    <x v="10"/>
    <x v="750"/>
    <x v="17"/>
    <x v="34"/>
    <x v="14"/>
    <x v="25"/>
    <x v="9"/>
  </r>
  <r>
    <x v="29"/>
    <x v="0"/>
    <x v="10"/>
    <x v="751"/>
    <x v="265"/>
    <x v="100"/>
    <x v="14"/>
    <x v="0"/>
    <x v="18"/>
  </r>
  <r>
    <x v="29"/>
    <x v="0"/>
    <x v="10"/>
    <x v="752"/>
    <x v="116"/>
    <x v="53"/>
    <x v="13"/>
    <x v="20"/>
    <x v="11"/>
  </r>
  <r>
    <x v="29"/>
    <x v="0"/>
    <x v="10"/>
    <x v="753"/>
    <x v="1"/>
    <x v="48"/>
    <x v="10"/>
    <x v="10"/>
    <x v="0"/>
  </r>
  <r>
    <x v="29"/>
    <x v="0"/>
    <x v="10"/>
    <x v="754"/>
    <x v="8"/>
    <x v="102"/>
    <x v="14"/>
    <x v="10"/>
    <x v="19"/>
  </r>
  <r>
    <x v="29"/>
    <x v="0"/>
    <x v="10"/>
    <x v="755"/>
    <x v="50"/>
    <x v="30"/>
    <x v="18"/>
    <x v="8"/>
    <x v="10"/>
  </r>
  <r>
    <x v="29"/>
    <x v="0"/>
    <x v="10"/>
    <x v="756"/>
    <x v="31"/>
    <x v="41"/>
    <x v="0"/>
    <x v="0"/>
    <x v="18"/>
  </r>
  <r>
    <x v="29"/>
    <x v="0"/>
    <x v="11"/>
    <x v="757"/>
    <x v="177"/>
    <x v="118"/>
    <x v="17"/>
    <x v="15"/>
    <x v="6"/>
  </r>
  <r>
    <x v="29"/>
    <x v="0"/>
    <x v="11"/>
    <x v="758"/>
    <x v="266"/>
    <x v="27"/>
    <x v="6"/>
    <x v="15"/>
    <x v="16"/>
  </r>
  <r>
    <x v="29"/>
    <x v="0"/>
    <x v="11"/>
    <x v="759"/>
    <x v="33"/>
    <x v="28"/>
    <x v="8"/>
    <x v="6"/>
    <x v="21"/>
  </r>
  <r>
    <x v="29"/>
    <x v="0"/>
    <x v="11"/>
    <x v="760"/>
    <x v="8"/>
    <x v="28"/>
    <x v="8"/>
    <x v="0"/>
    <x v="21"/>
  </r>
  <r>
    <x v="29"/>
    <x v="0"/>
    <x v="11"/>
    <x v="761"/>
    <x v="56"/>
    <x v="97"/>
    <x v="13"/>
    <x v="18"/>
    <x v="8"/>
  </r>
  <r>
    <x v="29"/>
    <x v="0"/>
    <x v="11"/>
    <x v="762"/>
    <x v="267"/>
    <x v="27"/>
    <x v="11"/>
    <x v="20"/>
    <x v="11"/>
  </r>
  <r>
    <x v="29"/>
    <x v="0"/>
    <x v="13"/>
    <x v="763"/>
    <x v="268"/>
    <x v="19"/>
    <x v="24"/>
    <x v="12"/>
    <x v="3"/>
  </r>
  <r>
    <x v="29"/>
    <x v="0"/>
    <x v="13"/>
    <x v="764"/>
    <x v="230"/>
    <x v="50"/>
    <x v="16"/>
    <x v="14"/>
    <x v="14"/>
  </r>
  <r>
    <x v="29"/>
    <x v="0"/>
    <x v="13"/>
    <x v="765"/>
    <x v="103"/>
    <x v="25"/>
    <x v="13"/>
    <x v="14"/>
    <x v="4"/>
  </r>
  <r>
    <x v="29"/>
    <x v="0"/>
    <x v="13"/>
    <x v="766"/>
    <x v="32"/>
    <x v="28"/>
    <x v="13"/>
    <x v="20"/>
    <x v="11"/>
  </r>
  <r>
    <x v="29"/>
    <x v="0"/>
    <x v="13"/>
    <x v="767"/>
    <x v="100"/>
    <x v="24"/>
    <x v="13"/>
    <x v="18"/>
    <x v="11"/>
  </r>
  <r>
    <x v="29"/>
    <x v="0"/>
    <x v="13"/>
    <x v="768"/>
    <x v="95"/>
    <x v="57"/>
    <x v="11"/>
    <x v="18"/>
    <x v="8"/>
  </r>
  <r>
    <x v="29"/>
    <x v="0"/>
    <x v="13"/>
    <x v="769"/>
    <x v="103"/>
    <x v="25"/>
    <x v="8"/>
    <x v="6"/>
    <x v="14"/>
  </r>
  <r>
    <x v="29"/>
    <x v="0"/>
    <x v="14"/>
    <x v="770"/>
    <x v="1"/>
    <x v="84"/>
    <x v="13"/>
    <x v="20"/>
    <x v="11"/>
  </r>
  <r>
    <x v="29"/>
    <x v="0"/>
    <x v="14"/>
    <x v="771"/>
    <x v="1"/>
    <x v="1"/>
    <x v="10"/>
    <x v="8"/>
    <x v="10"/>
  </r>
  <r>
    <x v="29"/>
    <x v="0"/>
    <x v="14"/>
    <x v="772"/>
    <x v="31"/>
    <x v="24"/>
    <x v="1"/>
    <x v="1"/>
    <x v="1"/>
  </r>
  <r>
    <x v="30"/>
    <x v="5"/>
    <x v="0"/>
    <x v="773"/>
    <x v="103"/>
    <x v="21"/>
    <x v="14"/>
    <x v="16"/>
    <x v="19"/>
  </r>
  <r>
    <x v="30"/>
    <x v="5"/>
    <x v="18"/>
    <x v="774"/>
    <x v="31"/>
    <x v="46"/>
    <x v="16"/>
    <x v="16"/>
    <x v="19"/>
  </r>
  <r>
    <x v="30"/>
    <x v="5"/>
    <x v="18"/>
    <x v="775"/>
    <x v="1"/>
    <x v="49"/>
    <x v="1"/>
    <x v="1"/>
    <x v="1"/>
  </r>
  <r>
    <x v="30"/>
    <x v="5"/>
    <x v="2"/>
    <x v="776"/>
    <x v="258"/>
    <x v="93"/>
    <x v="24"/>
    <x v="26"/>
    <x v="24"/>
  </r>
  <r>
    <x v="30"/>
    <x v="5"/>
    <x v="2"/>
    <x v="777"/>
    <x v="269"/>
    <x v="62"/>
    <x v="14"/>
    <x v="18"/>
    <x v="18"/>
  </r>
  <r>
    <x v="30"/>
    <x v="5"/>
    <x v="44"/>
    <x v="778"/>
    <x v="270"/>
    <x v="16"/>
    <x v="7"/>
    <x v="12"/>
    <x v="6"/>
  </r>
  <r>
    <x v="30"/>
    <x v="5"/>
    <x v="44"/>
    <x v="779"/>
    <x v="271"/>
    <x v="11"/>
    <x v="3"/>
    <x v="15"/>
    <x v="6"/>
  </r>
  <r>
    <x v="30"/>
    <x v="5"/>
    <x v="44"/>
    <x v="780"/>
    <x v="272"/>
    <x v="51"/>
    <x v="12"/>
    <x v="11"/>
    <x v="17"/>
  </r>
  <r>
    <x v="30"/>
    <x v="5"/>
    <x v="44"/>
    <x v="781"/>
    <x v="273"/>
    <x v="115"/>
    <x v="16"/>
    <x v="17"/>
    <x v="4"/>
  </r>
  <r>
    <x v="30"/>
    <x v="5"/>
    <x v="44"/>
    <x v="782"/>
    <x v="232"/>
    <x v="106"/>
    <x v="16"/>
    <x v="20"/>
    <x v="8"/>
  </r>
  <r>
    <x v="30"/>
    <x v="5"/>
    <x v="44"/>
    <x v="783"/>
    <x v="156"/>
    <x v="7"/>
    <x v="7"/>
    <x v="18"/>
    <x v="11"/>
  </r>
  <r>
    <x v="30"/>
    <x v="5"/>
    <x v="44"/>
    <x v="784"/>
    <x v="274"/>
    <x v="77"/>
    <x v="7"/>
    <x v="15"/>
    <x v="16"/>
  </r>
  <r>
    <x v="30"/>
    <x v="5"/>
    <x v="45"/>
    <x v="785"/>
    <x v="125"/>
    <x v="60"/>
    <x v="8"/>
    <x v="20"/>
    <x v="11"/>
  </r>
  <r>
    <x v="30"/>
    <x v="5"/>
    <x v="45"/>
    <x v="786"/>
    <x v="245"/>
    <x v="127"/>
    <x v="21"/>
    <x v="17"/>
    <x v="3"/>
  </r>
  <r>
    <x v="30"/>
    <x v="5"/>
    <x v="45"/>
    <x v="787"/>
    <x v="92"/>
    <x v="148"/>
    <x v="3"/>
    <x v="12"/>
    <x v="3"/>
  </r>
  <r>
    <x v="30"/>
    <x v="5"/>
    <x v="9"/>
    <x v="788"/>
    <x v="68"/>
    <x v="0"/>
    <x v="9"/>
    <x v="16"/>
    <x v="1"/>
  </r>
  <r>
    <x v="30"/>
    <x v="5"/>
    <x v="9"/>
    <x v="789"/>
    <x v="31"/>
    <x v="19"/>
    <x v="0"/>
    <x v="0"/>
    <x v="18"/>
  </r>
  <r>
    <x v="30"/>
    <x v="5"/>
    <x v="9"/>
    <x v="790"/>
    <x v="31"/>
    <x v="26"/>
    <x v="18"/>
    <x v="8"/>
    <x v="10"/>
  </r>
  <r>
    <x v="30"/>
    <x v="5"/>
    <x v="7"/>
    <x v="791"/>
    <x v="9"/>
    <x v="23"/>
    <x v="16"/>
    <x v="19"/>
    <x v="11"/>
  </r>
  <r>
    <x v="30"/>
    <x v="5"/>
    <x v="7"/>
    <x v="792"/>
    <x v="129"/>
    <x v="47"/>
    <x v="0"/>
    <x v="7"/>
    <x v="14"/>
  </r>
  <r>
    <x v="30"/>
    <x v="5"/>
    <x v="8"/>
    <x v="793"/>
    <x v="275"/>
    <x v="48"/>
    <x v="4"/>
    <x v="11"/>
    <x v="6"/>
  </r>
  <r>
    <x v="30"/>
    <x v="5"/>
    <x v="8"/>
    <x v="794"/>
    <x v="276"/>
    <x v="42"/>
    <x v="11"/>
    <x v="6"/>
    <x v="21"/>
  </r>
  <r>
    <x v="30"/>
    <x v="5"/>
    <x v="8"/>
    <x v="795"/>
    <x v="277"/>
    <x v="51"/>
    <x v="24"/>
    <x v="15"/>
    <x v="4"/>
  </r>
  <r>
    <x v="30"/>
    <x v="5"/>
    <x v="8"/>
    <x v="796"/>
    <x v="230"/>
    <x v="27"/>
    <x v="25"/>
    <x v="9"/>
    <x v="12"/>
  </r>
  <r>
    <x v="31"/>
    <x v="0"/>
    <x v="30"/>
    <x v="797"/>
    <x v="30"/>
    <x v="24"/>
    <x v="10"/>
    <x v="0"/>
    <x v="8"/>
  </r>
  <r>
    <x v="31"/>
    <x v="0"/>
    <x v="8"/>
    <x v="798"/>
    <x v="161"/>
    <x v="97"/>
    <x v="10"/>
    <x v="16"/>
    <x v="10"/>
  </r>
  <r>
    <x v="31"/>
    <x v="0"/>
    <x v="40"/>
    <x v="799"/>
    <x v="59"/>
    <x v="24"/>
    <x v="10"/>
    <x v="16"/>
    <x v="19"/>
  </r>
  <r>
    <x v="31"/>
    <x v="0"/>
    <x v="2"/>
    <x v="800"/>
    <x v="105"/>
    <x v="104"/>
    <x v="14"/>
    <x v="16"/>
    <x v="10"/>
  </r>
  <r>
    <x v="31"/>
    <x v="0"/>
    <x v="10"/>
    <x v="801"/>
    <x v="72"/>
    <x v="21"/>
    <x v="13"/>
    <x v="20"/>
    <x v="11"/>
  </r>
  <r>
    <x v="31"/>
    <x v="0"/>
    <x v="11"/>
    <x v="802"/>
    <x v="58"/>
    <x v="74"/>
    <x v="11"/>
    <x v="18"/>
    <x v="8"/>
  </r>
  <r>
    <x v="31"/>
    <x v="0"/>
    <x v="11"/>
    <x v="803"/>
    <x v="8"/>
    <x v="149"/>
    <x v="17"/>
    <x v="20"/>
    <x v="4"/>
  </r>
  <r>
    <x v="31"/>
    <x v="0"/>
    <x v="10"/>
    <x v="804"/>
    <x v="11"/>
    <x v="34"/>
    <x v="0"/>
    <x v="0"/>
    <x v="19"/>
  </r>
  <r>
    <x v="31"/>
    <x v="0"/>
    <x v="10"/>
    <x v="805"/>
    <x v="103"/>
    <x v="41"/>
    <x v="18"/>
    <x v="1"/>
    <x v="1"/>
  </r>
  <r>
    <x v="31"/>
    <x v="0"/>
    <x v="11"/>
    <x v="806"/>
    <x v="162"/>
    <x v="83"/>
    <x v="24"/>
    <x v="17"/>
    <x v="25"/>
  </r>
  <r>
    <x v="31"/>
    <x v="0"/>
    <x v="10"/>
    <x v="807"/>
    <x v="43"/>
    <x v="14"/>
    <x v="14"/>
    <x v="6"/>
    <x v="13"/>
  </r>
  <r>
    <x v="31"/>
    <x v="0"/>
    <x v="11"/>
    <x v="808"/>
    <x v="259"/>
    <x v="40"/>
    <x v="0"/>
    <x v="0"/>
    <x v="19"/>
  </r>
  <r>
    <x v="31"/>
    <x v="0"/>
    <x v="22"/>
    <x v="809"/>
    <x v="132"/>
    <x v="52"/>
    <x v="10"/>
    <x v="18"/>
    <x v="8"/>
  </r>
  <r>
    <x v="31"/>
    <x v="0"/>
    <x v="11"/>
    <x v="810"/>
    <x v="278"/>
    <x v="26"/>
    <x v="13"/>
    <x v="18"/>
    <x v="8"/>
  </r>
  <r>
    <x v="31"/>
    <x v="0"/>
    <x v="12"/>
    <x v="811"/>
    <x v="279"/>
    <x v="107"/>
    <x v="4"/>
    <x v="2"/>
    <x v="16"/>
  </r>
  <r>
    <x v="31"/>
    <x v="0"/>
    <x v="13"/>
    <x v="812"/>
    <x v="72"/>
    <x v="98"/>
    <x v="13"/>
    <x v="20"/>
    <x v="11"/>
  </r>
  <r>
    <x v="31"/>
    <x v="0"/>
    <x v="13"/>
    <x v="813"/>
    <x v="41"/>
    <x v="27"/>
    <x v="0"/>
    <x v="0"/>
    <x v="21"/>
  </r>
  <r>
    <x v="31"/>
    <x v="0"/>
    <x v="13"/>
    <x v="814"/>
    <x v="30"/>
    <x v="28"/>
    <x v="14"/>
    <x v="16"/>
    <x v="19"/>
  </r>
  <r>
    <x v="31"/>
    <x v="0"/>
    <x v="13"/>
    <x v="815"/>
    <x v="29"/>
    <x v="45"/>
    <x v="10"/>
    <x v="10"/>
    <x v="10"/>
  </r>
  <r>
    <x v="31"/>
    <x v="0"/>
    <x v="13"/>
    <x v="816"/>
    <x v="31"/>
    <x v="14"/>
    <x v="10"/>
    <x v="16"/>
    <x v="21"/>
  </r>
  <r>
    <x v="31"/>
    <x v="0"/>
    <x v="24"/>
    <x v="817"/>
    <x v="128"/>
    <x v="48"/>
    <x v="10"/>
    <x v="10"/>
    <x v="10"/>
  </r>
  <r>
    <x v="31"/>
    <x v="0"/>
    <x v="24"/>
    <x v="818"/>
    <x v="280"/>
    <x v="104"/>
    <x v="11"/>
    <x v="16"/>
    <x v="19"/>
  </r>
  <r>
    <x v="31"/>
    <x v="0"/>
    <x v="15"/>
    <x v="819"/>
    <x v="29"/>
    <x v="7"/>
    <x v="11"/>
    <x v="16"/>
    <x v="19"/>
  </r>
  <r>
    <x v="31"/>
    <x v="0"/>
    <x v="15"/>
    <x v="820"/>
    <x v="31"/>
    <x v="1"/>
    <x v="14"/>
    <x v="16"/>
    <x v="19"/>
  </r>
  <r>
    <x v="31"/>
    <x v="0"/>
    <x v="14"/>
    <x v="821"/>
    <x v="62"/>
    <x v="40"/>
    <x v="8"/>
    <x v="7"/>
    <x v="21"/>
  </r>
  <r>
    <x v="31"/>
    <x v="0"/>
    <x v="14"/>
    <x v="822"/>
    <x v="50"/>
    <x v="48"/>
    <x v="18"/>
    <x v="8"/>
    <x v="10"/>
  </r>
  <r>
    <x v="32"/>
    <x v="0"/>
    <x v="15"/>
    <x v="823"/>
    <x v="39"/>
    <x v="20"/>
    <x v="16"/>
    <x v="15"/>
    <x v="11"/>
  </r>
  <r>
    <x v="32"/>
    <x v="0"/>
    <x v="15"/>
    <x v="824"/>
    <x v="31"/>
    <x v="33"/>
    <x v="14"/>
    <x v="6"/>
    <x v="21"/>
  </r>
  <r>
    <x v="32"/>
    <x v="0"/>
    <x v="17"/>
    <x v="825"/>
    <x v="225"/>
    <x v="123"/>
    <x v="9"/>
    <x v="16"/>
    <x v="18"/>
  </r>
  <r>
    <x v="32"/>
    <x v="0"/>
    <x v="13"/>
    <x v="826"/>
    <x v="281"/>
    <x v="98"/>
    <x v="3"/>
    <x v="26"/>
    <x v="2"/>
  </r>
  <r>
    <x v="32"/>
    <x v="0"/>
    <x v="13"/>
    <x v="827"/>
    <x v="282"/>
    <x v="37"/>
    <x v="20"/>
    <x v="26"/>
    <x v="25"/>
  </r>
  <r>
    <x v="32"/>
    <x v="0"/>
    <x v="13"/>
    <x v="828"/>
    <x v="49"/>
    <x v="40"/>
    <x v="24"/>
    <x v="13"/>
    <x v="6"/>
  </r>
  <r>
    <x v="32"/>
    <x v="0"/>
    <x v="13"/>
    <x v="829"/>
    <x v="54"/>
    <x v="150"/>
    <x v="26"/>
    <x v="27"/>
    <x v="15"/>
  </r>
  <r>
    <x v="32"/>
    <x v="0"/>
    <x v="13"/>
    <x v="830"/>
    <x v="283"/>
    <x v="48"/>
    <x v="5"/>
    <x v="31"/>
    <x v="26"/>
  </r>
  <r>
    <x v="32"/>
    <x v="0"/>
    <x v="13"/>
    <x v="831"/>
    <x v="284"/>
    <x v="56"/>
    <x v="20"/>
    <x v="11"/>
    <x v="24"/>
  </r>
  <r>
    <x v="32"/>
    <x v="0"/>
    <x v="46"/>
    <x v="832"/>
    <x v="8"/>
    <x v="19"/>
    <x v="25"/>
    <x v="22"/>
    <x v="22"/>
  </r>
  <r>
    <x v="32"/>
    <x v="0"/>
    <x v="5"/>
    <x v="833"/>
    <x v="215"/>
    <x v="29"/>
    <x v="3"/>
    <x v="31"/>
    <x v="5"/>
  </r>
  <r>
    <x v="32"/>
    <x v="0"/>
    <x v="5"/>
    <x v="834"/>
    <x v="26"/>
    <x v="1"/>
    <x v="0"/>
    <x v="0"/>
    <x v="18"/>
  </r>
  <r>
    <x v="32"/>
    <x v="0"/>
    <x v="5"/>
    <x v="835"/>
    <x v="30"/>
    <x v="48"/>
    <x v="14"/>
    <x v="14"/>
    <x v="11"/>
  </r>
  <r>
    <x v="32"/>
    <x v="0"/>
    <x v="5"/>
    <x v="836"/>
    <x v="59"/>
    <x v="29"/>
    <x v="8"/>
    <x v="6"/>
    <x v="8"/>
  </r>
  <r>
    <x v="32"/>
    <x v="0"/>
    <x v="5"/>
    <x v="837"/>
    <x v="149"/>
    <x v="74"/>
    <x v="0"/>
    <x v="0"/>
    <x v="18"/>
  </r>
  <r>
    <x v="32"/>
    <x v="0"/>
    <x v="10"/>
    <x v="838"/>
    <x v="285"/>
    <x v="93"/>
    <x v="27"/>
    <x v="3"/>
    <x v="20"/>
  </r>
  <r>
    <x v="32"/>
    <x v="0"/>
    <x v="10"/>
    <x v="839"/>
    <x v="286"/>
    <x v="120"/>
    <x v="26"/>
    <x v="27"/>
    <x v="27"/>
  </r>
  <r>
    <x v="32"/>
    <x v="0"/>
    <x v="10"/>
    <x v="840"/>
    <x v="226"/>
    <x v="96"/>
    <x v="16"/>
    <x v="20"/>
    <x v="11"/>
  </r>
  <r>
    <x v="32"/>
    <x v="0"/>
    <x v="10"/>
    <x v="841"/>
    <x v="287"/>
    <x v="39"/>
    <x v="8"/>
    <x v="20"/>
    <x v="14"/>
  </r>
  <r>
    <x v="32"/>
    <x v="0"/>
    <x v="10"/>
    <x v="842"/>
    <x v="257"/>
    <x v="67"/>
    <x v="2"/>
    <x v="12"/>
    <x v="20"/>
  </r>
  <r>
    <x v="32"/>
    <x v="0"/>
    <x v="14"/>
    <x v="843"/>
    <x v="288"/>
    <x v="151"/>
    <x v="4"/>
    <x v="26"/>
    <x v="6"/>
  </r>
  <r>
    <x v="32"/>
    <x v="0"/>
    <x v="14"/>
    <x v="844"/>
    <x v="105"/>
    <x v="96"/>
    <x v="27"/>
    <x v="32"/>
    <x v="15"/>
  </r>
  <r>
    <x v="32"/>
    <x v="0"/>
    <x v="14"/>
    <x v="845"/>
    <x v="30"/>
    <x v="28"/>
    <x v="14"/>
    <x v="1"/>
    <x v="0"/>
  </r>
  <r>
    <x v="32"/>
    <x v="0"/>
    <x v="14"/>
    <x v="846"/>
    <x v="125"/>
    <x v="48"/>
    <x v="14"/>
    <x v="0"/>
    <x v="0"/>
  </r>
  <r>
    <x v="32"/>
    <x v="0"/>
    <x v="14"/>
    <x v="847"/>
    <x v="163"/>
    <x v="71"/>
    <x v="7"/>
    <x v="19"/>
    <x v="11"/>
  </r>
  <r>
    <x v="32"/>
    <x v="0"/>
    <x v="19"/>
    <x v="848"/>
    <x v="6"/>
    <x v="41"/>
    <x v="22"/>
    <x v="27"/>
    <x v="15"/>
  </r>
  <r>
    <x v="32"/>
    <x v="0"/>
    <x v="19"/>
    <x v="849"/>
    <x v="289"/>
    <x v="21"/>
    <x v="15"/>
    <x v="3"/>
    <x v="20"/>
  </r>
  <r>
    <x v="32"/>
    <x v="0"/>
    <x v="19"/>
    <x v="850"/>
    <x v="103"/>
    <x v="58"/>
    <x v="7"/>
    <x v="19"/>
    <x v="6"/>
  </r>
  <r>
    <x v="32"/>
    <x v="0"/>
    <x v="19"/>
    <x v="851"/>
    <x v="23"/>
    <x v="41"/>
    <x v="7"/>
    <x v="13"/>
    <x v="3"/>
  </r>
  <r>
    <x v="32"/>
    <x v="0"/>
    <x v="19"/>
    <x v="852"/>
    <x v="67"/>
    <x v="98"/>
    <x v="13"/>
    <x v="20"/>
    <x v="11"/>
  </r>
  <r>
    <x v="32"/>
    <x v="0"/>
    <x v="19"/>
    <x v="853"/>
    <x v="68"/>
    <x v="108"/>
    <x v="8"/>
    <x v="16"/>
    <x v="11"/>
  </r>
  <r>
    <x v="33"/>
    <x v="6"/>
    <x v="0"/>
    <x v="854"/>
    <x v="126"/>
    <x v="7"/>
    <x v="0"/>
    <x v="10"/>
    <x v="0"/>
  </r>
  <r>
    <x v="33"/>
    <x v="6"/>
    <x v="7"/>
    <x v="855"/>
    <x v="243"/>
    <x v="34"/>
    <x v="8"/>
    <x v="16"/>
    <x v="18"/>
  </r>
  <r>
    <x v="33"/>
    <x v="6"/>
    <x v="7"/>
    <x v="856"/>
    <x v="192"/>
    <x v="22"/>
    <x v="11"/>
    <x v="16"/>
    <x v="0"/>
  </r>
  <r>
    <x v="33"/>
    <x v="6"/>
    <x v="27"/>
    <x v="857"/>
    <x v="125"/>
    <x v="29"/>
    <x v="8"/>
    <x v="6"/>
    <x v="18"/>
  </r>
  <r>
    <x v="33"/>
    <x v="6"/>
    <x v="31"/>
    <x v="858"/>
    <x v="230"/>
    <x v="84"/>
    <x v="0"/>
    <x v="0"/>
    <x v="19"/>
  </r>
  <r>
    <x v="33"/>
    <x v="6"/>
    <x v="10"/>
    <x v="859"/>
    <x v="125"/>
    <x v="102"/>
    <x v="16"/>
    <x v="19"/>
    <x v="8"/>
  </r>
  <r>
    <x v="33"/>
    <x v="6"/>
    <x v="10"/>
    <x v="860"/>
    <x v="8"/>
    <x v="15"/>
    <x v="0"/>
    <x v="0"/>
    <x v="0"/>
  </r>
  <r>
    <x v="33"/>
    <x v="6"/>
    <x v="10"/>
    <x v="861"/>
    <x v="190"/>
    <x v="23"/>
    <x v="25"/>
    <x v="25"/>
    <x v="22"/>
  </r>
  <r>
    <x v="33"/>
    <x v="6"/>
    <x v="10"/>
    <x v="862"/>
    <x v="59"/>
    <x v="12"/>
    <x v="10"/>
    <x v="10"/>
    <x v="0"/>
  </r>
  <r>
    <x v="33"/>
    <x v="6"/>
    <x v="33"/>
    <x v="863"/>
    <x v="124"/>
    <x v="77"/>
    <x v="8"/>
    <x v="0"/>
    <x v="18"/>
  </r>
  <r>
    <x v="33"/>
    <x v="6"/>
    <x v="33"/>
    <x v="864"/>
    <x v="95"/>
    <x v="56"/>
    <x v="0"/>
    <x v="6"/>
    <x v="8"/>
  </r>
  <r>
    <x v="33"/>
    <x v="6"/>
    <x v="33"/>
    <x v="865"/>
    <x v="50"/>
    <x v="56"/>
    <x v="1"/>
    <x v="1"/>
    <x v="1"/>
  </r>
  <r>
    <x v="33"/>
    <x v="6"/>
    <x v="33"/>
    <x v="866"/>
    <x v="31"/>
    <x v="28"/>
    <x v="14"/>
    <x v="16"/>
    <x v="19"/>
  </r>
  <r>
    <x v="33"/>
    <x v="6"/>
    <x v="33"/>
    <x v="867"/>
    <x v="50"/>
    <x v="24"/>
    <x v="18"/>
    <x v="8"/>
    <x v="10"/>
  </r>
  <r>
    <x v="33"/>
    <x v="6"/>
    <x v="33"/>
    <x v="868"/>
    <x v="31"/>
    <x v="41"/>
    <x v="18"/>
    <x v="8"/>
    <x v="10"/>
  </r>
  <r>
    <x v="33"/>
    <x v="6"/>
    <x v="33"/>
    <x v="869"/>
    <x v="1"/>
    <x v="97"/>
    <x v="1"/>
    <x v="1"/>
    <x v="1"/>
  </r>
  <r>
    <x v="33"/>
    <x v="6"/>
    <x v="21"/>
    <x v="870"/>
    <x v="125"/>
    <x v="56"/>
    <x v="25"/>
    <x v="9"/>
    <x v="13"/>
  </r>
  <r>
    <x v="33"/>
    <x v="6"/>
    <x v="21"/>
    <x v="871"/>
    <x v="43"/>
    <x v="15"/>
    <x v="1"/>
    <x v="8"/>
    <x v="1"/>
  </r>
  <r>
    <x v="33"/>
    <x v="6"/>
    <x v="21"/>
    <x v="872"/>
    <x v="69"/>
    <x v="56"/>
    <x v="16"/>
    <x v="20"/>
    <x v="11"/>
  </r>
  <r>
    <x v="33"/>
    <x v="6"/>
    <x v="21"/>
    <x v="873"/>
    <x v="31"/>
    <x v="28"/>
    <x v="8"/>
    <x v="6"/>
    <x v="21"/>
  </r>
  <r>
    <x v="33"/>
    <x v="6"/>
    <x v="22"/>
    <x v="874"/>
    <x v="32"/>
    <x v="15"/>
    <x v="10"/>
    <x v="8"/>
    <x v="10"/>
  </r>
  <r>
    <x v="33"/>
    <x v="6"/>
    <x v="12"/>
    <x v="875"/>
    <x v="155"/>
    <x v="104"/>
    <x v="17"/>
    <x v="15"/>
    <x v="25"/>
  </r>
  <r>
    <x v="33"/>
    <x v="6"/>
    <x v="12"/>
    <x v="876"/>
    <x v="33"/>
    <x v="28"/>
    <x v="8"/>
    <x v="8"/>
    <x v="21"/>
  </r>
  <r>
    <x v="33"/>
    <x v="6"/>
    <x v="15"/>
    <x v="877"/>
    <x v="290"/>
    <x v="3"/>
    <x v="11"/>
    <x v="20"/>
    <x v="8"/>
  </r>
  <r>
    <x v="33"/>
    <x v="6"/>
    <x v="15"/>
    <x v="878"/>
    <x v="59"/>
    <x v="28"/>
    <x v="10"/>
    <x v="10"/>
    <x v="10"/>
  </r>
  <r>
    <x v="33"/>
    <x v="6"/>
    <x v="15"/>
    <x v="879"/>
    <x v="33"/>
    <x v="33"/>
    <x v="9"/>
    <x v="10"/>
    <x v="9"/>
  </r>
  <r>
    <x v="33"/>
    <x v="6"/>
    <x v="17"/>
    <x v="880"/>
    <x v="291"/>
    <x v="8"/>
    <x v="4"/>
    <x v="13"/>
    <x v="17"/>
  </r>
  <r>
    <x v="33"/>
    <x v="6"/>
    <x v="17"/>
    <x v="881"/>
    <x v="78"/>
    <x v="96"/>
    <x v="14"/>
    <x v="16"/>
    <x v="18"/>
  </r>
  <r>
    <x v="33"/>
    <x v="6"/>
    <x v="17"/>
    <x v="882"/>
    <x v="177"/>
    <x v="34"/>
    <x v="1"/>
    <x v="22"/>
    <x v="13"/>
  </r>
  <r>
    <x v="33"/>
    <x v="6"/>
    <x v="14"/>
    <x v="883"/>
    <x v="292"/>
    <x v="151"/>
    <x v="13"/>
    <x v="26"/>
    <x v="25"/>
  </r>
  <r>
    <x v="33"/>
    <x v="6"/>
    <x v="14"/>
    <x v="884"/>
    <x v="11"/>
    <x v="34"/>
    <x v="14"/>
    <x v="10"/>
    <x v="10"/>
  </r>
  <r>
    <x v="33"/>
    <x v="6"/>
    <x v="14"/>
    <x v="885"/>
    <x v="9"/>
    <x v="39"/>
    <x v="8"/>
    <x v="0"/>
    <x v="18"/>
  </r>
  <r>
    <x v="33"/>
    <x v="6"/>
    <x v="14"/>
    <x v="886"/>
    <x v="32"/>
    <x v="69"/>
    <x v="18"/>
    <x v="1"/>
    <x v="1"/>
  </r>
  <r>
    <x v="33"/>
    <x v="6"/>
    <x v="5"/>
    <x v="887"/>
    <x v="29"/>
    <x v="56"/>
    <x v="18"/>
    <x v="8"/>
    <x v="10"/>
  </r>
  <r>
    <x v="33"/>
    <x v="6"/>
    <x v="6"/>
    <x v="888"/>
    <x v="30"/>
    <x v="24"/>
    <x v="11"/>
    <x v="0"/>
    <x v="8"/>
  </r>
  <r>
    <x v="33"/>
    <x v="6"/>
    <x v="6"/>
    <x v="889"/>
    <x v="50"/>
    <x v="28"/>
    <x v="1"/>
    <x v="1"/>
    <x v="10"/>
  </r>
  <r>
    <x v="33"/>
    <x v="6"/>
    <x v="13"/>
    <x v="890"/>
    <x v="31"/>
    <x v="97"/>
    <x v="14"/>
    <x v="8"/>
    <x v="10"/>
  </r>
  <r>
    <x v="33"/>
    <x v="6"/>
    <x v="13"/>
    <x v="891"/>
    <x v="50"/>
    <x v="44"/>
    <x v="1"/>
    <x v="1"/>
    <x v="1"/>
  </r>
  <r>
    <x v="34"/>
    <x v="5"/>
    <x v="18"/>
    <x v="892"/>
    <x v="68"/>
    <x v="152"/>
    <x v="16"/>
    <x v="6"/>
    <x v="21"/>
  </r>
  <r>
    <x v="34"/>
    <x v="5"/>
    <x v="18"/>
    <x v="893"/>
    <x v="30"/>
    <x v="77"/>
    <x v="0"/>
    <x v="8"/>
    <x v="19"/>
  </r>
  <r>
    <x v="34"/>
    <x v="5"/>
    <x v="18"/>
    <x v="894"/>
    <x v="128"/>
    <x v="153"/>
    <x v="11"/>
    <x v="20"/>
    <x v="8"/>
  </r>
  <r>
    <x v="34"/>
    <x v="5"/>
    <x v="27"/>
    <x v="441"/>
    <x v="31"/>
    <x v="37"/>
    <x v="14"/>
    <x v="16"/>
    <x v="19"/>
  </r>
  <r>
    <x v="34"/>
    <x v="5"/>
    <x v="45"/>
    <x v="895"/>
    <x v="30"/>
    <x v="26"/>
    <x v="18"/>
    <x v="8"/>
    <x v="10"/>
  </r>
  <r>
    <x v="34"/>
    <x v="5"/>
    <x v="0"/>
    <x v="896"/>
    <x v="126"/>
    <x v="8"/>
    <x v="14"/>
    <x v="10"/>
    <x v="19"/>
  </r>
  <r>
    <x v="34"/>
    <x v="5"/>
    <x v="0"/>
    <x v="897"/>
    <x v="30"/>
    <x v="1"/>
    <x v="25"/>
    <x v="9"/>
    <x v="1"/>
  </r>
  <r>
    <x v="34"/>
    <x v="5"/>
    <x v="2"/>
    <x v="898"/>
    <x v="99"/>
    <x v="154"/>
    <x v="0"/>
    <x v="6"/>
    <x v="21"/>
  </r>
  <r>
    <x v="34"/>
    <x v="5"/>
    <x v="8"/>
    <x v="899"/>
    <x v="140"/>
    <x v="26"/>
    <x v="1"/>
    <x v="10"/>
    <x v="1"/>
  </r>
  <r>
    <x v="34"/>
    <x v="5"/>
    <x v="8"/>
    <x v="900"/>
    <x v="67"/>
    <x v="45"/>
    <x v="14"/>
    <x v="16"/>
    <x v="18"/>
  </r>
  <r>
    <x v="34"/>
    <x v="5"/>
    <x v="8"/>
    <x v="901"/>
    <x v="33"/>
    <x v="57"/>
    <x v="11"/>
    <x v="20"/>
    <x v="11"/>
  </r>
  <r>
    <x v="34"/>
    <x v="5"/>
    <x v="8"/>
    <x v="902"/>
    <x v="293"/>
    <x v="24"/>
    <x v="16"/>
    <x v="15"/>
    <x v="17"/>
  </r>
  <r>
    <x v="34"/>
    <x v="5"/>
    <x v="8"/>
    <x v="903"/>
    <x v="1"/>
    <x v="25"/>
    <x v="18"/>
    <x v="8"/>
    <x v="10"/>
  </r>
  <r>
    <x v="34"/>
    <x v="5"/>
    <x v="8"/>
    <x v="904"/>
    <x v="1"/>
    <x v="26"/>
    <x v="18"/>
    <x v="8"/>
    <x v="10"/>
  </r>
  <r>
    <x v="34"/>
    <x v="5"/>
    <x v="10"/>
    <x v="905"/>
    <x v="294"/>
    <x v="58"/>
    <x v="3"/>
    <x v="26"/>
    <x v="25"/>
  </r>
  <r>
    <x v="34"/>
    <x v="5"/>
    <x v="10"/>
    <x v="906"/>
    <x v="295"/>
    <x v="47"/>
    <x v="21"/>
    <x v="13"/>
    <x v="4"/>
  </r>
  <r>
    <x v="34"/>
    <x v="5"/>
    <x v="10"/>
    <x v="907"/>
    <x v="55"/>
    <x v="34"/>
    <x v="0"/>
    <x v="20"/>
    <x v="18"/>
  </r>
  <r>
    <x v="34"/>
    <x v="5"/>
    <x v="10"/>
    <x v="908"/>
    <x v="59"/>
    <x v="41"/>
    <x v="14"/>
    <x v="10"/>
    <x v="0"/>
  </r>
  <r>
    <x v="34"/>
    <x v="5"/>
    <x v="10"/>
    <x v="909"/>
    <x v="29"/>
    <x v="71"/>
    <x v="13"/>
    <x v="8"/>
    <x v="11"/>
  </r>
  <r>
    <x v="34"/>
    <x v="5"/>
    <x v="10"/>
    <x v="910"/>
    <x v="31"/>
    <x v="13"/>
    <x v="14"/>
    <x v="6"/>
    <x v="8"/>
  </r>
  <r>
    <x v="34"/>
    <x v="5"/>
    <x v="19"/>
    <x v="911"/>
    <x v="1"/>
    <x v="26"/>
    <x v="18"/>
    <x v="8"/>
    <x v="10"/>
  </r>
  <r>
    <x v="34"/>
    <x v="5"/>
    <x v="19"/>
    <x v="912"/>
    <x v="296"/>
    <x v="57"/>
    <x v="21"/>
    <x v="5"/>
    <x v="7"/>
  </r>
  <r>
    <x v="34"/>
    <x v="5"/>
    <x v="12"/>
    <x v="913"/>
    <x v="177"/>
    <x v="83"/>
    <x v="8"/>
    <x v="0"/>
    <x v="21"/>
  </r>
  <r>
    <x v="34"/>
    <x v="5"/>
    <x v="12"/>
    <x v="914"/>
    <x v="29"/>
    <x v="33"/>
    <x v="14"/>
    <x v="16"/>
    <x v="19"/>
  </r>
  <r>
    <x v="34"/>
    <x v="5"/>
    <x v="15"/>
    <x v="915"/>
    <x v="297"/>
    <x v="65"/>
    <x v="24"/>
    <x v="12"/>
    <x v="24"/>
  </r>
  <r>
    <x v="34"/>
    <x v="5"/>
    <x v="15"/>
    <x v="916"/>
    <x v="232"/>
    <x v="96"/>
    <x v="16"/>
    <x v="20"/>
    <x v="8"/>
  </r>
  <r>
    <x v="34"/>
    <x v="5"/>
    <x v="15"/>
    <x v="917"/>
    <x v="149"/>
    <x v="27"/>
    <x v="14"/>
    <x v="16"/>
    <x v="18"/>
  </r>
  <r>
    <x v="34"/>
    <x v="5"/>
    <x v="15"/>
    <x v="918"/>
    <x v="11"/>
    <x v="39"/>
    <x v="8"/>
    <x v="20"/>
    <x v="21"/>
  </r>
  <r>
    <x v="34"/>
    <x v="5"/>
    <x v="15"/>
    <x v="919"/>
    <x v="40"/>
    <x v="22"/>
    <x v="11"/>
    <x v="20"/>
    <x v="18"/>
  </r>
  <r>
    <x v="34"/>
    <x v="5"/>
    <x v="47"/>
    <x v="920"/>
    <x v="298"/>
    <x v="21"/>
    <x v="17"/>
    <x v="15"/>
    <x v="3"/>
  </r>
  <r>
    <x v="34"/>
    <x v="5"/>
    <x v="47"/>
    <x v="921"/>
    <x v="215"/>
    <x v="122"/>
    <x v="20"/>
    <x v="26"/>
    <x v="24"/>
  </r>
  <r>
    <x v="34"/>
    <x v="5"/>
    <x v="47"/>
    <x v="922"/>
    <x v="299"/>
    <x v="155"/>
    <x v="21"/>
    <x v="2"/>
    <x v="31"/>
  </r>
  <r>
    <x v="34"/>
    <x v="5"/>
    <x v="47"/>
    <x v="923"/>
    <x v="300"/>
    <x v="93"/>
    <x v="12"/>
    <x v="14"/>
    <x v="17"/>
  </r>
  <r>
    <x v="34"/>
    <x v="5"/>
    <x v="47"/>
    <x v="924"/>
    <x v="102"/>
    <x v="147"/>
    <x v="14"/>
    <x v="19"/>
    <x v="21"/>
  </r>
  <r>
    <x v="34"/>
    <x v="5"/>
    <x v="47"/>
    <x v="925"/>
    <x v="59"/>
    <x v="71"/>
    <x v="8"/>
    <x v="16"/>
    <x v="18"/>
  </r>
  <r>
    <x v="35"/>
    <x v="2"/>
    <x v="7"/>
    <x v="926"/>
    <x v="89"/>
    <x v="105"/>
    <x v="13"/>
    <x v="7"/>
    <x v="17"/>
  </r>
  <r>
    <x v="35"/>
    <x v="2"/>
    <x v="7"/>
    <x v="927"/>
    <x v="232"/>
    <x v="105"/>
    <x v="13"/>
    <x v="14"/>
    <x v="11"/>
  </r>
  <r>
    <x v="35"/>
    <x v="2"/>
    <x v="7"/>
    <x v="928"/>
    <x v="259"/>
    <x v="53"/>
    <x v="0"/>
    <x v="16"/>
    <x v="19"/>
  </r>
  <r>
    <x v="35"/>
    <x v="2"/>
    <x v="3"/>
    <x v="929"/>
    <x v="100"/>
    <x v="45"/>
    <x v="13"/>
    <x v="20"/>
    <x v="14"/>
  </r>
  <r>
    <x v="35"/>
    <x v="2"/>
    <x v="3"/>
    <x v="930"/>
    <x v="301"/>
    <x v="24"/>
    <x v="10"/>
    <x v="20"/>
    <x v="18"/>
  </r>
  <r>
    <x v="35"/>
    <x v="2"/>
    <x v="3"/>
    <x v="931"/>
    <x v="49"/>
    <x v="118"/>
    <x v="10"/>
    <x v="22"/>
    <x v="13"/>
  </r>
  <r>
    <x v="35"/>
    <x v="2"/>
    <x v="3"/>
    <x v="932"/>
    <x v="29"/>
    <x v="97"/>
    <x v="10"/>
    <x v="8"/>
    <x v="10"/>
  </r>
  <r>
    <x v="35"/>
    <x v="2"/>
    <x v="5"/>
    <x v="933"/>
    <x v="37"/>
    <x v="27"/>
    <x v="0"/>
    <x v="6"/>
    <x v="21"/>
  </r>
  <r>
    <x v="35"/>
    <x v="2"/>
    <x v="5"/>
    <x v="934"/>
    <x v="99"/>
    <x v="74"/>
    <x v="0"/>
    <x v="16"/>
    <x v="19"/>
  </r>
  <r>
    <x v="35"/>
    <x v="2"/>
    <x v="5"/>
    <x v="935"/>
    <x v="8"/>
    <x v="77"/>
    <x v="10"/>
    <x v="16"/>
    <x v="0"/>
  </r>
  <r>
    <x v="35"/>
    <x v="2"/>
    <x v="24"/>
    <x v="936"/>
    <x v="51"/>
    <x v="104"/>
    <x v="0"/>
    <x v="0"/>
    <x v="19"/>
  </r>
  <r>
    <x v="35"/>
    <x v="2"/>
    <x v="24"/>
    <x v="937"/>
    <x v="138"/>
    <x v="50"/>
    <x v="30"/>
    <x v="9"/>
    <x v="23"/>
  </r>
  <r>
    <x v="35"/>
    <x v="2"/>
    <x v="24"/>
    <x v="938"/>
    <x v="68"/>
    <x v="89"/>
    <x v="0"/>
    <x v="8"/>
    <x v="18"/>
  </r>
  <r>
    <x v="35"/>
    <x v="2"/>
    <x v="24"/>
    <x v="939"/>
    <x v="1"/>
    <x v="67"/>
    <x v="14"/>
    <x v="16"/>
    <x v="19"/>
  </r>
  <r>
    <x v="35"/>
    <x v="2"/>
    <x v="24"/>
    <x v="940"/>
    <x v="56"/>
    <x v="14"/>
    <x v="18"/>
    <x v="10"/>
    <x v="19"/>
  </r>
  <r>
    <x v="35"/>
    <x v="2"/>
    <x v="24"/>
    <x v="941"/>
    <x v="148"/>
    <x v="52"/>
    <x v="25"/>
    <x v="9"/>
    <x v="1"/>
  </r>
  <r>
    <x v="35"/>
    <x v="2"/>
    <x v="24"/>
    <x v="942"/>
    <x v="32"/>
    <x v="39"/>
    <x v="9"/>
    <x v="22"/>
    <x v="13"/>
  </r>
  <r>
    <x v="35"/>
    <x v="2"/>
    <x v="2"/>
    <x v="943"/>
    <x v="72"/>
    <x v="80"/>
    <x v="9"/>
    <x v="22"/>
    <x v="9"/>
  </r>
  <r>
    <x v="35"/>
    <x v="2"/>
    <x v="2"/>
    <x v="944"/>
    <x v="216"/>
    <x v="102"/>
    <x v="8"/>
    <x v="0"/>
    <x v="18"/>
  </r>
  <r>
    <x v="35"/>
    <x v="2"/>
    <x v="10"/>
    <x v="945"/>
    <x v="274"/>
    <x v="2"/>
    <x v="4"/>
    <x v="3"/>
    <x v="24"/>
  </r>
  <r>
    <x v="35"/>
    <x v="2"/>
    <x v="10"/>
    <x v="946"/>
    <x v="233"/>
    <x v="8"/>
    <x v="3"/>
    <x v="17"/>
    <x v="25"/>
  </r>
  <r>
    <x v="35"/>
    <x v="2"/>
    <x v="10"/>
    <x v="947"/>
    <x v="302"/>
    <x v="47"/>
    <x v="4"/>
    <x v="7"/>
    <x v="17"/>
  </r>
  <r>
    <x v="35"/>
    <x v="2"/>
    <x v="10"/>
    <x v="948"/>
    <x v="134"/>
    <x v="156"/>
    <x v="17"/>
    <x v="20"/>
    <x v="6"/>
  </r>
  <r>
    <x v="35"/>
    <x v="2"/>
    <x v="10"/>
    <x v="949"/>
    <x v="303"/>
    <x v="67"/>
    <x v="2"/>
    <x v="2"/>
    <x v="26"/>
  </r>
  <r>
    <x v="35"/>
    <x v="2"/>
    <x v="10"/>
    <x v="950"/>
    <x v="45"/>
    <x v="141"/>
    <x v="4"/>
    <x v="19"/>
    <x v="6"/>
  </r>
  <r>
    <x v="35"/>
    <x v="2"/>
    <x v="10"/>
    <x v="951"/>
    <x v="304"/>
    <x v="34"/>
    <x v="3"/>
    <x v="14"/>
    <x v="16"/>
  </r>
  <r>
    <x v="35"/>
    <x v="2"/>
    <x v="10"/>
    <x v="952"/>
    <x v="305"/>
    <x v="157"/>
    <x v="24"/>
    <x v="12"/>
    <x v="25"/>
  </r>
  <r>
    <x v="35"/>
    <x v="2"/>
    <x v="10"/>
    <x v="953"/>
    <x v="306"/>
    <x v="21"/>
    <x v="0"/>
    <x v="6"/>
    <x v="0"/>
  </r>
  <r>
    <x v="35"/>
    <x v="2"/>
    <x v="10"/>
    <x v="954"/>
    <x v="299"/>
    <x v="76"/>
    <x v="0"/>
    <x v="0"/>
    <x v="0"/>
  </r>
  <r>
    <x v="35"/>
    <x v="2"/>
    <x v="10"/>
    <x v="955"/>
    <x v="307"/>
    <x v="41"/>
    <x v="11"/>
    <x v="6"/>
    <x v="21"/>
  </r>
  <r>
    <x v="35"/>
    <x v="2"/>
    <x v="10"/>
    <x v="956"/>
    <x v="56"/>
    <x v="43"/>
    <x v="10"/>
    <x v="6"/>
    <x v="21"/>
  </r>
  <r>
    <x v="35"/>
    <x v="2"/>
    <x v="9"/>
    <x v="957"/>
    <x v="223"/>
    <x v="4"/>
    <x v="13"/>
    <x v="6"/>
    <x v="8"/>
  </r>
  <r>
    <x v="35"/>
    <x v="2"/>
    <x v="9"/>
    <x v="958"/>
    <x v="37"/>
    <x v="24"/>
    <x v="10"/>
    <x v="1"/>
    <x v="0"/>
  </r>
  <r>
    <x v="35"/>
    <x v="2"/>
    <x v="9"/>
    <x v="959"/>
    <x v="31"/>
    <x v="48"/>
    <x v="10"/>
    <x v="10"/>
    <x v="1"/>
  </r>
  <r>
    <x v="35"/>
    <x v="2"/>
    <x v="9"/>
    <x v="960"/>
    <x v="128"/>
    <x v="71"/>
    <x v="11"/>
    <x v="18"/>
    <x v="8"/>
  </r>
  <r>
    <x v="35"/>
    <x v="2"/>
    <x v="22"/>
    <x v="961"/>
    <x v="308"/>
    <x v="23"/>
    <x v="21"/>
    <x v="13"/>
    <x v="7"/>
  </r>
  <r>
    <x v="35"/>
    <x v="2"/>
    <x v="22"/>
    <x v="962"/>
    <x v="49"/>
    <x v="20"/>
    <x v="22"/>
    <x v="19"/>
    <x v="25"/>
  </r>
  <r>
    <x v="35"/>
    <x v="2"/>
    <x v="22"/>
    <x v="963"/>
    <x v="309"/>
    <x v="6"/>
    <x v="6"/>
    <x v="26"/>
    <x v="25"/>
  </r>
  <r>
    <x v="35"/>
    <x v="2"/>
    <x v="22"/>
    <x v="964"/>
    <x v="145"/>
    <x v="8"/>
    <x v="0"/>
    <x v="20"/>
    <x v="18"/>
  </r>
  <r>
    <x v="35"/>
    <x v="2"/>
    <x v="22"/>
    <x v="965"/>
    <x v="33"/>
    <x v="21"/>
    <x v="10"/>
    <x v="0"/>
    <x v="19"/>
  </r>
  <r>
    <x v="35"/>
    <x v="2"/>
    <x v="22"/>
    <x v="966"/>
    <x v="32"/>
    <x v="18"/>
    <x v="0"/>
    <x v="1"/>
    <x v="1"/>
  </r>
  <r>
    <x v="35"/>
    <x v="2"/>
    <x v="19"/>
    <x v="967"/>
    <x v="26"/>
    <x v="144"/>
    <x v="14"/>
    <x v="18"/>
    <x v="8"/>
  </r>
  <r>
    <x v="35"/>
    <x v="2"/>
    <x v="19"/>
    <x v="968"/>
    <x v="310"/>
    <x v="67"/>
    <x v="21"/>
    <x v="5"/>
    <x v="16"/>
  </r>
  <r>
    <x v="35"/>
    <x v="2"/>
    <x v="19"/>
    <x v="969"/>
    <x v="311"/>
    <x v="7"/>
    <x v="16"/>
    <x v="15"/>
    <x v="2"/>
  </r>
  <r>
    <x v="35"/>
    <x v="2"/>
    <x v="19"/>
    <x v="970"/>
    <x v="58"/>
    <x v="6"/>
    <x v="9"/>
    <x v="9"/>
    <x v="13"/>
  </r>
  <r>
    <x v="35"/>
    <x v="2"/>
    <x v="19"/>
    <x v="971"/>
    <x v="56"/>
    <x v="77"/>
    <x v="25"/>
    <x v="1"/>
    <x v="1"/>
  </r>
  <r>
    <x v="35"/>
    <x v="2"/>
    <x v="19"/>
    <x v="972"/>
    <x v="312"/>
    <x v="158"/>
    <x v="21"/>
    <x v="12"/>
    <x v="26"/>
  </r>
  <r>
    <x v="35"/>
    <x v="2"/>
    <x v="12"/>
    <x v="973"/>
    <x v="49"/>
    <x v="4"/>
    <x v="13"/>
    <x v="19"/>
    <x v="17"/>
  </r>
  <r>
    <x v="35"/>
    <x v="2"/>
    <x v="12"/>
    <x v="974"/>
    <x v="177"/>
    <x v="102"/>
    <x v="13"/>
    <x v="11"/>
    <x v="6"/>
  </r>
  <r>
    <x v="35"/>
    <x v="2"/>
    <x v="48"/>
    <x v="975"/>
    <x v="313"/>
    <x v="68"/>
    <x v="11"/>
    <x v="19"/>
    <x v="4"/>
  </r>
  <r>
    <x v="35"/>
    <x v="2"/>
    <x v="17"/>
    <x v="976"/>
    <x v="188"/>
    <x v="39"/>
    <x v="8"/>
    <x v="18"/>
    <x v="21"/>
  </r>
  <r>
    <x v="36"/>
    <x v="6"/>
    <x v="5"/>
    <x v="977"/>
    <x v="27"/>
    <x v="1"/>
    <x v="17"/>
    <x v="7"/>
    <x v="6"/>
  </r>
  <r>
    <x v="36"/>
    <x v="6"/>
    <x v="5"/>
    <x v="978"/>
    <x v="29"/>
    <x v="100"/>
    <x v="10"/>
    <x v="10"/>
    <x v="0"/>
  </r>
  <r>
    <x v="36"/>
    <x v="6"/>
    <x v="5"/>
    <x v="979"/>
    <x v="1"/>
    <x v="12"/>
    <x v="18"/>
    <x v="8"/>
    <x v="10"/>
  </r>
  <r>
    <x v="36"/>
    <x v="6"/>
    <x v="13"/>
    <x v="980"/>
    <x v="314"/>
    <x v="1"/>
    <x v="24"/>
    <x v="26"/>
    <x v="7"/>
  </r>
  <r>
    <x v="36"/>
    <x v="6"/>
    <x v="13"/>
    <x v="981"/>
    <x v="315"/>
    <x v="22"/>
    <x v="15"/>
    <x v="4"/>
    <x v="24"/>
  </r>
  <r>
    <x v="36"/>
    <x v="6"/>
    <x v="13"/>
    <x v="982"/>
    <x v="215"/>
    <x v="19"/>
    <x v="22"/>
    <x v="3"/>
    <x v="5"/>
  </r>
  <r>
    <x v="36"/>
    <x v="6"/>
    <x v="13"/>
    <x v="983"/>
    <x v="316"/>
    <x v="14"/>
    <x v="13"/>
    <x v="0"/>
    <x v="11"/>
  </r>
  <r>
    <x v="36"/>
    <x v="6"/>
    <x v="13"/>
    <x v="984"/>
    <x v="102"/>
    <x v="24"/>
    <x v="8"/>
    <x v="14"/>
    <x v="16"/>
  </r>
  <r>
    <x v="36"/>
    <x v="6"/>
    <x v="13"/>
    <x v="985"/>
    <x v="113"/>
    <x v="28"/>
    <x v="13"/>
    <x v="7"/>
    <x v="11"/>
  </r>
  <r>
    <x v="36"/>
    <x v="6"/>
    <x v="13"/>
    <x v="986"/>
    <x v="59"/>
    <x v="25"/>
    <x v="11"/>
    <x v="20"/>
    <x v="14"/>
  </r>
  <r>
    <x v="36"/>
    <x v="6"/>
    <x v="14"/>
    <x v="987"/>
    <x v="72"/>
    <x v="24"/>
    <x v="16"/>
    <x v="20"/>
    <x v="11"/>
  </r>
  <r>
    <x v="36"/>
    <x v="6"/>
    <x v="14"/>
    <x v="988"/>
    <x v="197"/>
    <x v="80"/>
    <x v="7"/>
    <x v="14"/>
    <x v="14"/>
  </r>
  <r>
    <x v="36"/>
    <x v="6"/>
    <x v="14"/>
    <x v="989"/>
    <x v="215"/>
    <x v="13"/>
    <x v="10"/>
    <x v="9"/>
    <x v="10"/>
  </r>
  <r>
    <x v="36"/>
    <x v="6"/>
    <x v="14"/>
    <x v="990"/>
    <x v="132"/>
    <x v="25"/>
    <x v="0"/>
    <x v="6"/>
    <x v="18"/>
  </r>
  <r>
    <x v="36"/>
    <x v="6"/>
    <x v="6"/>
    <x v="991"/>
    <x v="230"/>
    <x v="15"/>
    <x v="11"/>
    <x v="20"/>
    <x v="8"/>
  </r>
  <r>
    <x v="36"/>
    <x v="6"/>
    <x v="8"/>
    <x v="992"/>
    <x v="43"/>
    <x v="27"/>
    <x v="8"/>
    <x v="0"/>
    <x v="18"/>
  </r>
  <r>
    <x v="36"/>
    <x v="6"/>
    <x v="8"/>
    <x v="993"/>
    <x v="317"/>
    <x v="84"/>
    <x v="13"/>
    <x v="16"/>
    <x v="18"/>
  </r>
  <r>
    <x v="36"/>
    <x v="6"/>
    <x v="8"/>
    <x v="994"/>
    <x v="30"/>
    <x v="26"/>
    <x v="0"/>
    <x v="0"/>
    <x v="18"/>
  </r>
  <r>
    <x v="36"/>
    <x v="6"/>
    <x v="8"/>
    <x v="995"/>
    <x v="32"/>
    <x v="25"/>
    <x v="18"/>
    <x v="8"/>
    <x v="19"/>
  </r>
  <r>
    <x v="36"/>
    <x v="6"/>
    <x v="15"/>
    <x v="996"/>
    <x v="17"/>
    <x v="81"/>
    <x v="11"/>
    <x v="18"/>
    <x v="8"/>
  </r>
  <r>
    <x v="36"/>
    <x v="6"/>
    <x v="15"/>
    <x v="997"/>
    <x v="213"/>
    <x v="14"/>
    <x v="12"/>
    <x v="7"/>
    <x v="17"/>
  </r>
  <r>
    <x v="36"/>
    <x v="6"/>
    <x v="15"/>
    <x v="998"/>
    <x v="29"/>
    <x v="13"/>
    <x v="14"/>
    <x v="16"/>
    <x v="19"/>
  </r>
  <r>
    <x v="36"/>
    <x v="6"/>
    <x v="7"/>
    <x v="999"/>
    <x v="318"/>
    <x v="71"/>
    <x v="11"/>
    <x v="8"/>
    <x v="18"/>
  </r>
  <r>
    <x v="36"/>
    <x v="6"/>
    <x v="7"/>
    <x v="1000"/>
    <x v="103"/>
    <x v="97"/>
    <x v="1"/>
    <x v="8"/>
    <x v="1"/>
  </r>
  <r>
    <x v="36"/>
    <x v="6"/>
    <x v="7"/>
    <x v="1001"/>
    <x v="31"/>
    <x v="24"/>
    <x v="11"/>
    <x v="18"/>
    <x v="8"/>
  </r>
  <r>
    <x v="36"/>
    <x v="6"/>
    <x v="7"/>
    <x v="1002"/>
    <x v="196"/>
    <x v="21"/>
    <x v="0"/>
    <x v="18"/>
    <x v="18"/>
  </r>
  <r>
    <x v="36"/>
    <x v="6"/>
    <x v="7"/>
    <x v="1003"/>
    <x v="68"/>
    <x v="95"/>
    <x v="18"/>
    <x v="1"/>
    <x v="10"/>
  </r>
  <r>
    <x v="36"/>
    <x v="6"/>
    <x v="7"/>
    <x v="1004"/>
    <x v="65"/>
    <x v="32"/>
    <x v="14"/>
    <x v="18"/>
    <x v="21"/>
  </r>
  <r>
    <x v="37"/>
    <x v="5"/>
    <x v="19"/>
    <x v="1005"/>
    <x v="319"/>
    <x v="13"/>
    <x v="11"/>
    <x v="7"/>
    <x v="4"/>
  </r>
  <r>
    <x v="37"/>
    <x v="5"/>
    <x v="19"/>
    <x v="1006"/>
    <x v="216"/>
    <x v="72"/>
    <x v="22"/>
    <x v="26"/>
    <x v="26"/>
  </r>
  <r>
    <x v="37"/>
    <x v="5"/>
    <x v="19"/>
    <x v="1007"/>
    <x v="0"/>
    <x v="2"/>
    <x v="6"/>
    <x v="3"/>
    <x v="5"/>
  </r>
  <r>
    <x v="37"/>
    <x v="5"/>
    <x v="12"/>
    <x v="1008"/>
    <x v="320"/>
    <x v="120"/>
    <x v="10"/>
    <x v="6"/>
    <x v="0"/>
  </r>
  <r>
    <x v="37"/>
    <x v="5"/>
    <x v="15"/>
    <x v="1009"/>
    <x v="321"/>
    <x v="31"/>
    <x v="11"/>
    <x v="5"/>
    <x v="21"/>
  </r>
  <r>
    <x v="37"/>
    <x v="5"/>
    <x v="15"/>
    <x v="1010"/>
    <x v="322"/>
    <x v="113"/>
    <x v="13"/>
    <x v="14"/>
    <x v="18"/>
  </r>
  <r>
    <x v="37"/>
    <x v="5"/>
    <x v="15"/>
    <x v="1011"/>
    <x v="47"/>
    <x v="158"/>
    <x v="8"/>
    <x v="11"/>
    <x v="14"/>
  </r>
  <r>
    <x v="37"/>
    <x v="5"/>
    <x v="48"/>
    <x v="1012"/>
    <x v="49"/>
    <x v="159"/>
    <x v="10"/>
    <x v="0"/>
    <x v="10"/>
  </r>
  <r>
    <x v="37"/>
    <x v="5"/>
    <x v="5"/>
    <x v="1013"/>
    <x v="157"/>
    <x v="8"/>
    <x v="17"/>
    <x v="13"/>
    <x v="16"/>
  </r>
  <r>
    <x v="37"/>
    <x v="5"/>
    <x v="5"/>
    <x v="1014"/>
    <x v="41"/>
    <x v="137"/>
    <x v="11"/>
    <x v="6"/>
    <x v="8"/>
  </r>
  <r>
    <x v="37"/>
    <x v="5"/>
    <x v="5"/>
    <x v="1015"/>
    <x v="67"/>
    <x v="83"/>
    <x v="10"/>
    <x v="10"/>
    <x v="19"/>
  </r>
  <r>
    <x v="37"/>
    <x v="5"/>
    <x v="5"/>
    <x v="1016"/>
    <x v="72"/>
    <x v="42"/>
    <x v="25"/>
    <x v="8"/>
    <x v="10"/>
  </r>
  <r>
    <x v="37"/>
    <x v="5"/>
    <x v="14"/>
    <x v="1017"/>
    <x v="30"/>
    <x v="15"/>
    <x v="14"/>
    <x v="16"/>
    <x v="21"/>
  </r>
  <r>
    <x v="37"/>
    <x v="5"/>
    <x v="0"/>
    <x v="1018"/>
    <x v="323"/>
    <x v="81"/>
    <x v="17"/>
    <x v="15"/>
    <x v="6"/>
  </r>
  <r>
    <x v="37"/>
    <x v="5"/>
    <x v="22"/>
    <x v="1019"/>
    <x v="65"/>
    <x v="118"/>
    <x v="24"/>
    <x v="18"/>
    <x v="16"/>
  </r>
  <r>
    <x v="37"/>
    <x v="5"/>
    <x v="22"/>
    <x v="1020"/>
    <x v="71"/>
    <x v="52"/>
    <x v="0"/>
    <x v="10"/>
    <x v="10"/>
  </r>
  <r>
    <x v="37"/>
    <x v="5"/>
    <x v="22"/>
    <x v="1021"/>
    <x v="128"/>
    <x v="6"/>
    <x v="4"/>
    <x v="19"/>
    <x v="16"/>
  </r>
  <r>
    <x v="37"/>
    <x v="5"/>
    <x v="13"/>
    <x v="1022"/>
    <x v="324"/>
    <x v="15"/>
    <x v="21"/>
    <x v="26"/>
    <x v="24"/>
  </r>
  <r>
    <x v="37"/>
    <x v="5"/>
    <x v="13"/>
    <x v="1023"/>
    <x v="325"/>
    <x v="14"/>
    <x v="6"/>
    <x v="17"/>
    <x v="17"/>
  </r>
  <r>
    <x v="37"/>
    <x v="5"/>
    <x v="11"/>
    <x v="1024"/>
    <x v="47"/>
    <x v="84"/>
    <x v="12"/>
    <x v="20"/>
    <x v="6"/>
  </r>
  <r>
    <x v="37"/>
    <x v="5"/>
    <x v="11"/>
    <x v="1025"/>
    <x v="193"/>
    <x v="24"/>
    <x v="7"/>
    <x v="13"/>
    <x v="16"/>
  </r>
  <r>
    <x v="37"/>
    <x v="5"/>
    <x v="11"/>
    <x v="1026"/>
    <x v="126"/>
    <x v="83"/>
    <x v="11"/>
    <x v="6"/>
    <x v="11"/>
  </r>
  <r>
    <x v="37"/>
    <x v="5"/>
    <x v="11"/>
    <x v="1027"/>
    <x v="13"/>
    <x v="36"/>
    <x v="1"/>
    <x v="18"/>
    <x v="0"/>
  </r>
  <r>
    <x v="37"/>
    <x v="5"/>
    <x v="11"/>
    <x v="1028"/>
    <x v="87"/>
    <x v="77"/>
    <x v="0"/>
    <x v="0"/>
    <x v="18"/>
  </r>
  <r>
    <x v="37"/>
    <x v="5"/>
    <x v="11"/>
    <x v="1029"/>
    <x v="163"/>
    <x v="24"/>
    <x v="10"/>
    <x v="0"/>
    <x v="19"/>
  </r>
  <r>
    <x v="38"/>
    <x v="5"/>
    <x v="39"/>
    <x v="1030"/>
    <x v="29"/>
    <x v="26"/>
    <x v="10"/>
    <x v="8"/>
    <x v="0"/>
  </r>
  <r>
    <x v="38"/>
    <x v="5"/>
    <x v="0"/>
    <x v="1031"/>
    <x v="33"/>
    <x v="160"/>
    <x v="11"/>
    <x v="10"/>
    <x v="10"/>
  </r>
  <r>
    <x v="38"/>
    <x v="5"/>
    <x v="10"/>
    <x v="1032"/>
    <x v="59"/>
    <x v="45"/>
    <x v="14"/>
    <x v="16"/>
    <x v="19"/>
  </r>
  <r>
    <x v="38"/>
    <x v="5"/>
    <x v="21"/>
    <x v="1033"/>
    <x v="39"/>
    <x v="57"/>
    <x v="18"/>
    <x v="1"/>
    <x v="1"/>
  </r>
  <r>
    <x v="38"/>
    <x v="5"/>
    <x v="21"/>
    <x v="1034"/>
    <x v="50"/>
    <x v="25"/>
    <x v="0"/>
    <x v="0"/>
    <x v="19"/>
  </r>
  <r>
    <x v="38"/>
    <x v="5"/>
    <x v="21"/>
    <x v="1035"/>
    <x v="8"/>
    <x v="26"/>
    <x v="8"/>
    <x v="16"/>
    <x v="18"/>
  </r>
  <r>
    <x v="38"/>
    <x v="5"/>
    <x v="21"/>
    <x v="1036"/>
    <x v="326"/>
    <x v="27"/>
    <x v="17"/>
    <x v="11"/>
    <x v="17"/>
  </r>
  <r>
    <x v="38"/>
    <x v="5"/>
    <x v="21"/>
    <x v="1037"/>
    <x v="116"/>
    <x v="27"/>
    <x v="16"/>
    <x v="20"/>
    <x v="11"/>
  </r>
  <r>
    <x v="38"/>
    <x v="5"/>
    <x v="33"/>
    <x v="1038"/>
    <x v="29"/>
    <x v="25"/>
    <x v="0"/>
    <x v="0"/>
    <x v="18"/>
  </r>
  <r>
    <x v="38"/>
    <x v="5"/>
    <x v="22"/>
    <x v="1039"/>
    <x v="154"/>
    <x v="51"/>
    <x v="10"/>
    <x v="0"/>
    <x v="21"/>
  </r>
  <r>
    <x v="38"/>
    <x v="5"/>
    <x v="12"/>
    <x v="1040"/>
    <x v="168"/>
    <x v="26"/>
    <x v="11"/>
    <x v="18"/>
    <x v="11"/>
  </r>
  <r>
    <x v="38"/>
    <x v="5"/>
    <x v="15"/>
    <x v="1041"/>
    <x v="1"/>
    <x v="24"/>
    <x v="1"/>
    <x v="9"/>
    <x v="0"/>
  </r>
  <r>
    <x v="38"/>
    <x v="5"/>
    <x v="7"/>
    <x v="1042"/>
    <x v="1"/>
    <x v="37"/>
    <x v="1"/>
    <x v="1"/>
    <x v="13"/>
  </r>
  <r>
    <x v="38"/>
    <x v="5"/>
    <x v="7"/>
    <x v="1043"/>
    <x v="128"/>
    <x v="81"/>
    <x v="14"/>
    <x v="16"/>
    <x v="18"/>
  </r>
  <r>
    <x v="38"/>
    <x v="5"/>
    <x v="5"/>
    <x v="1044"/>
    <x v="125"/>
    <x v="32"/>
    <x v="8"/>
    <x v="14"/>
    <x v="0"/>
  </r>
  <r>
    <x v="38"/>
    <x v="5"/>
    <x v="5"/>
    <x v="1045"/>
    <x v="14"/>
    <x v="48"/>
    <x v="8"/>
    <x v="6"/>
    <x v="21"/>
  </r>
  <r>
    <x v="38"/>
    <x v="5"/>
    <x v="31"/>
    <x v="1046"/>
    <x v="33"/>
    <x v="19"/>
    <x v="8"/>
    <x v="6"/>
    <x v="21"/>
  </r>
  <r>
    <x v="38"/>
    <x v="5"/>
    <x v="13"/>
    <x v="1047"/>
    <x v="223"/>
    <x v="12"/>
    <x v="17"/>
    <x v="14"/>
    <x v="6"/>
  </r>
  <r>
    <x v="38"/>
    <x v="5"/>
    <x v="13"/>
    <x v="1048"/>
    <x v="116"/>
    <x v="97"/>
    <x v="8"/>
    <x v="6"/>
    <x v="21"/>
  </r>
  <r>
    <x v="38"/>
    <x v="5"/>
    <x v="13"/>
    <x v="1049"/>
    <x v="32"/>
    <x v="25"/>
    <x v="10"/>
    <x v="10"/>
    <x v="0"/>
  </r>
  <r>
    <x v="38"/>
    <x v="5"/>
    <x v="13"/>
    <x v="1050"/>
    <x v="32"/>
    <x v="83"/>
    <x v="14"/>
    <x v="16"/>
    <x v="18"/>
  </r>
  <r>
    <x v="39"/>
    <x v="5"/>
    <x v="7"/>
    <x v="1051"/>
    <x v="149"/>
    <x v="51"/>
    <x v="30"/>
    <x v="25"/>
    <x v="22"/>
  </r>
  <r>
    <x v="39"/>
    <x v="5"/>
    <x v="7"/>
    <x v="1052"/>
    <x v="31"/>
    <x v="24"/>
    <x v="18"/>
    <x v="8"/>
    <x v="0"/>
  </r>
  <r>
    <x v="39"/>
    <x v="5"/>
    <x v="7"/>
    <x v="1053"/>
    <x v="103"/>
    <x v="26"/>
    <x v="8"/>
    <x v="9"/>
    <x v="0"/>
  </r>
  <r>
    <x v="39"/>
    <x v="5"/>
    <x v="32"/>
    <x v="1054"/>
    <x v="59"/>
    <x v="50"/>
    <x v="8"/>
    <x v="18"/>
    <x v="8"/>
  </r>
  <r>
    <x v="39"/>
    <x v="5"/>
    <x v="32"/>
    <x v="1055"/>
    <x v="22"/>
    <x v="53"/>
    <x v="14"/>
    <x v="1"/>
    <x v="9"/>
  </r>
  <r>
    <x v="39"/>
    <x v="5"/>
    <x v="18"/>
    <x v="1056"/>
    <x v="59"/>
    <x v="53"/>
    <x v="0"/>
    <x v="10"/>
    <x v="0"/>
  </r>
  <r>
    <x v="39"/>
    <x v="5"/>
    <x v="9"/>
    <x v="1057"/>
    <x v="72"/>
    <x v="161"/>
    <x v="0"/>
    <x v="18"/>
    <x v="21"/>
  </r>
  <r>
    <x v="39"/>
    <x v="5"/>
    <x v="9"/>
    <x v="1058"/>
    <x v="1"/>
    <x v="162"/>
    <x v="18"/>
    <x v="8"/>
    <x v="10"/>
  </r>
  <r>
    <x v="39"/>
    <x v="5"/>
    <x v="10"/>
    <x v="1059"/>
    <x v="327"/>
    <x v="100"/>
    <x v="11"/>
    <x v="18"/>
    <x v="8"/>
  </r>
  <r>
    <x v="39"/>
    <x v="5"/>
    <x v="10"/>
    <x v="1060"/>
    <x v="56"/>
    <x v="41"/>
    <x v="14"/>
    <x v="16"/>
    <x v="19"/>
  </r>
  <r>
    <x v="39"/>
    <x v="5"/>
    <x v="33"/>
    <x v="1061"/>
    <x v="67"/>
    <x v="97"/>
    <x v="13"/>
    <x v="20"/>
    <x v="11"/>
  </r>
  <r>
    <x v="39"/>
    <x v="5"/>
    <x v="33"/>
    <x v="1062"/>
    <x v="72"/>
    <x v="15"/>
    <x v="18"/>
    <x v="8"/>
    <x v="10"/>
  </r>
  <r>
    <x v="39"/>
    <x v="5"/>
    <x v="33"/>
    <x v="1063"/>
    <x v="30"/>
    <x v="25"/>
    <x v="1"/>
    <x v="8"/>
    <x v="10"/>
  </r>
  <r>
    <x v="39"/>
    <x v="5"/>
    <x v="21"/>
    <x v="1064"/>
    <x v="125"/>
    <x v="25"/>
    <x v="13"/>
    <x v="20"/>
    <x v="14"/>
  </r>
  <r>
    <x v="39"/>
    <x v="5"/>
    <x v="21"/>
    <x v="1065"/>
    <x v="177"/>
    <x v="24"/>
    <x v="1"/>
    <x v="1"/>
    <x v="1"/>
  </r>
  <r>
    <x v="39"/>
    <x v="5"/>
    <x v="21"/>
    <x v="1066"/>
    <x v="328"/>
    <x v="38"/>
    <x v="16"/>
    <x v="20"/>
    <x v="8"/>
  </r>
  <r>
    <x v="39"/>
    <x v="5"/>
    <x v="22"/>
    <x v="1067"/>
    <x v="168"/>
    <x v="49"/>
    <x v="8"/>
    <x v="6"/>
    <x v="21"/>
  </r>
  <r>
    <x v="39"/>
    <x v="5"/>
    <x v="22"/>
    <x v="1068"/>
    <x v="1"/>
    <x v="19"/>
    <x v="0"/>
    <x v="0"/>
    <x v="18"/>
  </r>
  <r>
    <x v="39"/>
    <x v="5"/>
    <x v="21"/>
    <x v="1069"/>
    <x v="116"/>
    <x v="57"/>
    <x v="8"/>
    <x v="6"/>
    <x v="19"/>
  </r>
  <r>
    <x v="39"/>
    <x v="5"/>
    <x v="22"/>
    <x v="1070"/>
    <x v="50"/>
    <x v="36"/>
    <x v="18"/>
    <x v="8"/>
    <x v="10"/>
  </r>
  <r>
    <x v="39"/>
    <x v="5"/>
    <x v="22"/>
    <x v="1071"/>
    <x v="1"/>
    <x v="48"/>
    <x v="1"/>
    <x v="1"/>
    <x v="1"/>
  </r>
  <r>
    <x v="39"/>
    <x v="5"/>
    <x v="22"/>
    <x v="1072"/>
    <x v="103"/>
    <x v="48"/>
    <x v="18"/>
    <x v="8"/>
    <x v="10"/>
  </r>
  <r>
    <x v="39"/>
    <x v="5"/>
    <x v="22"/>
    <x v="1073"/>
    <x v="50"/>
    <x v="24"/>
    <x v="1"/>
    <x v="1"/>
    <x v="1"/>
  </r>
  <r>
    <x v="39"/>
    <x v="5"/>
    <x v="15"/>
    <x v="1074"/>
    <x v="232"/>
    <x v="23"/>
    <x v="0"/>
    <x v="6"/>
    <x v="18"/>
  </r>
  <r>
    <x v="39"/>
    <x v="5"/>
    <x v="15"/>
    <x v="1075"/>
    <x v="1"/>
    <x v="7"/>
    <x v="1"/>
    <x v="1"/>
    <x v="1"/>
  </r>
  <r>
    <x v="39"/>
    <x v="5"/>
    <x v="15"/>
    <x v="1076"/>
    <x v="329"/>
    <x v="155"/>
    <x v="13"/>
    <x v="7"/>
    <x v="16"/>
  </r>
  <r>
    <x v="39"/>
    <x v="5"/>
    <x v="13"/>
    <x v="1077"/>
    <x v="30"/>
    <x v="25"/>
    <x v="8"/>
    <x v="6"/>
    <x v="21"/>
  </r>
  <r>
    <x v="39"/>
    <x v="5"/>
    <x v="13"/>
    <x v="1078"/>
    <x v="32"/>
    <x v="1"/>
    <x v="10"/>
    <x v="10"/>
    <x v="0"/>
  </r>
  <r>
    <x v="39"/>
    <x v="5"/>
    <x v="5"/>
    <x v="1079"/>
    <x v="40"/>
    <x v="69"/>
    <x v="10"/>
    <x v="6"/>
    <x v="18"/>
  </r>
  <r>
    <x v="39"/>
    <x v="5"/>
    <x v="5"/>
    <x v="1080"/>
    <x v="29"/>
    <x v="53"/>
    <x v="18"/>
    <x v="8"/>
    <x v="0"/>
  </r>
  <r>
    <x v="39"/>
    <x v="5"/>
    <x v="5"/>
    <x v="1081"/>
    <x v="226"/>
    <x v="30"/>
    <x v="0"/>
    <x v="6"/>
    <x v="18"/>
  </r>
  <r>
    <x v="39"/>
    <x v="5"/>
    <x v="14"/>
    <x v="1082"/>
    <x v="33"/>
    <x v="41"/>
    <x v="1"/>
    <x v="8"/>
    <x v="10"/>
  </r>
  <r>
    <x v="39"/>
    <x v="5"/>
    <x v="12"/>
    <x v="1083"/>
    <x v="197"/>
    <x v="90"/>
    <x v="24"/>
    <x v="15"/>
    <x v="7"/>
  </r>
  <r>
    <x v="39"/>
    <x v="5"/>
    <x v="12"/>
    <x v="1084"/>
    <x v="32"/>
    <x v="38"/>
    <x v="14"/>
    <x v="10"/>
    <x v="19"/>
  </r>
  <r>
    <x v="40"/>
    <x v="2"/>
    <x v="30"/>
    <x v="1085"/>
    <x v="1"/>
    <x v="1"/>
    <x v="1"/>
    <x v="1"/>
    <x v="1"/>
  </r>
  <r>
    <x v="40"/>
    <x v="2"/>
    <x v="39"/>
    <x v="1086"/>
    <x v="37"/>
    <x v="83"/>
    <x v="0"/>
    <x v="0"/>
    <x v="18"/>
  </r>
  <r>
    <x v="40"/>
    <x v="2"/>
    <x v="40"/>
    <x v="1087"/>
    <x v="37"/>
    <x v="42"/>
    <x v="0"/>
    <x v="0"/>
    <x v="18"/>
  </r>
  <r>
    <x v="40"/>
    <x v="2"/>
    <x v="27"/>
    <x v="1088"/>
    <x v="330"/>
    <x v="53"/>
    <x v="17"/>
    <x v="19"/>
    <x v="6"/>
  </r>
  <r>
    <x v="40"/>
    <x v="2"/>
    <x v="49"/>
    <x v="1089"/>
    <x v="230"/>
    <x v="8"/>
    <x v="20"/>
    <x v="17"/>
    <x v="24"/>
  </r>
  <r>
    <x v="40"/>
    <x v="2"/>
    <x v="49"/>
    <x v="1090"/>
    <x v="206"/>
    <x v="35"/>
    <x v="13"/>
    <x v="10"/>
    <x v="10"/>
  </r>
  <r>
    <x v="40"/>
    <x v="2"/>
    <x v="49"/>
    <x v="1091"/>
    <x v="298"/>
    <x v="42"/>
    <x v="14"/>
    <x v="0"/>
    <x v="19"/>
  </r>
  <r>
    <x v="40"/>
    <x v="2"/>
    <x v="49"/>
    <x v="1092"/>
    <x v="51"/>
    <x v="35"/>
    <x v="14"/>
    <x v="0"/>
    <x v="0"/>
  </r>
  <r>
    <x v="40"/>
    <x v="2"/>
    <x v="49"/>
    <x v="1093"/>
    <x v="103"/>
    <x v="28"/>
    <x v="0"/>
    <x v="0"/>
    <x v="19"/>
  </r>
  <r>
    <x v="40"/>
    <x v="2"/>
    <x v="49"/>
    <x v="1094"/>
    <x v="102"/>
    <x v="71"/>
    <x v="10"/>
    <x v="8"/>
    <x v="10"/>
  </r>
  <r>
    <x v="40"/>
    <x v="2"/>
    <x v="49"/>
    <x v="1095"/>
    <x v="230"/>
    <x v="80"/>
    <x v="0"/>
    <x v="6"/>
    <x v="8"/>
  </r>
  <r>
    <x v="40"/>
    <x v="2"/>
    <x v="18"/>
    <x v="1096"/>
    <x v="1"/>
    <x v="24"/>
    <x v="11"/>
    <x v="18"/>
    <x v="8"/>
  </r>
  <r>
    <x v="40"/>
    <x v="2"/>
    <x v="24"/>
    <x v="1097"/>
    <x v="8"/>
    <x v="32"/>
    <x v="11"/>
    <x v="22"/>
    <x v="18"/>
  </r>
  <r>
    <x v="40"/>
    <x v="2"/>
    <x v="24"/>
    <x v="1098"/>
    <x v="41"/>
    <x v="45"/>
    <x v="8"/>
    <x v="0"/>
    <x v="21"/>
  </r>
  <r>
    <x v="40"/>
    <x v="2"/>
    <x v="24"/>
    <x v="1099"/>
    <x v="149"/>
    <x v="36"/>
    <x v="18"/>
    <x v="8"/>
    <x v="10"/>
  </r>
  <r>
    <x v="40"/>
    <x v="2"/>
    <x v="12"/>
    <x v="1100"/>
    <x v="51"/>
    <x v="105"/>
    <x v="14"/>
    <x v="10"/>
    <x v="0"/>
  </r>
  <r>
    <x v="40"/>
    <x v="2"/>
    <x v="12"/>
    <x v="1101"/>
    <x v="50"/>
    <x v="26"/>
    <x v="1"/>
    <x v="1"/>
    <x v="1"/>
  </r>
  <r>
    <x v="40"/>
    <x v="2"/>
    <x v="19"/>
    <x v="1102"/>
    <x v="30"/>
    <x v="25"/>
    <x v="18"/>
    <x v="16"/>
    <x v="19"/>
  </r>
  <r>
    <x v="40"/>
    <x v="2"/>
    <x v="19"/>
    <x v="1103"/>
    <x v="116"/>
    <x v="27"/>
    <x v="14"/>
    <x v="8"/>
    <x v="10"/>
  </r>
  <r>
    <x v="40"/>
    <x v="2"/>
    <x v="36"/>
    <x v="1104"/>
    <x v="72"/>
    <x v="28"/>
    <x v="0"/>
    <x v="0"/>
    <x v="18"/>
  </r>
  <r>
    <x v="40"/>
    <x v="2"/>
    <x v="6"/>
    <x v="1105"/>
    <x v="67"/>
    <x v="26"/>
    <x v="11"/>
    <x v="6"/>
    <x v="8"/>
  </r>
  <r>
    <x v="40"/>
    <x v="2"/>
    <x v="6"/>
    <x v="1106"/>
    <x v="31"/>
    <x v="24"/>
    <x v="18"/>
    <x v="1"/>
    <x v="0"/>
  </r>
  <r>
    <x v="40"/>
    <x v="2"/>
    <x v="6"/>
    <x v="1107"/>
    <x v="64"/>
    <x v="13"/>
    <x v="13"/>
    <x v="18"/>
    <x v="21"/>
  </r>
  <r>
    <x v="40"/>
    <x v="2"/>
    <x v="6"/>
    <x v="1108"/>
    <x v="31"/>
    <x v="42"/>
    <x v="1"/>
    <x v="1"/>
    <x v="1"/>
  </r>
  <r>
    <x v="40"/>
    <x v="2"/>
    <x v="17"/>
    <x v="1109"/>
    <x v="1"/>
    <x v="48"/>
    <x v="1"/>
    <x v="1"/>
    <x v="1"/>
  </r>
  <r>
    <x v="40"/>
    <x v="2"/>
    <x v="1"/>
    <x v="1110"/>
    <x v="331"/>
    <x v="48"/>
    <x v="5"/>
    <x v="3"/>
    <x v="26"/>
  </r>
  <r>
    <x v="40"/>
    <x v="2"/>
    <x v="17"/>
    <x v="1111"/>
    <x v="30"/>
    <x v="71"/>
    <x v="10"/>
    <x v="16"/>
    <x v="19"/>
  </r>
  <r>
    <x v="40"/>
    <x v="2"/>
    <x v="1"/>
    <x v="1112"/>
    <x v="46"/>
    <x v="45"/>
    <x v="7"/>
    <x v="14"/>
    <x v="14"/>
  </r>
  <r>
    <x v="40"/>
    <x v="2"/>
    <x v="1"/>
    <x v="1113"/>
    <x v="43"/>
    <x v="30"/>
    <x v="13"/>
    <x v="20"/>
    <x v="11"/>
  </r>
  <r>
    <x v="40"/>
    <x v="2"/>
    <x v="9"/>
    <x v="1114"/>
    <x v="1"/>
    <x v="69"/>
    <x v="1"/>
    <x v="1"/>
    <x v="1"/>
  </r>
  <r>
    <x v="40"/>
    <x v="2"/>
    <x v="9"/>
    <x v="1115"/>
    <x v="31"/>
    <x v="57"/>
    <x v="14"/>
    <x v="16"/>
    <x v="19"/>
  </r>
  <r>
    <x v="40"/>
    <x v="2"/>
    <x v="31"/>
    <x v="1116"/>
    <x v="116"/>
    <x v="17"/>
    <x v="11"/>
    <x v="18"/>
    <x v="8"/>
  </r>
  <r>
    <x v="40"/>
    <x v="2"/>
    <x v="10"/>
    <x v="1117"/>
    <x v="89"/>
    <x v="47"/>
    <x v="1"/>
    <x v="20"/>
    <x v="0"/>
  </r>
  <r>
    <x v="40"/>
    <x v="2"/>
    <x v="10"/>
    <x v="1118"/>
    <x v="215"/>
    <x v="35"/>
    <x v="11"/>
    <x v="6"/>
    <x v="18"/>
  </r>
  <r>
    <x v="40"/>
    <x v="2"/>
    <x v="22"/>
    <x v="1119"/>
    <x v="13"/>
    <x v="36"/>
    <x v="11"/>
    <x v="6"/>
    <x v="11"/>
  </r>
  <r>
    <x v="41"/>
    <x v="4"/>
    <x v="9"/>
    <x v="1120"/>
    <x v="218"/>
    <x v="163"/>
    <x v="24"/>
    <x v="31"/>
    <x v="24"/>
  </r>
  <r>
    <x v="41"/>
    <x v="4"/>
    <x v="9"/>
    <x v="1121"/>
    <x v="161"/>
    <x v="158"/>
    <x v="24"/>
    <x v="12"/>
    <x v="24"/>
  </r>
  <r>
    <x v="41"/>
    <x v="4"/>
    <x v="9"/>
    <x v="1122"/>
    <x v="29"/>
    <x v="37"/>
    <x v="25"/>
    <x v="9"/>
    <x v="13"/>
  </r>
  <r>
    <x v="41"/>
    <x v="4"/>
    <x v="7"/>
    <x v="1123"/>
    <x v="39"/>
    <x v="26"/>
    <x v="13"/>
    <x v="0"/>
    <x v="11"/>
  </r>
  <r>
    <x v="41"/>
    <x v="4"/>
    <x v="24"/>
    <x v="1124"/>
    <x v="139"/>
    <x v="13"/>
    <x v="14"/>
    <x v="1"/>
    <x v="10"/>
  </r>
  <r>
    <x v="41"/>
    <x v="4"/>
    <x v="24"/>
    <x v="1125"/>
    <x v="162"/>
    <x v="41"/>
    <x v="0"/>
    <x v="16"/>
    <x v="19"/>
  </r>
  <r>
    <x v="41"/>
    <x v="4"/>
    <x v="2"/>
    <x v="1126"/>
    <x v="332"/>
    <x v="50"/>
    <x v="16"/>
    <x v="20"/>
    <x v="8"/>
  </r>
  <r>
    <x v="41"/>
    <x v="4"/>
    <x v="2"/>
    <x v="1127"/>
    <x v="129"/>
    <x v="103"/>
    <x v="7"/>
    <x v="14"/>
    <x v="11"/>
  </r>
  <r>
    <x v="41"/>
    <x v="4"/>
    <x v="8"/>
    <x v="1128"/>
    <x v="149"/>
    <x v="97"/>
    <x v="14"/>
    <x v="10"/>
    <x v="19"/>
  </r>
  <r>
    <x v="41"/>
    <x v="4"/>
    <x v="10"/>
    <x v="1129"/>
    <x v="41"/>
    <x v="49"/>
    <x v="14"/>
    <x v="10"/>
    <x v="21"/>
  </r>
  <r>
    <x v="41"/>
    <x v="4"/>
    <x v="10"/>
    <x v="1130"/>
    <x v="67"/>
    <x v="3"/>
    <x v="18"/>
    <x v="8"/>
    <x v="10"/>
  </r>
  <r>
    <x v="41"/>
    <x v="4"/>
    <x v="14"/>
    <x v="1131"/>
    <x v="274"/>
    <x v="34"/>
    <x v="12"/>
    <x v="4"/>
    <x v="25"/>
  </r>
  <r>
    <x v="41"/>
    <x v="4"/>
    <x v="14"/>
    <x v="1132"/>
    <x v="124"/>
    <x v="105"/>
    <x v="14"/>
    <x v="18"/>
    <x v="8"/>
  </r>
  <r>
    <x v="41"/>
    <x v="4"/>
    <x v="14"/>
    <x v="1133"/>
    <x v="50"/>
    <x v="13"/>
    <x v="18"/>
    <x v="8"/>
    <x v="1"/>
  </r>
  <r>
    <x v="41"/>
    <x v="4"/>
    <x v="14"/>
    <x v="1134"/>
    <x v="59"/>
    <x v="30"/>
    <x v="18"/>
    <x v="1"/>
    <x v="10"/>
  </r>
  <r>
    <x v="41"/>
    <x v="4"/>
    <x v="14"/>
    <x v="1135"/>
    <x v="32"/>
    <x v="12"/>
    <x v="18"/>
    <x v="16"/>
    <x v="0"/>
  </r>
  <r>
    <x v="41"/>
    <x v="4"/>
    <x v="15"/>
    <x v="1136"/>
    <x v="333"/>
    <x v="113"/>
    <x v="17"/>
    <x v="15"/>
    <x v="2"/>
  </r>
  <r>
    <x v="41"/>
    <x v="4"/>
    <x v="13"/>
    <x v="1137"/>
    <x v="109"/>
    <x v="84"/>
    <x v="17"/>
    <x v="11"/>
    <x v="14"/>
  </r>
  <r>
    <x v="41"/>
    <x v="4"/>
    <x v="13"/>
    <x v="1138"/>
    <x v="334"/>
    <x v="28"/>
    <x v="17"/>
    <x v="19"/>
    <x v="16"/>
  </r>
  <r>
    <x v="41"/>
    <x v="4"/>
    <x v="13"/>
    <x v="1139"/>
    <x v="128"/>
    <x v="57"/>
    <x v="13"/>
    <x v="20"/>
    <x v="21"/>
  </r>
  <r>
    <x v="41"/>
    <x v="4"/>
    <x v="13"/>
    <x v="1140"/>
    <x v="68"/>
    <x v="57"/>
    <x v="10"/>
    <x v="0"/>
    <x v="19"/>
  </r>
  <r>
    <x v="41"/>
    <x v="4"/>
    <x v="13"/>
    <x v="1141"/>
    <x v="116"/>
    <x v="25"/>
    <x v="10"/>
    <x v="10"/>
    <x v="18"/>
  </r>
  <r>
    <x v="41"/>
    <x v="4"/>
    <x v="13"/>
    <x v="1142"/>
    <x v="50"/>
    <x v="26"/>
    <x v="0"/>
    <x v="0"/>
    <x v="18"/>
  </r>
  <r>
    <x v="41"/>
    <x v="4"/>
    <x v="13"/>
    <x v="1143"/>
    <x v="67"/>
    <x v="97"/>
    <x v="14"/>
    <x v="16"/>
    <x v="18"/>
  </r>
  <r>
    <x v="41"/>
    <x v="4"/>
    <x v="19"/>
    <x v="1144"/>
    <x v="72"/>
    <x v="1"/>
    <x v="8"/>
    <x v="10"/>
    <x v="8"/>
  </r>
  <r>
    <x v="41"/>
    <x v="4"/>
    <x v="11"/>
    <x v="1145"/>
    <x v="335"/>
    <x v="1"/>
    <x v="13"/>
    <x v="14"/>
    <x v="11"/>
  </r>
  <r>
    <x v="41"/>
    <x v="4"/>
    <x v="11"/>
    <x v="1146"/>
    <x v="149"/>
    <x v="41"/>
    <x v="25"/>
    <x v="16"/>
    <x v="21"/>
  </r>
  <r>
    <x v="41"/>
    <x v="4"/>
    <x v="11"/>
    <x v="1147"/>
    <x v="87"/>
    <x v="46"/>
    <x v="8"/>
    <x v="20"/>
    <x v="19"/>
  </r>
  <r>
    <x v="41"/>
    <x v="4"/>
    <x v="11"/>
    <x v="1148"/>
    <x v="103"/>
    <x v="42"/>
    <x v="14"/>
    <x v="0"/>
    <x v="18"/>
  </r>
  <r>
    <x v="41"/>
    <x v="4"/>
    <x v="11"/>
    <x v="1149"/>
    <x v="32"/>
    <x v="57"/>
    <x v="18"/>
    <x v="8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B3:E8" firstHeaderRow="0" firstDataRow="1" firstDataCol="1" rowPageCount="1" colPageCount="1"/>
  <pivotFields count="9">
    <pivotField compact="0" showAll="0">
      <items count="43">
        <item x="0"/>
        <item x="4"/>
        <item x="25"/>
        <item x="3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7"/>
        <item x="26"/>
        <item x="27"/>
        <item x="28"/>
        <item x="29"/>
        <item x="30"/>
        <item x="31"/>
        <item x="33"/>
        <item x="34"/>
        <item x="35"/>
        <item x="36"/>
        <item x="38"/>
        <item x="39"/>
        <item x="1"/>
        <item x="2"/>
        <item x="40"/>
        <item x="41"/>
        <item t="default"/>
      </items>
    </pivotField>
    <pivotField axis="axisRow" compact="0" multipleItemSelectionAllowed="1" showAll="0">
      <items count="8">
        <item h="1" x="1"/>
        <item x="0"/>
        <item x="5"/>
        <item x="4"/>
        <item x="2"/>
        <item h="1" x="6"/>
        <item h="1" x="3"/>
        <item t="default"/>
      </items>
    </pivotField>
    <pivotField axis="axisPage" compact="0" showAll="0">
      <items count="51">
        <item x="1"/>
        <item x="25"/>
        <item x="43"/>
        <item x="7"/>
        <item x="16"/>
        <item x="40"/>
        <item x="20"/>
        <item x="45"/>
        <item x="27"/>
        <item x="48"/>
        <item x="3"/>
        <item x="35"/>
        <item x="26"/>
        <item x="28"/>
        <item x="9"/>
        <item x="12"/>
        <item x="29"/>
        <item x="4"/>
        <item x="10"/>
        <item x="39"/>
        <item x="31"/>
        <item x="5"/>
        <item x="21"/>
        <item x="32"/>
        <item x="37"/>
        <item x="13"/>
        <item x="8"/>
        <item x="38"/>
        <item x="30"/>
        <item x="14"/>
        <item x="19"/>
        <item x="46"/>
        <item x="22"/>
        <item x="0"/>
        <item x="44"/>
        <item x="41"/>
        <item x="47"/>
        <item x="36"/>
        <item x="15"/>
        <item x="24"/>
        <item x="23"/>
        <item x="11"/>
        <item x="33"/>
        <item x="18"/>
        <item x="6"/>
        <item x="49"/>
        <item x="2"/>
        <item x="34"/>
        <item x="42"/>
        <item x="17"/>
        <item t="default"/>
      </items>
    </pivotField>
    <pivotField compact="0" showAll="0"/>
    <pivotField compact="0" showAll="0">
      <items count="337">
        <item x="1"/>
        <item x="50"/>
        <item x="31"/>
        <item x="30"/>
        <item x="29"/>
        <item x="59"/>
        <item x="72"/>
        <item x="116"/>
        <item x="103"/>
        <item x="33"/>
        <item x="67"/>
        <item x="32"/>
        <item x="8"/>
        <item x="149"/>
        <item x="58"/>
        <item x="128"/>
        <item x="51"/>
        <item x="39"/>
        <item x="40"/>
        <item x="125"/>
        <item x="56"/>
        <item x="13"/>
        <item x="168"/>
        <item x="41"/>
        <item x="99"/>
        <item x="95"/>
        <item x="43"/>
        <item x="71"/>
        <item x="126"/>
        <item x="26"/>
        <item x="37"/>
        <item x="111"/>
        <item x="230"/>
        <item x="177"/>
        <item x="68"/>
        <item x="102"/>
        <item x="17"/>
        <item x="161"/>
        <item x="49"/>
        <item x="197"/>
        <item x="162"/>
        <item x="215"/>
        <item x="64"/>
        <item x="132"/>
        <item x="0"/>
        <item x="226"/>
        <item x="27"/>
        <item x="11"/>
        <item x="323"/>
        <item x="259"/>
        <item x="62"/>
        <item x="38"/>
        <item x="69"/>
        <item x="140"/>
        <item x="65"/>
        <item x="163"/>
        <item x="155"/>
        <item x="89"/>
        <item x="124"/>
        <item x="138"/>
        <item x="151"/>
        <item x="223"/>
        <item x="298"/>
        <item x="263"/>
        <item x="257"/>
        <item x="232"/>
        <item x="54"/>
        <item x="9"/>
        <item x="14"/>
        <item x="61"/>
        <item x="91"/>
        <item x="164"/>
        <item x="87"/>
        <item x="148"/>
        <item x="219"/>
        <item x="96"/>
        <item x="239"/>
        <item x="199"/>
        <item x="25"/>
        <item x="22"/>
        <item x="258"/>
        <item x="233"/>
        <item x="100"/>
        <item x="196"/>
        <item x="216"/>
        <item x="139"/>
        <item x="47"/>
        <item x="180"/>
        <item x="317"/>
        <item x="334"/>
        <item x="141"/>
        <item x="60"/>
        <item x="276"/>
        <item x="78"/>
        <item x="190"/>
        <item x="114"/>
        <item x="166"/>
        <item x="314"/>
        <item x="129"/>
        <item x="193"/>
        <item x="255"/>
        <item x="200"/>
        <item x="44"/>
        <item x="243"/>
        <item x="157"/>
        <item x="105"/>
        <item x="154"/>
        <item x="318"/>
        <item x="173"/>
        <item x="156"/>
        <item x="290"/>
        <item x="109"/>
        <item x="252"/>
        <item x="201"/>
        <item x="93"/>
        <item x="202"/>
        <item x="55"/>
        <item x="283"/>
        <item x="320"/>
        <item x="120"/>
        <item x="94"/>
        <item x="70"/>
        <item x="227"/>
        <item x="160"/>
        <item x="289"/>
        <item x="45"/>
        <item x="278"/>
        <item x="6"/>
        <item x="181"/>
        <item x="332"/>
        <item x="212"/>
        <item x="211"/>
        <item x="165"/>
        <item x="267"/>
        <item x="299"/>
        <item x="265"/>
        <item x="205"/>
        <item x="301"/>
        <item x="35"/>
        <item x="107"/>
        <item x="305"/>
        <item x="137"/>
        <item x="123"/>
        <item x="192"/>
        <item x="46"/>
        <item x="329"/>
        <item x="333"/>
        <item x="5"/>
        <item x="158"/>
        <item x="280"/>
        <item x="319"/>
        <item x="273"/>
        <item x="315"/>
        <item x="327"/>
        <item x="225"/>
        <item x="153"/>
        <item x="262"/>
        <item x="204"/>
        <item x="229"/>
        <item x="92"/>
        <item x="240"/>
        <item x="268"/>
        <item x="188"/>
        <item x="52"/>
        <item x="119"/>
        <item x="203"/>
        <item x="195"/>
        <item x="135"/>
        <item x="300"/>
        <item x="122"/>
        <item x="115"/>
        <item x="331"/>
        <item x="302"/>
        <item x="133"/>
        <item x="250"/>
        <item x="127"/>
        <item x="322"/>
        <item x="36"/>
        <item x="253"/>
        <item x="241"/>
        <item x="23"/>
        <item x="178"/>
        <item x="112"/>
        <item x="118"/>
        <item x="206"/>
        <item x="21"/>
        <item x="248"/>
        <item x="48"/>
        <item x="292"/>
        <item x="235"/>
        <item x="214"/>
        <item x="134"/>
        <item x="42"/>
        <item x="131"/>
        <item x="81"/>
        <item x="254"/>
        <item x="108"/>
        <item x="279"/>
        <item x="274"/>
        <item x="209"/>
        <item x="86"/>
        <item x="77"/>
        <item x="10"/>
        <item x="147"/>
        <item x="182"/>
        <item x="175"/>
        <item x="335"/>
        <item x="183"/>
        <item x="191"/>
        <item x="272"/>
        <item x="210"/>
        <item x="159"/>
        <item x="330"/>
        <item x="12"/>
        <item x="275"/>
        <item x="34"/>
        <item x="269"/>
        <item x="198"/>
        <item x="231"/>
        <item x="281"/>
        <item x="152"/>
        <item x="57"/>
        <item x="256"/>
        <item x="88"/>
        <item x="90"/>
        <item x="324"/>
        <item x="287"/>
        <item x="84"/>
        <item x="291"/>
        <item x="242"/>
        <item x="74"/>
        <item x="328"/>
        <item x="312"/>
        <item x="184"/>
        <item x="53"/>
        <item x="245"/>
        <item x="63"/>
        <item x="296"/>
        <item x="170"/>
        <item x="295"/>
        <item x="113"/>
        <item x="19"/>
        <item x="218"/>
        <item x="213"/>
        <item x="101"/>
        <item x="260"/>
        <item x="85"/>
        <item x="179"/>
        <item x="20"/>
        <item x="246"/>
        <item x="308"/>
        <item x="286"/>
        <item x="150"/>
        <item x="80"/>
        <item x="145"/>
        <item x="234"/>
        <item x="66"/>
        <item x="98"/>
        <item x="194"/>
        <item x="266"/>
        <item x="228"/>
        <item x="244"/>
        <item x="110"/>
        <item x="284"/>
        <item x="326"/>
        <item x="83"/>
        <item x="121"/>
        <item x="176"/>
        <item x="282"/>
        <item x="304"/>
        <item x="186"/>
        <item x="4"/>
        <item x="217"/>
        <item x="221"/>
        <item x="220"/>
        <item x="16"/>
        <item x="288"/>
        <item x="28"/>
        <item x="136"/>
        <item x="185"/>
        <item x="270"/>
        <item x="236"/>
        <item x="325"/>
        <item x="321"/>
        <item x="208"/>
        <item x="174"/>
        <item x="316"/>
        <item x="15"/>
        <item x="73"/>
        <item x="264"/>
        <item x="251"/>
        <item x="7"/>
        <item x="187"/>
        <item x="294"/>
        <item x="224"/>
        <item x="313"/>
        <item x="309"/>
        <item x="189"/>
        <item x="261"/>
        <item x="310"/>
        <item x="311"/>
        <item x="293"/>
        <item x="222"/>
        <item x="24"/>
        <item x="144"/>
        <item x="75"/>
        <item x="303"/>
        <item x="79"/>
        <item x="76"/>
        <item x="104"/>
        <item x="18"/>
        <item x="271"/>
        <item x="306"/>
        <item x="167"/>
        <item x="249"/>
        <item x="169"/>
        <item x="117"/>
        <item x="82"/>
        <item x="106"/>
        <item x="247"/>
        <item x="307"/>
        <item x="237"/>
        <item x="172"/>
        <item x="277"/>
        <item x="238"/>
        <item x="297"/>
        <item x="142"/>
        <item x="171"/>
        <item x="143"/>
        <item x="2"/>
        <item x="207"/>
        <item x="130"/>
        <item x="146"/>
        <item x="97"/>
        <item x="3"/>
        <item x="285"/>
        <item t="default"/>
      </items>
    </pivotField>
    <pivotField compact="0" showAll="0"/>
    <pivotField dataField="1" compact="0" showAll="0">
      <items count="32">
        <item x="28"/>
        <item x="23"/>
        <item x="29"/>
        <item x="19"/>
        <item x="30"/>
        <item x="9"/>
        <item x="25"/>
        <item x="1"/>
        <item x="18"/>
        <item x="10"/>
        <item x="14"/>
        <item x="0"/>
        <item x="8"/>
        <item x="11"/>
        <item x="13"/>
        <item x="16"/>
        <item x="7"/>
        <item x="17"/>
        <item x="4"/>
        <item x="12"/>
        <item x="6"/>
        <item x="24"/>
        <item x="21"/>
        <item x="3"/>
        <item x="22"/>
        <item x="20"/>
        <item x="5"/>
        <item x="2"/>
        <item x="15"/>
        <item x="26"/>
        <item x="27"/>
        <item t="default"/>
      </items>
    </pivotField>
    <pivotField dataField="1" compact="0" showAll="0">
      <items count="34">
        <item x="29"/>
        <item x="24"/>
        <item x="23"/>
        <item x="30"/>
        <item x="21"/>
        <item x="25"/>
        <item x="22"/>
        <item x="9"/>
        <item x="1"/>
        <item x="8"/>
        <item x="10"/>
        <item x="16"/>
        <item x="0"/>
        <item x="6"/>
        <item x="18"/>
        <item x="20"/>
        <item x="14"/>
        <item x="19"/>
        <item x="7"/>
        <item x="11"/>
        <item x="15"/>
        <item x="13"/>
        <item x="5"/>
        <item x="17"/>
        <item x="2"/>
        <item x="12"/>
        <item x="26"/>
        <item x="3"/>
        <item x="31"/>
        <item x="28"/>
        <item x="4"/>
        <item x="27"/>
        <item x="32"/>
        <item t="default"/>
      </items>
    </pivotField>
    <pivotField dataField="1" compact="0" showAll="0">
      <items count="34">
        <item x="28"/>
        <item x="30"/>
        <item x="29"/>
        <item x="32"/>
        <item x="23"/>
        <item x="12"/>
        <item x="22"/>
        <item x="9"/>
        <item x="13"/>
        <item x="1"/>
        <item x="10"/>
        <item x="0"/>
        <item x="19"/>
        <item x="18"/>
        <item x="21"/>
        <item x="8"/>
        <item x="11"/>
        <item x="14"/>
        <item x="4"/>
        <item x="6"/>
        <item x="17"/>
        <item x="16"/>
        <item x="7"/>
        <item x="2"/>
        <item x="25"/>
        <item x="24"/>
        <item x="3"/>
        <item x="26"/>
        <item x="31"/>
        <item x="5"/>
        <item x="20"/>
        <item x="27"/>
        <item x="15"/>
        <item t="default"/>
      </items>
    </pivotField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/>
  </pageFields>
  <dataFields count="3">
    <dataField name="标准偏差项:口味" fld="6" subtotal="stdDev" baseField="0" baseItem="0"/>
    <dataField name="总体方差项:环境" fld="7" subtotal="varp" baseField="0" baseItem="0"/>
    <dataField name="总体标准偏差项:服务" fld="8" subtotal="stdDevp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数据源" displayName="数据源" ref="A1:I1152" tableType="queryTable" totalsRowShown="0">
  <autoFilter ref="A1:I1152"/>
  <tableColumns count="9">
    <tableColumn id="1" name="城市" uniqueName="1" queryTableFieldId="1" dataDxfId="0"/>
    <tableColumn id="2" name="地区" uniqueName="2" queryTableFieldId="2" dataDxfId="1"/>
    <tableColumn id="3" name="类型" uniqueName="3" queryTableFieldId="3" dataDxfId="2"/>
    <tableColumn id="4" name="店名" uniqueName="4" queryTableFieldId="4" dataDxfId="3"/>
    <tableColumn id="5" name="点评" uniqueName="5" queryTableFieldId="5" dataDxfId="4"/>
    <tableColumn id="6" name="人均" uniqueName="6" queryTableFieldId="6" dataDxfId="5"/>
    <tableColumn id="7" name="口味" uniqueName="7" queryTableFieldId="7" dataDxfId="6"/>
    <tableColumn id="8" name="环境" uniqueName="8" queryTableFieldId="8" dataDxfId="7"/>
    <tableColumn id="9" name="服务" uniqueName="9" queryTableFieldId="9" dataDxfId="8"/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152"/>
  <sheetViews>
    <sheetView workbookViewId="0">
      <selection activeCell="F14" sqref="F14"/>
    </sheetView>
  </sheetViews>
  <sheetFormatPr defaultColWidth="9" defaultRowHeight="13.5"/>
  <cols>
    <col min="1" max="2" width="8.875" customWidth="1"/>
    <col min="3" max="3" width="12" customWidth="1"/>
    <col min="4" max="4" width="42.375" customWidth="1"/>
    <col min="5" max="9" width="10.625" customWidth="1"/>
  </cols>
  <sheetData>
    <row r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12">
      <c r="A2" s="8" t="s">
        <v>9</v>
      </c>
      <c r="B2" s="8" t="str">
        <f>VLOOKUP(A2,地区!$B$1:$C$43,2,0)</f>
        <v>华北地区</v>
      </c>
      <c r="C2" s="8" t="s">
        <v>10</v>
      </c>
      <c r="D2" s="8" t="s">
        <v>11</v>
      </c>
      <c r="E2" s="8">
        <v>45</v>
      </c>
      <c r="F2" s="8">
        <v>80</v>
      </c>
      <c r="G2" s="8">
        <v>7.3</v>
      </c>
      <c r="H2" s="8">
        <v>7.3</v>
      </c>
      <c r="I2" s="8">
        <v>7.1</v>
      </c>
      <c r="L2">
        <f>COUNTIFS(G2:G1152,"&gt;=8",H2:H1152,"&gt;=8",I2:I1152,"&gt;=8")</f>
        <v>131</v>
      </c>
    </row>
    <row r="3" spans="1:9">
      <c r="A3" s="8" t="s">
        <v>9</v>
      </c>
      <c r="B3" s="8" t="str">
        <f>VLOOKUP(A3,地区!$B$1:$C$43,2,0)</f>
        <v>华北地区</v>
      </c>
      <c r="C3" s="8" t="s">
        <v>10</v>
      </c>
      <c r="D3" s="8" t="s">
        <v>12</v>
      </c>
      <c r="E3" s="8">
        <v>1</v>
      </c>
      <c r="F3" s="8">
        <v>35</v>
      </c>
      <c r="G3" s="8">
        <v>6.9</v>
      </c>
      <c r="H3" s="8">
        <v>6.9</v>
      </c>
      <c r="I3" s="8">
        <v>6.9</v>
      </c>
    </row>
    <row r="4" spans="1:9">
      <c r="A4" s="8" t="s">
        <v>9</v>
      </c>
      <c r="B4" s="8" t="str">
        <f>VLOOKUP(A4,地区!$B$1:$C$43,2,0)</f>
        <v>华北地区</v>
      </c>
      <c r="C4" s="8" t="s">
        <v>13</v>
      </c>
      <c r="D4" s="8" t="s">
        <v>14</v>
      </c>
      <c r="E4" s="8">
        <v>4420</v>
      </c>
      <c r="F4" s="8">
        <v>74</v>
      </c>
      <c r="G4" s="8">
        <v>8.9</v>
      </c>
      <c r="H4" s="8">
        <v>8.5</v>
      </c>
      <c r="I4" s="8">
        <v>8.3</v>
      </c>
    </row>
    <row r="5" spans="1:9">
      <c r="A5" s="8" t="s">
        <v>9</v>
      </c>
      <c r="B5" s="8" t="str">
        <f>VLOOKUP(A5,地区!$B$1:$C$43,2,0)</f>
        <v>华北地区</v>
      </c>
      <c r="C5" s="8" t="s">
        <v>15</v>
      </c>
      <c r="D5" s="8" t="s">
        <v>16</v>
      </c>
      <c r="E5" s="8">
        <v>6081</v>
      </c>
      <c r="F5" s="8">
        <v>89</v>
      </c>
      <c r="G5" s="8">
        <v>8.5</v>
      </c>
      <c r="H5" s="8">
        <v>8.8</v>
      </c>
      <c r="I5" s="8">
        <v>8.6</v>
      </c>
    </row>
    <row r="6" spans="1:9">
      <c r="A6" s="8" t="s">
        <v>9</v>
      </c>
      <c r="B6" s="8" t="str">
        <f>VLOOKUP(A6,地区!$B$1:$C$43,2,0)</f>
        <v>华北地区</v>
      </c>
      <c r="C6" s="8" t="s">
        <v>15</v>
      </c>
      <c r="D6" s="8" t="s">
        <v>17</v>
      </c>
      <c r="E6" s="8">
        <v>611</v>
      </c>
      <c r="F6" s="8">
        <v>78</v>
      </c>
      <c r="G6" s="8">
        <v>8</v>
      </c>
      <c r="H6" s="8">
        <v>8.8</v>
      </c>
      <c r="I6" s="8">
        <v>7.8</v>
      </c>
    </row>
    <row r="7" spans="1:9">
      <c r="A7" s="8" t="s">
        <v>9</v>
      </c>
      <c r="B7" s="8" t="str">
        <f>VLOOKUP(A7,地区!$B$1:$C$43,2,0)</f>
        <v>华北地区</v>
      </c>
      <c r="C7" s="8" t="s">
        <v>15</v>
      </c>
      <c r="D7" s="8" t="s">
        <v>18</v>
      </c>
      <c r="E7" s="8">
        <v>178</v>
      </c>
      <c r="F7" s="8">
        <v>129</v>
      </c>
      <c r="G7" s="8">
        <v>8.8</v>
      </c>
      <c r="H7" s="8">
        <v>9.1</v>
      </c>
      <c r="I7" s="8">
        <v>8.9</v>
      </c>
    </row>
    <row r="8" spans="1:9">
      <c r="A8" s="8" t="s">
        <v>9</v>
      </c>
      <c r="B8" s="8" t="str">
        <f>VLOOKUP(A8,地区!$B$1:$C$43,2,0)</f>
        <v>华北地区</v>
      </c>
      <c r="C8" s="8" t="s">
        <v>15</v>
      </c>
      <c r="D8" s="8" t="s">
        <v>19</v>
      </c>
      <c r="E8" s="8">
        <v>145</v>
      </c>
      <c r="F8" s="8">
        <v>65</v>
      </c>
      <c r="G8" s="8">
        <v>8.2</v>
      </c>
      <c r="H8" s="8">
        <v>8.3</v>
      </c>
      <c r="I8" s="8">
        <v>7.9</v>
      </c>
    </row>
    <row r="9" spans="1:9">
      <c r="A9" s="8" t="s">
        <v>9</v>
      </c>
      <c r="B9" s="8" t="str">
        <f>VLOOKUP(A9,地区!$B$1:$C$43,2,0)</f>
        <v>华北地区</v>
      </c>
      <c r="C9" s="8" t="s">
        <v>15</v>
      </c>
      <c r="D9" s="8" t="s">
        <v>20</v>
      </c>
      <c r="E9" s="8">
        <v>819</v>
      </c>
      <c r="F9" s="8">
        <v>67</v>
      </c>
      <c r="G9" s="8">
        <v>7.8</v>
      </c>
      <c r="H9" s="8">
        <v>8.5</v>
      </c>
      <c r="I9" s="8">
        <v>8.2</v>
      </c>
    </row>
    <row r="10" spans="1:9">
      <c r="A10" s="8" t="s">
        <v>9</v>
      </c>
      <c r="B10" s="8" t="str">
        <f>VLOOKUP(A10,地区!$B$1:$C$43,2,0)</f>
        <v>华北地区</v>
      </c>
      <c r="C10" s="8" t="s">
        <v>15</v>
      </c>
      <c r="D10" s="8" t="s">
        <v>21</v>
      </c>
      <c r="E10" s="8">
        <v>13</v>
      </c>
      <c r="F10" s="8">
        <v>68</v>
      </c>
      <c r="G10" s="8">
        <v>7.4</v>
      </c>
      <c r="H10" s="8">
        <v>7.4</v>
      </c>
      <c r="I10" s="8">
        <v>7.5</v>
      </c>
    </row>
    <row r="11" spans="1:9">
      <c r="A11" s="8" t="s">
        <v>9</v>
      </c>
      <c r="B11" s="8" t="str">
        <f>VLOOKUP(A11,地区!$B$1:$C$43,2,0)</f>
        <v>华北地区</v>
      </c>
      <c r="C11" s="8" t="s">
        <v>15</v>
      </c>
      <c r="D11" s="8" t="s">
        <v>22</v>
      </c>
      <c r="E11" s="8">
        <v>68</v>
      </c>
      <c r="F11" s="8">
        <v>177</v>
      </c>
      <c r="G11" s="8">
        <v>6.7</v>
      </c>
      <c r="H11" s="8">
        <v>6.9</v>
      </c>
      <c r="I11" s="8">
        <v>6.7</v>
      </c>
    </row>
    <row r="12" spans="1:9">
      <c r="A12" s="8" t="s">
        <v>9</v>
      </c>
      <c r="B12" s="8" t="str">
        <f>VLOOKUP(A12,地区!$B$1:$C$43,2,0)</f>
        <v>华北地区</v>
      </c>
      <c r="C12" s="8" t="s">
        <v>15</v>
      </c>
      <c r="D12" s="8" t="s">
        <v>23</v>
      </c>
      <c r="E12" s="8">
        <v>305</v>
      </c>
      <c r="F12" s="8">
        <v>125</v>
      </c>
      <c r="G12" s="8">
        <v>7.1</v>
      </c>
      <c r="H12" s="8">
        <v>7.3</v>
      </c>
      <c r="I12" s="8">
        <v>7</v>
      </c>
    </row>
    <row r="13" spans="1:9">
      <c r="A13" s="8" t="s">
        <v>9</v>
      </c>
      <c r="B13" s="8" t="str">
        <f>VLOOKUP(A13,地区!$B$1:$C$43,2,0)</f>
        <v>华北地区</v>
      </c>
      <c r="C13" s="8" t="s">
        <v>24</v>
      </c>
      <c r="D13" s="8" t="s">
        <v>25</v>
      </c>
      <c r="E13" s="8">
        <v>48</v>
      </c>
      <c r="F13" s="8">
        <v>84</v>
      </c>
      <c r="G13" s="8">
        <v>7.5</v>
      </c>
      <c r="H13" s="8">
        <v>7.9</v>
      </c>
      <c r="I13" s="8">
        <v>7.6</v>
      </c>
    </row>
    <row r="14" spans="1:9">
      <c r="A14" s="8" t="s">
        <v>9</v>
      </c>
      <c r="B14" s="8" t="str">
        <f>VLOOKUP(A14,地区!$B$1:$C$43,2,0)</f>
        <v>华北地区</v>
      </c>
      <c r="C14" s="8" t="s">
        <v>24</v>
      </c>
      <c r="D14" s="8" t="s">
        <v>26</v>
      </c>
      <c r="E14" s="8">
        <v>347</v>
      </c>
      <c r="F14" s="8">
        <v>31</v>
      </c>
      <c r="G14" s="8">
        <v>8.1</v>
      </c>
      <c r="H14" s="8">
        <v>7</v>
      </c>
      <c r="I14" s="8">
        <v>7.1</v>
      </c>
    </row>
    <row r="15" spans="1:9">
      <c r="A15" s="8" t="s">
        <v>9</v>
      </c>
      <c r="B15" s="8" t="str">
        <f>VLOOKUP(A15,地区!$B$1:$C$43,2,0)</f>
        <v>华北地区</v>
      </c>
      <c r="C15" s="8" t="s">
        <v>24</v>
      </c>
      <c r="D15" s="8" t="s">
        <v>27</v>
      </c>
      <c r="E15" s="8">
        <v>22</v>
      </c>
      <c r="F15" s="8">
        <v>50</v>
      </c>
      <c r="G15" s="8">
        <v>6.7</v>
      </c>
      <c r="H15" s="8">
        <v>6.8</v>
      </c>
      <c r="I15" s="8">
        <v>6.5</v>
      </c>
    </row>
    <row r="16" spans="1:9">
      <c r="A16" s="8" t="s">
        <v>9</v>
      </c>
      <c r="B16" s="8" t="str">
        <f>VLOOKUP(A16,地区!$B$1:$C$43,2,0)</f>
        <v>华北地区</v>
      </c>
      <c r="C16" s="8" t="s">
        <v>24</v>
      </c>
      <c r="D16" s="8" t="s">
        <v>28</v>
      </c>
      <c r="E16" s="8">
        <v>69</v>
      </c>
      <c r="F16" s="8">
        <v>24</v>
      </c>
      <c r="G16" s="8">
        <v>7.6</v>
      </c>
      <c r="H16" s="8">
        <v>7.1</v>
      </c>
      <c r="I16" s="8">
        <v>6.8</v>
      </c>
    </row>
    <row r="17" spans="1:9">
      <c r="A17" s="8" t="s">
        <v>9</v>
      </c>
      <c r="B17" s="8" t="str">
        <f>VLOOKUP(A17,地区!$B$1:$C$43,2,0)</f>
        <v>华北地区</v>
      </c>
      <c r="C17" s="8" t="s">
        <v>24</v>
      </c>
      <c r="D17" s="8" t="s">
        <v>29</v>
      </c>
      <c r="E17" s="8">
        <v>761</v>
      </c>
      <c r="F17" s="8">
        <v>25</v>
      </c>
      <c r="G17" s="8">
        <v>7.2</v>
      </c>
      <c r="H17" s="8">
        <v>7.1</v>
      </c>
      <c r="I17" s="8">
        <v>6.8</v>
      </c>
    </row>
    <row r="18" spans="1:9">
      <c r="A18" s="8" t="s">
        <v>9</v>
      </c>
      <c r="B18" s="8" t="str">
        <f>VLOOKUP(A18,地区!$B$1:$C$43,2,0)</f>
        <v>华北地区</v>
      </c>
      <c r="C18" s="8" t="s">
        <v>24</v>
      </c>
      <c r="D18" s="8" t="s">
        <v>30</v>
      </c>
      <c r="E18" s="8">
        <v>646</v>
      </c>
      <c r="F18" s="8">
        <v>25</v>
      </c>
      <c r="G18" s="8">
        <v>7.3</v>
      </c>
      <c r="H18" s="8">
        <v>7.4</v>
      </c>
      <c r="I18" s="8">
        <v>7.1</v>
      </c>
    </row>
    <row r="19" spans="1:9">
      <c r="A19" s="8" t="s">
        <v>9</v>
      </c>
      <c r="B19" s="8" t="str">
        <f>VLOOKUP(A19,地区!$B$1:$C$43,2,0)</f>
        <v>华北地区</v>
      </c>
      <c r="C19" s="8" t="s">
        <v>31</v>
      </c>
      <c r="D19" s="8" t="s">
        <v>32</v>
      </c>
      <c r="E19" s="8">
        <v>37</v>
      </c>
      <c r="F19" s="8">
        <v>89</v>
      </c>
      <c r="G19" s="8">
        <v>7.4</v>
      </c>
      <c r="H19" s="8">
        <v>8</v>
      </c>
      <c r="I19" s="8">
        <v>7.7</v>
      </c>
    </row>
    <row r="20" spans="1:9">
      <c r="A20" s="8" t="s">
        <v>9</v>
      </c>
      <c r="B20" s="8" t="str">
        <f>VLOOKUP(A20,地区!$B$1:$C$43,2,0)</f>
        <v>华北地区</v>
      </c>
      <c r="C20" s="8" t="s">
        <v>33</v>
      </c>
      <c r="D20" s="8" t="s">
        <v>34</v>
      </c>
      <c r="E20" s="8">
        <v>1481</v>
      </c>
      <c r="F20" s="8">
        <v>69</v>
      </c>
      <c r="G20" s="8">
        <v>7.5</v>
      </c>
      <c r="H20" s="8">
        <v>8.6</v>
      </c>
      <c r="I20" s="8">
        <v>7.8</v>
      </c>
    </row>
    <row r="21" spans="1:9">
      <c r="A21" s="8" t="s">
        <v>9</v>
      </c>
      <c r="B21" s="8" t="str">
        <f>VLOOKUP(A21,地区!$B$1:$C$43,2,0)</f>
        <v>华北地区</v>
      </c>
      <c r="C21" s="8" t="s">
        <v>33</v>
      </c>
      <c r="D21" s="8" t="s">
        <v>35</v>
      </c>
      <c r="E21" s="8">
        <v>446</v>
      </c>
      <c r="F21" s="8">
        <v>56</v>
      </c>
      <c r="G21" s="8">
        <v>9</v>
      </c>
      <c r="H21" s="8">
        <v>9.1</v>
      </c>
      <c r="I21" s="8">
        <v>9.2</v>
      </c>
    </row>
    <row r="22" spans="1:9">
      <c r="A22" s="8" t="s">
        <v>9</v>
      </c>
      <c r="B22" s="8" t="str">
        <f>VLOOKUP(A22,地区!$B$1:$C$43,2,0)</f>
        <v>华北地区</v>
      </c>
      <c r="C22" s="8" t="s">
        <v>33</v>
      </c>
      <c r="D22" s="8" t="s">
        <v>36</v>
      </c>
      <c r="E22" s="8">
        <v>483</v>
      </c>
      <c r="F22" s="8">
        <v>59</v>
      </c>
      <c r="G22" s="8">
        <v>8.2</v>
      </c>
      <c r="H22" s="8">
        <v>8.2</v>
      </c>
      <c r="I22" s="8">
        <v>8.1</v>
      </c>
    </row>
    <row r="23" spans="1:9">
      <c r="A23" s="8" t="s">
        <v>9</v>
      </c>
      <c r="B23" s="8" t="str">
        <f>VLOOKUP(A23,地区!$B$1:$C$43,2,0)</f>
        <v>华北地区</v>
      </c>
      <c r="C23" s="8" t="s">
        <v>33</v>
      </c>
      <c r="D23" s="8" t="s">
        <v>37</v>
      </c>
      <c r="E23" s="8">
        <v>263</v>
      </c>
      <c r="F23" s="8">
        <v>39</v>
      </c>
      <c r="G23" s="8">
        <v>8.1</v>
      </c>
      <c r="H23" s="8">
        <v>7.7</v>
      </c>
      <c r="I23" s="8">
        <v>7.6</v>
      </c>
    </row>
    <row r="24" spans="1:9">
      <c r="A24" s="8" t="s">
        <v>9</v>
      </c>
      <c r="B24" s="8" t="str">
        <f>VLOOKUP(A24,地区!$B$1:$C$43,2,0)</f>
        <v>华北地区</v>
      </c>
      <c r="C24" s="8" t="s">
        <v>33</v>
      </c>
      <c r="D24" s="8" t="s">
        <v>38</v>
      </c>
      <c r="E24" s="8">
        <v>82</v>
      </c>
      <c r="F24" s="8">
        <v>41</v>
      </c>
      <c r="G24" s="8">
        <v>8</v>
      </c>
      <c r="H24" s="8">
        <v>8.1</v>
      </c>
      <c r="I24" s="8">
        <v>7.5</v>
      </c>
    </row>
    <row r="25" spans="1:9">
      <c r="A25" s="8" t="s">
        <v>9</v>
      </c>
      <c r="B25" s="8" t="str">
        <f>VLOOKUP(A25,地区!$B$1:$C$43,2,0)</f>
        <v>华北地区</v>
      </c>
      <c r="C25" s="8" t="s">
        <v>33</v>
      </c>
      <c r="D25" s="8" t="s">
        <v>39</v>
      </c>
      <c r="E25" s="8">
        <v>255</v>
      </c>
      <c r="F25" s="8">
        <v>62</v>
      </c>
      <c r="G25" s="8">
        <v>7.7</v>
      </c>
      <c r="H25" s="8">
        <v>8</v>
      </c>
      <c r="I25" s="8">
        <v>8</v>
      </c>
    </row>
    <row r="26" spans="1:9">
      <c r="A26" s="8" t="s">
        <v>9</v>
      </c>
      <c r="B26" s="8" t="str">
        <f>VLOOKUP(A26,地区!$B$1:$C$43,2,0)</f>
        <v>华北地区</v>
      </c>
      <c r="C26" s="8" t="s">
        <v>40</v>
      </c>
      <c r="D26" s="8" t="s">
        <v>41</v>
      </c>
      <c r="E26" s="8">
        <v>1242</v>
      </c>
      <c r="F26" s="8">
        <v>62</v>
      </c>
      <c r="G26" s="8">
        <v>9</v>
      </c>
      <c r="H26" s="8">
        <v>9.1</v>
      </c>
      <c r="I26" s="8">
        <v>9.2</v>
      </c>
    </row>
    <row r="27" spans="1:9">
      <c r="A27" s="8" t="s">
        <v>9</v>
      </c>
      <c r="B27" s="8" t="str">
        <f>VLOOKUP(A27,地区!$B$1:$C$43,2,0)</f>
        <v>华北地区</v>
      </c>
      <c r="C27" s="8" t="s">
        <v>40</v>
      </c>
      <c r="D27" s="8" t="s">
        <v>42</v>
      </c>
      <c r="E27" s="8">
        <v>81</v>
      </c>
      <c r="F27" s="8">
        <v>46</v>
      </c>
      <c r="G27" s="8">
        <v>7.4</v>
      </c>
      <c r="H27" s="8">
        <v>7.2</v>
      </c>
      <c r="I27" s="8">
        <v>7.3</v>
      </c>
    </row>
    <row r="28" spans="1:9">
      <c r="A28" s="8" t="s">
        <v>9</v>
      </c>
      <c r="B28" s="8" t="str">
        <f>VLOOKUP(A28,地区!$B$1:$C$43,2,0)</f>
        <v>华北地区</v>
      </c>
      <c r="C28" s="8" t="s">
        <v>40</v>
      </c>
      <c r="D28" s="8" t="s">
        <v>43</v>
      </c>
      <c r="E28" s="8">
        <v>30</v>
      </c>
      <c r="F28" s="8">
        <v>41</v>
      </c>
      <c r="G28" s="8">
        <v>7.1</v>
      </c>
      <c r="H28" s="8">
        <v>6.9</v>
      </c>
      <c r="I28" s="8">
        <v>7</v>
      </c>
    </row>
    <row r="29" spans="1:9">
      <c r="A29" s="8" t="s">
        <v>44</v>
      </c>
      <c r="B29" s="8" t="str">
        <f>VLOOKUP(A29,地区!$B$1:$C$43,2,0)</f>
        <v>东北地区</v>
      </c>
      <c r="C29" s="8" t="s">
        <v>45</v>
      </c>
      <c r="D29" s="8" t="s">
        <v>46</v>
      </c>
      <c r="E29" s="8">
        <v>47</v>
      </c>
      <c r="F29" s="8">
        <v>41</v>
      </c>
      <c r="G29" s="8">
        <v>8.2</v>
      </c>
      <c r="H29" s="8">
        <v>8.4</v>
      </c>
      <c r="I29" s="8">
        <v>8.6</v>
      </c>
    </row>
    <row r="30" spans="1:9">
      <c r="A30" s="8" t="s">
        <v>44</v>
      </c>
      <c r="B30" s="8" t="str">
        <f>VLOOKUP(A30,地区!$B$1:$C$43,2,0)</f>
        <v>东北地区</v>
      </c>
      <c r="C30" s="8" t="s">
        <v>45</v>
      </c>
      <c r="D30" s="8" t="s">
        <v>47</v>
      </c>
      <c r="E30" s="8">
        <v>661</v>
      </c>
      <c r="F30" s="8">
        <v>50</v>
      </c>
      <c r="G30" s="8">
        <v>7.9</v>
      </c>
      <c r="H30" s="8">
        <v>7.7</v>
      </c>
      <c r="I30" s="8">
        <v>7.5</v>
      </c>
    </row>
    <row r="31" spans="1:9">
      <c r="A31" s="8" t="s">
        <v>44</v>
      </c>
      <c r="B31" s="8" t="str">
        <f>VLOOKUP(A31,地区!$B$1:$C$43,2,0)</f>
        <v>东北地区</v>
      </c>
      <c r="C31" s="8" t="s">
        <v>45</v>
      </c>
      <c r="D31" s="8" t="s">
        <v>48</v>
      </c>
      <c r="E31" s="8">
        <v>5</v>
      </c>
      <c r="F31" s="8">
        <v>64</v>
      </c>
      <c r="G31" s="8">
        <v>7.5</v>
      </c>
      <c r="H31" s="8">
        <v>7.5</v>
      </c>
      <c r="I31" s="8">
        <v>7.5</v>
      </c>
    </row>
    <row r="32" spans="1:9">
      <c r="A32" s="8" t="s">
        <v>44</v>
      </c>
      <c r="B32" s="8" t="str">
        <f>VLOOKUP(A32,地区!$B$1:$C$43,2,0)</f>
        <v>东北地区</v>
      </c>
      <c r="C32" s="8" t="s">
        <v>45</v>
      </c>
      <c r="D32" s="8" t="s">
        <v>49</v>
      </c>
      <c r="E32" s="8">
        <v>1</v>
      </c>
      <c r="F32" s="8">
        <v>30</v>
      </c>
      <c r="G32" s="8">
        <v>7.1</v>
      </c>
      <c r="H32" s="8">
        <v>6.8</v>
      </c>
      <c r="I32" s="8">
        <v>6.8</v>
      </c>
    </row>
    <row r="33" spans="1:9">
      <c r="A33" s="8" t="s">
        <v>44</v>
      </c>
      <c r="B33" s="8" t="str">
        <f>VLOOKUP(A33,地区!$B$1:$C$43,2,0)</f>
        <v>东北地区</v>
      </c>
      <c r="C33" s="8" t="s">
        <v>45</v>
      </c>
      <c r="D33" s="8" t="s">
        <v>50</v>
      </c>
      <c r="E33" s="8">
        <v>4</v>
      </c>
      <c r="F33" s="8">
        <v>30</v>
      </c>
      <c r="G33" s="8">
        <v>7</v>
      </c>
      <c r="H33" s="8">
        <v>7</v>
      </c>
      <c r="I33" s="8">
        <v>7</v>
      </c>
    </row>
    <row r="34" spans="1:9">
      <c r="A34" s="8" t="s">
        <v>44</v>
      </c>
      <c r="B34" s="8" t="str">
        <f>VLOOKUP(A34,地区!$B$1:$C$43,2,0)</f>
        <v>东北地区</v>
      </c>
      <c r="C34" s="8" t="s">
        <v>45</v>
      </c>
      <c r="D34" s="8" t="s">
        <v>51</v>
      </c>
      <c r="E34" s="8">
        <v>1</v>
      </c>
      <c r="F34" s="8">
        <v>10</v>
      </c>
      <c r="G34" s="8">
        <v>7</v>
      </c>
      <c r="H34" s="8">
        <v>6.9</v>
      </c>
      <c r="I34" s="8">
        <v>6.9</v>
      </c>
    </row>
    <row r="35" spans="1:9">
      <c r="A35" s="8" t="s">
        <v>44</v>
      </c>
      <c r="B35" s="8" t="str">
        <f>VLOOKUP(A35,地区!$B$1:$C$43,2,0)</f>
        <v>东北地区</v>
      </c>
      <c r="C35" s="8" t="s">
        <v>52</v>
      </c>
      <c r="D35" s="8" t="s">
        <v>53</v>
      </c>
      <c r="E35" s="8">
        <v>3</v>
      </c>
      <c r="F35" s="8">
        <v>15</v>
      </c>
      <c r="G35" s="8">
        <v>7.5</v>
      </c>
      <c r="H35" s="8">
        <v>7.5</v>
      </c>
      <c r="I35" s="8">
        <v>7.5</v>
      </c>
    </row>
    <row r="36" spans="1:9">
      <c r="A36" s="8" t="s">
        <v>44</v>
      </c>
      <c r="B36" s="8" t="str">
        <f>VLOOKUP(A36,地区!$B$1:$C$43,2,0)</f>
        <v>东北地区</v>
      </c>
      <c r="C36" s="8" t="s">
        <v>52</v>
      </c>
      <c r="D36" s="8" t="s">
        <v>54</v>
      </c>
      <c r="E36" s="8">
        <v>3</v>
      </c>
      <c r="F36" s="8">
        <v>13</v>
      </c>
      <c r="G36" s="8">
        <v>7</v>
      </c>
      <c r="H36" s="8">
        <v>7</v>
      </c>
      <c r="I36" s="8">
        <v>7.1</v>
      </c>
    </row>
    <row r="37" spans="1:9">
      <c r="A37" s="8" t="s">
        <v>44</v>
      </c>
      <c r="B37" s="8" t="str">
        <f>VLOOKUP(A37,地区!$B$1:$C$43,2,0)</f>
        <v>东北地区</v>
      </c>
      <c r="C37" s="8" t="s">
        <v>55</v>
      </c>
      <c r="D37" s="8" t="s">
        <v>56</v>
      </c>
      <c r="E37" s="8">
        <v>12</v>
      </c>
      <c r="F37" s="8">
        <v>56</v>
      </c>
      <c r="G37" s="8">
        <v>7.4</v>
      </c>
      <c r="H37" s="8">
        <v>7.2</v>
      </c>
      <c r="I37" s="8">
        <v>7.2</v>
      </c>
    </row>
    <row r="38" spans="1:9">
      <c r="A38" s="8" t="s">
        <v>44</v>
      </c>
      <c r="B38" s="8" t="str">
        <f>VLOOKUP(A38,地区!$B$1:$C$43,2,0)</f>
        <v>东北地区</v>
      </c>
      <c r="C38" s="8" t="s">
        <v>55</v>
      </c>
      <c r="D38" s="8" t="s">
        <v>57</v>
      </c>
      <c r="E38" s="8">
        <v>10</v>
      </c>
      <c r="F38" s="8">
        <v>20</v>
      </c>
      <c r="G38" s="8">
        <v>7.5</v>
      </c>
      <c r="H38" s="8">
        <v>7.3</v>
      </c>
      <c r="I38" s="8">
        <v>7.5</v>
      </c>
    </row>
    <row r="39" spans="1:9">
      <c r="A39" s="8" t="s">
        <v>44</v>
      </c>
      <c r="B39" s="8" t="str">
        <f>VLOOKUP(A39,地区!$B$1:$C$43,2,0)</f>
        <v>东北地区</v>
      </c>
      <c r="C39" s="8" t="s">
        <v>55</v>
      </c>
      <c r="D39" s="8" t="s">
        <v>58</v>
      </c>
      <c r="E39" s="8">
        <v>3</v>
      </c>
      <c r="F39" s="8">
        <v>27</v>
      </c>
      <c r="G39" s="8">
        <v>6.9</v>
      </c>
      <c r="H39" s="8">
        <v>6.9</v>
      </c>
      <c r="I39" s="8">
        <v>6.9</v>
      </c>
    </row>
    <row r="40" spans="1:9">
      <c r="A40" s="8" t="s">
        <v>44</v>
      </c>
      <c r="B40" s="8" t="str">
        <f>VLOOKUP(A40,地区!$B$1:$C$43,2,0)</f>
        <v>东北地区</v>
      </c>
      <c r="C40" s="8" t="s">
        <v>59</v>
      </c>
      <c r="D40" s="8" t="s">
        <v>60</v>
      </c>
      <c r="E40" s="8">
        <v>351</v>
      </c>
      <c r="F40" s="8">
        <v>67</v>
      </c>
      <c r="G40" s="8">
        <v>9</v>
      </c>
      <c r="H40" s="8">
        <v>9.1</v>
      </c>
      <c r="I40" s="8">
        <v>9</v>
      </c>
    </row>
    <row r="41" spans="1:9">
      <c r="A41" s="8" t="s">
        <v>44</v>
      </c>
      <c r="B41" s="8" t="str">
        <f>VLOOKUP(A41,地区!$B$1:$C$43,2,0)</f>
        <v>东北地区</v>
      </c>
      <c r="C41" s="8" t="s">
        <v>59</v>
      </c>
      <c r="D41" s="8" t="s">
        <v>61</v>
      </c>
      <c r="E41" s="8">
        <v>162</v>
      </c>
      <c r="F41" s="8">
        <v>38</v>
      </c>
      <c r="G41" s="8">
        <v>8.5</v>
      </c>
      <c r="H41" s="8">
        <v>8.1</v>
      </c>
      <c r="I41" s="8">
        <v>8.6</v>
      </c>
    </row>
    <row r="42" spans="1:9">
      <c r="A42" s="8" t="s">
        <v>44</v>
      </c>
      <c r="B42" s="8" t="str">
        <f>VLOOKUP(A42,地区!$B$1:$C$43,2,0)</f>
        <v>东北地区</v>
      </c>
      <c r="C42" s="8" t="s">
        <v>59</v>
      </c>
      <c r="D42" s="8" t="s">
        <v>62</v>
      </c>
      <c r="E42" s="8">
        <v>305</v>
      </c>
      <c r="F42" s="8">
        <v>69</v>
      </c>
      <c r="G42" s="8">
        <v>8.1</v>
      </c>
      <c r="H42" s="8">
        <v>8.2</v>
      </c>
      <c r="I42" s="8">
        <v>7.8</v>
      </c>
    </row>
    <row r="43" spans="1:9">
      <c r="A43" s="8" t="s">
        <v>44</v>
      </c>
      <c r="B43" s="8" t="str">
        <f>VLOOKUP(A43,地区!$B$1:$C$43,2,0)</f>
        <v>东北地区</v>
      </c>
      <c r="C43" s="8" t="s">
        <v>59</v>
      </c>
      <c r="D43" s="8" t="s">
        <v>63</v>
      </c>
      <c r="E43" s="8">
        <v>250</v>
      </c>
      <c r="F43" s="8">
        <v>69</v>
      </c>
      <c r="G43" s="8">
        <v>8</v>
      </c>
      <c r="H43" s="8">
        <v>7.8</v>
      </c>
      <c r="I43" s="8">
        <v>7.8</v>
      </c>
    </row>
    <row r="44" spans="1:9">
      <c r="A44" s="8" t="s">
        <v>44</v>
      </c>
      <c r="B44" s="8" t="str">
        <f>VLOOKUP(A44,地区!$B$1:$C$43,2,0)</f>
        <v>东北地区</v>
      </c>
      <c r="C44" s="8" t="s">
        <v>59</v>
      </c>
      <c r="D44" s="8" t="s">
        <v>64</v>
      </c>
      <c r="E44" s="8">
        <v>31</v>
      </c>
      <c r="F44" s="8">
        <v>82</v>
      </c>
      <c r="G44" s="8">
        <v>7.7</v>
      </c>
      <c r="H44" s="8">
        <v>8.4</v>
      </c>
      <c r="I44" s="8">
        <v>8.2</v>
      </c>
    </row>
    <row r="45" spans="1:9">
      <c r="A45" s="8" t="s">
        <v>44</v>
      </c>
      <c r="B45" s="8" t="str">
        <f>VLOOKUP(A45,地区!$B$1:$C$43,2,0)</f>
        <v>东北地区</v>
      </c>
      <c r="C45" s="8" t="s">
        <v>59</v>
      </c>
      <c r="D45" s="8" t="s">
        <v>65</v>
      </c>
      <c r="E45" s="8">
        <v>22</v>
      </c>
      <c r="F45" s="8">
        <v>37</v>
      </c>
      <c r="G45" s="8">
        <v>7.5</v>
      </c>
      <c r="H45" s="8">
        <v>7.6</v>
      </c>
      <c r="I45" s="8">
        <v>8</v>
      </c>
    </row>
    <row r="46" spans="1:9">
      <c r="A46" s="8" t="s">
        <v>44</v>
      </c>
      <c r="B46" s="8" t="str">
        <f>VLOOKUP(A46,地区!$B$1:$C$43,2,0)</f>
        <v>东北地区</v>
      </c>
      <c r="C46" s="8" t="s">
        <v>59</v>
      </c>
      <c r="D46" s="8" t="s">
        <v>66</v>
      </c>
      <c r="E46" s="8">
        <v>52</v>
      </c>
      <c r="F46" s="8">
        <v>73</v>
      </c>
      <c r="G46" s="8">
        <v>7.6</v>
      </c>
      <c r="H46" s="8">
        <v>7.5</v>
      </c>
      <c r="I46" s="8">
        <v>7.6</v>
      </c>
    </row>
    <row r="47" spans="1:9">
      <c r="A47" s="8" t="s">
        <v>44</v>
      </c>
      <c r="B47" s="8" t="str">
        <f>VLOOKUP(A47,地区!$B$1:$C$43,2,0)</f>
        <v>东北地区</v>
      </c>
      <c r="C47" s="8" t="s">
        <v>59</v>
      </c>
      <c r="D47" s="8" t="s">
        <v>67</v>
      </c>
      <c r="E47" s="8">
        <v>4</v>
      </c>
      <c r="F47" s="8">
        <v>37</v>
      </c>
      <c r="G47" s="8">
        <v>6.5</v>
      </c>
      <c r="H47" s="8">
        <v>6.5</v>
      </c>
      <c r="I47" s="8">
        <v>6.5</v>
      </c>
    </row>
    <row r="48" spans="1:9">
      <c r="A48" s="8" t="s">
        <v>44</v>
      </c>
      <c r="B48" s="8" t="str">
        <f>VLOOKUP(A48,地区!$B$1:$C$43,2,0)</f>
        <v>东北地区</v>
      </c>
      <c r="C48" s="8" t="s">
        <v>59</v>
      </c>
      <c r="D48" s="8" t="s">
        <v>68</v>
      </c>
      <c r="E48" s="8">
        <v>13</v>
      </c>
      <c r="F48" s="8">
        <v>50</v>
      </c>
      <c r="G48" s="8">
        <v>7.5</v>
      </c>
      <c r="H48" s="8">
        <v>7.3</v>
      </c>
      <c r="I48" s="8">
        <v>7.5</v>
      </c>
    </row>
    <row r="49" spans="1:9">
      <c r="A49" s="8" t="s">
        <v>44</v>
      </c>
      <c r="B49" s="8" t="str">
        <f>VLOOKUP(A49,地区!$B$1:$C$43,2,0)</f>
        <v>东北地区</v>
      </c>
      <c r="C49" s="8" t="s">
        <v>59</v>
      </c>
      <c r="D49" s="8" t="s">
        <v>69</v>
      </c>
      <c r="E49" s="8">
        <v>18</v>
      </c>
      <c r="F49" s="8">
        <v>53</v>
      </c>
      <c r="G49" s="8">
        <v>7.4</v>
      </c>
      <c r="H49" s="8">
        <v>7.4</v>
      </c>
      <c r="I49" s="8">
        <v>7.4</v>
      </c>
    </row>
    <row r="50" spans="1:9">
      <c r="A50" s="8" t="s">
        <v>44</v>
      </c>
      <c r="B50" s="8" t="str">
        <f>VLOOKUP(A50,地区!$B$1:$C$43,2,0)</f>
        <v>东北地区</v>
      </c>
      <c r="C50" s="8" t="s">
        <v>59</v>
      </c>
      <c r="D50" s="8" t="s">
        <v>70</v>
      </c>
      <c r="E50" s="8">
        <v>19</v>
      </c>
      <c r="F50" s="8">
        <v>50</v>
      </c>
      <c r="G50" s="8">
        <v>7.2</v>
      </c>
      <c r="H50" s="8">
        <v>7.2</v>
      </c>
      <c r="I50" s="8">
        <v>7.3</v>
      </c>
    </row>
    <row r="51" spans="1:9">
      <c r="A51" s="8" t="s">
        <v>44</v>
      </c>
      <c r="B51" s="8" t="str">
        <f>VLOOKUP(A51,地区!$B$1:$C$43,2,0)</f>
        <v>东北地区</v>
      </c>
      <c r="C51" s="8" t="s">
        <v>59</v>
      </c>
      <c r="D51" s="8" t="s">
        <v>71</v>
      </c>
      <c r="E51" s="8">
        <v>24</v>
      </c>
      <c r="F51" s="8">
        <v>39</v>
      </c>
      <c r="G51" s="8">
        <v>7.3</v>
      </c>
      <c r="H51" s="8">
        <v>7.3</v>
      </c>
      <c r="I51" s="8">
        <v>7.5</v>
      </c>
    </row>
    <row r="52" spans="1:9">
      <c r="A52" s="8" t="s">
        <v>44</v>
      </c>
      <c r="B52" s="8" t="str">
        <f>VLOOKUP(A52,地区!$B$1:$C$43,2,0)</f>
        <v>东北地区</v>
      </c>
      <c r="C52" s="8" t="s">
        <v>72</v>
      </c>
      <c r="D52" s="8" t="s">
        <v>73</v>
      </c>
      <c r="E52" s="8">
        <v>283</v>
      </c>
      <c r="F52" s="8">
        <v>33</v>
      </c>
      <c r="G52" s="8">
        <v>7.7</v>
      </c>
      <c r="H52" s="8">
        <v>7.8</v>
      </c>
      <c r="I52" s="8">
        <v>7.4</v>
      </c>
    </row>
    <row r="53" spans="1:9">
      <c r="A53" s="8" t="s">
        <v>44</v>
      </c>
      <c r="B53" s="8" t="str">
        <f>VLOOKUP(A53,地区!$B$1:$C$43,2,0)</f>
        <v>东北地区</v>
      </c>
      <c r="C53" s="8" t="s">
        <v>72</v>
      </c>
      <c r="D53" s="8" t="s">
        <v>74</v>
      </c>
      <c r="E53" s="8">
        <v>27</v>
      </c>
      <c r="F53" s="8">
        <v>32</v>
      </c>
      <c r="G53" s="8">
        <v>7.4</v>
      </c>
      <c r="H53" s="8">
        <v>7.2</v>
      </c>
      <c r="I53" s="8">
        <v>7.4</v>
      </c>
    </row>
    <row r="54" spans="1:9">
      <c r="A54" s="8" t="s">
        <v>44</v>
      </c>
      <c r="B54" s="8" t="str">
        <f>VLOOKUP(A54,地区!$B$1:$C$43,2,0)</f>
        <v>东北地区</v>
      </c>
      <c r="C54" s="8" t="s">
        <v>72</v>
      </c>
      <c r="D54" s="8" t="s">
        <v>75</v>
      </c>
      <c r="E54" s="8">
        <v>162</v>
      </c>
      <c r="F54" s="8">
        <v>44</v>
      </c>
      <c r="G54" s="8">
        <v>7.2</v>
      </c>
      <c r="H54" s="8">
        <v>6.7</v>
      </c>
      <c r="I54" s="8">
        <v>6.7</v>
      </c>
    </row>
    <row r="55" spans="1:9">
      <c r="A55" s="8" t="s">
        <v>44</v>
      </c>
      <c r="B55" s="8" t="str">
        <f>VLOOKUP(A55,地区!$B$1:$C$43,2,0)</f>
        <v>东北地区</v>
      </c>
      <c r="C55" s="8" t="s">
        <v>72</v>
      </c>
      <c r="D55" s="8" t="s">
        <v>76</v>
      </c>
      <c r="E55" s="8">
        <v>22</v>
      </c>
      <c r="F55" s="8">
        <v>15</v>
      </c>
      <c r="G55" s="8">
        <v>7.4</v>
      </c>
      <c r="H55" s="8">
        <v>7.4</v>
      </c>
      <c r="I55" s="8">
        <v>7.4</v>
      </c>
    </row>
    <row r="56" spans="1:9">
      <c r="A56" s="8" t="s">
        <v>44</v>
      </c>
      <c r="B56" s="8" t="str">
        <f>VLOOKUP(A56,地区!$B$1:$C$43,2,0)</f>
        <v>东北地区</v>
      </c>
      <c r="C56" s="8" t="s">
        <v>72</v>
      </c>
      <c r="D56" s="8" t="s">
        <v>77</v>
      </c>
      <c r="E56" s="8">
        <v>1</v>
      </c>
      <c r="F56" s="8">
        <v>15</v>
      </c>
      <c r="G56" s="8">
        <v>7.4</v>
      </c>
      <c r="H56" s="8">
        <v>7.4</v>
      </c>
      <c r="I56" s="8">
        <v>7.4</v>
      </c>
    </row>
    <row r="57" spans="1:9">
      <c r="A57" s="8" t="s">
        <v>44</v>
      </c>
      <c r="B57" s="8" t="str">
        <f>VLOOKUP(A57,地区!$B$1:$C$43,2,0)</f>
        <v>东北地区</v>
      </c>
      <c r="C57" s="8" t="s">
        <v>72</v>
      </c>
      <c r="D57" s="8" t="s">
        <v>78</v>
      </c>
      <c r="E57" s="8">
        <v>31</v>
      </c>
      <c r="F57" s="8">
        <v>23</v>
      </c>
      <c r="G57" s="8">
        <v>7.3</v>
      </c>
      <c r="H57" s="8">
        <v>7.3</v>
      </c>
      <c r="I57" s="8">
        <v>7.2</v>
      </c>
    </row>
    <row r="58" spans="1:9">
      <c r="A58" s="8" t="s">
        <v>44</v>
      </c>
      <c r="B58" s="8" t="str">
        <f>VLOOKUP(A58,地区!$B$1:$C$43,2,0)</f>
        <v>东北地区</v>
      </c>
      <c r="C58" s="8" t="s">
        <v>79</v>
      </c>
      <c r="D58" s="8" t="s">
        <v>80</v>
      </c>
      <c r="E58" s="8">
        <v>108</v>
      </c>
      <c r="F58" s="8">
        <v>31</v>
      </c>
      <c r="G58" s="8">
        <v>7.3</v>
      </c>
      <c r="H58" s="8">
        <v>6.3</v>
      </c>
      <c r="I58" s="8">
        <v>6.6</v>
      </c>
    </row>
    <row r="59" spans="1:9">
      <c r="A59" s="8" t="s">
        <v>44</v>
      </c>
      <c r="B59" s="8" t="str">
        <f>VLOOKUP(A59,地区!$B$1:$C$43,2,0)</f>
        <v>东北地区</v>
      </c>
      <c r="C59" s="8" t="s">
        <v>79</v>
      </c>
      <c r="D59" s="8" t="s">
        <v>81</v>
      </c>
      <c r="E59" s="8">
        <v>27</v>
      </c>
      <c r="F59" s="8">
        <v>49</v>
      </c>
      <c r="G59" s="8">
        <v>7.6</v>
      </c>
      <c r="H59" s="8">
        <v>7.5</v>
      </c>
      <c r="I59" s="8">
        <v>7.6</v>
      </c>
    </row>
    <row r="60" spans="1:9">
      <c r="A60" s="8" t="s">
        <v>44</v>
      </c>
      <c r="B60" s="8" t="str">
        <f>VLOOKUP(A60,地区!$B$1:$C$43,2,0)</f>
        <v>东北地区</v>
      </c>
      <c r="C60" s="8" t="s">
        <v>79</v>
      </c>
      <c r="D60" s="8" t="s">
        <v>82</v>
      </c>
      <c r="E60" s="8">
        <v>52</v>
      </c>
      <c r="F60" s="8">
        <v>29</v>
      </c>
      <c r="G60" s="8">
        <v>6.7</v>
      </c>
      <c r="H60" s="8">
        <v>6.7</v>
      </c>
      <c r="I60" s="8">
        <v>6.7</v>
      </c>
    </row>
    <row r="61" spans="1:9">
      <c r="A61" s="8" t="s">
        <v>44</v>
      </c>
      <c r="B61" s="8" t="str">
        <f>VLOOKUP(A61,地区!$B$1:$C$43,2,0)</f>
        <v>东北地区</v>
      </c>
      <c r="C61" s="8" t="s">
        <v>79</v>
      </c>
      <c r="D61" s="8" t="s">
        <v>83</v>
      </c>
      <c r="E61" s="8">
        <v>143</v>
      </c>
      <c r="F61" s="8">
        <v>24</v>
      </c>
      <c r="G61" s="8">
        <v>7.1</v>
      </c>
      <c r="H61" s="8">
        <v>6.2</v>
      </c>
      <c r="I61" s="8">
        <v>6.4</v>
      </c>
    </row>
    <row r="62" spans="1:9">
      <c r="A62" s="8" t="s">
        <v>84</v>
      </c>
      <c r="B62" s="8" t="str">
        <f>VLOOKUP(A62,地区!$B$1:$C$43,2,0)</f>
        <v>华中地区</v>
      </c>
      <c r="C62" s="8" t="s">
        <v>85</v>
      </c>
      <c r="D62" s="8" t="s">
        <v>86</v>
      </c>
      <c r="E62" s="8">
        <v>175</v>
      </c>
      <c r="F62" s="8">
        <v>45</v>
      </c>
      <c r="G62" s="8">
        <v>7</v>
      </c>
      <c r="H62" s="8">
        <v>7.3</v>
      </c>
      <c r="I62" s="8">
        <v>7.2</v>
      </c>
    </row>
    <row r="63" spans="1:9">
      <c r="A63" s="8" t="s">
        <v>84</v>
      </c>
      <c r="B63" s="8" t="str">
        <f>VLOOKUP(A63,地区!$B$1:$C$43,2,0)</f>
        <v>华中地区</v>
      </c>
      <c r="C63" s="8" t="s">
        <v>85</v>
      </c>
      <c r="D63" s="8" t="s">
        <v>87</v>
      </c>
      <c r="E63" s="8">
        <v>89</v>
      </c>
      <c r="F63" s="8">
        <v>30</v>
      </c>
      <c r="G63" s="8">
        <v>7.2</v>
      </c>
      <c r="H63" s="8">
        <v>7.3</v>
      </c>
      <c r="I63" s="8">
        <v>7.2</v>
      </c>
    </row>
    <row r="64" spans="1:9">
      <c r="A64" s="8" t="s">
        <v>84</v>
      </c>
      <c r="B64" s="8" t="str">
        <f>VLOOKUP(A64,地区!$B$1:$C$43,2,0)</f>
        <v>华中地区</v>
      </c>
      <c r="C64" s="8" t="s">
        <v>85</v>
      </c>
      <c r="D64" s="8" t="s">
        <v>88</v>
      </c>
      <c r="E64" s="8">
        <v>18</v>
      </c>
      <c r="F64" s="8">
        <v>13</v>
      </c>
      <c r="G64" s="8">
        <v>7.6</v>
      </c>
      <c r="H64" s="8">
        <v>7.6</v>
      </c>
      <c r="I64" s="8">
        <v>7.6</v>
      </c>
    </row>
    <row r="65" spans="1:9">
      <c r="A65" s="8" t="s">
        <v>84</v>
      </c>
      <c r="B65" s="8" t="str">
        <f>VLOOKUP(A65,地区!$B$1:$C$43,2,0)</f>
        <v>华中地区</v>
      </c>
      <c r="C65" s="8" t="s">
        <v>85</v>
      </c>
      <c r="D65" s="8" t="s">
        <v>89</v>
      </c>
      <c r="E65" s="8">
        <v>266</v>
      </c>
      <c r="F65" s="8">
        <v>19</v>
      </c>
      <c r="G65" s="8">
        <v>7.8</v>
      </c>
      <c r="H65" s="8">
        <v>7.7</v>
      </c>
      <c r="I65" s="8">
        <v>7.6</v>
      </c>
    </row>
    <row r="66" spans="1:9">
      <c r="A66" s="8" t="s">
        <v>84</v>
      </c>
      <c r="B66" s="8" t="str">
        <f>VLOOKUP(A66,地区!$B$1:$C$43,2,0)</f>
        <v>华中地区</v>
      </c>
      <c r="C66" s="8" t="s">
        <v>90</v>
      </c>
      <c r="D66" s="8" t="s">
        <v>91</v>
      </c>
      <c r="E66" s="8">
        <v>39</v>
      </c>
      <c r="F66" s="8">
        <v>20</v>
      </c>
      <c r="G66" s="8">
        <v>7.4</v>
      </c>
      <c r="H66" s="8">
        <v>7.3</v>
      </c>
      <c r="I66" s="8">
        <v>7.2</v>
      </c>
    </row>
    <row r="67" spans="1:9">
      <c r="A67" s="8" t="s">
        <v>84</v>
      </c>
      <c r="B67" s="8" t="str">
        <f>VLOOKUP(A67,地区!$B$1:$C$43,2,0)</f>
        <v>华中地区</v>
      </c>
      <c r="C67" s="8" t="s">
        <v>90</v>
      </c>
      <c r="D67" s="8" t="s">
        <v>92</v>
      </c>
      <c r="E67" s="8">
        <v>22</v>
      </c>
      <c r="F67" s="8">
        <v>66</v>
      </c>
      <c r="G67" s="8">
        <v>7.3</v>
      </c>
      <c r="H67" s="8">
        <v>7.4</v>
      </c>
      <c r="I67" s="8">
        <v>7.4</v>
      </c>
    </row>
    <row r="68" spans="1:9">
      <c r="A68" s="8" t="s">
        <v>84</v>
      </c>
      <c r="B68" s="8" t="str">
        <f>VLOOKUP(A68,地区!$B$1:$C$43,2,0)</f>
        <v>华中地区</v>
      </c>
      <c r="C68" s="8" t="s">
        <v>45</v>
      </c>
      <c r="D68" s="8" t="s">
        <v>93</v>
      </c>
      <c r="E68" s="8">
        <v>2</v>
      </c>
      <c r="F68" s="8">
        <v>100</v>
      </c>
      <c r="G68" s="8">
        <v>7</v>
      </c>
      <c r="H68" s="8">
        <v>7</v>
      </c>
      <c r="I68" s="8">
        <v>7</v>
      </c>
    </row>
    <row r="69" spans="1:9">
      <c r="A69" s="8" t="s">
        <v>84</v>
      </c>
      <c r="B69" s="8" t="str">
        <f>VLOOKUP(A69,地区!$B$1:$C$43,2,0)</f>
        <v>华中地区</v>
      </c>
      <c r="C69" s="8" t="s">
        <v>45</v>
      </c>
      <c r="D69" s="8" t="s">
        <v>94</v>
      </c>
      <c r="E69" s="8">
        <v>17</v>
      </c>
      <c r="F69" s="8">
        <v>21</v>
      </c>
      <c r="G69" s="8">
        <v>7.2</v>
      </c>
      <c r="H69" s="8">
        <v>7</v>
      </c>
      <c r="I69" s="8">
        <v>7.2</v>
      </c>
    </row>
    <row r="70" spans="1:9">
      <c r="A70" s="8" t="s">
        <v>84</v>
      </c>
      <c r="B70" s="8" t="str">
        <f>VLOOKUP(A70,地区!$B$1:$C$43,2,0)</f>
        <v>华中地区</v>
      </c>
      <c r="C70" s="8" t="s">
        <v>45</v>
      </c>
      <c r="D70" s="8" t="s">
        <v>95</v>
      </c>
      <c r="E70" s="8">
        <v>211</v>
      </c>
      <c r="F70" s="8">
        <v>38</v>
      </c>
      <c r="G70" s="8">
        <v>7.2</v>
      </c>
      <c r="H70" s="8">
        <v>7.1</v>
      </c>
      <c r="I70" s="8">
        <v>7</v>
      </c>
    </row>
    <row r="71" spans="1:9">
      <c r="A71" s="8" t="s">
        <v>84</v>
      </c>
      <c r="B71" s="8" t="str">
        <f>VLOOKUP(A71,地区!$B$1:$C$43,2,0)</f>
        <v>华中地区</v>
      </c>
      <c r="C71" s="8" t="s">
        <v>45</v>
      </c>
      <c r="D71" s="8" t="s">
        <v>96</v>
      </c>
      <c r="E71" s="8">
        <v>2</v>
      </c>
      <c r="F71" s="8">
        <v>25</v>
      </c>
      <c r="G71" s="8">
        <v>7</v>
      </c>
      <c r="H71" s="8">
        <v>7</v>
      </c>
      <c r="I71" s="8">
        <v>7</v>
      </c>
    </row>
    <row r="72" spans="1:9">
      <c r="A72" s="8" t="s">
        <v>84</v>
      </c>
      <c r="B72" s="8" t="str">
        <f>VLOOKUP(A72,地区!$B$1:$C$43,2,0)</f>
        <v>华中地区</v>
      </c>
      <c r="C72" s="8" t="s">
        <v>59</v>
      </c>
      <c r="D72" s="8" t="s">
        <v>97</v>
      </c>
      <c r="E72" s="8">
        <v>415</v>
      </c>
      <c r="F72" s="8">
        <v>70</v>
      </c>
      <c r="G72" s="8">
        <v>8.7</v>
      </c>
      <c r="H72" s="8">
        <v>8</v>
      </c>
      <c r="I72" s="8">
        <v>8.5</v>
      </c>
    </row>
    <row r="73" spans="1:9">
      <c r="A73" s="8" t="s">
        <v>84</v>
      </c>
      <c r="B73" s="8" t="str">
        <f>VLOOKUP(A73,地区!$B$1:$C$43,2,0)</f>
        <v>华中地区</v>
      </c>
      <c r="C73" s="8" t="s">
        <v>59</v>
      </c>
      <c r="D73" s="8" t="s">
        <v>98</v>
      </c>
      <c r="E73" s="8">
        <v>67</v>
      </c>
      <c r="F73" s="8">
        <v>78</v>
      </c>
      <c r="G73" s="8">
        <v>7.4</v>
      </c>
      <c r="H73" s="8">
        <v>7.9</v>
      </c>
      <c r="I73" s="8">
        <v>7.4</v>
      </c>
    </row>
    <row r="74" spans="1:9">
      <c r="A74" s="8" t="s">
        <v>84</v>
      </c>
      <c r="B74" s="8" t="str">
        <f>VLOOKUP(A74,地区!$B$1:$C$43,2,0)</f>
        <v>华中地区</v>
      </c>
      <c r="C74" s="8" t="s">
        <v>59</v>
      </c>
      <c r="D74" s="8" t="s">
        <v>99</v>
      </c>
      <c r="E74" s="8">
        <v>129</v>
      </c>
      <c r="F74" s="8">
        <v>75</v>
      </c>
      <c r="G74" s="8">
        <v>8.1</v>
      </c>
      <c r="H74" s="8">
        <v>8</v>
      </c>
      <c r="I74" s="8">
        <v>8.4</v>
      </c>
    </row>
    <row r="75" spans="1:9">
      <c r="A75" s="8" t="s">
        <v>84</v>
      </c>
      <c r="B75" s="8" t="str">
        <f>VLOOKUP(A75,地区!$B$1:$C$43,2,0)</f>
        <v>华中地区</v>
      </c>
      <c r="C75" s="8" t="s">
        <v>59</v>
      </c>
      <c r="D75" s="8" t="s">
        <v>100</v>
      </c>
      <c r="E75" s="8">
        <v>21</v>
      </c>
      <c r="F75" s="8">
        <v>40</v>
      </c>
      <c r="G75" s="8">
        <v>7</v>
      </c>
      <c r="H75" s="8">
        <v>7.1</v>
      </c>
      <c r="I75" s="8">
        <v>7.3</v>
      </c>
    </row>
    <row r="76" spans="1:9">
      <c r="A76" s="8" t="s">
        <v>84</v>
      </c>
      <c r="B76" s="8" t="str">
        <f>VLOOKUP(A76,地区!$B$1:$C$43,2,0)</f>
        <v>华中地区</v>
      </c>
      <c r="C76" s="8" t="s">
        <v>33</v>
      </c>
      <c r="D76" s="8" t="s">
        <v>101</v>
      </c>
      <c r="E76" s="8">
        <v>365</v>
      </c>
      <c r="F76" s="8">
        <v>44</v>
      </c>
      <c r="G76" s="8">
        <v>7.8</v>
      </c>
      <c r="H76" s="8">
        <v>8</v>
      </c>
      <c r="I76" s="8">
        <v>7.9</v>
      </c>
    </row>
    <row r="77" spans="1:9">
      <c r="A77" s="8" t="s">
        <v>84</v>
      </c>
      <c r="B77" s="8" t="str">
        <f>VLOOKUP(A77,地区!$B$1:$C$43,2,0)</f>
        <v>华中地区</v>
      </c>
      <c r="C77" s="8" t="s">
        <v>33</v>
      </c>
      <c r="D77" s="8" t="s">
        <v>102</v>
      </c>
      <c r="E77" s="8">
        <v>15</v>
      </c>
      <c r="F77" s="8">
        <v>75</v>
      </c>
      <c r="G77" s="8">
        <v>7</v>
      </c>
      <c r="H77" s="8">
        <v>7.3</v>
      </c>
      <c r="I77" s="8">
        <v>7.3</v>
      </c>
    </row>
    <row r="78" spans="1:9">
      <c r="A78" s="8" t="s">
        <v>84</v>
      </c>
      <c r="B78" s="8" t="str">
        <f>VLOOKUP(A78,地区!$B$1:$C$43,2,0)</f>
        <v>华中地区</v>
      </c>
      <c r="C78" s="8" t="s">
        <v>33</v>
      </c>
      <c r="D78" s="8" t="s">
        <v>103</v>
      </c>
      <c r="E78" s="8">
        <v>6</v>
      </c>
      <c r="F78" s="8">
        <v>35</v>
      </c>
      <c r="G78" s="8">
        <v>7.3</v>
      </c>
      <c r="H78" s="8">
        <v>7.4</v>
      </c>
      <c r="I78" s="8">
        <v>7.4</v>
      </c>
    </row>
    <row r="79" spans="1:9">
      <c r="A79" s="8" t="s">
        <v>84</v>
      </c>
      <c r="B79" s="8" t="str">
        <f>VLOOKUP(A79,地区!$B$1:$C$43,2,0)</f>
        <v>华中地区</v>
      </c>
      <c r="C79" s="8" t="s">
        <v>104</v>
      </c>
      <c r="D79" s="8" t="s">
        <v>105</v>
      </c>
      <c r="E79" s="8">
        <v>95</v>
      </c>
      <c r="F79" s="8">
        <v>13</v>
      </c>
      <c r="G79" s="8">
        <v>8.4</v>
      </c>
      <c r="H79" s="8">
        <v>8</v>
      </c>
      <c r="I79" s="8">
        <v>8.5</v>
      </c>
    </row>
    <row r="80" spans="1:9">
      <c r="A80" s="8" t="s">
        <v>84</v>
      </c>
      <c r="B80" s="8" t="str">
        <f>VLOOKUP(A80,地区!$B$1:$C$43,2,0)</f>
        <v>华中地区</v>
      </c>
      <c r="C80" s="8" t="s">
        <v>104</v>
      </c>
      <c r="D80" s="8" t="s">
        <v>106</v>
      </c>
      <c r="E80" s="8">
        <v>70</v>
      </c>
      <c r="F80" s="8">
        <v>36</v>
      </c>
      <c r="G80" s="8">
        <v>8.6</v>
      </c>
      <c r="H80" s="8">
        <v>8.5</v>
      </c>
      <c r="I80" s="8">
        <v>8.5</v>
      </c>
    </row>
    <row r="81" spans="1:9">
      <c r="A81" s="8" t="s">
        <v>84</v>
      </c>
      <c r="B81" s="8" t="str">
        <f>VLOOKUP(A81,地区!$B$1:$C$43,2,0)</f>
        <v>华中地区</v>
      </c>
      <c r="C81" s="8" t="s">
        <v>104</v>
      </c>
      <c r="D81" s="8" t="s">
        <v>107</v>
      </c>
      <c r="E81" s="8">
        <v>5</v>
      </c>
      <c r="F81" s="8">
        <v>30</v>
      </c>
      <c r="G81" s="8">
        <v>7.3</v>
      </c>
      <c r="H81" s="8">
        <v>7.4</v>
      </c>
      <c r="I81" s="8">
        <v>7.6</v>
      </c>
    </row>
    <row r="82" spans="1:9">
      <c r="A82" s="8" t="s">
        <v>84</v>
      </c>
      <c r="B82" s="8" t="str">
        <f>VLOOKUP(A82,地区!$B$1:$C$43,2,0)</f>
        <v>华中地区</v>
      </c>
      <c r="C82" s="8" t="s">
        <v>104</v>
      </c>
      <c r="D82" s="8" t="s">
        <v>108</v>
      </c>
      <c r="E82" s="8">
        <v>51</v>
      </c>
      <c r="F82" s="8">
        <v>20</v>
      </c>
      <c r="G82" s="8">
        <v>7.4</v>
      </c>
      <c r="H82" s="8">
        <v>7.4</v>
      </c>
      <c r="I82" s="8">
        <v>7.5</v>
      </c>
    </row>
    <row r="83" spans="1:9">
      <c r="A83" s="8" t="s">
        <v>84</v>
      </c>
      <c r="B83" s="8" t="str">
        <f>VLOOKUP(A83,地区!$B$1:$C$43,2,0)</f>
        <v>华中地区</v>
      </c>
      <c r="C83" s="8" t="s">
        <v>104</v>
      </c>
      <c r="D83" s="8" t="s">
        <v>109</v>
      </c>
      <c r="E83" s="8">
        <v>1</v>
      </c>
      <c r="F83" s="8">
        <v>15</v>
      </c>
      <c r="G83" s="8">
        <v>6.9</v>
      </c>
      <c r="H83" s="8">
        <v>6.9</v>
      </c>
      <c r="I83" s="8">
        <v>6.9</v>
      </c>
    </row>
    <row r="84" spans="1:9">
      <c r="A84" s="8" t="s">
        <v>110</v>
      </c>
      <c r="B84" s="8" t="str">
        <f>VLOOKUP(A84,地区!$B$1:$C$43,2,0)</f>
        <v>西南地区</v>
      </c>
      <c r="C84" s="8" t="s">
        <v>45</v>
      </c>
      <c r="D84" s="8" t="s">
        <v>111</v>
      </c>
      <c r="E84" s="8">
        <v>423</v>
      </c>
      <c r="F84" s="8">
        <v>58</v>
      </c>
      <c r="G84" s="8">
        <v>8.2</v>
      </c>
      <c r="H84" s="8">
        <v>8.1</v>
      </c>
      <c r="I84" s="8">
        <v>7.9</v>
      </c>
    </row>
    <row r="85" spans="1:9">
      <c r="A85" s="8" t="s">
        <v>110</v>
      </c>
      <c r="B85" s="8" t="str">
        <f>VLOOKUP(A85,地区!$B$1:$C$43,2,0)</f>
        <v>西南地区</v>
      </c>
      <c r="C85" s="8" t="s">
        <v>112</v>
      </c>
      <c r="D85" s="8" t="s">
        <v>113</v>
      </c>
      <c r="E85" s="8">
        <v>19</v>
      </c>
      <c r="F85" s="8">
        <v>47</v>
      </c>
      <c r="G85" s="8">
        <v>7</v>
      </c>
      <c r="H85" s="8">
        <v>7</v>
      </c>
      <c r="I85" s="8">
        <v>7.1</v>
      </c>
    </row>
    <row r="86" spans="1:9">
      <c r="A86" s="8" t="s">
        <v>110</v>
      </c>
      <c r="B86" s="8" t="str">
        <f>VLOOKUP(A86,地区!$B$1:$C$43,2,0)</f>
        <v>西南地区</v>
      </c>
      <c r="C86" s="8" t="s">
        <v>112</v>
      </c>
      <c r="D86" s="8" t="s">
        <v>114</v>
      </c>
      <c r="E86" s="8">
        <v>43</v>
      </c>
      <c r="F86" s="8">
        <v>36</v>
      </c>
      <c r="G86" s="8">
        <v>6.9</v>
      </c>
      <c r="H86" s="8">
        <v>6.6</v>
      </c>
      <c r="I86" s="8">
        <v>6.9</v>
      </c>
    </row>
    <row r="87" spans="1:9">
      <c r="A87" s="8" t="s">
        <v>110</v>
      </c>
      <c r="B87" s="8" t="str">
        <f>VLOOKUP(A87,地区!$B$1:$C$43,2,0)</f>
        <v>西南地区</v>
      </c>
      <c r="C87" s="8" t="s">
        <v>112</v>
      </c>
      <c r="D87" s="8" t="s">
        <v>115</v>
      </c>
      <c r="E87" s="8">
        <v>68</v>
      </c>
      <c r="F87" s="8">
        <v>51</v>
      </c>
      <c r="G87" s="8">
        <v>7.3</v>
      </c>
      <c r="H87" s="8">
        <v>7.3</v>
      </c>
      <c r="I87" s="8">
        <v>7.7</v>
      </c>
    </row>
    <row r="88" spans="1:9">
      <c r="A88" s="8" t="s">
        <v>110</v>
      </c>
      <c r="B88" s="8" t="str">
        <f>VLOOKUP(A88,地区!$B$1:$C$43,2,0)</f>
        <v>西南地区</v>
      </c>
      <c r="C88" s="8" t="s">
        <v>112</v>
      </c>
      <c r="D88" s="8" t="s">
        <v>116</v>
      </c>
      <c r="E88" s="8">
        <v>21</v>
      </c>
      <c r="F88" s="8">
        <v>65</v>
      </c>
      <c r="G88" s="8">
        <v>6.3</v>
      </c>
      <c r="H88" s="8">
        <v>6.6</v>
      </c>
      <c r="I88" s="8">
        <v>6.6</v>
      </c>
    </row>
    <row r="89" spans="1:9">
      <c r="A89" s="8" t="s">
        <v>110</v>
      </c>
      <c r="B89" s="8" t="str">
        <f>VLOOKUP(A89,地区!$B$1:$C$43,2,0)</f>
        <v>西南地区</v>
      </c>
      <c r="C89" s="8" t="s">
        <v>112</v>
      </c>
      <c r="D89" s="8" t="s">
        <v>117</v>
      </c>
      <c r="E89" s="8">
        <v>55</v>
      </c>
      <c r="F89" s="8">
        <v>30</v>
      </c>
      <c r="G89" s="8">
        <v>7.3</v>
      </c>
      <c r="H89" s="8">
        <v>6.8</v>
      </c>
      <c r="I89" s="8">
        <v>7.2</v>
      </c>
    </row>
    <row r="90" spans="1:9">
      <c r="A90" s="8" t="s">
        <v>110</v>
      </c>
      <c r="B90" s="8" t="str">
        <f>VLOOKUP(A90,地区!$B$1:$C$43,2,0)</f>
        <v>西南地区</v>
      </c>
      <c r="C90" s="8" t="s">
        <v>13</v>
      </c>
      <c r="D90" s="8" t="s">
        <v>118</v>
      </c>
      <c r="E90" s="8">
        <v>536</v>
      </c>
      <c r="F90" s="8">
        <v>48</v>
      </c>
      <c r="G90" s="8">
        <v>8.3</v>
      </c>
      <c r="H90" s="8">
        <v>7.7</v>
      </c>
      <c r="I90" s="8">
        <v>7.6</v>
      </c>
    </row>
    <row r="91" spans="1:9">
      <c r="A91" s="8" t="s">
        <v>110</v>
      </c>
      <c r="B91" s="8" t="str">
        <f>VLOOKUP(A91,地区!$B$1:$C$43,2,0)</f>
        <v>西南地区</v>
      </c>
      <c r="C91" s="8" t="s">
        <v>112</v>
      </c>
      <c r="D91" s="8" t="s">
        <v>119</v>
      </c>
      <c r="E91" s="8">
        <v>11</v>
      </c>
      <c r="F91" s="8">
        <v>56</v>
      </c>
      <c r="G91" s="8">
        <v>7.1</v>
      </c>
      <c r="H91" s="8">
        <v>7.1</v>
      </c>
      <c r="I91" s="8">
        <v>7.1</v>
      </c>
    </row>
    <row r="92" spans="1:9">
      <c r="A92" s="8" t="s">
        <v>110</v>
      </c>
      <c r="B92" s="8" t="str">
        <f>VLOOKUP(A92,地区!$B$1:$C$43,2,0)</f>
        <v>西南地区</v>
      </c>
      <c r="C92" s="8" t="s">
        <v>79</v>
      </c>
      <c r="D92" s="8" t="s">
        <v>120</v>
      </c>
      <c r="E92" s="8">
        <v>10</v>
      </c>
      <c r="F92" s="8">
        <v>48</v>
      </c>
      <c r="G92" s="8">
        <v>7.2</v>
      </c>
      <c r="H92" s="8">
        <v>7.2</v>
      </c>
      <c r="I92" s="8">
        <v>7.1</v>
      </c>
    </row>
    <row r="93" spans="1:9">
      <c r="A93" s="8" t="s">
        <v>110</v>
      </c>
      <c r="B93" s="8" t="str">
        <f>VLOOKUP(A93,地区!$B$1:$C$43,2,0)</f>
        <v>西南地区</v>
      </c>
      <c r="C93" s="8" t="s">
        <v>79</v>
      </c>
      <c r="D93" s="8" t="s">
        <v>121</v>
      </c>
      <c r="E93" s="8">
        <v>45</v>
      </c>
      <c r="F93" s="8">
        <v>47</v>
      </c>
      <c r="G93" s="8">
        <v>6.9</v>
      </c>
      <c r="H93" s="8">
        <v>6.5</v>
      </c>
      <c r="I93" s="8">
        <v>6.7</v>
      </c>
    </row>
    <row r="94" spans="1:9">
      <c r="A94" s="8" t="s">
        <v>110</v>
      </c>
      <c r="B94" s="8" t="str">
        <f>VLOOKUP(A94,地区!$B$1:$C$43,2,0)</f>
        <v>西南地区</v>
      </c>
      <c r="C94" s="8" t="s">
        <v>79</v>
      </c>
      <c r="D94" s="8" t="s">
        <v>122</v>
      </c>
      <c r="E94" s="8">
        <v>35</v>
      </c>
      <c r="F94" s="8">
        <v>49</v>
      </c>
      <c r="G94" s="8">
        <v>7.2</v>
      </c>
      <c r="H94" s="8">
        <v>7.2</v>
      </c>
      <c r="I94" s="8">
        <v>7.1</v>
      </c>
    </row>
    <row r="95" spans="1:9">
      <c r="A95" s="8" t="s">
        <v>110</v>
      </c>
      <c r="B95" s="8" t="str">
        <f>VLOOKUP(A95,地区!$B$1:$C$43,2,0)</f>
        <v>西南地区</v>
      </c>
      <c r="C95" s="8" t="s">
        <v>79</v>
      </c>
      <c r="D95" s="8" t="s">
        <v>123</v>
      </c>
      <c r="E95" s="8">
        <v>53</v>
      </c>
      <c r="F95" s="8">
        <v>71</v>
      </c>
      <c r="G95" s="8">
        <v>7.2</v>
      </c>
      <c r="H95" s="8">
        <v>7.5</v>
      </c>
      <c r="I95" s="8">
        <v>6.9</v>
      </c>
    </row>
    <row r="96" spans="1:9">
      <c r="A96" s="8" t="s">
        <v>110</v>
      </c>
      <c r="B96" s="8" t="str">
        <f>VLOOKUP(A96,地区!$B$1:$C$43,2,0)</f>
        <v>西南地区</v>
      </c>
      <c r="C96" s="8" t="s">
        <v>124</v>
      </c>
      <c r="D96" s="8" t="s">
        <v>125</v>
      </c>
      <c r="E96" s="8">
        <v>137</v>
      </c>
      <c r="F96" s="8">
        <v>120</v>
      </c>
      <c r="G96" s="8">
        <v>7.3</v>
      </c>
      <c r="H96" s="8">
        <v>8</v>
      </c>
      <c r="I96" s="8">
        <v>7.5</v>
      </c>
    </row>
    <row r="97" spans="1:9">
      <c r="A97" s="8" t="s">
        <v>110</v>
      </c>
      <c r="B97" s="8" t="str">
        <f>VLOOKUP(A97,地区!$B$1:$C$43,2,0)</f>
        <v>西南地区</v>
      </c>
      <c r="C97" s="8" t="s">
        <v>124</v>
      </c>
      <c r="D97" s="8" t="s">
        <v>126</v>
      </c>
      <c r="E97" s="8">
        <v>28</v>
      </c>
      <c r="F97" s="8">
        <v>64</v>
      </c>
      <c r="G97" s="8">
        <v>6.9</v>
      </c>
      <c r="H97" s="8">
        <v>7.3</v>
      </c>
      <c r="I97" s="8">
        <v>6.9</v>
      </c>
    </row>
    <row r="98" spans="1:9">
      <c r="A98" s="8" t="s">
        <v>110</v>
      </c>
      <c r="B98" s="8" t="str">
        <f>VLOOKUP(A98,地区!$B$1:$C$43,2,0)</f>
        <v>西南地区</v>
      </c>
      <c r="C98" s="8" t="s">
        <v>124</v>
      </c>
      <c r="D98" s="8" t="s">
        <v>127</v>
      </c>
      <c r="E98" s="8">
        <v>13</v>
      </c>
      <c r="F98" s="8">
        <v>45</v>
      </c>
      <c r="G98" s="8">
        <v>7.1</v>
      </c>
      <c r="H98" s="8">
        <v>7</v>
      </c>
      <c r="I98" s="8">
        <v>7</v>
      </c>
    </row>
    <row r="99" spans="1:9">
      <c r="A99" s="8" t="s">
        <v>110</v>
      </c>
      <c r="B99" s="8" t="str">
        <f>VLOOKUP(A99,地区!$B$1:$C$43,2,0)</f>
        <v>西南地区</v>
      </c>
      <c r="C99" s="8" t="s">
        <v>124</v>
      </c>
      <c r="D99" s="8" t="s">
        <v>128</v>
      </c>
      <c r="E99" s="8">
        <v>7</v>
      </c>
      <c r="F99" s="8">
        <v>50</v>
      </c>
      <c r="G99" s="8">
        <v>7.1</v>
      </c>
      <c r="H99" s="8">
        <v>7.3</v>
      </c>
      <c r="I99" s="8">
        <v>7.1</v>
      </c>
    </row>
    <row r="100" spans="1:9">
      <c r="A100" s="8" t="s">
        <v>110</v>
      </c>
      <c r="B100" s="8" t="str">
        <f>VLOOKUP(A100,地区!$B$1:$C$43,2,0)</f>
        <v>西南地区</v>
      </c>
      <c r="C100" s="8" t="s">
        <v>85</v>
      </c>
      <c r="D100" s="8" t="s">
        <v>129</v>
      </c>
      <c r="E100" s="8">
        <v>763</v>
      </c>
      <c r="F100" s="8">
        <v>36</v>
      </c>
      <c r="G100" s="8">
        <v>8</v>
      </c>
      <c r="H100" s="8">
        <v>8.4</v>
      </c>
      <c r="I100" s="8">
        <v>8.2</v>
      </c>
    </row>
    <row r="101" spans="1:9">
      <c r="A101" s="8" t="s">
        <v>110</v>
      </c>
      <c r="B101" s="8" t="str">
        <f>VLOOKUP(A101,地区!$B$1:$C$43,2,0)</f>
        <v>西南地区</v>
      </c>
      <c r="C101" s="8" t="s">
        <v>85</v>
      </c>
      <c r="D101" s="8" t="s">
        <v>130</v>
      </c>
      <c r="E101" s="8">
        <v>394</v>
      </c>
      <c r="F101" s="8">
        <v>14</v>
      </c>
      <c r="G101" s="8">
        <v>8</v>
      </c>
      <c r="H101" s="8">
        <v>7.7</v>
      </c>
      <c r="I101" s="8">
        <v>8.3</v>
      </c>
    </row>
    <row r="102" spans="1:9">
      <c r="A102" s="8" t="s">
        <v>110</v>
      </c>
      <c r="B102" s="8" t="str">
        <f>VLOOKUP(A102,地区!$B$1:$C$43,2,0)</f>
        <v>西南地区</v>
      </c>
      <c r="C102" s="8" t="s">
        <v>85</v>
      </c>
      <c r="D102" s="8" t="s">
        <v>131</v>
      </c>
      <c r="E102" s="8">
        <v>1298</v>
      </c>
      <c r="F102" s="8">
        <v>29</v>
      </c>
      <c r="G102" s="8">
        <v>8.2</v>
      </c>
      <c r="H102" s="8">
        <v>8.1</v>
      </c>
      <c r="I102" s="8">
        <v>7.7</v>
      </c>
    </row>
    <row r="103" spans="1:9">
      <c r="A103" s="8" t="s">
        <v>110</v>
      </c>
      <c r="B103" s="8" t="str">
        <f>VLOOKUP(A103,地区!$B$1:$C$43,2,0)</f>
        <v>西南地区</v>
      </c>
      <c r="C103" s="8" t="s">
        <v>85</v>
      </c>
      <c r="D103" s="8" t="s">
        <v>132</v>
      </c>
      <c r="E103" s="8">
        <v>1453</v>
      </c>
      <c r="F103" s="8">
        <v>29</v>
      </c>
      <c r="G103" s="8">
        <v>7.7</v>
      </c>
      <c r="H103" s="8">
        <v>7.7</v>
      </c>
      <c r="I103" s="8">
        <v>7.4</v>
      </c>
    </row>
    <row r="104" spans="1:9">
      <c r="A104" s="8" t="s">
        <v>110</v>
      </c>
      <c r="B104" s="8" t="str">
        <f>VLOOKUP(A104,地区!$B$1:$C$43,2,0)</f>
        <v>西南地区</v>
      </c>
      <c r="C104" s="8" t="s">
        <v>85</v>
      </c>
      <c r="D104" s="8" t="s">
        <v>133</v>
      </c>
      <c r="E104" s="8">
        <v>300</v>
      </c>
      <c r="F104" s="8">
        <v>13</v>
      </c>
      <c r="G104" s="8">
        <v>7.7</v>
      </c>
      <c r="H104" s="8">
        <v>7.6</v>
      </c>
      <c r="I104" s="8">
        <v>7.7</v>
      </c>
    </row>
    <row r="105" spans="1:9">
      <c r="A105" s="8" t="s">
        <v>110</v>
      </c>
      <c r="B105" s="8" t="str">
        <f>VLOOKUP(A105,地区!$B$1:$C$43,2,0)</f>
        <v>西南地区</v>
      </c>
      <c r="C105" s="8" t="s">
        <v>85</v>
      </c>
      <c r="D105" s="8" t="s">
        <v>134</v>
      </c>
      <c r="E105" s="8">
        <v>97</v>
      </c>
      <c r="F105" s="8">
        <v>16</v>
      </c>
      <c r="G105" s="8">
        <v>7.6</v>
      </c>
      <c r="H105" s="8">
        <v>8</v>
      </c>
      <c r="I105" s="8">
        <v>7.7</v>
      </c>
    </row>
    <row r="106" spans="1:9">
      <c r="A106" s="8" t="s">
        <v>110</v>
      </c>
      <c r="B106" s="8" t="str">
        <f>VLOOKUP(A106,地区!$B$1:$C$43,2,0)</f>
        <v>西南地区</v>
      </c>
      <c r="C106" s="8" t="s">
        <v>59</v>
      </c>
      <c r="D106" s="8" t="s">
        <v>135</v>
      </c>
      <c r="E106" s="8">
        <v>1445</v>
      </c>
      <c r="F106" s="8">
        <v>101</v>
      </c>
      <c r="G106" s="8">
        <v>8.8</v>
      </c>
      <c r="H106" s="8">
        <v>8.5</v>
      </c>
      <c r="I106" s="8">
        <v>8.5</v>
      </c>
    </row>
    <row r="107" spans="1:9">
      <c r="A107" s="8" t="s">
        <v>110</v>
      </c>
      <c r="B107" s="8" t="str">
        <f>VLOOKUP(A107,地区!$B$1:$C$43,2,0)</f>
        <v>西南地区</v>
      </c>
      <c r="C107" s="8" t="s">
        <v>59</v>
      </c>
      <c r="D107" s="8" t="s">
        <v>136</v>
      </c>
      <c r="E107" s="8">
        <v>514</v>
      </c>
      <c r="F107" s="8">
        <v>71</v>
      </c>
      <c r="G107" s="8">
        <v>8.4</v>
      </c>
      <c r="H107" s="8">
        <v>8.7</v>
      </c>
      <c r="I107" s="8">
        <v>8.6</v>
      </c>
    </row>
    <row r="108" spans="1:9">
      <c r="A108" s="8" t="s">
        <v>110</v>
      </c>
      <c r="B108" s="8" t="str">
        <f>VLOOKUP(A108,地区!$B$1:$C$43,2,0)</f>
        <v>西南地区</v>
      </c>
      <c r="C108" s="8" t="s">
        <v>59</v>
      </c>
      <c r="D108" s="8" t="s">
        <v>137</v>
      </c>
      <c r="E108" s="8">
        <v>286</v>
      </c>
      <c r="F108" s="8">
        <v>70</v>
      </c>
      <c r="G108" s="8">
        <v>8.6</v>
      </c>
      <c r="H108" s="8">
        <v>8.3</v>
      </c>
      <c r="I108" s="8">
        <v>8.6</v>
      </c>
    </row>
    <row r="109" spans="1:9">
      <c r="A109" s="8" t="s">
        <v>110</v>
      </c>
      <c r="B109" s="8" t="str">
        <f>VLOOKUP(A109,地区!$B$1:$C$43,2,0)</f>
        <v>西南地区</v>
      </c>
      <c r="C109" s="8" t="s">
        <v>59</v>
      </c>
      <c r="D109" s="8" t="s">
        <v>138</v>
      </c>
      <c r="E109" s="8">
        <v>2130</v>
      </c>
      <c r="F109" s="8">
        <v>74</v>
      </c>
      <c r="G109" s="8">
        <v>8.3</v>
      </c>
      <c r="H109" s="8">
        <v>8.6</v>
      </c>
      <c r="I109" s="8">
        <v>8.4</v>
      </c>
    </row>
    <row r="110" spans="1:9">
      <c r="A110" s="8" t="s">
        <v>110</v>
      </c>
      <c r="B110" s="8" t="str">
        <f>VLOOKUP(A110,地区!$B$1:$C$43,2,0)</f>
        <v>西南地区</v>
      </c>
      <c r="C110" s="8" t="s">
        <v>59</v>
      </c>
      <c r="D110" s="8" t="s">
        <v>139</v>
      </c>
      <c r="E110" s="8">
        <v>577</v>
      </c>
      <c r="F110" s="8">
        <v>44</v>
      </c>
      <c r="G110" s="8">
        <v>8.3</v>
      </c>
      <c r="H110" s="8">
        <v>7.6</v>
      </c>
      <c r="I110" s="8">
        <v>7.6</v>
      </c>
    </row>
    <row r="111" spans="1:9">
      <c r="A111" s="8" t="s">
        <v>110</v>
      </c>
      <c r="B111" s="8" t="str">
        <f>VLOOKUP(A111,地区!$B$1:$C$43,2,0)</f>
        <v>西南地区</v>
      </c>
      <c r="C111" s="8" t="s">
        <v>59</v>
      </c>
      <c r="D111" s="8" t="s">
        <v>140</v>
      </c>
      <c r="E111" s="8">
        <v>381</v>
      </c>
      <c r="F111" s="8">
        <v>68</v>
      </c>
      <c r="G111" s="8">
        <v>8.3</v>
      </c>
      <c r="H111" s="8">
        <v>7.7</v>
      </c>
      <c r="I111" s="8">
        <v>8.2</v>
      </c>
    </row>
    <row r="112" spans="1:9">
      <c r="A112" s="8" t="s">
        <v>110</v>
      </c>
      <c r="B112" s="8" t="str">
        <f>VLOOKUP(A112,地区!$B$1:$C$43,2,0)</f>
        <v>西南地区</v>
      </c>
      <c r="C112" s="8" t="s">
        <v>59</v>
      </c>
      <c r="D112" s="8" t="s">
        <v>141</v>
      </c>
      <c r="E112" s="8">
        <v>476</v>
      </c>
      <c r="F112" s="8">
        <v>67</v>
      </c>
      <c r="G112" s="8">
        <v>8.4</v>
      </c>
      <c r="H112" s="8">
        <v>8.5</v>
      </c>
      <c r="I112" s="8">
        <v>8.7</v>
      </c>
    </row>
    <row r="113" spans="1:9">
      <c r="A113" s="8" t="s">
        <v>142</v>
      </c>
      <c r="B113" s="8" t="str">
        <f>VLOOKUP(A113,地区!$B$1:$C$43,2,0)</f>
        <v>西南地区</v>
      </c>
      <c r="C113" s="8" t="s">
        <v>10</v>
      </c>
      <c r="D113" s="8" t="s">
        <v>143</v>
      </c>
      <c r="E113" s="8">
        <v>299</v>
      </c>
      <c r="F113" s="8">
        <v>79</v>
      </c>
      <c r="G113" s="8">
        <v>8</v>
      </c>
      <c r="H113" s="8">
        <v>7.6</v>
      </c>
      <c r="I113" s="8">
        <v>8.2</v>
      </c>
    </row>
    <row r="114" spans="1:9">
      <c r="A114" s="8" t="s">
        <v>142</v>
      </c>
      <c r="B114" s="8" t="str">
        <f>VLOOKUP(A114,地区!$B$1:$C$43,2,0)</f>
        <v>西南地区</v>
      </c>
      <c r="C114" s="8" t="s">
        <v>10</v>
      </c>
      <c r="D114" s="8" t="s">
        <v>144</v>
      </c>
      <c r="E114" s="8">
        <v>1</v>
      </c>
      <c r="F114" s="8">
        <v>40</v>
      </c>
      <c r="G114" s="8">
        <v>6.8</v>
      </c>
      <c r="H114" s="8">
        <v>6.9</v>
      </c>
      <c r="I114" s="8">
        <v>6.8</v>
      </c>
    </row>
    <row r="115" spans="1:9">
      <c r="A115" s="8" t="s">
        <v>142</v>
      </c>
      <c r="B115" s="8" t="str">
        <f>VLOOKUP(A115,地区!$B$1:$C$43,2,0)</f>
        <v>西南地区</v>
      </c>
      <c r="C115" s="8" t="s">
        <v>145</v>
      </c>
      <c r="D115" s="8" t="s">
        <v>146</v>
      </c>
      <c r="E115" s="8">
        <v>73</v>
      </c>
      <c r="F115" s="8">
        <v>112</v>
      </c>
      <c r="G115" s="8">
        <v>8.2</v>
      </c>
      <c r="H115" s="8">
        <v>8.4</v>
      </c>
      <c r="I115" s="8">
        <v>8.7</v>
      </c>
    </row>
    <row r="116" spans="1:9">
      <c r="A116" s="8" t="s">
        <v>142</v>
      </c>
      <c r="B116" s="8" t="str">
        <f>VLOOKUP(A116,地区!$B$1:$C$43,2,0)</f>
        <v>西南地区</v>
      </c>
      <c r="C116" s="8" t="s">
        <v>145</v>
      </c>
      <c r="D116" s="8" t="s">
        <v>147</v>
      </c>
      <c r="E116" s="8">
        <v>370</v>
      </c>
      <c r="F116" s="8">
        <v>119</v>
      </c>
      <c r="G116" s="8">
        <v>7.8</v>
      </c>
      <c r="H116" s="8">
        <v>8.5</v>
      </c>
      <c r="I116" s="8">
        <v>7.6</v>
      </c>
    </row>
    <row r="117" spans="1:9">
      <c r="A117" s="8" t="s">
        <v>142</v>
      </c>
      <c r="B117" s="8" t="str">
        <f>VLOOKUP(A117,地区!$B$1:$C$43,2,0)</f>
        <v>西南地区</v>
      </c>
      <c r="C117" s="8" t="s">
        <v>145</v>
      </c>
      <c r="D117" s="8" t="s">
        <v>148</v>
      </c>
      <c r="E117" s="8">
        <v>58</v>
      </c>
      <c r="F117" s="8">
        <v>87</v>
      </c>
      <c r="G117" s="8">
        <v>8.1</v>
      </c>
      <c r="H117" s="8">
        <v>7.8</v>
      </c>
      <c r="I117" s="8">
        <v>8.2</v>
      </c>
    </row>
    <row r="118" spans="1:9">
      <c r="A118" s="8" t="s">
        <v>142</v>
      </c>
      <c r="B118" s="8" t="str">
        <f>VLOOKUP(A118,地区!$B$1:$C$43,2,0)</f>
        <v>西南地区</v>
      </c>
      <c r="C118" s="8" t="s">
        <v>15</v>
      </c>
      <c r="D118" s="8" t="s">
        <v>149</v>
      </c>
      <c r="E118" s="8">
        <v>371</v>
      </c>
      <c r="F118" s="8">
        <v>108</v>
      </c>
      <c r="G118" s="8">
        <v>8.5</v>
      </c>
      <c r="H118" s="8">
        <v>8.7</v>
      </c>
      <c r="I118" s="8">
        <v>8</v>
      </c>
    </row>
    <row r="119" spans="1:9">
      <c r="A119" s="8" t="s">
        <v>142</v>
      </c>
      <c r="B119" s="8" t="str">
        <f>VLOOKUP(A119,地区!$B$1:$C$43,2,0)</f>
        <v>西南地区</v>
      </c>
      <c r="C119" s="8" t="s">
        <v>15</v>
      </c>
      <c r="D119" s="8" t="s">
        <v>150</v>
      </c>
      <c r="E119" s="8">
        <v>71</v>
      </c>
      <c r="F119" s="8">
        <v>168</v>
      </c>
      <c r="G119" s="8">
        <v>7.9</v>
      </c>
      <c r="H119" s="8">
        <v>9.2</v>
      </c>
      <c r="I119" s="8">
        <v>9.1</v>
      </c>
    </row>
    <row r="120" spans="1:9">
      <c r="A120" s="8" t="s">
        <v>142</v>
      </c>
      <c r="B120" s="8" t="str">
        <f>VLOOKUP(A120,地区!$B$1:$C$43,2,0)</f>
        <v>西南地区</v>
      </c>
      <c r="C120" s="8" t="s">
        <v>45</v>
      </c>
      <c r="D120" s="8" t="s">
        <v>151</v>
      </c>
      <c r="E120" s="8">
        <v>205</v>
      </c>
      <c r="F120" s="8">
        <v>80</v>
      </c>
      <c r="G120" s="8">
        <v>7.5</v>
      </c>
      <c r="H120" s="8">
        <v>8.1</v>
      </c>
      <c r="I120" s="8">
        <v>7.8</v>
      </c>
    </row>
    <row r="121" spans="1:9">
      <c r="A121" s="8" t="s">
        <v>142</v>
      </c>
      <c r="B121" s="8" t="str">
        <f>VLOOKUP(A121,地区!$B$1:$C$43,2,0)</f>
        <v>西南地区</v>
      </c>
      <c r="C121" s="8" t="s">
        <v>45</v>
      </c>
      <c r="D121" s="8" t="s">
        <v>152</v>
      </c>
      <c r="E121" s="8">
        <v>127</v>
      </c>
      <c r="F121" s="8">
        <v>85</v>
      </c>
      <c r="G121" s="8">
        <v>8.6</v>
      </c>
      <c r="H121" s="8">
        <v>6.8</v>
      </c>
      <c r="I121" s="8">
        <v>8.7</v>
      </c>
    </row>
    <row r="122" spans="1:9">
      <c r="A122" s="8" t="s">
        <v>142</v>
      </c>
      <c r="B122" s="8" t="str">
        <f>VLOOKUP(A122,地区!$B$1:$C$43,2,0)</f>
        <v>西南地区</v>
      </c>
      <c r="C122" s="8" t="s">
        <v>45</v>
      </c>
      <c r="D122" s="8" t="s">
        <v>153</v>
      </c>
      <c r="E122" s="8">
        <v>136</v>
      </c>
      <c r="F122" s="8">
        <v>121</v>
      </c>
      <c r="G122" s="8">
        <v>7.2</v>
      </c>
      <c r="H122" s="8">
        <v>7.6</v>
      </c>
      <c r="I122" s="8">
        <v>7.4</v>
      </c>
    </row>
    <row r="123" spans="1:9">
      <c r="A123" s="8" t="s">
        <v>142</v>
      </c>
      <c r="B123" s="8" t="str">
        <f>VLOOKUP(A123,地区!$B$1:$C$43,2,0)</f>
        <v>西南地区</v>
      </c>
      <c r="C123" s="8" t="s">
        <v>45</v>
      </c>
      <c r="D123" s="8" t="s">
        <v>154</v>
      </c>
      <c r="E123" s="8">
        <v>6</v>
      </c>
      <c r="F123" s="8">
        <v>121</v>
      </c>
      <c r="G123" s="8">
        <v>7.7</v>
      </c>
      <c r="H123" s="8">
        <v>7.7</v>
      </c>
      <c r="I123" s="8">
        <v>7.9</v>
      </c>
    </row>
    <row r="124" spans="1:9">
      <c r="A124" s="8" t="s">
        <v>142</v>
      </c>
      <c r="B124" s="8" t="str">
        <f>VLOOKUP(A124,地区!$B$1:$C$43,2,0)</f>
        <v>西南地区</v>
      </c>
      <c r="C124" s="8" t="s">
        <v>155</v>
      </c>
      <c r="D124" s="8" t="s">
        <v>156</v>
      </c>
      <c r="E124" s="8">
        <v>26</v>
      </c>
      <c r="F124" s="8">
        <v>20</v>
      </c>
      <c r="G124" s="8">
        <v>7.4</v>
      </c>
      <c r="H124" s="8">
        <v>7.4</v>
      </c>
      <c r="I124" s="8">
        <v>7.5</v>
      </c>
    </row>
    <row r="125" spans="1:9">
      <c r="A125" s="8" t="s">
        <v>142</v>
      </c>
      <c r="B125" s="8" t="str">
        <f>VLOOKUP(A125,地区!$B$1:$C$43,2,0)</f>
        <v>西南地区</v>
      </c>
      <c r="C125" s="8" t="s">
        <v>155</v>
      </c>
      <c r="D125" s="8" t="s">
        <v>157</v>
      </c>
      <c r="E125" s="8">
        <v>31</v>
      </c>
      <c r="F125" s="8">
        <v>29</v>
      </c>
      <c r="G125" s="8">
        <v>7.6</v>
      </c>
      <c r="H125" s="8">
        <v>7.6</v>
      </c>
      <c r="I125" s="8">
        <v>7.6</v>
      </c>
    </row>
    <row r="126" spans="1:9">
      <c r="A126" s="8" t="s">
        <v>142</v>
      </c>
      <c r="B126" s="8" t="str">
        <f>VLOOKUP(A126,地区!$B$1:$C$43,2,0)</f>
        <v>西南地区</v>
      </c>
      <c r="C126" s="8" t="s">
        <v>155</v>
      </c>
      <c r="D126" s="8" t="s">
        <v>158</v>
      </c>
      <c r="E126" s="8">
        <v>2</v>
      </c>
      <c r="F126" s="8">
        <v>21</v>
      </c>
      <c r="G126" s="8">
        <v>7.2</v>
      </c>
      <c r="H126" s="8">
        <v>7.2</v>
      </c>
      <c r="I126" s="8">
        <v>7.2</v>
      </c>
    </row>
    <row r="127" spans="1:9">
      <c r="A127" s="8" t="s">
        <v>142</v>
      </c>
      <c r="B127" s="8" t="str">
        <f>VLOOKUP(A127,地区!$B$1:$C$43,2,0)</f>
        <v>西南地区</v>
      </c>
      <c r="C127" s="8" t="s">
        <v>59</v>
      </c>
      <c r="D127" s="8" t="s">
        <v>159</v>
      </c>
      <c r="E127" s="8">
        <v>77</v>
      </c>
      <c r="F127" s="8">
        <v>75</v>
      </c>
      <c r="G127" s="8">
        <v>9.1</v>
      </c>
      <c r="H127" s="8">
        <v>9</v>
      </c>
      <c r="I127" s="8">
        <v>9.2</v>
      </c>
    </row>
    <row r="128" spans="1:9">
      <c r="A128" s="8" t="s">
        <v>142</v>
      </c>
      <c r="B128" s="8" t="str">
        <f>VLOOKUP(A128,地区!$B$1:$C$43,2,0)</f>
        <v>西南地区</v>
      </c>
      <c r="C128" s="8" t="s">
        <v>59</v>
      </c>
      <c r="D128" s="8" t="s">
        <v>160</v>
      </c>
      <c r="E128" s="8">
        <v>5829</v>
      </c>
      <c r="F128" s="8">
        <v>82</v>
      </c>
      <c r="G128" s="8">
        <v>8.5</v>
      </c>
      <c r="H128" s="8">
        <v>8.1</v>
      </c>
      <c r="I128" s="8">
        <v>8.1</v>
      </c>
    </row>
    <row r="129" spans="1:9">
      <c r="A129" s="8" t="s">
        <v>142</v>
      </c>
      <c r="B129" s="8" t="str">
        <f>VLOOKUP(A129,地区!$B$1:$C$43,2,0)</f>
        <v>西南地区</v>
      </c>
      <c r="C129" s="8" t="s">
        <v>59</v>
      </c>
      <c r="D129" s="8" t="s">
        <v>161</v>
      </c>
      <c r="E129" s="8">
        <v>537</v>
      </c>
      <c r="F129" s="8">
        <v>67</v>
      </c>
      <c r="G129" s="8">
        <v>8.3</v>
      </c>
      <c r="H129" s="8">
        <v>7.8</v>
      </c>
      <c r="I129" s="8">
        <v>8</v>
      </c>
    </row>
    <row r="130" spans="1:9">
      <c r="A130" s="8" t="s">
        <v>142</v>
      </c>
      <c r="B130" s="8" t="str">
        <f>VLOOKUP(A130,地区!$B$1:$C$43,2,0)</f>
        <v>西南地区</v>
      </c>
      <c r="C130" s="8" t="s">
        <v>59</v>
      </c>
      <c r="D130" s="8" t="s">
        <v>162</v>
      </c>
      <c r="E130" s="8">
        <v>25</v>
      </c>
      <c r="F130" s="8">
        <v>60</v>
      </c>
      <c r="G130" s="8">
        <v>7.8</v>
      </c>
      <c r="H130" s="8">
        <v>7.6</v>
      </c>
      <c r="I130" s="8">
        <v>7.9</v>
      </c>
    </row>
    <row r="131" spans="1:9">
      <c r="A131" s="8" t="s">
        <v>142</v>
      </c>
      <c r="B131" s="8" t="str">
        <f>VLOOKUP(A131,地区!$B$1:$C$43,2,0)</f>
        <v>西南地区</v>
      </c>
      <c r="C131" s="8" t="s">
        <v>59</v>
      </c>
      <c r="D131" s="8" t="s">
        <v>163</v>
      </c>
      <c r="E131" s="8">
        <v>536</v>
      </c>
      <c r="F131" s="8">
        <v>75</v>
      </c>
      <c r="G131" s="8">
        <v>7.7</v>
      </c>
      <c r="H131" s="8">
        <v>7.8</v>
      </c>
      <c r="I131" s="8">
        <v>7.5</v>
      </c>
    </row>
    <row r="132" spans="1:9">
      <c r="A132" s="8" t="s">
        <v>142</v>
      </c>
      <c r="B132" s="8" t="str">
        <f>VLOOKUP(A132,地区!$B$1:$C$43,2,0)</f>
        <v>西南地区</v>
      </c>
      <c r="C132" s="8" t="s">
        <v>59</v>
      </c>
      <c r="D132" s="8" t="s">
        <v>164</v>
      </c>
      <c r="E132" s="8">
        <v>85</v>
      </c>
      <c r="F132" s="8">
        <v>27</v>
      </c>
      <c r="G132" s="8">
        <v>7.4</v>
      </c>
      <c r="H132" s="8">
        <v>7.6</v>
      </c>
      <c r="I132" s="8">
        <v>7.6</v>
      </c>
    </row>
    <row r="133" spans="1:9">
      <c r="A133" s="8" t="s">
        <v>142</v>
      </c>
      <c r="B133" s="8" t="str">
        <f>VLOOKUP(A133,地区!$B$1:$C$43,2,0)</f>
        <v>西南地区</v>
      </c>
      <c r="C133" s="8" t="s">
        <v>104</v>
      </c>
      <c r="D133" s="8" t="s">
        <v>165</v>
      </c>
      <c r="E133" s="8">
        <v>460</v>
      </c>
      <c r="F133" s="8">
        <v>87</v>
      </c>
      <c r="G133" s="8">
        <v>7.6</v>
      </c>
      <c r="H133" s="8">
        <v>8.5</v>
      </c>
      <c r="I133" s="8">
        <v>7.8</v>
      </c>
    </row>
    <row r="134" spans="1:9">
      <c r="A134" s="8" t="s">
        <v>142</v>
      </c>
      <c r="B134" s="8" t="str">
        <f>VLOOKUP(A134,地区!$B$1:$C$43,2,0)</f>
        <v>西南地区</v>
      </c>
      <c r="C134" s="8" t="s">
        <v>104</v>
      </c>
      <c r="D134" s="8" t="s">
        <v>166</v>
      </c>
      <c r="E134" s="8">
        <v>15</v>
      </c>
      <c r="F134" s="8">
        <v>41</v>
      </c>
      <c r="G134" s="8">
        <v>7</v>
      </c>
      <c r="H134" s="8">
        <v>7.1</v>
      </c>
      <c r="I134" s="8">
        <v>7.1</v>
      </c>
    </row>
    <row r="135" spans="1:9">
      <c r="A135" s="8" t="s">
        <v>142</v>
      </c>
      <c r="B135" s="8" t="str">
        <f>VLOOKUP(A135,地区!$B$1:$C$43,2,0)</f>
        <v>西南地区</v>
      </c>
      <c r="C135" s="8" t="s">
        <v>104</v>
      </c>
      <c r="D135" s="8" t="s">
        <v>167</v>
      </c>
      <c r="E135" s="8">
        <v>45</v>
      </c>
      <c r="F135" s="8">
        <v>36</v>
      </c>
      <c r="G135" s="8">
        <v>7.1</v>
      </c>
      <c r="H135" s="8">
        <v>7</v>
      </c>
      <c r="I135" s="8">
        <v>7.1</v>
      </c>
    </row>
    <row r="136" spans="1:9">
      <c r="A136" s="8" t="s">
        <v>142</v>
      </c>
      <c r="B136" s="8" t="str">
        <f>VLOOKUP(A136,地区!$B$1:$C$43,2,0)</f>
        <v>西南地区</v>
      </c>
      <c r="C136" s="8" t="s">
        <v>104</v>
      </c>
      <c r="D136" s="8" t="s">
        <v>168</v>
      </c>
      <c r="E136" s="8">
        <v>36</v>
      </c>
      <c r="F136" s="8">
        <v>37</v>
      </c>
      <c r="G136" s="8">
        <v>7.4</v>
      </c>
      <c r="H136" s="8">
        <v>8.8</v>
      </c>
      <c r="I136" s="8">
        <v>7.5</v>
      </c>
    </row>
    <row r="137" spans="1:9">
      <c r="A137" s="8" t="s">
        <v>142</v>
      </c>
      <c r="B137" s="8" t="str">
        <f>VLOOKUP(A137,地区!$B$1:$C$43,2,0)</f>
        <v>西南地区</v>
      </c>
      <c r="C137" s="8" t="s">
        <v>104</v>
      </c>
      <c r="D137" s="8" t="s">
        <v>169</v>
      </c>
      <c r="E137" s="8">
        <v>31</v>
      </c>
      <c r="F137" s="8">
        <v>67</v>
      </c>
      <c r="G137" s="8">
        <v>7.8</v>
      </c>
      <c r="H137" s="8">
        <v>7.8</v>
      </c>
      <c r="I137" s="8">
        <v>7.9</v>
      </c>
    </row>
    <row r="138" spans="1:9">
      <c r="A138" s="8" t="s">
        <v>142</v>
      </c>
      <c r="B138" s="8" t="str">
        <f>VLOOKUP(A138,地区!$B$1:$C$43,2,0)</f>
        <v>西南地区</v>
      </c>
      <c r="C138" s="8" t="s">
        <v>104</v>
      </c>
      <c r="D138" s="8" t="s">
        <v>170</v>
      </c>
      <c r="E138" s="8">
        <v>4</v>
      </c>
      <c r="F138" s="8">
        <v>76</v>
      </c>
      <c r="G138" s="8">
        <v>7.6</v>
      </c>
      <c r="H138" s="8">
        <v>7.6</v>
      </c>
      <c r="I138" s="8">
        <v>7.4</v>
      </c>
    </row>
    <row r="139" spans="1:9">
      <c r="A139" s="8" t="s">
        <v>142</v>
      </c>
      <c r="B139" s="8" t="str">
        <f>VLOOKUP(A139,地区!$B$1:$C$43,2,0)</f>
        <v>西南地区</v>
      </c>
      <c r="C139" s="8" t="s">
        <v>104</v>
      </c>
      <c r="D139" s="8" t="s">
        <v>171</v>
      </c>
      <c r="E139" s="8">
        <v>6</v>
      </c>
      <c r="F139" s="8">
        <v>25</v>
      </c>
      <c r="G139" s="8">
        <v>7.6</v>
      </c>
      <c r="H139" s="8">
        <v>7.7</v>
      </c>
      <c r="I139" s="8">
        <v>7.6</v>
      </c>
    </row>
    <row r="140" spans="1:9">
      <c r="A140" s="8" t="s">
        <v>142</v>
      </c>
      <c r="B140" s="8" t="str">
        <f>VLOOKUP(A140,地区!$B$1:$C$43,2,0)</f>
        <v>西南地区</v>
      </c>
      <c r="C140" s="8" t="s">
        <v>104</v>
      </c>
      <c r="D140" s="8" t="s">
        <v>172</v>
      </c>
      <c r="E140" s="8">
        <v>12</v>
      </c>
      <c r="F140" s="8">
        <v>54</v>
      </c>
      <c r="G140" s="8">
        <v>7.2</v>
      </c>
      <c r="H140" s="8">
        <v>7.2</v>
      </c>
      <c r="I140" s="8">
        <v>7.2</v>
      </c>
    </row>
    <row r="141" spans="1:9">
      <c r="A141" s="8" t="s">
        <v>173</v>
      </c>
      <c r="B141" s="8" t="str">
        <f>VLOOKUP(A141,地区!$B$1:$C$43,2,0)</f>
        <v>东北地区</v>
      </c>
      <c r="C141" s="8" t="s">
        <v>13</v>
      </c>
      <c r="D141" s="8" t="s">
        <v>174</v>
      </c>
      <c r="E141" s="8">
        <v>4</v>
      </c>
      <c r="F141" s="8">
        <v>15</v>
      </c>
      <c r="G141" s="8">
        <v>7.1</v>
      </c>
      <c r="H141" s="8">
        <v>7.1</v>
      </c>
      <c r="I141" s="8">
        <v>7.1</v>
      </c>
    </row>
    <row r="142" spans="1:9">
      <c r="A142" s="8" t="s">
        <v>173</v>
      </c>
      <c r="B142" s="8" t="str">
        <f>VLOOKUP(A142,地区!$B$1:$C$43,2,0)</f>
        <v>东北地区</v>
      </c>
      <c r="C142" s="8" t="s">
        <v>13</v>
      </c>
      <c r="D142" s="8" t="s">
        <v>175</v>
      </c>
      <c r="E142" s="8">
        <v>9</v>
      </c>
      <c r="F142" s="8">
        <v>19</v>
      </c>
      <c r="G142" s="8">
        <v>6.9</v>
      </c>
      <c r="H142" s="8">
        <v>6.7</v>
      </c>
      <c r="I142" s="8">
        <v>6.8</v>
      </c>
    </row>
    <row r="143" spans="1:9">
      <c r="A143" s="8" t="s">
        <v>173</v>
      </c>
      <c r="B143" s="8" t="str">
        <f>VLOOKUP(A143,地区!$B$1:$C$43,2,0)</f>
        <v>东北地区</v>
      </c>
      <c r="C143" s="8" t="s">
        <v>45</v>
      </c>
      <c r="D143" s="8" t="s">
        <v>176</v>
      </c>
      <c r="E143" s="8">
        <v>1474</v>
      </c>
      <c r="F143" s="8">
        <v>56</v>
      </c>
      <c r="G143" s="8">
        <v>9.2</v>
      </c>
      <c r="H143" s="8">
        <v>9.1</v>
      </c>
      <c r="I143" s="8">
        <v>9.1</v>
      </c>
    </row>
    <row r="144" spans="1:9">
      <c r="A144" s="8" t="s">
        <v>173</v>
      </c>
      <c r="B144" s="8" t="str">
        <f>VLOOKUP(A144,地区!$B$1:$C$43,2,0)</f>
        <v>东北地区</v>
      </c>
      <c r="C144" s="8" t="s">
        <v>45</v>
      </c>
      <c r="D144" s="8" t="s">
        <v>177</v>
      </c>
      <c r="E144" s="8">
        <v>111</v>
      </c>
      <c r="F144" s="8">
        <v>29</v>
      </c>
      <c r="G144" s="8">
        <v>7.6</v>
      </c>
      <c r="H144" s="8">
        <v>7.5</v>
      </c>
      <c r="I144" s="8">
        <v>7.6</v>
      </c>
    </row>
    <row r="145" spans="1:9">
      <c r="A145" s="8" t="s">
        <v>173</v>
      </c>
      <c r="B145" s="8" t="str">
        <f>VLOOKUP(A145,地区!$B$1:$C$43,2,0)</f>
        <v>东北地区</v>
      </c>
      <c r="C145" s="8" t="s">
        <v>45</v>
      </c>
      <c r="D145" s="8" t="s">
        <v>178</v>
      </c>
      <c r="E145" s="8">
        <v>22</v>
      </c>
      <c r="F145" s="8">
        <v>50</v>
      </c>
      <c r="G145" s="8">
        <v>7.4</v>
      </c>
      <c r="H145" s="8">
        <v>7.2</v>
      </c>
      <c r="I145" s="8">
        <v>7.1</v>
      </c>
    </row>
    <row r="146" spans="1:9">
      <c r="A146" s="8" t="s">
        <v>173</v>
      </c>
      <c r="B146" s="8" t="str">
        <f>VLOOKUP(A146,地区!$B$1:$C$43,2,0)</f>
        <v>东北地区</v>
      </c>
      <c r="C146" s="8" t="s">
        <v>45</v>
      </c>
      <c r="D146" s="8" t="s">
        <v>179</v>
      </c>
      <c r="E146" s="8">
        <v>205</v>
      </c>
      <c r="F146" s="8">
        <v>68</v>
      </c>
      <c r="G146" s="8">
        <v>6.5</v>
      </c>
      <c r="H146" s="8">
        <v>5.7</v>
      </c>
      <c r="I146" s="8">
        <v>5.8</v>
      </c>
    </row>
    <row r="147" spans="1:9">
      <c r="A147" s="8" t="s">
        <v>173</v>
      </c>
      <c r="B147" s="8" t="str">
        <f>VLOOKUP(A147,地区!$B$1:$C$43,2,0)</f>
        <v>东北地区</v>
      </c>
      <c r="C147" s="8" t="s">
        <v>45</v>
      </c>
      <c r="D147" s="8" t="s">
        <v>180</v>
      </c>
      <c r="E147" s="8">
        <v>11</v>
      </c>
      <c r="F147" s="8">
        <v>108</v>
      </c>
      <c r="G147" s="8">
        <v>6.9</v>
      </c>
      <c r="H147" s="8">
        <v>6.7</v>
      </c>
      <c r="I147" s="8">
        <v>6.7</v>
      </c>
    </row>
    <row r="148" spans="1:9">
      <c r="A148" s="8" t="s">
        <v>173</v>
      </c>
      <c r="B148" s="8" t="str">
        <f>VLOOKUP(A148,地区!$B$1:$C$43,2,0)</f>
        <v>东北地区</v>
      </c>
      <c r="C148" s="8" t="s">
        <v>181</v>
      </c>
      <c r="D148" s="8" t="s">
        <v>182</v>
      </c>
      <c r="E148" s="8">
        <v>2215</v>
      </c>
      <c r="F148" s="8">
        <v>149</v>
      </c>
      <c r="G148" s="8">
        <v>9.2</v>
      </c>
      <c r="H148" s="8">
        <v>9.2</v>
      </c>
      <c r="I148" s="8">
        <v>9.1</v>
      </c>
    </row>
    <row r="149" spans="1:9">
      <c r="A149" s="8" t="s">
        <v>173</v>
      </c>
      <c r="B149" s="8" t="str">
        <f>VLOOKUP(A149,地区!$B$1:$C$43,2,0)</f>
        <v>东北地区</v>
      </c>
      <c r="C149" s="8" t="s">
        <v>181</v>
      </c>
      <c r="D149" s="8" t="s">
        <v>183</v>
      </c>
      <c r="E149" s="8">
        <v>163</v>
      </c>
      <c r="F149" s="8">
        <v>42</v>
      </c>
      <c r="G149" s="8">
        <v>8.7</v>
      </c>
      <c r="H149" s="8">
        <v>8.7</v>
      </c>
      <c r="I149" s="8">
        <v>8.2</v>
      </c>
    </row>
    <row r="150" spans="1:9">
      <c r="A150" s="8" t="s">
        <v>173</v>
      </c>
      <c r="B150" s="8" t="str">
        <f>VLOOKUP(A150,地区!$B$1:$C$43,2,0)</f>
        <v>东北地区</v>
      </c>
      <c r="C150" s="8" t="s">
        <v>181</v>
      </c>
      <c r="D150" s="8" t="s">
        <v>184</v>
      </c>
      <c r="E150" s="8">
        <v>288</v>
      </c>
      <c r="F150" s="8">
        <v>114</v>
      </c>
      <c r="G150" s="8">
        <v>7.2</v>
      </c>
      <c r="H150" s="8">
        <v>7.6</v>
      </c>
      <c r="I150" s="8">
        <v>7.2</v>
      </c>
    </row>
    <row r="151" spans="1:9">
      <c r="A151" s="8" t="s">
        <v>173</v>
      </c>
      <c r="B151" s="8" t="str">
        <f>VLOOKUP(A151,地区!$B$1:$C$43,2,0)</f>
        <v>东北地区</v>
      </c>
      <c r="C151" s="8" t="s">
        <v>181</v>
      </c>
      <c r="D151" s="8" t="s">
        <v>185</v>
      </c>
      <c r="E151" s="8">
        <v>122</v>
      </c>
      <c r="F151" s="8">
        <v>46</v>
      </c>
      <c r="G151" s="8">
        <v>7.5</v>
      </c>
      <c r="H151" s="8">
        <v>7.5</v>
      </c>
      <c r="I151" s="8">
        <v>7.5</v>
      </c>
    </row>
    <row r="152" spans="1:9">
      <c r="A152" s="8" t="s">
        <v>173</v>
      </c>
      <c r="B152" s="8" t="str">
        <f>VLOOKUP(A152,地区!$B$1:$C$43,2,0)</f>
        <v>东北地区</v>
      </c>
      <c r="C152" s="8" t="s">
        <v>181</v>
      </c>
      <c r="D152" s="8" t="s">
        <v>186</v>
      </c>
      <c r="E152" s="8">
        <v>561</v>
      </c>
      <c r="F152" s="8">
        <v>139</v>
      </c>
      <c r="G152" s="8">
        <v>8.9</v>
      </c>
      <c r="H152" s="8">
        <v>8.6</v>
      </c>
      <c r="I152" s="8">
        <v>8.4</v>
      </c>
    </row>
    <row r="153" spans="1:9">
      <c r="A153" s="8" t="s">
        <v>173</v>
      </c>
      <c r="B153" s="8" t="str">
        <f>VLOOKUP(A153,地区!$B$1:$C$43,2,0)</f>
        <v>东北地区</v>
      </c>
      <c r="C153" s="8" t="s">
        <v>181</v>
      </c>
      <c r="D153" s="8" t="s">
        <v>187</v>
      </c>
      <c r="E153" s="8">
        <v>17</v>
      </c>
      <c r="F153" s="8">
        <v>60</v>
      </c>
      <c r="G153" s="8">
        <v>7.7</v>
      </c>
      <c r="H153" s="8">
        <v>7.3</v>
      </c>
      <c r="I153" s="8">
        <v>7.4</v>
      </c>
    </row>
    <row r="154" spans="1:9">
      <c r="A154" s="8" t="s">
        <v>173</v>
      </c>
      <c r="B154" s="8" t="str">
        <f>VLOOKUP(A154,地区!$B$1:$C$43,2,0)</f>
        <v>东北地区</v>
      </c>
      <c r="C154" s="8" t="s">
        <v>181</v>
      </c>
      <c r="D154" s="8" t="s">
        <v>188</v>
      </c>
      <c r="E154" s="8">
        <v>32</v>
      </c>
      <c r="F154" s="8">
        <v>48</v>
      </c>
      <c r="G154" s="8">
        <v>7.2</v>
      </c>
      <c r="H154" s="8">
        <v>7.3</v>
      </c>
      <c r="I154" s="8">
        <v>7.4</v>
      </c>
    </row>
    <row r="155" spans="1:9">
      <c r="A155" s="8" t="s">
        <v>173</v>
      </c>
      <c r="B155" s="8" t="str">
        <f>VLOOKUP(A155,地区!$B$1:$C$43,2,0)</f>
        <v>东北地区</v>
      </c>
      <c r="C155" s="8" t="s">
        <v>15</v>
      </c>
      <c r="D155" s="8" t="s">
        <v>189</v>
      </c>
      <c r="E155" s="8">
        <v>258</v>
      </c>
      <c r="F155" s="8">
        <v>73</v>
      </c>
      <c r="G155" s="8">
        <v>8.7</v>
      </c>
      <c r="H155" s="8">
        <v>8.2</v>
      </c>
      <c r="I155" s="8">
        <v>8.2</v>
      </c>
    </row>
    <row r="156" spans="1:9">
      <c r="A156" s="8" t="s">
        <v>173</v>
      </c>
      <c r="B156" s="8" t="str">
        <f>VLOOKUP(A156,地区!$B$1:$C$43,2,0)</f>
        <v>东北地区</v>
      </c>
      <c r="C156" s="8" t="s">
        <v>52</v>
      </c>
      <c r="D156" s="8" t="s">
        <v>190</v>
      </c>
      <c r="E156" s="8">
        <v>439</v>
      </c>
      <c r="F156" s="8">
        <v>26</v>
      </c>
      <c r="G156" s="8">
        <v>8</v>
      </c>
      <c r="H156" s="8">
        <v>7.8</v>
      </c>
      <c r="I156" s="8">
        <v>7.5</v>
      </c>
    </row>
    <row r="157" spans="1:9">
      <c r="A157" s="8" t="s">
        <v>173</v>
      </c>
      <c r="B157" s="8" t="str">
        <f>VLOOKUP(A157,地区!$B$1:$C$43,2,0)</f>
        <v>东北地区</v>
      </c>
      <c r="C157" s="8" t="s">
        <v>52</v>
      </c>
      <c r="D157" s="8" t="s">
        <v>191</v>
      </c>
      <c r="E157" s="8">
        <v>2</v>
      </c>
      <c r="F157" s="8">
        <v>14</v>
      </c>
      <c r="G157" s="8">
        <v>7.1</v>
      </c>
      <c r="H157" s="8">
        <v>7.1</v>
      </c>
      <c r="I157" s="8">
        <v>7.3</v>
      </c>
    </row>
    <row r="158" spans="1:9">
      <c r="A158" s="8" t="s">
        <v>173</v>
      </c>
      <c r="B158" s="8" t="str">
        <f>VLOOKUP(A158,地区!$B$1:$C$43,2,0)</f>
        <v>东北地区</v>
      </c>
      <c r="C158" s="8" t="s">
        <v>59</v>
      </c>
      <c r="D158" s="8" t="s">
        <v>192</v>
      </c>
      <c r="E158" s="8">
        <v>99</v>
      </c>
      <c r="F158" s="8">
        <v>77</v>
      </c>
      <c r="G158" s="8">
        <v>9</v>
      </c>
      <c r="H158" s="8">
        <v>9.1</v>
      </c>
      <c r="I158" s="8">
        <v>9.1</v>
      </c>
    </row>
    <row r="159" spans="1:9">
      <c r="A159" s="8" t="s">
        <v>173</v>
      </c>
      <c r="B159" s="8" t="str">
        <f>VLOOKUP(A159,地区!$B$1:$C$43,2,0)</f>
        <v>东北地区</v>
      </c>
      <c r="C159" s="8" t="s">
        <v>59</v>
      </c>
      <c r="D159" s="8" t="s">
        <v>193</v>
      </c>
      <c r="E159" s="8">
        <v>15</v>
      </c>
      <c r="F159" s="8">
        <v>73</v>
      </c>
      <c r="G159" s="8">
        <v>7.8</v>
      </c>
      <c r="H159" s="8">
        <v>7.7</v>
      </c>
      <c r="I159" s="8">
        <v>7.6</v>
      </c>
    </row>
    <row r="160" spans="1:9">
      <c r="A160" s="8" t="s">
        <v>173</v>
      </c>
      <c r="B160" s="8" t="str">
        <f>VLOOKUP(A160,地区!$B$1:$C$43,2,0)</f>
        <v>东北地区</v>
      </c>
      <c r="C160" s="8" t="s">
        <v>59</v>
      </c>
      <c r="D160" s="8" t="s">
        <v>194</v>
      </c>
      <c r="E160" s="8">
        <v>230</v>
      </c>
      <c r="F160" s="8">
        <v>88</v>
      </c>
      <c r="G160" s="8">
        <v>8.1</v>
      </c>
      <c r="H160" s="8">
        <v>8.2</v>
      </c>
      <c r="I160" s="8">
        <v>8.3</v>
      </c>
    </row>
    <row r="161" spans="1:9">
      <c r="A161" s="8" t="s">
        <v>173</v>
      </c>
      <c r="B161" s="8" t="str">
        <f>VLOOKUP(A161,地区!$B$1:$C$43,2,0)</f>
        <v>东北地区</v>
      </c>
      <c r="C161" s="8" t="s">
        <v>59</v>
      </c>
      <c r="D161" s="8" t="s">
        <v>195</v>
      </c>
      <c r="E161" s="8">
        <v>108</v>
      </c>
      <c r="F161" s="8">
        <v>82</v>
      </c>
      <c r="G161" s="8">
        <v>8.4</v>
      </c>
      <c r="H161" s="8">
        <v>8.6</v>
      </c>
      <c r="I161" s="8">
        <v>8.6</v>
      </c>
    </row>
    <row r="162" spans="1:9">
      <c r="A162" s="8" t="s">
        <v>196</v>
      </c>
      <c r="B162" s="8" t="str">
        <f>VLOOKUP(A162,地区!$B$1:$C$43,2,0)</f>
        <v>华南地区</v>
      </c>
      <c r="C162" s="8" t="s">
        <v>85</v>
      </c>
      <c r="D162" s="8" t="s">
        <v>197</v>
      </c>
      <c r="E162" s="8">
        <v>2</v>
      </c>
      <c r="F162" s="8">
        <v>20</v>
      </c>
      <c r="G162" s="8">
        <v>7.4</v>
      </c>
      <c r="H162" s="8">
        <v>7.4</v>
      </c>
      <c r="I162" s="8">
        <v>7.7</v>
      </c>
    </row>
    <row r="163" spans="1:9">
      <c r="A163" s="8" t="s">
        <v>196</v>
      </c>
      <c r="B163" s="8" t="str">
        <f>VLOOKUP(A163,地区!$B$1:$C$43,2,0)</f>
        <v>华南地区</v>
      </c>
      <c r="C163" s="8" t="s">
        <v>85</v>
      </c>
      <c r="D163" s="8" t="s">
        <v>198</v>
      </c>
      <c r="E163" s="8">
        <v>13</v>
      </c>
      <c r="F163" s="8">
        <v>31</v>
      </c>
      <c r="G163" s="8">
        <v>7.1</v>
      </c>
      <c r="H163" s="8">
        <v>7.2</v>
      </c>
      <c r="I163" s="8">
        <v>7.2</v>
      </c>
    </row>
    <row r="164" spans="1:9">
      <c r="A164" s="8" t="s">
        <v>196</v>
      </c>
      <c r="B164" s="8" t="str">
        <f>VLOOKUP(A164,地区!$B$1:$C$43,2,0)</f>
        <v>华南地区</v>
      </c>
      <c r="C164" s="8" t="s">
        <v>85</v>
      </c>
      <c r="D164" s="8" t="s">
        <v>199</v>
      </c>
      <c r="E164" s="8">
        <v>5</v>
      </c>
      <c r="F164" s="8">
        <v>50</v>
      </c>
      <c r="G164" s="8">
        <v>7.3</v>
      </c>
      <c r="H164" s="8">
        <v>7.7</v>
      </c>
      <c r="I164" s="8">
        <v>7.7</v>
      </c>
    </row>
    <row r="165" spans="1:9">
      <c r="A165" s="8" t="s">
        <v>196</v>
      </c>
      <c r="B165" s="8" t="str">
        <f>VLOOKUP(A165,地区!$B$1:$C$43,2,0)</f>
        <v>华南地区</v>
      </c>
      <c r="C165" s="8" t="s">
        <v>33</v>
      </c>
      <c r="D165" s="8" t="s">
        <v>200</v>
      </c>
      <c r="E165" s="8">
        <v>5</v>
      </c>
      <c r="F165" s="8">
        <v>22</v>
      </c>
      <c r="G165" s="8">
        <v>7.5</v>
      </c>
      <c r="H165" s="8">
        <v>7.5</v>
      </c>
      <c r="I165" s="8">
        <v>7.5</v>
      </c>
    </row>
    <row r="166" spans="1:9">
      <c r="A166" s="8" t="s">
        <v>196</v>
      </c>
      <c r="B166" s="8" t="str">
        <f>VLOOKUP(A166,地区!$B$1:$C$43,2,0)</f>
        <v>华南地区</v>
      </c>
      <c r="C166" s="8" t="s">
        <v>33</v>
      </c>
      <c r="D166" s="8" t="s">
        <v>201</v>
      </c>
      <c r="E166" s="8">
        <v>1</v>
      </c>
      <c r="F166" s="8">
        <v>21</v>
      </c>
      <c r="G166" s="8">
        <v>7.6</v>
      </c>
      <c r="H166" s="8">
        <v>7.6</v>
      </c>
      <c r="I166" s="8">
        <v>7.6</v>
      </c>
    </row>
    <row r="167" spans="1:9">
      <c r="A167" s="8" t="s">
        <v>196</v>
      </c>
      <c r="B167" s="8" t="str">
        <f>VLOOKUP(A167,地区!$B$1:$C$43,2,0)</f>
        <v>华南地区</v>
      </c>
      <c r="C167" s="8" t="s">
        <v>33</v>
      </c>
      <c r="D167" s="8" t="s">
        <v>202</v>
      </c>
      <c r="E167" s="8">
        <v>13</v>
      </c>
      <c r="F167" s="8">
        <v>31</v>
      </c>
      <c r="G167" s="8">
        <v>7</v>
      </c>
      <c r="H167" s="8">
        <v>7</v>
      </c>
      <c r="I167" s="8">
        <v>7.1</v>
      </c>
    </row>
    <row r="168" spans="1:9">
      <c r="A168" s="8" t="s">
        <v>196</v>
      </c>
      <c r="B168" s="8" t="str">
        <f>VLOOKUP(A168,地区!$B$1:$C$43,2,0)</f>
        <v>华南地区</v>
      </c>
      <c r="C168" s="8" t="s">
        <v>33</v>
      </c>
      <c r="D168" s="8" t="s">
        <v>203</v>
      </c>
      <c r="E168" s="8">
        <v>11</v>
      </c>
      <c r="F168" s="8">
        <v>15</v>
      </c>
      <c r="G168" s="8">
        <v>6.7</v>
      </c>
      <c r="H168" s="8">
        <v>6.8</v>
      </c>
      <c r="I168" s="8">
        <v>6.8</v>
      </c>
    </row>
    <row r="169" spans="1:9">
      <c r="A169" s="8" t="s">
        <v>196</v>
      </c>
      <c r="B169" s="8" t="str">
        <f>VLOOKUP(A169,地区!$B$1:$C$43,2,0)</f>
        <v>华南地区</v>
      </c>
      <c r="C169" s="8" t="s">
        <v>33</v>
      </c>
      <c r="D169" s="8" t="s">
        <v>204</v>
      </c>
      <c r="E169" s="8">
        <v>2</v>
      </c>
      <c r="F169" s="8">
        <v>14</v>
      </c>
      <c r="G169" s="8">
        <v>6.9</v>
      </c>
      <c r="H169" s="8">
        <v>6.9</v>
      </c>
      <c r="I169" s="8">
        <v>6.9</v>
      </c>
    </row>
    <row r="170" spans="1:9">
      <c r="A170" s="8" t="s">
        <v>196</v>
      </c>
      <c r="B170" s="8" t="str">
        <f>VLOOKUP(A170,地区!$B$1:$C$43,2,0)</f>
        <v>华南地区</v>
      </c>
      <c r="C170" s="8" t="s">
        <v>90</v>
      </c>
      <c r="D170" s="8" t="s">
        <v>205</v>
      </c>
      <c r="E170" s="8">
        <v>3</v>
      </c>
      <c r="F170" s="8">
        <v>19</v>
      </c>
      <c r="G170" s="8">
        <v>7.5</v>
      </c>
      <c r="H170" s="8">
        <v>7.8</v>
      </c>
      <c r="I170" s="8">
        <v>7.5</v>
      </c>
    </row>
    <row r="171" spans="1:9">
      <c r="A171" s="8" t="s">
        <v>196</v>
      </c>
      <c r="B171" s="8" t="str">
        <f>VLOOKUP(A171,地区!$B$1:$C$43,2,0)</f>
        <v>华南地区</v>
      </c>
      <c r="C171" s="8" t="s">
        <v>90</v>
      </c>
      <c r="D171" s="8" t="s">
        <v>206</v>
      </c>
      <c r="E171" s="8">
        <v>1</v>
      </c>
      <c r="F171" s="8">
        <v>48</v>
      </c>
      <c r="G171" s="8">
        <v>7</v>
      </c>
      <c r="H171" s="8">
        <v>7</v>
      </c>
      <c r="I171" s="8">
        <v>7</v>
      </c>
    </row>
    <row r="172" spans="1:9">
      <c r="A172" s="8" t="s">
        <v>196</v>
      </c>
      <c r="B172" s="8" t="str">
        <f>VLOOKUP(A172,地区!$B$1:$C$43,2,0)</f>
        <v>华南地区</v>
      </c>
      <c r="C172" s="8" t="s">
        <v>124</v>
      </c>
      <c r="D172" s="8" t="s">
        <v>207</v>
      </c>
      <c r="E172" s="8">
        <v>25</v>
      </c>
      <c r="F172" s="8">
        <v>145</v>
      </c>
      <c r="G172" s="8">
        <v>7.5</v>
      </c>
      <c r="H172" s="8">
        <v>7.7</v>
      </c>
      <c r="I172" s="8">
        <v>7.6</v>
      </c>
    </row>
    <row r="173" spans="1:9">
      <c r="A173" s="8" t="s">
        <v>196</v>
      </c>
      <c r="B173" s="8" t="str">
        <f>VLOOKUP(A173,地区!$B$1:$C$43,2,0)</f>
        <v>华南地区</v>
      </c>
      <c r="C173" s="8" t="s">
        <v>124</v>
      </c>
      <c r="D173" s="8" t="s">
        <v>208</v>
      </c>
      <c r="E173" s="8">
        <v>47</v>
      </c>
      <c r="F173" s="8">
        <v>195</v>
      </c>
      <c r="G173" s="8">
        <v>6.9</v>
      </c>
      <c r="H173" s="8">
        <v>7.5</v>
      </c>
      <c r="I173" s="8">
        <v>7.4</v>
      </c>
    </row>
    <row r="174" spans="1:9">
      <c r="A174" s="8" t="s">
        <v>196</v>
      </c>
      <c r="B174" s="8" t="str">
        <f>VLOOKUP(A174,地区!$B$1:$C$43,2,0)</f>
        <v>华南地区</v>
      </c>
      <c r="C174" s="8" t="s">
        <v>124</v>
      </c>
      <c r="D174" s="8" t="s">
        <v>209</v>
      </c>
      <c r="E174" s="8">
        <v>8</v>
      </c>
      <c r="F174" s="8">
        <v>25</v>
      </c>
      <c r="G174" s="8">
        <v>6.2</v>
      </c>
      <c r="H174" s="8">
        <v>6.2</v>
      </c>
      <c r="I174" s="8">
        <v>6.2</v>
      </c>
    </row>
    <row r="175" spans="1:9">
      <c r="A175" s="8" t="s">
        <v>210</v>
      </c>
      <c r="B175" s="8" t="str">
        <f>VLOOKUP(A175,地区!$B$1:$C$43,2,0)</f>
        <v>华南地区</v>
      </c>
      <c r="C175" s="8" t="s">
        <v>211</v>
      </c>
      <c r="D175" s="8" t="s">
        <v>212</v>
      </c>
      <c r="E175" s="8">
        <v>9</v>
      </c>
      <c r="F175" s="8">
        <v>20</v>
      </c>
      <c r="G175" s="8">
        <v>7</v>
      </c>
      <c r="H175" s="8">
        <v>7</v>
      </c>
      <c r="I175" s="8">
        <v>7.2</v>
      </c>
    </row>
    <row r="176" spans="1:9">
      <c r="A176" s="8" t="s">
        <v>210</v>
      </c>
      <c r="B176" s="8" t="str">
        <f>VLOOKUP(A176,地区!$B$1:$C$43,2,0)</f>
        <v>华南地区</v>
      </c>
      <c r="C176" s="8" t="s">
        <v>211</v>
      </c>
      <c r="D176" s="8" t="s">
        <v>213</v>
      </c>
      <c r="E176" s="8">
        <v>8</v>
      </c>
      <c r="F176" s="8">
        <v>34</v>
      </c>
      <c r="G176" s="8">
        <v>7</v>
      </c>
      <c r="H176" s="8">
        <v>7.1</v>
      </c>
      <c r="I176" s="8">
        <v>7.5</v>
      </c>
    </row>
    <row r="177" spans="1:9">
      <c r="A177" s="8" t="s">
        <v>210</v>
      </c>
      <c r="B177" s="8" t="str">
        <f>VLOOKUP(A177,地区!$B$1:$C$43,2,0)</f>
        <v>华南地区</v>
      </c>
      <c r="C177" s="8" t="s">
        <v>79</v>
      </c>
      <c r="D177" s="8" t="s">
        <v>214</v>
      </c>
      <c r="E177" s="8">
        <v>2097</v>
      </c>
      <c r="F177" s="8">
        <v>63</v>
      </c>
      <c r="G177" s="8">
        <v>8.3</v>
      </c>
      <c r="H177" s="8">
        <v>8.4</v>
      </c>
      <c r="I177" s="8">
        <v>8</v>
      </c>
    </row>
    <row r="178" spans="1:9">
      <c r="A178" s="8" t="s">
        <v>210</v>
      </c>
      <c r="B178" s="8" t="str">
        <f>VLOOKUP(A178,地区!$B$1:$C$43,2,0)</f>
        <v>华南地区</v>
      </c>
      <c r="C178" s="8" t="s">
        <v>211</v>
      </c>
      <c r="D178" s="8" t="s">
        <v>215</v>
      </c>
      <c r="E178" s="8">
        <v>259</v>
      </c>
      <c r="F178" s="8">
        <v>22</v>
      </c>
      <c r="G178" s="8">
        <v>7.2</v>
      </c>
      <c r="H178" s="8">
        <v>7.1</v>
      </c>
      <c r="I178" s="8">
        <v>7</v>
      </c>
    </row>
    <row r="179" spans="1:9">
      <c r="A179" s="8" t="s">
        <v>210</v>
      </c>
      <c r="B179" s="8" t="str">
        <f>VLOOKUP(A179,地区!$B$1:$C$43,2,0)</f>
        <v>华南地区</v>
      </c>
      <c r="C179" s="8" t="s">
        <v>155</v>
      </c>
      <c r="D179" s="8" t="s">
        <v>216</v>
      </c>
      <c r="E179" s="8">
        <v>212</v>
      </c>
      <c r="F179" s="8">
        <v>93</v>
      </c>
      <c r="G179" s="8">
        <v>7.9</v>
      </c>
      <c r="H179" s="8">
        <v>8.1</v>
      </c>
      <c r="I179" s="8">
        <v>8.3</v>
      </c>
    </row>
    <row r="180" spans="1:9">
      <c r="A180" s="8" t="s">
        <v>210</v>
      </c>
      <c r="B180" s="8" t="str">
        <f>VLOOKUP(A180,地区!$B$1:$C$43,2,0)</f>
        <v>华南地区</v>
      </c>
      <c r="C180" s="8" t="s">
        <v>155</v>
      </c>
      <c r="D180" s="8" t="s">
        <v>217</v>
      </c>
      <c r="E180" s="8">
        <v>135</v>
      </c>
      <c r="F180" s="8">
        <v>50</v>
      </c>
      <c r="G180" s="8">
        <v>8.4</v>
      </c>
      <c r="H180" s="8">
        <v>8.8</v>
      </c>
      <c r="I180" s="8">
        <v>9.1</v>
      </c>
    </row>
    <row r="181" spans="1:9">
      <c r="A181" s="8" t="s">
        <v>210</v>
      </c>
      <c r="B181" s="8" t="str">
        <f>VLOOKUP(A181,地区!$B$1:$C$43,2,0)</f>
        <v>华南地区</v>
      </c>
      <c r="C181" s="8" t="s">
        <v>155</v>
      </c>
      <c r="D181" s="8" t="s">
        <v>218</v>
      </c>
      <c r="E181" s="8">
        <v>1</v>
      </c>
      <c r="F181" s="8">
        <v>50</v>
      </c>
      <c r="G181" s="8">
        <v>6.9</v>
      </c>
      <c r="H181" s="8">
        <v>6.9</v>
      </c>
      <c r="I181" s="8">
        <v>6.9</v>
      </c>
    </row>
    <row r="182" spans="1:9">
      <c r="A182" s="8" t="s">
        <v>210</v>
      </c>
      <c r="B182" s="8" t="str">
        <f>VLOOKUP(A182,地区!$B$1:$C$43,2,0)</f>
        <v>华南地区</v>
      </c>
      <c r="C182" s="8" t="s">
        <v>104</v>
      </c>
      <c r="D182" s="8" t="s">
        <v>219</v>
      </c>
      <c r="E182" s="8">
        <v>578</v>
      </c>
      <c r="F182" s="8">
        <v>77</v>
      </c>
      <c r="G182" s="8">
        <v>7.5</v>
      </c>
      <c r="H182" s="8">
        <v>8.4</v>
      </c>
      <c r="I182" s="8">
        <v>8.1</v>
      </c>
    </row>
    <row r="183" spans="1:9">
      <c r="A183" s="8" t="s">
        <v>210</v>
      </c>
      <c r="B183" s="8" t="str">
        <f>VLOOKUP(A183,地区!$B$1:$C$43,2,0)</f>
        <v>华南地区</v>
      </c>
      <c r="C183" s="8" t="s">
        <v>104</v>
      </c>
      <c r="D183" s="8" t="s">
        <v>220</v>
      </c>
      <c r="E183" s="8">
        <v>24</v>
      </c>
      <c r="F183" s="8">
        <v>53</v>
      </c>
      <c r="G183" s="8">
        <v>7.8</v>
      </c>
      <c r="H183" s="8">
        <v>8.3</v>
      </c>
      <c r="I183" s="8">
        <v>8.1</v>
      </c>
    </row>
    <row r="184" spans="1:9">
      <c r="A184" s="8" t="s">
        <v>210</v>
      </c>
      <c r="B184" s="8" t="str">
        <f>VLOOKUP(A184,地区!$B$1:$C$43,2,0)</f>
        <v>华南地区</v>
      </c>
      <c r="C184" s="8" t="s">
        <v>104</v>
      </c>
      <c r="D184" s="8" t="s">
        <v>221</v>
      </c>
      <c r="E184" s="8">
        <v>228</v>
      </c>
      <c r="F184" s="8">
        <v>47</v>
      </c>
      <c r="G184" s="8">
        <v>6.3</v>
      </c>
      <c r="H184" s="8">
        <v>6.4</v>
      </c>
      <c r="I184" s="8">
        <v>6.1</v>
      </c>
    </row>
    <row r="185" spans="1:9">
      <c r="A185" s="8" t="s">
        <v>210</v>
      </c>
      <c r="B185" s="8" t="str">
        <f>VLOOKUP(A185,地区!$B$1:$C$43,2,0)</f>
        <v>华南地区</v>
      </c>
      <c r="C185" s="8" t="s">
        <v>104</v>
      </c>
      <c r="D185" s="8" t="s">
        <v>222</v>
      </c>
      <c r="E185" s="8">
        <v>73</v>
      </c>
      <c r="F185" s="8">
        <v>46</v>
      </c>
      <c r="G185" s="8">
        <v>7</v>
      </c>
      <c r="H185" s="8">
        <v>7.1</v>
      </c>
      <c r="I185" s="8">
        <v>6.9</v>
      </c>
    </row>
    <row r="186" spans="1:9">
      <c r="A186" s="8" t="s">
        <v>210</v>
      </c>
      <c r="B186" s="8" t="str">
        <f>VLOOKUP(A186,地区!$B$1:$C$43,2,0)</f>
        <v>华南地区</v>
      </c>
      <c r="C186" s="8" t="s">
        <v>104</v>
      </c>
      <c r="D186" s="8" t="s">
        <v>223</v>
      </c>
      <c r="E186" s="8">
        <v>73</v>
      </c>
      <c r="F186" s="8">
        <v>36</v>
      </c>
      <c r="G186" s="8">
        <v>7.2</v>
      </c>
      <c r="H186" s="8">
        <v>7.3</v>
      </c>
      <c r="I186" s="8">
        <v>7.5</v>
      </c>
    </row>
    <row r="187" spans="1:9">
      <c r="A187" s="8" t="s">
        <v>210</v>
      </c>
      <c r="B187" s="8" t="str">
        <f>VLOOKUP(A187,地区!$B$1:$C$43,2,0)</f>
        <v>华南地区</v>
      </c>
      <c r="C187" s="8" t="s">
        <v>104</v>
      </c>
      <c r="D187" s="8" t="s">
        <v>224</v>
      </c>
      <c r="E187" s="8">
        <v>31</v>
      </c>
      <c r="F187" s="8">
        <v>18</v>
      </c>
      <c r="G187" s="8">
        <v>7.3</v>
      </c>
      <c r="H187" s="8">
        <v>7.4</v>
      </c>
      <c r="I187" s="8">
        <v>7.4</v>
      </c>
    </row>
    <row r="188" spans="1:9">
      <c r="A188" s="8" t="s">
        <v>210</v>
      </c>
      <c r="B188" s="8" t="str">
        <f>VLOOKUP(A188,地区!$B$1:$C$43,2,0)</f>
        <v>华南地区</v>
      </c>
      <c r="C188" s="8" t="s">
        <v>85</v>
      </c>
      <c r="D188" s="8" t="s">
        <v>225</v>
      </c>
      <c r="E188" s="8">
        <v>30</v>
      </c>
      <c r="F188" s="8">
        <v>49</v>
      </c>
      <c r="G188" s="8">
        <v>7.4</v>
      </c>
      <c r="H188" s="8">
        <v>7.8</v>
      </c>
      <c r="I188" s="8">
        <v>7.6</v>
      </c>
    </row>
    <row r="189" spans="1:9">
      <c r="A189" s="8" t="s">
        <v>210</v>
      </c>
      <c r="B189" s="8" t="str">
        <f>VLOOKUP(A189,地区!$B$1:$C$43,2,0)</f>
        <v>华南地区</v>
      </c>
      <c r="C189" s="8" t="s">
        <v>85</v>
      </c>
      <c r="D189" s="8" t="s">
        <v>226</v>
      </c>
      <c r="E189" s="8">
        <v>27</v>
      </c>
      <c r="F189" s="8">
        <v>14</v>
      </c>
      <c r="G189" s="8">
        <v>7.9</v>
      </c>
      <c r="H189" s="8">
        <v>8.2</v>
      </c>
      <c r="I189" s="8">
        <v>8.1</v>
      </c>
    </row>
    <row r="190" spans="1:9">
      <c r="A190" s="8" t="s">
        <v>210</v>
      </c>
      <c r="B190" s="8" t="str">
        <f>VLOOKUP(A190,地区!$B$1:$C$43,2,0)</f>
        <v>华南地区</v>
      </c>
      <c r="C190" s="8" t="s">
        <v>85</v>
      </c>
      <c r="D190" s="8" t="s">
        <v>227</v>
      </c>
      <c r="E190" s="8">
        <v>15</v>
      </c>
      <c r="F190" s="8">
        <v>15</v>
      </c>
      <c r="G190" s="8">
        <v>7.7</v>
      </c>
      <c r="H190" s="8">
        <v>7.9</v>
      </c>
      <c r="I190" s="8">
        <v>8</v>
      </c>
    </row>
    <row r="191" spans="1:9">
      <c r="A191" s="8" t="s">
        <v>210</v>
      </c>
      <c r="B191" s="8" t="str">
        <f>VLOOKUP(A191,地区!$B$1:$C$43,2,0)</f>
        <v>华南地区</v>
      </c>
      <c r="C191" s="8" t="s">
        <v>85</v>
      </c>
      <c r="D191" s="8" t="s">
        <v>228</v>
      </c>
      <c r="E191" s="8">
        <v>22</v>
      </c>
      <c r="F191" s="8">
        <v>14</v>
      </c>
      <c r="G191" s="8">
        <v>7.2</v>
      </c>
      <c r="H191" s="8">
        <v>7.3</v>
      </c>
      <c r="I191" s="8">
        <v>7.3</v>
      </c>
    </row>
    <row r="192" spans="1:9">
      <c r="A192" s="8" t="s">
        <v>210</v>
      </c>
      <c r="B192" s="8" t="str">
        <f>VLOOKUP(A192,地区!$B$1:$C$43,2,0)</f>
        <v>华南地区</v>
      </c>
      <c r="C192" s="8" t="s">
        <v>85</v>
      </c>
      <c r="D192" s="8" t="s">
        <v>229</v>
      </c>
      <c r="E192" s="8">
        <v>167</v>
      </c>
      <c r="F192" s="8">
        <v>17</v>
      </c>
      <c r="G192" s="8">
        <v>7.3</v>
      </c>
      <c r="H192" s="8">
        <v>7.4</v>
      </c>
      <c r="I192" s="8">
        <v>7.4</v>
      </c>
    </row>
    <row r="193" spans="1:9">
      <c r="A193" s="8" t="s">
        <v>210</v>
      </c>
      <c r="B193" s="8" t="str">
        <f>VLOOKUP(A193,地区!$B$1:$C$43,2,0)</f>
        <v>华南地区</v>
      </c>
      <c r="C193" s="8" t="s">
        <v>85</v>
      </c>
      <c r="D193" s="8" t="s">
        <v>230</v>
      </c>
      <c r="E193" s="8">
        <v>59</v>
      </c>
      <c r="F193" s="8">
        <v>16</v>
      </c>
      <c r="G193" s="8">
        <v>7.4</v>
      </c>
      <c r="H193" s="8">
        <v>7.5</v>
      </c>
      <c r="I193" s="8">
        <v>7.4</v>
      </c>
    </row>
    <row r="194" spans="1:9">
      <c r="A194" s="8" t="s">
        <v>210</v>
      </c>
      <c r="B194" s="8" t="str">
        <f>VLOOKUP(A194,地区!$B$1:$C$43,2,0)</f>
        <v>华南地区</v>
      </c>
      <c r="C194" s="8" t="s">
        <v>90</v>
      </c>
      <c r="D194" s="8" t="s">
        <v>231</v>
      </c>
      <c r="E194" s="8">
        <v>45</v>
      </c>
      <c r="F194" s="8">
        <v>30</v>
      </c>
      <c r="G194" s="8">
        <v>7.9</v>
      </c>
      <c r="H194" s="8">
        <v>8.1</v>
      </c>
      <c r="I194" s="8">
        <v>8.5</v>
      </c>
    </row>
    <row r="195" spans="1:9">
      <c r="A195" s="8" t="s">
        <v>210</v>
      </c>
      <c r="B195" s="8" t="str">
        <f>VLOOKUP(A195,地区!$B$1:$C$43,2,0)</f>
        <v>华南地区</v>
      </c>
      <c r="C195" s="8" t="s">
        <v>90</v>
      </c>
      <c r="D195" s="8" t="s">
        <v>232</v>
      </c>
      <c r="E195" s="8">
        <v>6</v>
      </c>
      <c r="F195" s="8">
        <v>20</v>
      </c>
      <c r="G195" s="8">
        <v>7.1</v>
      </c>
      <c r="H195" s="8">
        <v>7.2</v>
      </c>
      <c r="I195" s="8">
        <v>7</v>
      </c>
    </row>
    <row r="196" spans="1:9">
      <c r="A196" s="8" t="s">
        <v>210</v>
      </c>
      <c r="B196" s="8" t="str">
        <f>VLOOKUP(A196,地区!$B$1:$C$43,2,0)</f>
        <v>华南地区</v>
      </c>
      <c r="C196" s="8" t="s">
        <v>233</v>
      </c>
      <c r="D196" s="8" t="s">
        <v>234</v>
      </c>
      <c r="E196" s="8">
        <v>20</v>
      </c>
      <c r="F196" s="8">
        <v>128</v>
      </c>
      <c r="G196" s="8">
        <v>6.9</v>
      </c>
      <c r="H196" s="8">
        <v>6.7</v>
      </c>
      <c r="I196" s="8">
        <v>6.7</v>
      </c>
    </row>
    <row r="197" spans="1:9">
      <c r="A197" s="8" t="s">
        <v>210</v>
      </c>
      <c r="B197" s="8" t="str">
        <f>VLOOKUP(A197,地区!$B$1:$C$43,2,0)</f>
        <v>华南地区</v>
      </c>
      <c r="C197" s="8" t="s">
        <v>235</v>
      </c>
      <c r="D197" s="8" t="s">
        <v>236</v>
      </c>
      <c r="E197" s="8">
        <v>29</v>
      </c>
      <c r="F197" s="8">
        <v>16</v>
      </c>
      <c r="G197" s="8">
        <v>7.3</v>
      </c>
      <c r="H197" s="8">
        <v>7.1</v>
      </c>
      <c r="I197" s="8">
        <v>7.3</v>
      </c>
    </row>
    <row r="198" spans="1:9">
      <c r="A198" s="8" t="s">
        <v>210</v>
      </c>
      <c r="B198" s="8" t="str">
        <f>VLOOKUP(A198,地区!$B$1:$C$43,2,0)</f>
        <v>华南地区</v>
      </c>
      <c r="C198" s="8" t="s">
        <v>235</v>
      </c>
      <c r="D198" s="8" t="s">
        <v>237</v>
      </c>
      <c r="E198" s="8">
        <v>4</v>
      </c>
      <c r="F198" s="8">
        <v>15</v>
      </c>
      <c r="G198" s="8">
        <v>6.7</v>
      </c>
      <c r="H198" s="8">
        <v>6.6</v>
      </c>
      <c r="I198" s="8">
        <v>7.1</v>
      </c>
    </row>
    <row r="199" spans="1:9">
      <c r="A199" s="8" t="s">
        <v>210</v>
      </c>
      <c r="B199" s="8" t="str">
        <f>VLOOKUP(A199,地区!$B$1:$C$43,2,0)</f>
        <v>华南地区</v>
      </c>
      <c r="C199" s="8" t="s">
        <v>235</v>
      </c>
      <c r="D199" s="8" t="s">
        <v>238</v>
      </c>
      <c r="E199" s="8">
        <v>4</v>
      </c>
      <c r="F199" s="8">
        <v>20</v>
      </c>
      <c r="G199" s="8">
        <v>7.2</v>
      </c>
      <c r="H199" s="8">
        <v>7.2</v>
      </c>
      <c r="I199" s="8">
        <v>7.2</v>
      </c>
    </row>
    <row r="200" spans="1:9">
      <c r="A200" s="8" t="s">
        <v>239</v>
      </c>
      <c r="B200" s="8" t="str">
        <f>VLOOKUP(A200,地区!$B$1:$C$43,2,0)</f>
        <v>华东地区</v>
      </c>
      <c r="C200" s="8" t="s">
        <v>10</v>
      </c>
      <c r="D200" s="8" t="s">
        <v>240</v>
      </c>
      <c r="E200" s="8">
        <v>242</v>
      </c>
      <c r="F200" s="8">
        <v>76</v>
      </c>
      <c r="G200" s="8">
        <v>7.3</v>
      </c>
      <c r="H200" s="8">
        <v>7.7</v>
      </c>
      <c r="I200" s="8">
        <v>7.3</v>
      </c>
    </row>
    <row r="201" spans="1:9">
      <c r="A201" s="8" t="s">
        <v>239</v>
      </c>
      <c r="B201" s="8" t="str">
        <f>VLOOKUP(A201,地区!$B$1:$C$43,2,0)</f>
        <v>华东地区</v>
      </c>
      <c r="C201" s="8" t="s">
        <v>15</v>
      </c>
      <c r="D201" s="8" t="s">
        <v>241</v>
      </c>
      <c r="E201" s="8">
        <v>242</v>
      </c>
      <c r="F201" s="8">
        <v>229</v>
      </c>
      <c r="G201" s="8">
        <v>7.5</v>
      </c>
      <c r="H201" s="8">
        <v>8.2</v>
      </c>
      <c r="I201" s="8">
        <v>7.5</v>
      </c>
    </row>
    <row r="202" spans="1:9">
      <c r="A202" s="8" t="s">
        <v>239</v>
      </c>
      <c r="B202" s="8" t="str">
        <f>VLOOKUP(A202,地区!$B$1:$C$43,2,0)</f>
        <v>华东地区</v>
      </c>
      <c r="C202" s="8" t="s">
        <v>15</v>
      </c>
      <c r="D202" s="8" t="s">
        <v>242</v>
      </c>
      <c r="E202" s="8">
        <v>16</v>
      </c>
      <c r="F202" s="8">
        <v>68</v>
      </c>
      <c r="G202" s="8">
        <v>7.2</v>
      </c>
      <c r="H202" s="8">
        <v>7.3</v>
      </c>
      <c r="I202" s="8">
        <v>7.2</v>
      </c>
    </row>
    <row r="203" spans="1:9">
      <c r="A203" s="8" t="s">
        <v>239</v>
      </c>
      <c r="B203" s="8" t="str">
        <f>VLOOKUP(A203,地区!$B$1:$C$43,2,0)</f>
        <v>华东地区</v>
      </c>
      <c r="C203" s="8" t="s">
        <v>55</v>
      </c>
      <c r="D203" s="8" t="s">
        <v>243</v>
      </c>
      <c r="E203" s="8">
        <v>102</v>
      </c>
      <c r="F203" s="8">
        <v>462</v>
      </c>
      <c r="G203" s="8">
        <v>8.5</v>
      </c>
      <c r="H203" s="8">
        <v>8.8</v>
      </c>
      <c r="I203" s="8">
        <v>8.8</v>
      </c>
    </row>
    <row r="204" spans="1:9">
      <c r="A204" s="8" t="s">
        <v>239</v>
      </c>
      <c r="B204" s="8" t="str">
        <f>VLOOKUP(A204,地区!$B$1:$C$43,2,0)</f>
        <v>华东地区</v>
      </c>
      <c r="C204" s="8" t="s">
        <v>55</v>
      </c>
      <c r="D204" s="8" t="s">
        <v>244</v>
      </c>
      <c r="E204" s="8">
        <v>4938</v>
      </c>
      <c r="F204" s="8">
        <v>157</v>
      </c>
      <c r="G204" s="8">
        <v>8.3</v>
      </c>
      <c r="H204" s="8">
        <v>8.9</v>
      </c>
      <c r="I204" s="8">
        <v>8.4</v>
      </c>
    </row>
    <row r="205" spans="1:9">
      <c r="A205" s="8" t="s">
        <v>239</v>
      </c>
      <c r="B205" s="8" t="str">
        <f>VLOOKUP(A205,地区!$B$1:$C$43,2,0)</f>
        <v>华东地区</v>
      </c>
      <c r="C205" s="8" t="s">
        <v>55</v>
      </c>
      <c r="D205" s="8" t="s">
        <v>245</v>
      </c>
      <c r="E205" s="8">
        <v>24</v>
      </c>
      <c r="F205" s="8">
        <v>76</v>
      </c>
      <c r="G205" s="8">
        <v>7.1</v>
      </c>
      <c r="H205" s="8">
        <v>6.8</v>
      </c>
      <c r="I205" s="8">
        <v>6.9</v>
      </c>
    </row>
    <row r="206" spans="1:9">
      <c r="A206" s="8" t="s">
        <v>239</v>
      </c>
      <c r="B206" s="8" t="str">
        <f>VLOOKUP(A206,地区!$B$1:$C$43,2,0)</f>
        <v>华东地区</v>
      </c>
      <c r="C206" s="8" t="s">
        <v>155</v>
      </c>
      <c r="D206" s="8" t="s">
        <v>246</v>
      </c>
      <c r="E206" s="8">
        <v>21</v>
      </c>
      <c r="F206" s="8">
        <v>88</v>
      </c>
      <c r="G206" s="8">
        <v>7.5</v>
      </c>
      <c r="H206" s="8">
        <v>7.5</v>
      </c>
      <c r="I206" s="8">
        <v>7.7</v>
      </c>
    </row>
    <row r="207" spans="1:9">
      <c r="A207" s="8" t="s">
        <v>239</v>
      </c>
      <c r="B207" s="8" t="str">
        <f>VLOOKUP(A207,地区!$B$1:$C$43,2,0)</f>
        <v>华东地区</v>
      </c>
      <c r="C207" s="8" t="s">
        <v>79</v>
      </c>
      <c r="D207" s="8" t="s">
        <v>247</v>
      </c>
      <c r="E207" s="8">
        <v>578</v>
      </c>
      <c r="F207" s="8">
        <v>66</v>
      </c>
      <c r="G207" s="8">
        <v>7.4</v>
      </c>
      <c r="H207" s="8">
        <v>7.3</v>
      </c>
      <c r="I207" s="8">
        <v>7.5</v>
      </c>
    </row>
    <row r="208" spans="1:9">
      <c r="A208" s="8" t="s">
        <v>239</v>
      </c>
      <c r="B208" s="8" t="str">
        <f>VLOOKUP(A208,地区!$B$1:$C$43,2,0)</f>
        <v>华东地区</v>
      </c>
      <c r="C208" s="8" t="s">
        <v>79</v>
      </c>
      <c r="D208" s="8" t="s">
        <v>248</v>
      </c>
      <c r="E208" s="8">
        <v>285</v>
      </c>
      <c r="F208" s="8">
        <v>94</v>
      </c>
      <c r="G208" s="8">
        <v>7.1</v>
      </c>
      <c r="H208" s="8">
        <v>7.1</v>
      </c>
      <c r="I208" s="8">
        <v>7.1</v>
      </c>
    </row>
    <row r="209" spans="1:9">
      <c r="A209" s="8" t="s">
        <v>239</v>
      </c>
      <c r="B209" s="8" t="str">
        <f>VLOOKUP(A209,地区!$B$1:$C$43,2,0)</f>
        <v>华东地区</v>
      </c>
      <c r="C209" s="8" t="s">
        <v>79</v>
      </c>
      <c r="D209" s="8" t="s">
        <v>249</v>
      </c>
      <c r="E209" s="8">
        <v>44</v>
      </c>
      <c r="F209" s="8">
        <v>56</v>
      </c>
      <c r="G209" s="8">
        <v>7</v>
      </c>
      <c r="H209" s="8">
        <v>7.1</v>
      </c>
      <c r="I209" s="8">
        <v>7.2</v>
      </c>
    </row>
    <row r="210" spans="1:9">
      <c r="A210" s="8" t="s">
        <v>239</v>
      </c>
      <c r="B210" s="8" t="str">
        <f>VLOOKUP(A210,地区!$B$1:$C$43,2,0)</f>
        <v>华东地区</v>
      </c>
      <c r="C210" s="8" t="s">
        <v>79</v>
      </c>
      <c r="D210" s="8" t="s">
        <v>250</v>
      </c>
      <c r="E210" s="8">
        <v>2</v>
      </c>
      <c r="F210" s="8">
        <v>28</v>
      </c>
      <c r="G210" s="8">
        <v>6.8</v>
      </c>
      <c r="H210" s="8">
        <v>6.8</v>
      </c>
      <c r="I210" s="8">
        <v>6.8</v>
      </c>
    </row>
    <row r="211" spans="1:9">
      <c r="A211" s="8" t="s">
        <v>239</v>
      </c>
      <c r="B211" s="8" t="str">
        <f>VLOOKUP(A211,地区!$B$1:$C$43,2,0)</f>
        <v>华东地区</v>
      </c>
      <c r="C211" s="8" t="s">
        <v>104</v>
      </c>
      <c r="D211" s="8" t="s">
        <v>251</v>
      </c>
      <c r="E211" s="8">
        <v>237</v>
      </c>
      <c r="F211" s="8">
        <v>59</v>
      </c>
      <c r="G211" s="8">
        <v>8</v>
      </c>
      <c r="H211" s="8">
        <v>8.4</v>
      </c>
      <c r="I211" s="8">
        <v>8.2</v>
      </c>
    </row>
    <row r="212" spans="1:9">
      <c r="A212" s="8" t="s">
        <v>239</v>
      </c>
      <c r="B212" s="8" t="str">
        <f>VLOOKUP(A212,地区!$B$1:$C$43,2,0)</f>
        <v>华东地区</v>
      </c>
      <c r="C212" s="8" t="s">
        <v>104</v>
      </c>
      <c r="D212" s="8" t="s">
        <v>252</v>
      </c>
      <c r="E212" s="8">
        <v>70</v>
      </c>
      <c r="F212" s="8">
        <v>75</v>
      </c>
      <c r="G212" s="8">
        <v>7.6</v>
      </c>
      <c r="H212" s="8">
        <v>8.2</v>
      </c>
      <c r="I212" s="8">
        <v>7.6</v>
      </c>
    </row>
    <row r="213" spans="1:9">
      <c r="A213" s="8" t="s">
        <v>239</v>
      </c>
      <c r="B213" s="8" t="str">
        <f>VLOOKUP(A213,地区!$B$1:$C$43,2,0)</f>
        <v>华东地区</v>
      </c>
      <c r="C213" s="8" t="s">
        <v>104</v>
      </c>
      <c r="D213" s="8" t="s">
        <v>253</v>
      </c>
      <c r="E213" s="8">
        <v>275</v>
      </c>
      <c r="F213" s="8">
        <v>46</v>
      </c>
      <c r="G213" s="8">
        <v>7.5</v>
      </c>
      <c r="H213" s="8">
        <v>7.6</v>
      </c>
      <c r="I213" s="8">
        <v>7.3</v>
      </c>
    </row>
    <row r="214" spans="1:9">
      <c r="A214" s="8" t="s">
        <v>239</v>
      </c>
      <c r="B214" s="8" t="str">
        <f>VLOOKUP(A214,地区!$B$1:$C$43,2,0)</f>
        <v>华东地区</v>
      </c>
      <c r="C214" s="8" t="s">
        <v>104</v>
      </c>
      <c r="D214" s="8" t="s">
        <v>254</v>
      </c>
      <c r="E214" s="8">
        <v>6</v>
      </c>
      <c r="F214" s="8">
        <v>48</v>
      </c>
      <c r="G214" s="8">
        <v>7.1</v>
      </c>
      <c r="H214" s="8">
        <v>7.2</v>
      </c>
      <c r="I214" s="8">
        <v>7.1</v>
      </c>
    </row>
    <row r="215" spans="1:9">
      <c r="A215" s="8" t="s">
        <v>239</v>
      </c>
      <c r="B215" s="8" t="str">
        <f>VLOOKUP(A215,地区!$B$1:$C$43,2,0)</f>
        <v>华东地区</v>
      </c>
      <c r="C215" s="8" t="s">
        <v>104</v>
      </c>
      <c r="D215" s="8" t="s">
        <v>255</v>
      </c>
      <c r="E215" s="8">
        <v>29</v>
      </c>
      <c r="F215" s="8">
        <v>51</v>
      </c>
      <c r="G215" s="8">
        <v>6.5</v>
      </c>
      <c r="H215" s="8">
        <v>6.7</v>
      </c>
      <c r="I215" s="8">
        <v>6.4</v>
      </c>
    </row>
    <row r="216" spans="1:9">
      <c r="A216" s="8" t="s">
        <v>239</v>
      </c>
      <c r="B216" s="8" t="str">
        <f>VLOOKUP(A216,地区!$B$1:$C$43,2,0)</f>
        <v>华东地区</v>
      </c>
      <c r="C216" s="8" t="s">
        <v>104</v>
      </c>
      <c r="D216" s="8" t="s">
        <v>256</v>
      </c>
      <c r="E216" s="8">
        <v>2</v>
      </c>
      <c r="F216" s="8">
        <v>15</v>
      </c>
      <c r="G216" s="8">
        <v>6.9</v>
      </c>
      <c r="H216" s="8">
        <v>6.9</v>
      </c>
      <c r="I216" s="8">
        <v>6.9</v>
      </c>
    </row>
    <row r="217" spans="1:9">
      <c r="A217" s="8" t="s">
        <v>239</v>
      </c>
      <c r="B217" s="8" t="str">
        <f>VLOOKUP(A217,地区!$B$1:$C$43,2,0)</f>
        <v>华东地区</v>
      </c>
      <c r="C217" s="8" t="s">
        <v>124</v>
      </c>
      <c r="D217" s="8" t="s">
        <v>257</v>
      </c>
      <c r="E217" s="8">
        <v>29</v>
      </c>
      <c r="F217" s="8">
        <v>176</v>
      </c>
      <c r="G217" s="8">
        <v>6.9</v>
      </c>
      <c r="H217" s="8">
        <v>7.1</v>
      </c>
      <c r="I217" s="8">
        <v>6.9</v>
      </c>
    </row>
    <row r="218" spans="1:9">
      <c r="A218" s="8" t="s">
        <v>239</v>
      </c>
      <c r="B218" s="8" t="str">
        <f>VLOOKUP(A218,地区!$B$1:$C$43,2,0)</f>
        <v>华东地区</v>
      </c>
      <c r="C218" s="8" t="s">
        <v>124</v>
      </c>
      <c r="D218" s="8" t="s">
        <v>258</v>
      </c>
      <c r="E218" s="8">
        <v>218</v>
      </c>
      <c r="F218" s="8">
        <v>56</v>
      </c>
      <c r="G218" s="8">
        <v>7.3</v>
      </c>
      <c r="H218" s="8">
        <v>7.3</v>
      </c>
      <c r="I218" s="8">
        <v>7.4</v>
      </c>
    </row>
    <row r="219" spans="1:9">
      <c r="A219" s="8" t="s">
        <v>239</v>
      </c>
      <c r="B219" s="8" t="str">
        <f>VLOOKUP(A219,地区!$B$1:$C$43,2,0)</f>
        <v>华东地区</v>
      </c>
      <c r="C219" s="8" t="s">
        <v>85</v>
      </c>
      <c r="D219" s="8" t="s">
        <v>259</v>
      </c>
      <c r="E219" s="8">
        <v>12</v>
      </c>
      <c r="F219" s="8">
        <v>14</v>
      </c>
      <c r="G219" s="8">
        <v>7.2</v>
      </c>
      <c r="H219" s="8">
        <v>7.4</v>
      </c>
      <c r="I219" s="8">
        <v>7.4</v>
      </c>
    </row>
    <row r="220" spans="1:9">
      <c r="A220" s="8" t="s">
        <v>239</v>
      </c>
      <c r="B220" s="8" t="str">
        <f>VLOOKUP(A220,地区!$B$1:$C$43,2,0)</f>
        <v>华东地区</v>
      </c>
      <c r="C220" s="8" t="s">
        <v>85</v>
      </c>
      <c r="D220" s="8" t="s">
        <v>260</v>
      </c>
      <c r="E220" s="8">
        <v>671</v>
      </c>
      <c r="F220" s="8">
        <v>18</v>
      </c>
      <c r="G220" s="8">
        <v>8</v>
      </c>
      <c r="H220" s="8">
        <v>8.1</v>
      </c>
      <c r="I220" s="8">
        <v>8</v>
      </c>
    </row>
    <row r="221" spans="1:9">
      <c r="A221" s="8" t="s">
        <v>239</v>
      </c>
      <c r="B221" s="8" t="str">
        <f>VLOOKUP(A221,地区!$B$1:$C$43,2,0)</f>
        <v>华东地区</v>
      </c>
      <c r="C221" s="8" t="s">
        <v>85</v>
      </c>
      <c r="D221" s="8" t="s">
        <v>261</v>
      </c>
      <c r="E221" s="8">
        <v>165</v>
      </c>
      <c r="F221" s="8">
        <v>17</v>
      </c>
      <c r="G221" s="8">
        <v>7.3</v>
      </c>
      <c r="H221" s="8">
        <v>7.2</v>
      </c>
      <c r="I221" s="8">
        <v>7.1</v>
      </c>
    </row>
    <row r="222" spans="1:9">
      <c r="A222" s="8" t="s">
        <v>239</v>
      </c>
      <c r="B222" s="8" t="str">
        <f>VLOOKUP(A222,地区!$B$1:$C$43,2,0)</f>
        <v>华东地区</v>
      </c>
      <c r="C222" s="8" t="s">
        <v>85</v>
      </c>
      <c r="D222" s="8" t="s">
        <v>262</v>
      </c>
      <c r="E222" s="8">
        <v>13</v>
      </c>
      <c r="F222" s="8">
        <v>17</v>
      </c>
      <c r="G222" s="8">
        <v>7.2</v>
      </c>
      <c r="H222" s="8">
        <v>7.2</v>
      </c>
      <c r="I222" s="8">
        <v>7.2</v>
      </c>
    </row>
    <row r="223" spans="1:9">
      <c r="A223" s="8" t="s">
        <v>239</v>
      </c>
      <c r="B223" s="8" t="str">
        <f>VLOOKUP(A223,地区!$B$1:$C$43,2,0)</f>
        <v>华东地区</v>
      </c>
      <c r="C223" s="8" t="s">
        <v>85</v>
      </c>
      <c r="D223" s="8" t="s">
        <v>263</v>
      </c>
      <c r="E223" s="8">
        <v>31</v>
      </c>
      <c r="F223" s="8">
        <v>15</v>
      </c>
      <c r="G223" s="8">
        <v>7.5</v>
      </c>
      <c r="H223" s="8">
        <v>7.6</v>
      </c>
      <c r="I223" s="8">
        <v>7.5</v>
      </c>
    </row>
    <row r="224" spans="1:9">
      <c r="A224" s="8" t="s">
        <v>239</v>
      </c>
      <c r="B224" s="8" t="str">
        <f>VLOOKUP(A224,地区!$B$1:$C$43,2,0)</f>
        <v>华东地区</v>
      </c>
      <c r="C224" s="8" t="s">
        <v>85</v>
      </c>
      <c r="D224" s="8" t="s">
        <v>264</v>
      </c>
      <c r="E224" s="8">
        <v>11</v>
      </c>
      <c r="F224" s="8">
        <v>16</v>
      </c>
      <c r="G224" s="8">
        <v>6.9</v>
      </c>
      <c r="H224" s="8">
        <v>6.9</v>
      </c>
      <c r="I224" s="8">
        <v>7</v>
      </c>
    </row>
    <row r="225" spans="1:9">
      <c r="A225" s="8" t="s">
        <v>239</v>
      </c>
      <c r="B225" s="8" t="str">
        <f>VLOOKUP(A225,地区!$B$1:$C$43,2,0)</f>
        <v>华东地区</v>
      </c>
      <c r="C225" s="8" t="s">
        <v>85</v>
      </c>
      <c r="D225" s="8" t="s">
        <v>265</v>
      </c>
      <c r="E225" s="8">
        <v>60</v>
      </c>
      <c r="F225" s="8">
        <v>13</v>
      </c>
      <c r="G225" s="8">
        <v>7.5</v>
      </c>
      <c r="H225" s="8">
        <v>7.5</v>
      </c>
      <c r="I225" s="8">
        <v>7.5</v>
      </c>
    </row>
    <row r="226" spans="1:9">
      <c r="A226" s="8" t="s">
        <v>239</v>
      </c>
      <c r="B226" s="8" t="str">
        <f>VLOOKUP(A226,地区!$B$1:$C$43,2,0)</f>
        <v>华东地区</v>
      </c>
      <c r="C226" s="8" t="s">
        <v>85</v>
      </c>
      <c r="D226" s="8" t="s">
        <v>266</v>
      </c>
      <c r="E226" s="8">
        <v>10</v>
      </c>
      <c r="F226" s="8">
        <v>19</v>
      </c>
      <c r="G226" s="8">
        <v>7.2</v>
      </c>
      <c r="H226" s="8">
        <v>7.2</v>
      </c>
      <c r="I226" s="8">
        <v>7.2</v>
      </c>
    </row>
    <row r="227" spans="1:9">
      <c r="A227" s="8" t="s">
        <v>239</v>
      </c>
      <c r="B227" s="8" t="str">
        <f>VLOOKUP(A227,地区!$B$1:$C$43,2,0)</f>
        <v>华东地区</v>
      </c>
      <c r="C227" s="8" t="s">
        <v>85</v>
      </c>
      <c r="D227" s="8" t="s">
        <v>267</v>
      </c>
      <c r="E227" s="8">
        <v>45</v>
      </c>
      <c r="F227" s="8">
        <v>10</v>
      </c>
      <c r="G227" s="8">
        <v>7.3</v>
      </c>
      <c r="H227" s="8">
        <v>7.4</v>
      </c>
      <c r="I227" s="8">
        <v>7.4</v>
      </c>
    </row>
    <row r="228" spans="1:9">
      <c r="A228" s="8" t="s">
        <v>239</v>
      </c>
      <c r="B228" s="8" t="str">
        <f>VLOOKUP(A228,地区!$B$1:$C$43,2,0)</f>
        <v>华东地区</v>
      </c>
      <c r="C228" s="8" t="s">
        <v>90</v>
      </c>
      <c r="D228" s="8" t="s">
        <v>268</v>
      </c>
      <c r="E228" s="8">
        <v>88</v>
      </c>
      <c r="F228" s="8">
        <v>287</v>
      </c>
      <c r="G228" s="8">
        <v>7.4</v>
      </c>
      <c r="H228" s="8">
        <v>7.8</v>
      </c>
      <c r="I228" s="8">
        <v>7.4</v>
      </c>
    </row>
    <row r="229" spans="1:9">
      <c r="A229" s="8" t="s">
        <v>239</v>
      </c>
      <c r="B229" s="8" t="str">
        <f>VLOOKUP(A229,地区!$B$1:$C$43,2,0)</f>
        <v>华东地区</v>
      </c>
      <c r="C229" s="8" t="s">
        <v>90</v>
      </c>
      <c r="D229" s="8" t="s">
        <v>269</v>
      </c>
      <c r="E229" s="8">
        <v>54</v>
      </c>
      <c r="F229" s="8">
        <v>81</v>
      </c>
      <c r="G229" s="8">
        <v>7.7</v>
      </c>
      <c r="H229" s="8">
        <v>7.6</v>
      </c>
      <c r="I229" s="8">
        <v>7.4</v>
      </c>
    </row>
    <row r="230" spans="1:9">
      <c r="A230" s="8" t="s">
        <v>239</v>
      </c>
      <c r="B230" s="8" t="str">
        <f>VLOOKUP(A230,地区!$B$1:$C$43,2,0)</f>
        <v>华东地区</v>
      </c>
      <c r="C230" s="8" t="s">
        <v>85</v>
      </c>
      <c r="D230" s="8" t="s">
        <v>270</v>
      </c>
      <c r="E230" s="8">
        <v>47</v>
      </c>
      <c r="F230" s="8">
        <v>3</v>
      </c>
      <c r="G230" s="8">
        <v>7.6</v>
      </c>
      <c r="H230" s="8">
        <v>7.2</v>
      </c>
      <c r="I230" s="8">
        <v>7.1</v>
      </c>
    </row>
    <row r="231" spans="1:9">
      <c r="A231" s="8" t="s">
        <v>239</v>
      </c>
      <c r="B231" s="8" t="str">
        <f>VLOOKUP(A231,地区!$B$1:$C$43,2,0)</f>
        <v>华东地区</v>
      </c>
      <c r="C231" s="8" t="s">
        <v>271</v>
      </c>
      <c r="D231" s="8" t="s">
        <v>272</v>
      </c>
      <c r="E231" s="8">
        <v>58</v>
      </c>
      <c r="F231" s="8">
        <v>38</v>
      </c>
      <c r="G231" s="8">
        <v>7.3</v>
      </c>
      <c r="H231" s="8">
        <v>7.3</v>
      </c>
      <c r="I231" s="8">
        <v>7.4</v>
      </c>
    </row>
    <row r="232" spans="1:9">
      <c r="A232" s="8" t="s">
        <v>273</v>
      </c>
      <c r="B232" s="8" t="str">
        <f>VLOOKUP(A232,地区!$B$1:$C$43,2,0)</f>
        <v>华南地区</v>
      </c>
      <c r="C232" s="8" t="s">
        <v>10</v>
      </c>
      <c r="D232" s="8" t="s">
        <v>274</v>
      </c>
      <c r="E232" s="8">
        <v>93</v>
      </c>
      <c r="F232" s="8">
        <v>45</v>
      </c>
      <c r="G232" s="8">
        <v>7.8</v>
      </c>
      <c r="H232" s="8">
        <v>7</v>
      </c>
      <c r="I232" s="8">
        <v>7.3</v>
      </c>
    </row>
    <row r="233" spans="1:9">
      <c r="A233" s="8" t="s">
        <v>273</v>
      </c>
      <c r="B233" s="8" t="str">
        <f>VLOOKUP(A233,地区!$B$1:$C$43,2,0)</f>
        <v>华南地区</v>
      </c>
      <c r="C233" s="8" t="s">
        <v>10</v>
      </c>
      <c r="D233" s="8" t="s">
        <v>275</v>
      </c>
      <c r="E233" s="8">
        <v>122</v>
      </c>
      <c r="F233" s="8">
        <v>31</v>
      </c>
      <c r="G233" s="8">
        <v>6.8</v>
      </c>
      <c r="H233" s="8">
        <v>6.9</v>
      </c>
      <c r="I233" s="8">
        <v>7.3</v>
      </c>
    </row>
    <row r="234" spans="1:9">
      <c r="A234" s="8" t="s">
        <v>239</v>
      </c>
      <c r="B234" s="8" t="str">
        <f>VLOOKUP(A234,地区!$B$1:$C$43,2,0)</f>
        <v>华东地区</v>
      </c>
      <c r="C234" s="8" t="s">
        <v>271</v>
      </c>
      <c r="D234" s="8" t="s">
        <v>276</v>
      </c>
      <c r="E234" s="8">
        <v>3</v>
      </c>
      <c r="F234" s="8">
        <v>40</v>
      </c>
      <c r="G234" s="8">
        <v>6.8</v>
      </c>
      <c r="H234" s="8">
        <v>7</v>
      </c>
      <c r="I234" s="8">
        <v>6.8</v>
      </c>
    </row>
    <row r="235" spans="1:9">
      <c r="A235" s="8" t="s">
        <v>273</v>
      </c>
      <c r="B235" s="8" t="str">
        <f>VLOOKUP(A235,地区!$B$1:$C$43,2,0)</f>
        <v>华南地区</v>
      </c>
      <c r="C235" s="8" t="s">
        <v>15</v>
      </c>
      <c r="D235" s="8" t="s">
        <v>277</v>
      </c>
      <c r="E235" s="8">
        <v>819</v>
      </c>
      <c r="F235" s="8">
        <v>99</v>
      </c>
      <c r="G235" s="8">
        <v>8.2</v>
      </c>
      <c r="H235" s="8">
        <v>8.4</v>
      </c>
      <c r="I235" s="8">
        <v>7.4</v>
      </c>
    </row>
    <row r="236" spans="1:9">
      <c r="A236" s="8" t="s">
        <v>273</v>
      </c>
      <c r="B236" s="8" t="str">
        <f>VLOOKUP(A236,地区!$B$1:$C$43,2,0)</f>
        <v>华南地区</v>
      </c>
      <c r="C236" s="8" t="s">
        <v>15</v>
      </c>
      <c r="D236" s="8" t="s">
        <v>278</v>
      </c>
      <c r="E236" s="8">
        <v>3414</v>
      </c>
      <c r="F236" s="8">
        <v>86</v>
      </c>
      <c r="G236" s="8">
        <v>8.3</v>
      </c>
      <c r="H236" s="8">
        <v>8.2</v>
      </c>
      <c r="I236" s="8">
        <v>7.9</v>
      </c>
    </row>
    <row r="237" spans="1:9">
      <c r="A237" s="8" t="s">
        <v>273</v>
      </c>
      <c r="B237" s="8" t="str">
        <f>VLOOKUP(A237,地区!$B$1:$C$43,2,0)</f>
        <v>华南地区</v>
      </c>
      <c r="C237" s="8" t="s">
        <v>15</v>
      </c>
      <c r="D237" s="8" t="s">
        <v>279</v>
      </c>
      <c r="E237" s="8">
        <v>4039</v>
      </c>
      <c r="F237" s="8">
        <v>88</v>
      </c>
      <c r="G237" s="8">
        <v>8.1</v>
      </c>
      <c r="H237" s="8">
        <v>7.4</v>
      </c>
      <c r="I237" s="8">
        <v>7.2</v>
      </c>
    </row>
    <row r="238" spans="1:9">
      <c r="A238" s="8" t="s">
        <v>273</v>
      </c>
      <c r="B238" s="8" t="str">
        <f>VLOOKUP(A238,地区!$B$1:$C$43,2,0)</f>
        <v>华南地区</v>
      </c>
      <c r="C238" s="8" t="s">
        <v>15</v>
      </c>
      <c r="D238" s="8" t="s">
        <v>280</v>
      </c>
      <c r="E238" s="8">
        <v>1251</v>
      </c>
      <c r="F238" s="8">
        <v>53</v>
      </c>
      <c r="G238" s="8">
        <v>7.7</v>
      </c>
      <c r="H238" s="8">
        <v>6.4</v>
      </c>
      <c r="I238" s="8">
        <v>6.1</v>
      </c>
    </row>
    <row r="239" spans="1:9">
      <c r="A239" s="8" t="s">
        <v>273</v>
      </c>
      <c r="B239" s="8" t="str">
        <f>VLOOKUP(A239,地区!$B$1:$C$43,2,0)</f>
        <v>华南地区</v>
      </c>
      <c r="C239" s="8" t="s">
        <v>15</v>
      </c>
      <c r="D239" s="8" t="s">
        <v>281</v>
      </c>
      <c r="E239" s="8">
        <v>525</v>
      </c>
      <c r="F239" s="8">
        <v>65</v>
      </c>
      <c r="G239" s="8">
        <v>8</v>
      </c>
      <c r="H239" s="8">
        <v>7.3</v>
      </c>
      <c r="I239" s="8">
        <v>7.3</v>
      </c>
    </row>
    <row r="240" spans="1:9">
      <c r="A240" s="8" t="s">
        <v>273</v>
      </c>
      <c r="B240" s="8" t="str">
        <f>VLOOKUP(A240,地区!$B$1:$C$43,2,0)</f>
        <v>华南地区</v>
      </c>
      <c r="C240" s="8" t="s">
        <v>282</v>
      </c>
      <c r="D240" s="8" t="s">
        <v>283</v>
      </c>
      <c r="E240" s="8">
        <v>5311</v>
      </c>
      <c r="F240" s="8">
        <v>59</v>
      </c>
      <c r="G240" s="8">
        <v>7.7</v>
      </c>
      <c r="H240" s="8">
        <v>7.5</v>
      </c>
      <c r="I240" s="8">
        <v>7.3</v>
      </c>
    </row>
    <row r="241" spans="1:9">
      <c r="A241" s="8" t="s">
        <v>273</v>
      </c>
      <c r="B241" s="8" t="str">
        <f>VLOOKUP(A241,地区!$B$1:$C$43,2,0)</f>
        <v>华南地区</v>
      </c>
      <c r="C241" s="8" t="s">
        <v>15</v>
      </c>
      <c r="D241" s="8" t="s">
        <v>284</v>
      </c>
      <c r="E241" s="8">
        <v>514</v>
      </c>
      <c r="F241" s="8">
        <v>59</v>
      </c>
      <c r="G241" s="8">
        <v>7.6</v>
      </c>
      <c r="H241" s="8">
        <v>7.6</v>
      </c>
      <c r="I241" s="8">
        <v>7.4</v>
      </c>
    </row>
    <row r="242" spans="1:9">
      <c r="A242" s="8" t="s">
        <v>273</v>
      </c>
      <c r="B242" s="8" t="str">
        <f>VLOOKUP(A242,地区!$B$1:$C$43,2,0)</f>
        <v>华南地区</v>
      </c>
      <c r="C242" s="8" t="s">
        <v>282</v>
      </c>
      <c r="D242" s="8" t="s">
        <v>285</v>
      </c>
      <c r="E242" s="8">
        <v>1298</v>
      </c>
      <c r="F242" s="8">
        <v>45</v>
      </c>
      <c r="G242" s="8">
        <v>7.6</v>
      </c>
      <c r="H242" s="8">
        <v>7.8</v>
      </c>
      <c r="I242" s="8">
        <v>7.6</v>
      </c>
    </row>
    <row r="243" spans="1:9">
      <c r="A243" s="8" t="s">
        <v>273</v>
      </c>
      <c r="B243" s="8" t="str">
        <f>VLOOKUP(A243,地区!$B$1:$C$43,2,0)</f>
        <v>华南地区</v>
      </c>
      <c r="C243" s="8" t="s">
        <v>282</v>
      </c>
      <c r="D243" s="8" t="s">
        <v>286</v>
      </c>
      <c r="E243" s="8">
        <v>311</v>
      </c>
      <c r="F243" s="8">
        <v>37</v>
      </c>
      <c r="G243" s="8">
        <v>7.2</v>
      </c>
      <c r="H243" s="8">
        <v>6.9</v>
      </c>
      <c r="I243" s="8">
        <v>6.7</v>
      </c>
    </row>
    <row r="244" spans="1:9">
      <c r="A244" s="8" t="s">
        <v>273</v>
      </c>
      <c r="B244" s="8" t="str">
        <f>VLOOKUP(A244,地区!$B$1:$C$43,2,0)</f>
        <v>华南地区</v>
      </c>
      <c r="C244" s="8" t="s">
        <v>90</v>
      </c>
      <c r="D244" s="8" t="s">
        <v>287</v>
      </c>
      <c r="E244" s="8">
        <v>60</v>
      </c>
      <c r="F244" s="8">
        <v>27</v>
      </c>
      <c r="G244" s="8">
        <v>7.4</v>
      </c>
      <c r="H244" s="8">
        <v>7.5</v>
      </c>
      <c r="I244" s="8">
        <v>7.3</v>
      </c>
    </row>
    <row r="245" spans="1:9">
      <c r="A245" s="8" t="s">
        <v>273</v>
      </c>
      <c r="B245" s="8" t="str">
        <f>VLOOKUP(A245,地区!$B$1:$C$43,2,0)</f>
        <v>华南地区</v>
      </c>
      <c r="C245" s="8" t="s">
        <v>90</v>
      </c>
      <c r="D245" s="8" t="s">
        <v>288</v>
      </c>
      <c r="E245" s="8">
        <v>74</v>
      </c>
      <c r="F245" s="8">
        <v>68</v>
      </c>
      <c r="G245" s="8">
        <v>6.7</v>
      </c>
      <c r="H245" s="8">
        <v>7</v>
      </c>
      <c r="I245" s="8">
        <v>6.7</v>
      </c>
    </row>
    <row r="246" spans="1:9">
      <c r="A246" s="8" t="s">
        <v>273</v>
      </c>
      <c r="B246" s="8" t="str">
        <f>VLOOKUP(A246,地区!$B$1:$C$43,2,0)</f>
        <v>华南地区</v>
      </c>
      <c r="C246" s="8" t="s">
        <v>90</v>
      </c>
      <c r="D246" s="8" t="s">
        <v>289</v>
      </c>
      <c r="E246" s="8">
        <v>18</v>
      </c>
      <c r="F246" s="8">
        <v>50</v>
      </c>
      <c r="G246" s="8">
        <v>6.9</v>
      </c>
      <c r="H246" s="8">
        <v>6.6</v>
      </c>
      <c r="I246" s="8">
        <v>6.4</v>
      </c>
    </row>
    <row r="247" spans="1:9">
      <c r="A247" s="8" t="s">
        <v>273</v>
      </c>
      <c r="B247" s="8" t="str">
        <f>VLOOKUP(A247,地区!$B$1:$C$43,2,0)</f>
        <v>华南地区</v>
      </c>
      <c r="C247" s="8" t="s">
        <v>90</v>
      </c>
      <c r="D247" s="8" t="s">
        <v>290</v>
      </c>
      <c r="E247" s="8">
        <v>14</v>
      </c>
      <c r="F247" s="8">
        <v>12</v>
      </c>
      <c r="G247" s="8">
        <v>7.3</v>
      </c>
      <c r="H247" s="8">
        <v>7.4</v>
      </c>
      <c r="I247" s="8">
        <v>7.3</v>
      </c>
    </row>
    <row r="248" spans="1:9">
      <c r="A248" s="8" t="s">
        <v>273</v>
      </c>
      <c r="B248" s="8" t="str">
        <f>VLOOKUP(A248,地区!$B$1:$C$43,2,0)</f>
        <v>华南地区</v>
      </c>
      <c r="C248" s="8" t="s">
        <v>90</v>
      </c>
      <c r="D248" s="8" t="s">
        <v>291</v>
      </c>
      <c r="E248" s="8">
        <v>6</v>
      </c>
      <c r="F248" s="8">
        <v>11</v>
      </c>
      <c r="G248" s="8">
        <v>7.3</v>
      </c>
      <c r="H248" s="8">
        <v>7.3</v>
      </c>
      <c r="I248" s="8">
        <v>7.5</v>
      </c>
    </row>
    <row r="249" spans="1:9">
      <c r="A249" s="8" t="s">
        <v>292</v>
      </c>
      <c r="B249" s="8" t="str">
        <f>VLOOKUP(A249,地区!$B$1:$C$43,2,0)</f>
        <v>西南地区</v>
      </c>
      <c r="C249" s="8" t="s">
        <v>293</v>
      </c>
      <c r="D249" s="8" t="s">
        <v>294</v>
      </c>
      <c r="E249" s="8">
        <v>54</v>
      </c>
      <c r="F249" s="8">
        <v>49</v>
      </c>
      <c r="G249" s="8">
        <v>7.7</v>
      </c>
      <c r="H249" s="8">
        <v>7.9</v>
      </c>
      <c r="I249" s="8">
        <v>7.9</v>
      </c>
    </row>
    <row r="250" spans="1:9">
      <c r="A250" s="8" t="s">
        <v>292</v>
      </c>
      <c r="B250" s="8" t="str">
        <f>VLOOKUP(A250,地区!$B$1:$C$43,2,0)</f>
        <v>西南地区</v>
      </c>
      <c r="C250" s="8" t="s">
        <v>293</v>
      </c>
      <c r="D250" s="8" t="s">
        <v>295</v>
      </c>
      <c r="E250" s="8">
        <v>36</v>
      </c>
      <c r="F250" s="8">
        <v>88</v>
      </c>
      <c r="G250" s="8">
        <v>7.1</v>
      </c>
      <c r="H250" s="8">
        <v>7.5</v>
      </c>
      <c r="I250" s="8">
        <v>7.3</v>
      </c>
    </row>
    <row r="251" spans="1:9">
      <c r="A251" s="8" t="s">
        <v>292</v>
      </c>
      <c r="B251" s="8" t="str">
        <f>VLOOKUP(A251,地区!$B$1:$C$43,2,0)</f>
        <v>西南地区</v>
      </c>
      <c r="C251" s="8" t="s">
        <v>293</v>
      </c>
      <c r="D251" s="8" t="s">
        <v>296</v>
      </c>
      <c r="E251" s="8">
        <v>35</v>
      </c>
      <c r="F251" s="8">
        <v>31</v>
      </c>
      <c r="G251" s="8">
        <v>6.5</v>
      </c>
      <c r="H251" s="8">
        <v>6.4</v>
      </c>
      <c r="I251" s="8">
        <v>6.5</v>
      </c>
    </row>
    <row r="252" spans="1:9">
      <c r="A252" s="8" t="s">
        <v>292</v>
      </c>
      <c r="B252" s="8" t="str">
        <f>VLOOKUP(A252,地区!$B$1:$C$43,2,0)</f>
        <v>西南地区</v>
      </c>
      <c r="C252" s="8" t="s">
        <v>293</v>
      </c>
      <c r="D252" s="8" t="s">
        <v>297</v>
      </c>
      <c r="E252" s="8">
        <v>6</v>
      </c>
      <c r="F252" s="8">
        <v>90</v>
      </c>
      <c r="G252" s="8">
        <v>7.2</v>
      </c>
      <c r="H252" s="8">
        <v>6.9</v>
      </c>
      <c r="I252" s="8">
        <v>7</v>
      </c>
    </row>
    <row r="253" spans="1:9">
      <c r="A253" s="8" t="s">
        <v>292</v>
      </c>
      <c r="B253" s="8" t="str">
        <f>VLOOKUP(A253,地区!$B$1:$C$43,2,0)</f>
        <v>西南地区</v>
      </c>
      <c r="C253" s="8" t="s">
        <v>293</v>
      </c>
      <c r="D253" s="8" t="s">
        <v>298</v>
      </c>
      <c r="E253" s="8">
        <v>1</v>
      </c>
      <c r="F253" s="8">
        <v>35</v>
      </c>
      <c r="G253" s="8">
        <v>7.2</v>
      </c>
      <c r="H253" s="8">
        <v>7.2</v>
      </c>
      <c r="I253" s="8">
        <v>7.2</v>
      </c>
    </row>
    <row r="254" spans="1:9">
      <c r="A254" s="8" t="s">
        <v>292</v>
      </c>
      <c r="B254" s="8" t="str">
        <f>VLOOKUP(A254,地区!$B$1:$C$43,2,0)</f>
        <v>西南地区</v>
      </c>
      <c r="C254" s="8" t="s">
        <v>293</v>
      </c>
      <c r="D254" s="8" t="s">
        <v>299</v>
      </c>
      <c r="E254" s="8">
        <v>2</v>
      </c>
      <c r="F254" s="8">
        <v>30</v>
      </c>
      <c r="G254" s="8">
        <v>7</v>
      </c>
      <c r="H254" s="8">
        <v>7</v>
      </c>
      <c r="I254" s="8">
        <v>7</v>
      </c>
    </row>
    <row r="255" spans="1:9">
      <c r="A255" s="8" t="s">
        <v>292</v>
      </c>
      <c r="B255" s="8" t="str">
        <f>VLOOKUP(A255,地区!$B$1:$C$43,2,0)</f>
        <v>西南地区</v>
      </c>
      <c r="C255" s="8" t="s">
        <v>45</v>
      </c>
      <c r="D255" s="8" t="s">
        <v>300</v>
      </c>
      <c r="E255" s="8">
        <v>21</v>
      </c>
      <c r="F255" s="8">
        <v>47</v>
      </c>
      <c r="G255" s="8">
        <v>7.5</v>
      </c>
      <c r="H255" s="8">
        <v>7.5</v>
      </c>
      <c r="I255" s="8">
        <v>7.5</v>
      </c>
    </row>
    <row r="256" spans="1:9">
      <c r="A256" s="8" t="s">
        <v>292</v>
      </c>
      <c r="B256" s="8" t="str">
        <f>VLOOKUP(A256,地区!$B$1:$C$43,2,0)</f>
        <v>西南地区</v>
      </c>
      <c r="C256" s="8" t="s">
        <v>45</v>
      </c>
      <c r="D256" s="8" t="s">
        <v>301</v>
      </c>
      <c r="E256" s="8">
        <v>18</v>
      </c>
      <c r="F256" s="8">
        <v>43</v>
      </c>
      <c r="G256" s="8">
        <v>7.7</v>
      </c>
      <c r="H256" s="8">
        <v>7.7</v>
      </c>
      <c r="I256" s="8">
        <v>7.8</v>
      </c>
    </row>
    <row r="257" spans="1:9">
      <c r="A257" s="8" t="s">
        <v>292</v>
      </c>
      <c r="B257" s="8" t="str">
        <f>VLOOKUP(A257,地区!$B$1:$C$43,2,0)</f>
        <v>西南地区</v>
      </c>
      <c r="C257" s="8" t="s">
        <v>15</v>
      </c>
      <c r="D257" s="8" t="s">
        <v>302</v>
      </c>
      <c r="E257" s="8">
        <v>4</v>
      </c>
      <c r="F257" s="8">
        <v>30</v>
      </c>
      <c r="G257" s="8">
        <v>6.8</v>
      </c>
      <c r="H257" s="8">
        <v>6.9</v>
      </c>
      <c r="I257" s="8">
        <v>7</v>
      </c>
    </row>
    <row r="258" spans="1:9">
      <c r="A258" s="8" t="s">
        <v>292</v>
      </c>
      <c r="B258" s="8" t="str">
        <f>VLOOKUP(A258,地区!$B$1:$C$43,2,0)</f>
        <v>西南地区</v>
      </c>
      <c r="C258" s="8" t="s">
        <v>15</v>
      </c>
      <c r="D258" s="8" t="s">
        <v>303</v>
      </c>
      <c r="E258" s="8">
        <v>16</v>
      </c>
      <c r="F258" s="8">
        <v>122</v>
      </c>
      <c r="G258" s="8">
        <v>7</v>
      </c>
      <c r="H258" s="8">
        <v>7.4</v>
      </c>
      <c r="I258" s="8">
        <v>7.3</v>
      </c>
    </row>
    <row r="259" spans="1:9">
      <c r="A259" s="8" t="s">
        <v>292</v>
      </c>
      <c r="B259" s="8" t="str">
        <f>VLOOKUP(A259,地区!$B$1:$C$43,2,0)</f>
        <v>西南地区</v>
      </c>
      <c r="C259" s="8" t="s">
        <v>211</v>
      </c>
      <c r="D259" s="8" t="s">
        <v>304</v>
      </c>
      <c r="E259" s="8">
        <v>129</v>
      </c>
      <c r="F259" s="8">
        <v>15</v>
      </c>
      <c r="G259" s="8">
        <v>7</v>
      </c>
      <c r="H259" s="8">
        <v>6.5</v>
      </c>
      <c r="I259" s="8">
        <v>6.6</v>
      </c>
    </row>
    <row r="260" spans="1:9">
      <c r="A260" s="8" t="s">
        <v>292</v>
      </c>
      <c r="B260" s="8" t="str">
        <f>VLOOKUP(A260,地区!$B$1:$C$43,2,0)</f>
        <v>西南地区</v>
      </c>
      <c r="C260" s="8" t="s">
        <v>211</v>
      </c>
      <c r="D260" s="8" t="s">
        <v>305</v>
      </c>
      <c r="E260" s="8">
        <v>6</v>
      </c>
      <c r="F260" s="8">
        <v>19</v>
      </c>
      <c r="G260" s="8">
        <v>7.3</v>
      </c>
      <c r="H260" s="8">
        <v>7.3</v>
      </c>
      <c r="I260" s="8">
        <v>7.3</v>
      </c>
    </row>
    <row r="261" spans="1:9">
      <c r="A261" s="8" t="s">
        <v>292</v>
      </c>
      <c r="B261" s="8" t="str">
        <f>VLOOKUP(A261,地区!$B$1:$C$43,2,0)</f>
        <v>西南地区</v>
      </c>
      <c r="C261" s="8" t="s">
        <v>211</v>
      </c>
      <c r="D261" s="8" t="s">
        <v>306</v>
      </c>
      <c r="E261" s="8">
        <v>3</v>
      </c>
      <c r="F261" s="8">
        <v>20</v>
      </c>
      <c r="G261" s="8">
        <v>7.1</v>
      </c>
      <c r="H261" s="8">
        <v>7.1</v>
      </c>
      <c r="I261" s="8">
        <v>7.1</v>
      </c>
    </row>
    <row r="262" spans="1:9">
      <c r="A262" s="8" t="s">
        <v>292</v>
      </c>
      <c r="B262" s="8" t="str">
        <f>VLOOKUP(A262,地区!$B$1:$C$43,2,0)</f>
        <v>西南地区</v>
      </c>
      <c r="C262" s="8" t="s">
        <v>155</v>
      </c>
      <c r="D262" s="8" t="s">
        <v>307</v>
      </c>
      <c r="E262" s="8">
        <v>512</v>
      </c>
      <c r="F262" s="8">
        <v>52</v>
      </c>
      <c r="G262" s="8">
        <v>7.9</v>
      </c>
      <c r="H262" s="8">
        <v>8.3</v>
      </c>
      <c r="I262" s="8">
        <v>8.4</v>
      </c>
    </row>
    <row r="263" spans="1:9">
      <c r="A263" s="8" t="s">
        <v>292</v>
      </c>
      <c r="B263" s="8" t="str">
        <f>VLOOKUP(A263,地区!$B$1:$C$43,2,0)</f>
        <v>西南地区</v>
      </c>
      <c r="C263" s="8" t="s">
        <v>233</v>
      </c>
      <c r="D263" s="8" t="s">
        <v>308</v>
      </c>
      <c r="E263" s="8">
        <v>61</v>
      </c>
      <c r="F263" s="8">
        <v>63</v>
      </c>
      <c r="G263" s="8">
        <v>7</v>
      </c>
      <c r="H263" s="8">
        <v>7</v>
      </c>
      <c r="I263" s="8">
        <v>7</v>
      </c>
    </row>
    <row r="264" spans="1:9">
      <c r="A264" s="8" t="s">
        <v>292</v>
      </c>
      <c r="B264" s="8" t="str">
        <f>VLOOKUP(A264,地区!$B$1:$C$43,2,0)</f>
        <v>西南地区</v>
      </c>
      <c r="C264" s="8" t="s">
        <v>104</v>
      </c>
      <c r="D264" s="8" t="s">
        <v>309</v>
      </c>
      <c r="E264" s="8">
        <v>364</v>
      </c>
      <c r="F264" s="8">
        <v>109</v>
      </c>
      <c r="G264" s="8">
        <v>7.2</v>
      </c>
      <c r="H264" s="8">
        <v>7.5</v>
      </c>
      <c r="I264" s="8">
        <v>7.4</v>
      </c>
    </row>
    <row r="265" spans="1:9">
      <c r="A265" s="8" t="s">
        <v>310</v>
      </c>
      <c r="B265" s="8" t="str">
        <f>VLOOKUP(A265,地区!$B$1:$C$43,2,0)</f>
        <v>东北地区</v>
      </c>
      <c r="C265" s="8" t="s">
        <v>55</v>
      </c>
      <c r="D265" s="8" t="s">
        <v>311</v>
      </c>
      <c r="E265" s="8">
        <v>3</v>
      </c>
      <c r="F265" s="8">
        <v>15</v>
      </c>
      <c r="G265" s="8">
        <v>6.9</v>
      </c>
      <c r="H265" s="8">
        <v>6.9</v>
      </c>
      <c r="I265" s="8">
        <v>6.9</v>
      </c>
    </row>
    <row r="266" spans="1:9">
      <c r="A266" s="8" t="s">
        <v>310</v>
      </c>
      <c r="B266" s="8" t="str">
        <f>VLOOKUP(A266,地区!$B$1:$C$43,2,0)</f>
        <v>东北地区</v>
      </c>
      <c r="C266" s="8" t="s">
        <v>55</v>
      </c>
      <c r="D266" s="8" t="s">
        <v>312</v>
      </c>
      <c r="E266" s="8">
        <v>197</v>
      </c>
      <c r="F266" s="8">
        <v>74</v>
      </c>
      <c r="G266" s="8">
        <v>7.9</v>
      </c>
      <c r="H266" s="8">
        <v>7.6</v>
      </c>
      <c r="I266" s="8">
        <v>7.6</v>
      </c>
    </row>
    <row r="267" spans="1:9">
      <c r="A267" s="8" t="s">
        <v>310</v>
      </c>
      <c r="B267" s="8" t="str">
        <f>VLOOKUP(A267,地区!$B$1:$C$43,2,0)</f>
        <v>东北地区</v>
      </c>
      <c r="C267" s="8" t="s">
        <v>24</v>
      </c>
      <c r="D267" s="8" t="s">
        <v>313</v>
      </c>
      <c r="E267" s="8">
        <v>12</v>
      </c>
      <c r="F267" s="8">
        <v>14</v>
      </c>
      <c r="G267" s="8">
        <v>6.9</v>
      </c>
      <c r="H267" s="8">
        <v>7.4</v>
      </c>
      <c r="I267" s="8">
        <v>7.5</v>
      </c>
    </row>
    <row r="268" spans="1:9">
      <c r="A268" s="8" t="s">
        <v>310</v>
      </c>
      <c r="B268" s="8" t="str">
        <f>VLOOKUP(A268,地区!$B$1:$C$43,2,0)</f>
        <v>东北地区</v>
      </c>
      <c r="C268" s="8" t="s">
        <v>145</v>
      </c>
      <c r="D268" s="8" t="s">
        <v>314</v>
      </c>
      <c r="E268" s="8">
        <v>1</v>
      </c>
      <c r="F268" s="8">
        <v>34</v>
      </c>
      <c r="G268" s="8">
        <v>6.9</v>
      </c>
      <c r="H268" s="8">
        <v>6.9</v>
      </c>
      <c r="I268" s="8">
        <v>6.9</v>
      </c>
    </row>
    <row r="269" spans="1:9">
      <c r="A269" s="8" t="s">
        <v>310</v>
      </c>
      <c r="B269" s="8" t="str">
        <f>VLOOKUP(A269,地区!$B$1:$C$43,2,0)</f>
        <v>东北地区</v>
      </c>
      <c r="C269" s="8" t="s">
        <v>45</v>
      </c>
      <c r="D269" s="8" t="s">
        <v>315</v>
      </c>
      <c r="E269" s="8">
        <v>112</v>
      </c>
      <c r="F269" s="8">
        <v>55</v>
      </c>
      <c r="G269" s="8">
        <v>8</v>
      </c>
      <c r="H269" s="8">
        <v>8.1</v>
      </c>
      <c r="I269" s="8">
        <v>8.4</v>
      </c>
    </row>
    <row r="270" spans="1:9">
      <c r="A270" s="8" t="s">
        <v>310</v>
      </c>
      <c r="B270" s="8" t="str">
        <f>VLOOKUP(A270,地区!$B$1:$C$43,2,0)</f>
        <v>东北地区</v>
      </c>
      <c r="C270" s="8" t="s">
        <v>33</v>
      </c>
      <c r="D270" s="8" t="s">
        <v>316</v>
      </c>
      <c r="E270" s="8">
        <v>57</v>
      </c>
      <c r="F270" s="8">
        <v>30</v>
      </c>
      <c r="G270" s="8">
        <v>7.2</v>
      </c>
      <c r="H270" s="8">
        <v>7.3</v>
      </c>
      <c r="I270" s="8">
        <v>7.3</v>
      </c>
    </row>
    <row r="271" spans="1:9">
      <c r="A271" s="8" t="s">
        <v>310</v>
      </c>
      <c r="B271" s="8" t="str">
        <f>VLOOKUP(A271,地区!$B$1:$C$43,2,0)</f>
        <v>东北地区</v>
      </c>
      <c r="C271" s="8" t="s">
        <v>15</v>
      </c>
      <c r="D271" s="8" t="s">
        <v>317</v>
      </c>
      <c r="E271" s="8">
        <v>12</v>
      </c>
      <c r="F271" s="8">
        <v>52</v>
      </c>
      <c r="G271" s="8">
        <v>7.1</v>
      </c>
      <c r="H271" s="8">
        <v>7.4</v>
      </c>
      <c r="I271" s="8">
        <v>7.4</v>
      </c>
    </row>
    <row r="272" spans="1:9">
      <c r="A272" s="8" t="s">
        <v>310</v>
      </c>
      <c r="B272" s="8" t="str">
        <f>VLOOKUP(A272,地区!$B$1:$C$43,2,0)</f>
        <v>东北地区</v>
      </c>
      <c r="C272" s="8" t="s">
        <v>233</v>
      </c>
      <c r="D272" s="8" t="s">
        <v>318</v>
      </c>
      <c r="E272" s="8">
        <v>119</v>
      </c>
      <c r="F272" s="8">
        <v>46</v>
      </c>
      <c r="G272" s="8">
        <v>7.9</v>
      </c>
      <c r="H272" s="8">
        <v>7.7</v>
      </c>
      <c r="I272" s="8">
        <v>7.8</v>
      </c>
    </row>
    <row r="273" spans="1:9">
      <c r="A273" s="8" t="s">
        <v>310</v>
      </c>
      <c r="B273" s="8" t="str">
        <f>VLOOKUP(A273,地区!$B$1:$C$43,2,0)</f>
        <v>东北地区</v>
      </c>
      <c r="C273" s="8" t="s">
        <v>233</v>
      </c>
      <c r="D273" s="8" t="s">
        <v>319</v>
      </c>
      <c r="E273" s="8">
        <v>22</v>
      </c>
      <c r="F273" s="8">
        <v>51</v>
      </c>
      <c r="G273" s="8">
        <v>7.5</v>
      </c>
      <c r="H273" s="8">
        <v>8.1</v>
      </c>
      <c r="I273" s="8">
        <v>7.6</v>
      </c>
    </row>
    <row r="274" spans="1:9">
      <c r="A274" s="8" t="s">
        <v>310</v>
      </c>
      <c r="B274" s="8" t="str">
        <f>VLOOKUP(A274,地区!$B$1:$C$43,2,0)</f>
        <v>东北地区</v>
      </c>
      <c r="C274" s="8" t="s">
        <v>233</v>
      </c>
      <c r="D274" s="8" t="s">
        <v>320</v>
      </c>
      <c r="E274" s="8">
        <v>88</v>
      </c>
      <c r="F274" s="8">
        <v>64</v>
      </c>
      <c r="G274" s="8">
        <v>7.3</v>
      </c>
      <c r="H274" s="8">
        <v>7.5</v>
      </c>
      <c r="I274" s="8">
        <v>7.2</v>
      </c>
    </row>
    <row r="275" spans="1:9">
      <c r="A275" s="8" t="s">
        <v>310</v>
      </c>
      <c r="B275" s="8" t="str">
        <f>VLOOKUP(A275,地区!$B$1:$C$43,2,0)</f>
        <v>东北地区</v>
      </c>
      <c r="C275" s="8" t="s">
        <v>233</v>
      </c>
      <c r="D275" s="8" t="s">
        <v>321</v>
      </c>
      <c r="E275" s="8">
        <v>13</v>
      </c>
      <c r="F275" s="8">
        <v>55</v>
      </c>
      <c r="G275" s="8">
        <v>7.3</v>
      </c>
      <c r="H275" s="8">
        <v>7.5</v>
      </c>
      <c r="I275" s="8">
        <v>7.4</v>
      </c>
    </row>
    <row r="276" spans="1:9">
      <c r="A276" s="8" t="s">
        <v>310</v>
      </c>
      <c r="B276" s="8" t="str">
        <f>VLOOKUP(A276,地区!$B$1:$C$43,2,0)</f>
        <v>东北地区</v>
      </c>
      <c r="C276" s="8" t="s">
        <v>233</v>
      </c>
      <c r="D276" s="8" t="s">
        <v>322</v>
      </c>
      <c r="E276" s="8">
        <v>110</v>
      </c>
      <c r="F276" s="8">
        <v>42</v>
      </c>
      <c r="G276" s="8">
        <v>7.4</v>
      </c>
      <c r="H276" s="8">
        <v>7.1</v>
      </c>
      <c r="I276" s="8">
        <v>7.3</v>
      </c>
    </row>
    <row r="277" spans="1:9">
      <c r="A277" s="8" t="s">
        <v>310</v>
      </c>
      <c r="B277" s="8" t="str">
        <f>VLOOKUP(A277,地区!$B$1:$C$43,2,0)</f>
        <v>东北地区</v>
      </c>
      <c r="C277" s="8" t="s">
        <v>233</v>
      </c>
      <c r="D277" s="8" t="s">
        <v>323</v>
      </c>
      <c r="E277" s="8">
        <v>13</v>
      </c>
      <c r="F277" s="8">
        <v>47</v>
      </c>
      <c r="G277" s="8">
        <v>7.1</v>
      </c>
      <c r="H277" s="8">
        <v>7.1</v>
      </c>
      <c r="I277" s="8">
        <v>7.1</v>
      </c>
    </row>
    <row r="278" spans="1:9">
      <c r="A278" s="8" t="s">
        <v>310</v>
      </c>
      <c r="B278" s="8" t="str">
        <f>VLOOKUP(A278,地区!$B$1:$C$43,2,0)</f>
        <v>东北地区</v>
      </c>
      <c r="C278" s="8" t="s">
        <v>155</v>
      </c>
      <c r="D278" s="8" t="s">
        <v>324</v>
      </c>
      <c r="E278" s="8">
        <v>7</v>
      </c>
      <c r="F278" s="8">
        <v>30</v>
      </c>
      <c r="G278" s="8">
        <v>6.9</v>
      </c>
      <c r="H278" s="8">
        <v>7.3</v>
      </c>
      <c r="I278" s="8">
        <v>6.8</v>
      </c>
    </row>
    <row r="279" spans="1:9">
      <c r="A279" s="8" t="s">
        <v>310</v>
      </c>
      <c r="B279" s="8" t="str">
        <f>VLOOKUP(A279,地区!$B$1:$C$43,2,0)</f>
        <v>东北地区</v>
      </c>
      <c r="C279" s="8" t="s">
        <v>155</v>
      </c>
      <c r="D279" s="8" t="s">
        <v>325</v>
      </c>
      <c r="E279" s="8">
        <v>9</v>
      </c>
      <c r="F279" s="8">
        <v>26</v>
      </c>
      <c r="G279" s="8">
        <v>7.3</v>
      </c>
      <c r="H279" s="8">
        <v>7.2</v>
      </c>
      <c r="I279" s="8">
        <v>7.3</v>
      </c>
    </row>
    <row r="280" spans="1:9">
      <c r="A280" s="8" t="s">
        <v>310</v>
      </c>
      <c r="B280" s="8" t="str">
        <f>VLOOKUP(A280,地区!$B$1:$C$43,2,0)</f>
        <v>东北地区</v>
      </c>
      <c r="C280" s="8" t="s">
        <v>79</v>
      </c>
      <c r="D280" s="8" t="s">
        <v>326</v>
      </c>
      <c r="E280" s="8">
        <v>179</v>
      </c>
      <c r="F280" s="8">
        <v>66</v>
      </c>
      <c r="G280" s="8">
        <v>7.7</v>
      </c>
      <c r="H280" s="8">
        <v>7.9</v>
      </c>
      <c r="I280" s="8">
        <v>7.9</v>
      </c>
    </row>
    <row r="281" spans="1:9">
      <c r="A281" s="8" t="s">
        <v>310</v>
      </c>
      <c r="B281" s="8" t="str">
        <f>VLOOKUP(A281,地区!$B$1:$C$43,2,0)</f>
        <v>东北地区</v>
      </c>
      <c r="C281" s="8" t="s">
        <v>79</v>
      </c>
      <c r="D281" s="8" t="s">
        <v>327</v>
      </c>
      <c r="E281" s="8">
        <v>340</v>
      </c>
      <c r="F281" s="8">
        <v>49</v>
      </c>
      <c r="G281" s="8">
        <v>7.7</v>
      </c>
      <c r="H281" s="8">
        <v>7.6</v>
      </c>
      <c r="I281" s="8">
        <v>7.7</v>
      </c>
    </row>
    <row r="282" spans="1:9">
      <c r="A282" s="8" t="s">
        <v>310</v>
      </c>
      <c r="B282" s="8" t="str">
        <f>VLOOKUP(A282,地区!$B$1:$C$43,2,0)</f>
        <v>东北地区</v>
      </c>
      <c r="C282" s="8" t="s">
        <v>79</v>
      </c>
      <c r="D282" s="8" t="s">
        <v>328</v>
      </c>
      <c r="E282" s="8">
        <v>81</v>
      </c>
      <c r="F282" s="8">
        <v>54</v>
      </c>
      <c r="G282" s="8">
        <v>7.9</v>
      </c>
      <c r="H282" s="8">
        <v>7.7</v>
      </c>
      <c r="I282" s="8">
        <v>7.7</v>
      </c>
    </row>
    <row r="283" spans="1:9">
      <c r="A283" s="8" t="s">
        <v>310</v>
      </c>
      <c r="B283" s="8" t="str">
        <f>VLOOKUP(A283,地区!$B$1:$C$43,2,0)</f>
        <v>东北地区</v>
      </c>
      <c r="C283" s="8" t="s">
        <v>329</v>
      </c>
      <c r="D283" s="8" t="s">
        <v>330</v>
      </c>
      <c r="E283" s="8">
        <v>60</v>
      </c>
      <c r="F283" s="8">
        <v>31</v>
      </c>
      <c r="G283" s="8">
        <v>8.4</v>
      </c>
      <c r="H283" s="8">
        <v>7.4</v>
      </c>
      <c r="I283" s="8">
        <v>7.9</v>
      </c>
    </row>
    <row r="284" spans="1:9">
      <c r="A284" s="8" t="s">
        <v>310</v>
      </c>
      <c r="B284" s="8" t="str">
        <f>VLOOKUP(A284,地区!$B$1:$C$43,2,0)</f>
        <v>东北地区</v>
      </c>
      <c r="C284" s="8" t="s">
        <v>329</v>
      </c>
      <c r="D284" s="8" t="s">
        <v>331</v>
      </c>
      <c r="E284" s="8">
        <v>22</v>
      </c>
      <c r="F284" s="8">
        <v>50</v>
      </c>
      <c r="G284" s="8">
        <v>7.7</v>
      </c>
      <c r="H284" s="8">
        <v>7.6</v>
      </c>
      <c r="I284" s="8">
        <v>7.7</v>
      </c>
    </row>
    <row r="285" spans="1:9">
      <c r="A285" s="8" t="s">
        <v>310</v>
      </c>
      <c r="B285" s="8" t="str">
        <f>VLOOKUP(A285,地区!$B$1:$C$43,2,0)</f>
        <v>东北地区</v>
      </c>
      <c r="C285" s="8" t="s">
        <v>329</v>
      </c>
      <c r="D285" s="8" t="s">
        <v>332</v>
      </c>
      <c r="E285" s="8">
        <v>61</v>
      </c>
      <c r="F285" s="8">
        <v>75</v>
      </c>
      <c r="G285" s="8">
        <v>7.6</v>
      </c>
      <c r="H285" s="8">
        <v>7.5</v>
      </c>
      <c r="I285" s="8">
        <v>7.4</v>
      </c>
    </row>
    <row r="286" spans="1:9">
      <c r="A286" s="8" t="s">
        <v>310</v>
      </c>
      <c r="B286" s="8" t="str">
        <f>VLOOKUP(A286,地区!$B$1:$C$43,2,0)</f>
        <v>东北地区</v>
      </c>
      <c r="C286" s="8" t="s">
        <v>329</v>
      </c>
      <c r="D286" s="8" t="s">
        <v>333</v>
      </c>
      <c r="E286" s="8">
        <v>140</v>
      </c>
      <c r="F286" s="8">
        <v>34</v>
      </c>
      <c r="G286" s="8">
        <v>7.9</v>
      </c>
      <c r="H286" s="8">
        <v>7.5</v>
      </c>
      <c r="I286" s="8">
        <v>7.8</v>
      </c>
    </row>
    <row r="287" spans="1:9">
      <c r="A287" s="8" t="s">
        <v>310</v>
      </c>
      <c r="B287" s="8" t="str">
        <f>VLOOKUP(A287,地区!$B$1:$C$43,2,0)</f>
        <v>东北地区</v>
      </c>
      <c r="C287" s="8" t="s">
        <v>329</v>
      </c>
      <c r="D287" s="8" t="s">
        <v>334</v>
      </c>
      <c r="E287" s="8">
        <v>24</v>
      </c>
      <c r="F287" s="8">
        <v>57</v>
      </c>
      <c r="G287" s="8">
        <v>7.4</v>
      </c>
      <c r="H287" s="8">
        <v>7.3</v>
      </c>
      <c r="I287" s="8">
        <v>7.3</v>
      </c>
    </row>
    <row r="288" spans="1:9">
      <c r="A288" s="8" t="s">
        <v>310</v>
      </c>
      <c r="B288" s="8" t="str">
        <f>VLOOKUP(A288,地区!$B$1:$C$43,2,0)</f>
        <v>东北地区</v>
      </c>
      <c r="C288" s="8" t="s">
        <v>329</v>
      </c>
      <c r="D288" s="8" t="s">
        <v>335</v>
      </c>
      <c r="E288" s="8">
        <v>38</v>
      </c>
      <c r="F288" s="8">
        <v>41</v>
      </c>
      <c r="G288" s="8">
        <v>7.6</v>
      </c>
      <c r="H288" s="8">
        <v>7.3</v>
      </c>
      <c r="I288" s="8">
        <v>7.4</v>
      </c>
    </row>
    <row r="289" spans="1:9">
      <c r="A289" s="8" t="s">
        <v>310</v>
      </c>
      <c r="B289" s="8" t="str">
        <f>VLOOKUP(A289,地区!$B$1:$C$43,2,0)</f>
        <v>东北地区</v>
      </c>
      <c r="C289" s="8" t="s">
        <v>329</v>
      </c>
      <c r="D289" s="8" t="s">
        <v>336</v>
      </c>
      <c r="E289" s="8">
        <v>14</v>
      </c>
      <c r="F289" s="8">
        <v>38</v>
      </c>
      <c r="G289" s="8">
        <v>6.9</v>
      </c>
      <c r="H289" s="8">
        <v>6.9</v>
      </c>
      <c r="I289" s="8">
        <v>7.1</v>
      </c>
    </row>
    <row r="290" spans="1:9">
      <c r="A290" s="8" t="s">
        <v>310</v>
      </c>
      <c r="B290" s="8" t="str">
        <f>VLOOKUP(A290,地区!$B$1:$C$43,2,0)</f>
        <v>东北地区</v>
      </c>
      <c r="C290" s="8" t="s">
        <v>59</v>
      </c>
      <c r="D290" s="8" t="s">
        <v>337</v>
      </c>
      <c r="E290" s="8">
        <v>61</v>
      </c>
      <c r="F290" s="8">
        <v>92</v>
      </c>
      <c r="G290" s="8">
        <v>7.9</v>
      </c>
      <c r="H290" s="8">
        <v>8.2</v>
      </c>
      <c r="I290" s="8">
        <v>8.1</v>
      </c>
    </row>
    <row r="291" spans="1:9">
      <c r="A291" s="8" t="s">
        <v>310</v>
      </c>
      <c r="B291" s="8" t="str">
        <f>VLOOKUP(A291,地区!$B$1:$C$43,2,0)</f>
        <v>东北地区</v>
      </c>
      <c r="C291" s="8" t="s">
        <v>59</v>
      </c>
      <c r="D291" s="8" t="s">
        <v>338</v>
      </c>
      <c r="E291" s="8">
        <v>21</v>
      </c>
      <c r="F291" s="8">
        <v>37</v>
      </c>
      <c r="G291" s="8">
        <v>8.5</v>
      </c>
      <c r="H291" s="8">
        <v>9</v>
      </c>
      <c r="I291" s="8">
        <v>8.5</v>
      </c>
    </row>
    <row r="292" spans="1:9">
      <c r="A292" s="8" t="s">
        <v>310</v>
      </c>
      <c r="B292" s="8" t="str">
        <f>VLOOKUP(A292,地区!$B$1:$C$43,2,0)</f>
        <v>东北地区</v>
      </c>
      <c r="C292" s="8" t="s">
        <v>59</v>
      </c>
      <c r="D292" s="8" t="s">
        <v>339</v>
      </c>
      <c r="E292" s="8">
        <v>4</v>
      </c>
      <c r="F292" s="8">
        <v>60</v>
      </c>
      <c r="G292" s="8">
        <v>6.7</v>
      </c>
      <c r="H292" s="8">
        <v>6.7</v>
      </c>
      <c r="I292" s="8">
        <v>6.8</v>
      </c>
    </row>
    <row r="293" spans="1:9">
      <c r="A293" s="8" t="s">
        <v>340</v>
      </c>
      <c r="B293" s="8" t="str">
        <f>VLOOKUP(A293,地区!$B$1:$C$43,2,0)</f>
        <v>华南地区</v>
      </c>
      <c r="C293" s="8" t="s">
        <v>341</v>
      </c>
      <c r="D293" s="8" t="s">
        <v>342</v>
      </c>
      <c r="E293" s="8">
        <v>24</v>
      </c>
      <c r="F293" s="8">
        <v>62</v>
      </c>
      <c r="G293" s="8">
        <v>7.4</v>
      </c>
      <c r="H293" s="8">
        <v>7.6</v>
      </c>
      <c r="I293" s="8">
        <v>7.4</v>
      </c>
    </row>
    <row r="294" spans="1:9">
      <c r="A294" s="8" t="s">
        <v>340</v>
      </c>
      <c r="B294" s="8" t="str">
        <f>VLOOKUP(A294,地区!$B$1:$C$43,2,0)</f>
        <v>华南地区</v>
      </c>
      <c r="C294" s="8" t="s">
        <v>15</v>
      </c>
      <c r="D294" s="8" t="s">
        <v>343</v>
      </c>
      <c r="E294" s="8">
        <v>41</v>
      </c>
      <c r="F294" s="8">
        <v>62</v>
      </c>
      <c r="G294" s="8">
        <v>7.2</v>
      </c>
      <c r="H294" s="8">
        <v>7.7</v>
      </c>
      <c r="I294" s="8">
        <v>6.8</v>
      </c>
    </row>
    <row r="295" spans="1:9">
      <c r="A295" s="8" t="s">
        <v>340</v>
      </c>
      <c r="B295" s="8" t="str">
        <f>VLOOKUP(A295,地区!$B$1:$C$43,2,0)</f>
        <v>华南地区</v>
      </c>
      <c r="C295" s="8" t="s">
        <v>45</v>
      </c>
      <c r="D295" s="8" t="s">
        <v>344</v>
      </c>
      <c r="E295" s="8">
        <v>4</v>
      </c>
      <c r="F295" s="8">
        <v>35</v>
      </c>
      <c r="G295" s="8">
        <v>6.8</v>
      </c>
      <c r="H295" s="8">
        <v>7</v>
      </c>
      <c r="I295" s="8">
        <v>7.1</v>
      </c>
    </row>
    <row r="296" spans="1:9">
      <c r="A296" s="8" t="s">
        <v>340</v>
      </c>
      <c r="B296" s="8" t="str">
        <f>VLOOKUP(A296,地区!$B$1:$C$43,2,0)</f>
        <v>华南地区</v>
      </c>
      <c r="C296" s="8" t="s">
        <v>271</v>
      </c>
      <c r="D296" s="8" t="s">
        <v>345</v>
      </c>
      <c r="E296" s="8">
        <v>56</v>
      </c>
      <c r="F296" s="8">
        <v>74</v>
      </c>
      <c r="G296" s="8">
        <v>7.5</v>
      </c>
      <c r="H296" s="8">
        <v>7.3</v>
      </c>
      <c r="I296" s="8">
        <v>6.9</v>
      </c>
    </row>
    <row r="297" spans="1:9">
      <c r="A297" s="8" t="s">
        <v>340</v>
      </c>
      <c r="B297" s="8" t="str">
        <f>VLOOKUP(A297,地区!$B$1:$C$43,2,0)</f>
        <v>华南地区</v>
      </c>
      <c r="C297" s="8" t="s">
        <v>59</v>
      </c>
      <c r="D297" s="8" t="s">
        <v>346</v>
      </c>
      <c r="E297" s="8">
        <v>179</v>
      </c>
      <c r="F297" s="8">
        <v>89</v>
      </c>
      <c r="G297" s="8">
        <v>8.1</v>
      </c>
      <c r="H297" s="8">
        <v>8.4</v>
      </c>
      <c r="I297" s="8">
        <v>7.7</v>
      </c>
    </row>
    <row r="298" spans="1:9">
      <c r="A298" s="8" t="s">
        <v>340</v>
      </c>
      <c r="B298" s="8" t="str">
        <f>VLOOKUP(A298,地区!$B$1:$C$43,2,0)</f>
        <v>华南地区</v>
      </c>
      <c r="C298" s="8" t="s">
        <v>59</v>
      </c>
      <c r="D298" s="8" t="s">
        <v>347</v>
      </c>
      <c r="E298" s="8">
        <v>1</v>
      </c>
      <c r="F298" s="8">
        <v>50</v>
      </c>
      <c r="G298" s="8">
        <v>7</v>
      </c>
      <c r="H298" s="8">
        <v>7</v>
      </c>
      <c r="I298" s="8">
        <v>7</v>
      </c>
    </row>
    <row r="299" spans="1:9">
      <c r="A299" s="8" t="s">
        <v>340</v>
      </c>
      <c r="B299" s="8" t="str">
        <f>VLOOKUP(A299,地区!$B$1:$C$43,2,0)</f>
        <v>华南地区</v>
      </c>
      <c r="C299" s="8" t="s">
        <v>59</v>
      </c>
      <c r="D299" s="8" t="s">
        <v>348</v>
      </c>
      <c r="E299" s="8">
        <v>5</v>
      </c>
      <c r="F299" s="8">
        <v>50</v>
      </c>
      <c r="G299" s="8">
        <v>7.2</v>
      </c>
      <c r="H299" s="8">
        <v>7.2</v>
      </c>
      <c r="I299" s="8">
        <v>7.2</v>
      </c>
    </row>
    <row r="300" spans="1:9">
      <c r="A300" s="8" t="s">
        <v>340</v>
      </c>
      <c r="B300" s="8" t="str">
        <f>VLOOKUP(A300,地区!$B$1:$C$43,2,0)</f>
        <v>华南地区</v>
      </c>
      <c r="C300" s="8" t="s">
        <v>59</v>
      </c>
      <c r="D300" s="8" t="s">
        <v>349</v>
      </c>
      <c r="E300" s="8">
        <v>7</v>
      </c>
      <c r="F300" s="8">
        <v>15</v>
      </c>
      <c r="G300" s="8">
        <v>6.9</v>
      </c>
      <c r="H300" s="8">
        <v>6.9</v>
      </c>
      <c r="I300" s="8">
        <v>6.9</v>
      </c>
    </row>
    <row r="301" spans="1:9">
      <c r="A301" s="8" t="s">
        <v>340</v>
      </c>
      <c r="B301" s="8" t="str">
        <f>VLOOKUP(A301,地区!$B$1:$C$43,2,0)</f>
        <v>华南地区</v>
      </c>
      <c r="C301" s="8" t="s">
        <v>72</v>
      </c>
      <c r="D301" s="8" t="s">
        <v>350</v>
      </c>
      <c r="E301" s="8">
        <v>72</v>
      </c>
      <c r="F301" s="8">
        <v>38</v>
      </c>
      <c r="G301" s="8">
        <v>7.3</v>
      </c>
      <c r="H301" s="8">
        <v>7.2</v>
      </c>
      <c r="I301" s="8">
        <v>6.9</v>
      </c>
    </row>
    <row r="302" spans="1:9">
      <c r="A302" s="8" t="s">
        <v>340</v>
      </c>
      <c r="B302" s="8" t="str">
        <f>VLOOKUP(A302,地区!$B$1:$C$43,2,0)</f>
        <v>华南地区</v>
      </c>
      <c r="C302" s="8" t="s">
        <v>72</v>
      </c>
      <c r="D302" s="8" t="s">
        <v>351</v>
      </c>
      <c r="E302" s="8">
        <v>22</v>
      </c>
      <c r="F302" s="8">
        <v>18</v>
      </c>
      <c r="G302" s="8">
        <v>7.1</v>
      </c>
      <c r="H302" s="8">
        <v>7.1</v>
      </c>
      <c r="I302" s="8">
        <v>7</v>
      </c>
    </row>
    <row r="303" spans="1:9">
      <c r="A303" s="8" t="s">
        <v>340</v>
      </c>
      <c r="B303" s="8" t="str">
        <f>VLOOKUP(A303,地区!$B$1:$C$43,2,0)</f>
        <v>华南地区</v>
      </c>
      <c r="C303" s="8" t="s">
        <v>233</v>
      </c>
      <c r="D303" s="8" t="s">
        <v>352</v>
      </c>
      <c r="E303" s="8">
        <v>7</v>
      </c>
      <c r="F303" s="8">
        <v>76</v>
      </c>
      <c r="G303" s="8">
        <v>7.5</v>
      </c>
      <c r="H303" s="8">
        <v>7.4</v>
      </c>
      <c r="I303" s="8">
        <v>7.5</v>
      </c>
    </row>
    <row r="304" spans="1:9">
      <c r="A304" s="8" t="s">
        <v>340</v>
      </c>
      <c r="B304" s="8" t="str">
        <f>VLOOKUP(A304,地区!$B$1:$C$43,2,0)</f>
        <v>华南地区</v>
      </c>
      <c r="C304" s="8" t="s">
        <v>233</v>
      </c>
      <c r="D304" s="8" t="s">
        <v>353</v>
      </c>
      <c r="E304" s="8">
        <v>1</v>
      </c>
      <c r="F304" s="8">
        <v>39</v>
      </c>
      <c r="G304" s="8">
        <v>6.9</v>
      </c>
      <c r="H304" s="8">
        <v>7</v>
      </c>
      <c r="I304" s="8">
        <v>7</v>
      </c>
    </row>
    <row r="305" spans="1:9">
      <c r="A305" s="8" t="s">
        <v>340</v>
      </c>
      <c r="B305" s="8" t="str">
        <f>VLOOKUP(A305,地区!$B$1:$C$43,2,0)</f>
        <v>华南地区</v>
      </c>
      <c r="C305" s="8" t="s">
        <v>104</v>
      </c>
      <c r="D305" s="8" t="s">
        <v>354</v>
      </c>
      <c r="E305" s="8">
        <v>11</v>
      </c>
      <c r="F305" s="8">
        <v>52</v>
      </c>
      <c r="G305" s="8">
        <v>7</v>
      </c>
      <c r="H305" s="8">
        <v>6.8</v>
      </c>
      <c r="I305" s="8">
        <v>7.1</v>
      </c>
    </row>
    <row r="306" spans="1:9">
      <c r="A306" s="8" t="s">
        <v>340</v>
      </c>
      <c r="B306" s="8" t="str">
        <f>VLOOKUP(A306,地区!$B$1:$C$43,2,0)</f>
        <v>华南地区</v>
      </c>
      <c r="C306" s="8" t="s">
        <v>85</v>
      </c>
      <c r="D306" s="8" t="s">
        <v>355</v>
      </c>
      <c r="E306" s="8">
        <v>155</v>
      </c>
      <c r="F306" s="8">
        <v>25</v>
      </c>
      <c r="G306" s="8">
        <v>7.6</v>
      </c>
      <c r="H306" s="8">
        <v>8</v>
      </c>
      <c r="I306" s="8">
        <v>7.7</v>
      </c>
    </row>
    <row r="307" spans="1:9">
      <c r="A307" s="8" t="s">
        <v>340</v>
      </c>
      <c r="B307" s="8" t="str">
        <f>VLOOKUP(A307,地区!$B$1:$C$43,2,0)</f>
        <v>华南地区</v>
      </c>
      <c r="C307" s="8" t="s">
        <v>85</v>
      </c>
      <c r="D307" s="8" t="s">
        <v>356</v>
      </c>
      <c r="E307" s="8">
        <v>43</v>
      </c>
      <c r="F307" s="8">
        <v>77</v>
      </c>
      <c r="G307" s="8">
        <v>7.8</v>
      </c>
      <c r="H307" s="8">
        <v>7.9</v>
      </c>
      <c r="I307" s="8">
        <v>7.8</v>
      </c>
    </row>
    <row r="308" spans="1:9">
      <c r="A308" s="8" t="s">
        <v>340</v>
      </c>
      <c r="B308" s="8" t="str">
        <f>VLOOKUP(A308,地区!$B$1:$C$43,2,0)</f>
        <v>华南地区</v>
      </c>
      <c r="C308" s="8" t="s">
        <v>85</v>
      </c>
      <c r="D308" s="8" t="s">
        <v>357</v>
      </c>
      <c r="E308" s="8">
        <v>9</v>
      </c>
      <c r="F308" s="8">
        <v>21</v>
      </c>
      <c r="G308" s="8">
        <v>7.3</v>
      </c>
      <c r="H308" s="8">
        <v>7.3</v>
      </c>
      <c r="I308" s="8">
        <v>7.4</v>
      </c>
    </row>
    <row r="309" spans="1:9">
      <c r="A309" s="8" t="s">
        <v>340</v>
      </c>
      <c r="B309" s="8" t="str">
        <f>VLOOKUP(A309,地区!$B$1:$C$43,2,0)</f>
        <v>华南地区</v>
      </c>
      <c r="C309" s="8" t="s">
        <v>85</v>
      </c>
      <c r="D309" s="8" t="s">
        <v>358</v>
      </c>
      <c r="E309" s="8">
        <v>16</v>
      </c>
      <c r="F309" s="8">
        <v>12</v>
      </c>
      <c r="G309" s="8">
        <v>7.3</v>
      </c>
      <c r="H309" s="8">
        <v>7.1</v>
      </c>
      <c r="I309" s="8">
        <v>7.1</v>
      </c>
    </row>
    <row r="310" spans="1:9">
      <c r="A310" s="8" t="s">
        <v>340</v>
      </c>
      <c r="B310" s="8" t="str">
        <f>VLOOKUP(A310,地区!$B$1:$C$43,2,0)</f>
        <v>华南地区</v>
      </c>
      <c r="C310" s="8" t="s">
        <v>155</v>
      </c>
      <c r="D310" s="8" t="s">
        <v>359</v>
      </c>
      <c r="E310" s="8">
        <v>100</v>
      </c>
      <c r="F310" s="8">
        <v>120</v>
      </c>
      <c r="G310" s="8">
        <v>8.2</v>
      </c>
      <c r="H310" s="8">
        <v>8.6</v>
      </c>
      <c r="I310" s="8">
        <v>8.3</v>
      </c>
    </row>
    <row r="311" spans="1:9">
      <c r="A311" s="8" t="s">
        <v>340</v>
      </c>
      <c r="B311" s="8" t="str">
        <f>VLOOKUP(A311,地区!$B$1:$C$43,2,0)</f>
        <v>华南地区</v>
      </c>
      <c r="C311" s="8" t="s">
        <v>155</v>
      </c>
      <c r="D311" s="8" t="s">
        <v>360</v>
      </c>
      <c r="E311" s="8">
        <v>7</v>
      </c>
      <c r="F311" s="8">
        <v>12</v>
      </c>
      <c r="G311" s="8">
        <v>7</v>
      </c>
      <c r="H311" s="8">
        <v>6.9</v>
      </c>
      <c r="I311" s="8">
        <v>6.9</v>
      </c>
    </row>
    <row r="312" spans="1:9">
      <c r="A312" s="8" t="s">
        <v>340</v>
      </c>
      <c r="B312" s="8" t="str">
        <f>VLOOKUP(A312,地区!$B$1:$C$43,2,0)</f>
        <v>华南地区</v>
      </c>
      <c r="C312" s="8" t="s">
        <v>79</v>
      </c>
      <c r="D312" s="8" t="s">
        <v>361</v>
      </c>
      <c r="E312" s="8">
        <v>21</v>
      </c>
      <c r="F312" s="8">
        <v>29</v>
      </c>
      <c r="G312" s="8">
        <v>7.3</v>
      </c>
      <c r="H312" s="8">
        <v>7.4</v>
      </c>
      <c r="I312" s="8">
        <v>7.8</v>
      </c>
    </row>
    <row r="313" spans="1:9">
      <c r="A313" s="8" t="s">
        <v>340</v>
      </c>
      <c r="B313" s="8" t="str">
        <f>VLOOKUP(A313,地区!$B$1:$C$43,2,0)</f>
        <v>华南地区</v>
      </c>
      <c r="C313" s="8" t="s">
        <v>90</v>
      </c>
      <c r="D313" s="8" t="s">
        <v>362</v>
      </c>
      <c r="E313" s="8">
        <v>3</v>
      </c>
      <c r="F313" s="8">
        <v>25</v>
      </c>
      <c r="G313" s="8">
        <v>7.1</v>
      </c>
      <c r="H313" s="8">
        <v>7.1</v>
      </c>
      <c r="I313" s="8">
        <v>7.1</v>
      </c>
    </row>
    <row r="314" spans="1:9">
      <c r="A314" s="8" t="s">
        <v>340</v>
      </c>
      <c r="B314" s="8" t="str">
        <f>VLOOKUP(A314,地区!$B$1:$C$43,2,0)</f>
        <v>华南地区</v>
      </c>
      <c r="C314" s="8" t="s">
        <v>90</v>
      </c>
      <c r="D314" s="8" t="s">
        <v>363</v>
      </c>
      <c r="E314" s="8">
        <v>9</v>
      </c>
      <c r="F314" s="8">
        <v>50</v>
      </c>
      <c r="G314" s="8">
        <v>7.3</v>
      </c>
      <c r="H314" s="8">
        <v>7.6</v>
      </c>
      <c r="I314" s="8">
        <v>7.2</v>
      </c>
    </row>
    <row r="315" spans="1:9">
      <c r="A315" s="8" t="s">
        <v>340</v>
      </c>
      <c r="B315" s="8" t="str">
        <f>VLOOKUP(A315,地区!$B$1:$C$43,2,0)</f>
        <v>华南地区</v>
      </c>
      <c r="C315" s="8" t="s">
        <v>90</v>
      </c>
      <c r="D315" s="8" t="s">
        <v>364</v>
      </c>
      <c r="E315" s="8">
        <v>4</v>
      </c>
      <c r="F315" s="8">
        <v>35</v>
      </c>
      <c r="G315" s="8">
        <v>6.3</v>
      </c>
      <c r="H315" s="8">
        <v>6.3</v>
      </c>
      <c r="I315" s="8">
        <v>6.3</v>
      </c>
    </row>
    <row r="316" spans="1:9">
      <c r="A316" s="8" t="s">
        <v>340</v>
      </c>
      <c r="B316" s="8" t="str">
        <f>VLOOKUP(A316,地区!$B$1:$C$43,2,0)</f>
        <v>华南地区</v>
      </c>
      <c r="C316" s="8" t="s">
        <v>90</v>
      </c>
      <c r="D316" s="8" t="s">
        <v>365</v>
      </c>
      <c r="E316" s="8">
        <v>10</v>
      </c>
      <c r="F316" s="8">
        <v>38</v>
      </c>
      <c r="G316" s="8">
        <v>7.6</v>
      </c>
      <c r="H316" s="8">
        <v>7.3</v>
      </c>
      <c r="I316" s="8">
        <v>7.6</v>
      </c>
    </row>
    <row r="317" spans="1:9">
      <c r="A317" s="8" t="s">
        <v>340</v>
      </c>
      <c r="B317" s="8" t="str">
        <f>VLOOKUP(A317,地区!$B$1:$C$43,2,0)</f>
        <v>华南地区</v>
      </c>
      <c r="C317" s="8" t="s">
        <v>90</v>
      </c>
      <c r="D317" s="8" t="s">
        <v>366</v>
      </c>
      <c r="E317" s="8">
        <v>7</v>
      </c>
      <c r="F317" s="8">
        <v>32</v>
      </c>
      <c r="G317" s="8">
        <v>7.1</v>
      </c>
      <c r="H317" s="8">
        <v>7.3</v>
      </c>
      <c r="I317" s="8">
        <v>7.3</v>
      </c>
    </row>
    <row r="318" spans="1:9">
      <c r="A318" s="8" t="s">
        <v>340</v>
      </c>
      <c r="B318" s="8" t="str">
        <f>VLOOKUP(A318,地区!$B$1:$C$43,2,0)</f>
        <v>华南地区</v>
      </c>
      <c r="C318" s="8" t="s">
        <v>90</v>
      </c>
      <c r="D318" s="8" t="s">
        <v>367</v>
      </c>
      <c r="E318" s="8">
        <v>4</v>
      </c>
      <c r="F318" s="8">
        <v>38</v>
      </c>
      <c r="G318" s="8">
        <v>6.7</v>
      </c>
      <c r="H318" s="8">
        <v>7.1</v>
      </c>
      <c r="I318" s="8">
        <v>7.1</v>
      </c>
    </row>
    <row r="319" spans="1:9">
      <c r="A319" s="8" t="s">
        <v>368</v>
      </c>
      <c r="B319" s="8" t="str">
        <f>VLOOKUP(A319,地区!$B$1:$C$43,2,0)</f>
        <v>华东地区</v>
      </c>
      <c r="C319" s="8" t="s">
        <v>15</v>
      </c>
      <c r="D319" s="8" t="s">
        <v>369</v>
      </c>
      <c r="E319" s="8">
        <v>1694</v>
      </c>
      <c r="F319" s="8">
        <v>51</v>
      </c>
      <c r="G319" s="8">
        <v>7.7</v>
      </c>
      <c r="H319" s="8">
        <v>8.4</v>
      </c>
      <c r="I319" s="8">
        <v>7.8</v>
      </c>
    </row>
    <row r="320" spans="1:9">
      <c r="A320" s="8" t="s">
        <v>368</v>
      </c>
      <c r="B320" s="8" t="str">
        <f>VLOOKUP(A320,地区!$B$1:$C$43,2,0)</f>
        <v>华东地区</v>
      </c>
      <c r="C320" s="8" t="s">
        <v>15</v>
      </c>
      <c r="D320" s="8" t="s">
        <v>370</v>
      </c>
      <c r="E320" s="8">
        <v>23</v>
      </c>
      <c r="F320" s="8">
        <v>39</v>
      </c>
      <c r="G320" s="8">
        <v>6.9</v>
      </c>
      <c r="H320" s="8">
        <v>7.3</v>
      </c>
      <c r="I320" s="8">
        <v>7.4</v>
      </c>
    </row>
    <row r="321" spans="1:9">
      <c r="A321" s="8" t="s">
        <v>368</v>
      </c>
      <c r="B321" s="8" t="str">
        <f>VLOOKUP(A321,地区!$B$1:$C$43,2,0)</f>
        <v>华东地区</v>
      </c>
      <c r="C321" s="8" t="s">
        <v>45</v>
      </c>
      <c r="D321" s="8" t="s">
        <v>371</v>
      </c>
      <c r="E321" s="8">
        <v>1779</v>
      </c>
      <c r="F321" s="8">
        <v>81</v>
      </c>
      <c r="G321" s="8">
        <v>7.7</v>
      </c>
      <c r="H321" s="8">
        <v>8.8</v>
      </c>
      <c r="I321" s="8">
        <v>7.9</v>
      </c>
    </row>
    <row r="322" spans="1:9">
      <c r="A322" s="8" t="s">
        <v>368</v>
      </c>
      <c r="B322" s="8" t="str">
        <f>VLOOKUP(A322,地区!$B$1:$C$43,2,0)</f>
        <v>华东地区</v>
      </c>
      <c r="C322" s="8" t="s">
        <v>45</v>
      </c>
      <c r="D322" s="8" t="s">
        <v>372</v>
      </c>
      <c r="E322" s="8">
        <v>2</v>
      </c>
      <c r="F322" s="8">
        <v>40</v>
      </c>
      <c r="G322" s="8">
        <v>7.3</v>
      </c>
      <c r="H322" s="8">
        <v>7.3</v>
      </c>
      <c r="I322" s="8">
        <v>7.5</v>
      </c>
    </row>
    <row r="323" spans="1:9">
      <c r="A323" s="8" t="s">
        <v>368</v>
      </c>
      <c r="B323" s="8" t="str">
        <f>VLOOKUP(A323,地区!$B$1:$C$43,2,0)</f>
        <v>华东地区</v>
      </c>
      <c r="C323" s="8" t="s">
        <v>45</v>
      </c>
      <c r="D323" s="8" t="s">
        <v>373</v>
      </c>
      <c r="E323" s="8">
        <v>35</v>
      </c>
      <c r="F323" s="8">
        <v>39</v>
      </c>
      <c r="G323" s="8">
        <v>7.3</v>
      </c>
      <c r="H323" s="8">
        <v>7.1</v>
      </c>
      <c r="I323" s="8">
        <v>7.1</v>
      </c>
    </row>
    <row r="324" spans="1:9">
      <c r="A324" s="8" t="s">
        <v>368</v>
      </c>
      <c r="B324" s="8" t="str">
        <f>VLOOKUP(A324,地区!$B$1:$C$43,2,0)</f>
        <v>华东地区</v>
      </c>
      <c r="C324" s="8" t="s">
        <v>271</v>
      </c>
      <c r="D324" s="8" t="s">
        <v>374</v>
      </c>
      <c r="E324" s="8">
        <v>136</v>
      </c>
      <c r="F324" s="8">
        <v>81</v>
      </c>
      <c r="G324" s="8">
        <v>7.9</v>
      </c>
      <c r="H324" s="8">
        <v>8.2</v>
      </c>
      <c r="I324" s="8">
        <v>7.6</v>
      </c>
    </row>
    <row r="325" spans="1:9">
      <c r="A325" s="8" t="s">
        <v>368</v>
      </c>
      <c r="B325" s="8" t="str">
        <f>VLOOKUP(A325,地区!$B$1:$C$43,2,0)</f>
        <v>华东地区</v>
      </c>
      <c r="C325" s="8" t="s">
        <v>271</v>
      </c>
      <c r="D325" s="8" t="s">
        <v>375</v>
      </c>
      <c r="E325" s="8">
        <v>5</v>
      </c>
      <c r="F325" s="8">
        <v>61</v>
      </c>
      <c r="G325" s="8">
        <v>6.9</v>
      </c>
      <c r="H325" s="8">
        <v>6.9</v>
      </c>
      <c r="I325" s="8">
        <v>6.9</v>
      </c>
    </row>
    <row r="326" spans="1:9">
      <c r="A326" s="8" t="s">
        <v>368</v>
      </c>
      <c r="B326" s="8" t="str">
        <f>VLOOKUP(A326,地区!$B$1:$C$43,2,0)</f>
        <v>华东地区</v>
      </c>
      <c r="C326" s="8" t="s">
        <v>271</v>
      </c>
      <c r="D326" s="8" t="s">
        <v>376</v>
      </c>
      <c r="E326" s="8">
        <v>435</v>
      </c>
      <c r="F326" s="8">
        <v>54</v>
      </c>
      <c r="G326" s="8">
        <v>7.7</v>
      </c>
      <c r="H326" s="8">
        <v>7.3</v>
      </c>
      <c r="I326" s="8">
        <v>7.4</v>
      </c>
    </row>
    <row r="327" spans="1:9">
      <c r="A327" s="8" t="s">
        <v>368</v>
      </c>
      <c r="B327" s="8" t="str">
        <f>VLOOKUP(A327,地区!$B$1:$C$43,2,0)</f>
        <v>华东地区</v>
      </c>
      <c r="C327" s="8" t="s">
        <v>377</v>
      </c>
      <c r="D327" s="8" t="s">
        <v>378</v>
      </c>
      <c r="E327" s="8">
        <v>3635</v>
      </c>
      <c r="F327" s="8">
        <v>73</v>
      </c>
      <c r="G327" s="8">
        <v>8.8</v>
      </c>
      <c r="H327" s="8">
        <v>8.5</v>
      </c>
      <c r="I327" s="8">
        <v>8.3</v>
      </c>
    </row>
    <row r="328" spans="1:9">
      <c r="A328" s="8" t="s">
        <v>368</v>
      </c>
      <c r="B328" s="8" t="str">
        <f>VLOOKUP(A328,地区!$B$1:$C$43,2,0)</f>
        <v>华东地区</v>
      </c>
      <c r="C328" s="8" t="s">
        <v>377</v>
      </c>
      <c r="D328" s="8" t="s">
        <v>379</v>
      </c>
      <c r="E328" s="8">
        <v>2494</v>
      </c>
      <c r="F328" s="8">
        <v>55</v>
      </c>
      <c r="G328" s="8">
        <v>7.9</v>
      </c>
      <c r="H328" s="8">
        <v>6.5</v>
      </c>
      <c r="I328" s="8">
        <v>6.6</v>
      </c>
    </row>
    <row r="329" spans="1:9">
      <c r="A329" s="8" t="s">
        <v>368</v>
      </c>
      <c r="B329" s="8" t="str">
        <f>VLOOKUP(A329,地区!$B$1:$C$43,2,0)</f>
        <v>华东地区</v>
      </c>
      <c r="C329" s="8" t="s">
        <v>377</v>
      </c>
      <c r="D329" s="8" t="s">
        <v>380</v>
      </c>
      <c r="E329" s="8">
        <v>118</v>
      </c>
      <c r="F329" s="8">
        <v>66</v>
      </c>
      <c r="G329" s="8">
        <v>7.4</v>
      </c>
      <c r="H329" s="8">
        <v>9.1</v>
      </c>
      <c r="I329" s="8">
        <v>8.4</v>
      </c>
    </row>
    <row r="330" spans="1:9">
      <c r="A330" s="8" t="s">
        <v>368</v>
      </c>
      <c r="B330" s="8" t="str">
        <f>VLOOKUP(A330,地区!$B$1:$C$43,2,0)</f>
        <v>华东地区</v>
      </c>
      <c r="C330" s="8" t="s">
        <v>377</v>
      </c>
      <c r="D330" s="8" t="s">
        <v>381</v>
      </c>
      <c r="E330" s="8">
        <v>743</v>
      </c>
      <c r="F330" s="8">
        <v>61</v>
      </c>
      <c r="G330" s="8">
        <v>7.7</v>
      </c>
      <c r="H330" s="8">
        <v>8.5</v>
      </c>
      <c r="I330" s="8">
        <v>8.4</v>
      </c>
    </row>
    <row r="331" spans="1:9">
      <c r="A331" s="8" t="s">
        <v>368</v>
      </c>
      <c r="B331" s="8" t="str">
        <f>VLOOKUP(A331,地区!$B$1:$C$43,2,0)</f>
        <v>华东地区</v>
      </c>
      <c r="C331" s="8" t="s">
        <v>377</v>
      </c>
      <c r="D331" s="8" t="s">
        <v>382</v>
      </c>
      <c r="E331" s="8">
        <v>315</v>
      </c>
      <c r="F331" s="8">
        <v>142</v>
      </c>
      <c r="G331" s="8">
        <v>7.6</v>
      </c>
      <c r="H331" s="8">
        <v>8.6</v>
      </c>
      <c r="I331" s="8">
        <v>8.2</v>
      </c>
    </row>
    <row r="332" spans="1:9">
      <c r="A332" s="8" t="s">
        <v>368</v>
      </c>
      <c r="B332" s="8" t="str">
        <f>VLOOKUP(A332,地区!$B$1:$C$43,2,0)</f>
        <v>华东地区</v>
      </c>
      <c r="C332" s="8" t="s">
        <v>145</v>
      </c>
      <c r="D332" s="8" t="s">
        <v>383</v>
      </c>
      <c r="E332" s="8">
        <v>36</v>
      </c>
      <c r="F332" s="8">
        <v>121</v>
      </c>
      <c r="G332" s="8">
        <v>8.6</v>
      </c>
      <c r="H332" s="8">
        <v>8.5</v>
      </c>
      <c r="I332" s="8">
        <v>8.5</v>
      </c>
    </row>
    <row r="333" spans="1:9">
      <c r="A333" s="8" t="s">
        <v>368</v>
      </c>
      <c r="B333" s="8" t="str">
        <f>VLOOKUP(A333,地区!$B$1:$C$43,2,0)</f>
        <v>华东地区</v>
      </c>
      <c r="C333" s="8" t="s">
        <v>233</v>
      </c>
      <c r="D333" s="8" t="s">
        <v>384</v>
      </c>
      <c r="E333" s="8">
        <v>589</v>
      </c>
      <c r="F333" s="8">
        <v>78</v>
      </c>
      <c r="G333" s="8">
        <v>9</v>
      </c>
      <c r="H333" s="8">
        <v>9.1</v>
      </c>
      <c r="I333" s="8">
        <v>9.1</v>
      </c>
    </row>
    <row r="334" spans="1:9">
      <c r="A334" s="8" t="s">
        <v>368</v>
      </c>
      <c r="B334" s="8" t="str">
        <f>VLOOKUP(A334,地区!$B$1:$C$43,2,0)</f>
        <v>华东地区</v>
      </c>
      <c r="C334" s="8" t="s">
        <v>33</v>
      </c>
      <c r="D334" s="8" t="s">
        <v>385</v>
      </c>
      <c r="E334" s="8">
        <v>44</v>
      </c>
      <c r="F334" s="8">
        <v>71</v>
      </c>
      <c r="G334" s="8">
        <v>7.3</v>
      </c>
      <c r="H334" s="8">
        <v>7.3</v>
      </c>
      <c r="I334" s="8">
        <v>7.6</v>
      </c>
    </row>
    <row r="335" spans="1:9">
      <c r="A335" s="8" t="s">
        <v>368</v>
      </c>
      <c r="B335" s="8" t="str">
        <f>VLOOKUP(A335,地区!$B$1:$C$43,2,0)</f>
        <v>华东地区</v>
      </c>
      <c r="C335" s="8" t="s">
        <v>33</v>
      </c>
      <c r="D335" s="8" t="s">
        <v>386</v>
      </c>
      <c r="E335" s="8">
        <v>22</v>
      </c>
      <c r="F335" s="8">
        <v>55</v>
      </c>
      <c r="G335" s="8">
        <v>7.7</v>
      </c>
      <c r="H335" s="8">
        <v>8</v>
      </c>
      <c r="I335" s="8">
        <v>7.7</v>
      </c>
    </row>
    <row r="336" spans="1:9">
      <c r="A336" s="8" t="s">
        <v>387</v>
      </c>
      <c r="B336" s="8" t="str">
        <f>VLOOKUP(A336,地区!$B$1:$C$43,2,0)</f>
        <v>华东地区</v>
      </c>
      <c r="C336" s="8" t="s">
        <v>145</v>
      </c>
      <c r="D336" s="8" t="s">
        <v>388</v>
      </c>
      <c r="E336" s="8">
        <v>34</v>
      </c>
      <c r="F336" s="8">
        <v>111</v>
      </c>
      <c r="G336" s="8">
        <v>7.9</v>
      </c>
      <c r="H336" s="8">
        <v>8.5</v>
      </c>
      <c r="I336" s="8">
        <v>7.8</v>
      </c>
    </row>
    <row r="337" spans="1:9">
      <c r="A337" s="8" t="s">
        <v>387</v>
      </c>
      <c r="B337" s="8" t="str">
        <f>VLOOKUP(A337,地区!$B$1:$C$43,2,0)</f>
        <v>华东地区</v>
      </c>
      <c r="C337" s="8" t="s">
        <v>31</v>
      </c>
      <c r="D337" s="8" t="s">
        <v>389</v>
      </c>
      <c r="E337" s="8">
        <v>256</v>
      </c>
      <c r="F337" s="8">
        <v>41</v>
      </c>
      <c r="G337" s="8">
        <v>7.6</v>
      </c>
      <c r="H337" s="8">
        <v>7.2</v>
      </c>
      <c r="I337" s="8">
        <v>7.3</v>
      </c>
    </row>
    <row r="338" spans="1:9">
      <c r="A338" s="8" t="s">
        <v>387</v>
      </c>
      <c r="B338" s="8" t="str">
        <f>VLOOKUP(A338,地区!$B$1:$C$43,2,0)</f>
        <v>华东地区</v>
      </c>
      <c r="C338" s="8" t="s">
        <v>31</v>
      </c>
      <c r="D338" s="8" t="s">
        <v>390</v>
      </c>
      <c r="E338" s="8">
        <v>478</v>
      </c>
      <c r="F338" s="8">
        <v>47</v>
      </c>
      <c r="G338" s="8">
        <v>7.3</v>
      </c>
      <c r="H338" s="8">
        <v>7.6</v>
      </c>
      <c r="I338" s="8">
        <v>7.3</v>
      </c>
    </row>
    <row r="339" spans="1:9">
      <c r="A339" s="8" t="s">
        <v>387</v>
      </c>
      <c r="B339" s="8" t="str">
        <f>VLOOKUP(A339,地区!$B$1:$C$43,2,0)</f>
        <v>华东地区</v>
      </c>
      <c r="C339" s="8" t="s">
        <v>31</v>
      </c>
      <c r="D339" s="8" t="s">
        <v>391</v>
      </c>
      <c r="E339" s="8">
        <v>4</v>
      </c>
      <c r="F339" s="8">
        <v>50</v>
      </c>
      <c r="G339" s="8">
        <v>7.4</v>
      </c>
      <c r="H339" s="8">
        <v>7.4</v>
      </c>
      <c r="I339" s="8">
        <v>7.4</v>
      </c>
    </row>
    <row r="340" spans="1:9">
      <c r="A340" s="8" t="s">
        <v>387</v>
      </c>
      <c r="B340" s="8" t="str">
        <f>VLOOKUP(A340,地区!$B$1:$C$43,2,0)</f>
        <v>华东地区</v>
      </c>
      <c r="C340" s="8" t="s">
        <v>45</v>
      </c>
      <c r="D340" s="8" t="s">
        <v>392</v>
      </c>
      <c r="E340" s="8">
        <v>90</v>
      </c>
      <c r="F340" s="8">
        <v>99</v>
      </c>
      <c r="G340" s="8">
        <v>7.2</v>
      </c>
      <c r="H340" s="8">
        <v>7.7</v>
      </c>
      <c r="I340" s="8">
        <v>7.6</v>
      </c>
    </row>
    <row r="341" spans="1:9">
      <c r="A341" s="8" t="s">
        <v>387</v>
      </c>
      <c r="B341" s="8" t="str">
        <f>VLOOKUP(A341,地区!$B$1:$C$43,2,0)</f>
        <v>华东地区</v>
      </c>
      <c r="C341" s="8" t="s">
        <v>45</v>
      </c>
      <c r="D341" s="8" t="s">
        <v>393</v>
      </c>
      <c r="E341" s="8">
        <v>95</v>
      </c>
      <c r="F341" s="8">
        <v>18</v>
      </c>
      <c r="G341" s="8">
        <v>7.6</v>
      </c>
      <c r="H341" s="8">
        <v>7.5</v>
      </c>
      <c r="I341" s="8">
        <v>7.4</v>
      </c>
    </row>
    <row r="342" spans="1:9">
      <c r="A342" s="8" t="s">
        <v>387</v>
      </c>
      <c r="B342" s="8" t="str">
        <f>VLOOKUP(A342,地区!$B$1:$C$43,2,0)</f>
        <v>华东地区</v>
      </c>
      <c r="C342" s="8" t="s">
        <v>45</v>
      </c>
      <c r="D342" s="8" t="s">
        <v>394</v>
      </c>
      <c r="E342" s="8">
        <v>149</v>
      </c>
      <c r="F342" s="8">
        <v>18</v>
      </c>
      <c r="G342" s="8">
        <v>7.7</v>
      </c>
      <c r="H342" s="8">
        <v>7.6</v>
      </c>
      <c r="I342" s="8">
        <v>7.5</v>
      </c>
    </row>
    <row r="343" spans="1:9">
      <c r="A343" s="8" t="s">
        <v>387</v>
      </c>
      <c r="B343" s="8" t="str">
        <f>VLOOKUP(A343,地区!$B$1:$C$43,2,0)</f>
        <v>华东地区</v>
      </c>
      <c r="C343" s="8" t="s">
        <v>45</v>
      </c>
      <c r="D343" s="8" t="s">
        <v>395</v>
      </c>
      <c r="E343" s="8">
        <v>312</v>
      </c>
      <c r="F343" s="8">
        <v>15</v>
      </c>
      <c r="G343" s="8">
        <v>8.1</v>
      </c>
      <c r="H343" s="8">
        <v>7.9</v>
      </c>
      <c r="I343" s="8">
        <v>8</v>
      </c>
    </row>
    <row r="344" spans="1:9">
      <c r="A344" s="8" t="s">
        <v>387</v>
      </c>
      <c r="B344" s="8" t="str">
        <f>VLOOKUP(A344,地区!$B$1:$C$43,2,0)</f>
        <v>华东地区</v>
      </c>
      <c r="C344" s="8" t="s">
        <v>45</v>
      </c>
      <c r="D344" s="8" t="s">
        <v>396</v>
      </c>
      <c r="E344" s="8">
        <v>12</v>
      </c>
      <c r="F344" s="8">
        <v>38</v>
      </c>
      <c r="G344" s="8">
        <v>7.2</v>
      </c>
      <c r="H344" s="8">
        <v>7.1</v>
      </c>
      <c r="I344" s="8">
        <v>7.2</v>
      </c>
    </row>
    <row r="345" spans="1:9">
      <c r="A345" s="8" t="s">
        <v>387</v>
      </c>
      <c r="B345" s="8" t="str">
        <f>VLOOKUP(A345,地区!$B$1:$C$43,2,0)</f>
        <v>华东地区</v>
      </c>
      <c r="C345" s="8" t="s">
        <v>397</v>
      </c>
      <c r="D345" s="8" t="s">
        <v>398</v>
      </c>
      <c r="E345" s="8">
        <v>4</v>
      </c>
      <c r="F345" s="8">
        <v>39</v>
      </c>
      <c r="G345" s="8">
        <v>7</v>
      </c>
      <c r="H345" s="8">
        <v>6.9</v>
      </c>
      <c r="I345" s="8">
        <v>6.9</v>
      </c>
    </row>
    <row r="346" spans="1:9">
      <c r="A346" s="8" t="s">
        <v>387</v>
      </c>
      <c r="B346" s="8" t="str">
        <f>VLOOKUP(A346,地区!$B$1:$C$43,2,0)</f>
        <v>华东地区</v>
      </c>
      <c r="C346" s="8" t="s">
        <v>79</v>
      </c>
      <c r="D346" s="8" t="s">
        <v>399</v>
      </c>
      <c r="E346" s="8">
        <v>4</v>
      </c>
      <c r="F346" s="8">
        <v>15</v>
      </c>
      <c r="G346" s="8">
        <v>7.7</v>
      </c>
      <c r="H346" s="8">
        <v>7.7</v>
      </c>
      <c r="I346" s="8">
        <v>7.7</v>
      </c>
    </row>
    <row r="347" spans="1:9">
      <c r="A347" s="8" t="s">
        <v>387</v>
      </c>
      <c r="B347" s="8" t="str">
        <f>VLOOKUP(A347,地区!$B$1:$C$43,2,0)</f>
        <v>华东地区</v>
      </c>
      <c r="C347" s="8" t="s">
        <v>85</v>
      </c>
      <c r="D347" s="8" t="s">
        <v>400</v>
      </c>
      <c r="E347" s="8">
        <v>328</v>
      </c>
      <c r="F347" s="8">
        <v>25</v>
      </c>
      <c r="G347" s="8">
        <v>8.3</v>
      </c>
      <c r="H347" s="8">
        <v>8.4</v>
      </c>
      <c r="I347" s="8">
        <v>8.2</v>
      </c>
    </row>
    <row r="348" spans="1:9">
      <c r="A348" s="8" t="s">
        <v>387</v>
      </c>
      <c r="B348" s="8" t="str">
        <f>VLOOKUP(A348,地区!$B$1:$C$43,2,0)</f>
        <v>华东地区</v>
      </c>
      <c r="C348" s="8" t="s">
        <v>85</v>
      </c>
      <c r="D348" s="8" t="s">
        <v>401</v>
      </c>
      <c r="E348" s="8">
        <v>414</v>
      </c>
      <c r="F348" s="8">
        <v>19</v>
      </c>
      <c r="G348" s="8">
        <v>8.6</v>
      </c>
      <c r="H348" s="8">
        <v>8.7</v>
      </c>
      <c r="I348" s="8">
        <v>8.5</v>
      </c>
    </row>
    <row r="349" spans="1:9">
      <c r="A349" s="8" t="s">
        <v>387</v>
      </c>
      <c r="B349" s="8" t="str">
        <f>VLOOKUP(A349,地区!$B$1:$C$43,2,0)</f>
        <v>华东地区</v>
      </c>
      <c r="C349" s="8" t="s">
        <v>85</v>
      </c>
      <c r="D349" s="8" t="s">
        <v>402</v>
      </c>
      <c r="E349" s="8">
        <v>674</v>
      </c>
      <c r="F349" s="8">
        <v>15</v>
      </c>
      <c r="G349" s="8">
        <v>8.1</v>
      </c>
      <c r="H349" s="8">
        <v>7.3</v>
      </c>
      <c r="I349" s="8">
        <v>7.3</v>
      </c>
    </row>
    <row r="350" spans="1:9">
      <c r="A350" s="8" t="s">
        <v>387</v>
      </c>
      <c r="B350" s="8" t="str">
        <f>VLOOKUP(A350,地区!$B$1:$C$43,2,0)</f>
        <v>华东地区</v>
      </c>
      <c r="C350" s="8" t="s">
        <v>72</v>
      </c>
      <c r="D350" s="8" t="s">
        <v>403</v>
      </c>
      <c r="E350" s="8">
        <v>3</v>
      </c>
      <c r="F350" s="8">
        <v>18</v>
      </c>
      <c r="G350" s="8">
        <v>7.7</v>
      </c>
      <c r="H350" s="8">
        <v>7.7</v>
      </c>
      <c r="I350" s="8">
        <v>7.7</v>
      </c>
    </row>
    <row r="351" spans="1:9">
      <c r="A351" s="8" t="s">
        <v>387</v>
      </c>
      <c r="B351" s="8" t="str">
        <f>VLOOKUP(A351,地区!$B$1:$C$43,2,0)</f>
        <v>华东地区</v>
      </c>
      <c r="C351" s="8" t="s">
        <v>72</v>
      </c>
      <c r="D351" s="8" t="s">
        <v>404</v>
      </c>
      <c r="E351" s="8">
        <v>275</v>
      </c>
      <c r="F351" s="8">
        <v>20</v>
      </c>
      <c r="G351" s="8">
        <v>7.9</v>
      </c>
      <c r="H351" s="8">
        <v>8</v>
      </c>
      <c r="I351" s="8">
        <v>7.8</v>
      </c>
    </row>
    <row r="352" spans="1:9">
      <c r="A352" s="8" t="s">
        <v>387</v>
      </c>
      <c r="B352" s="8" t="str">
        <f>VLOOKUP(A352,地区!$B$1:$C$43,2,0)</f>
        <v>华东地区</v>
      </c>
      <c r="C352" s="8" t="s">
        <v>72</v>
      </c>
      <c r="D352" s="8" t="s">
        <v>405</v>
      </c>
      <c r="E352" s="8">
        <v>15</v>
      </c>
      <c r="F352" s="8">
        <v>13</v>
      </c>
      <c r="G352" s="8">
        <v>7.5</v>
      </c>
      <c r="H352" s="8">
        <v>7.5</v>
      </c>
      <c r="I352" s="8">
        <v>7.4</v>
      </c>
    </row>
    <row r="353" spans="1:9">
      <c r="A353" s="8" t="s">
        <v>387</v>
      </c>
      <c r="B353" s="8" t="str">
        <f>VLOOKUP(A353,地区!$B$1:$C$43,2,0)</f>
        <v>华东地区</v>
      </c>
      <c r="C353" s="8" t="s">
        <v>72</v>
      </c>
      <c r="D353" s="8" t="s">
        <v>406</v>
      </c>
      <c r="E353" s="8">
        <v>58</v>
      </c>
      <c r="F353" s="8">
        <v>13</v>
      </c>
      <c r="G353" s="8">
        <v>7.6</v>
      </c>
      <c r="H353" s="8">
        <v>7.5</v>
      </c>
      <c r="I353" s="8">
        <v>7.6</v>
      </c>
    </row>
    <row r="354" spans="1:9">
      <c r="A354" s="8" t="s">
        <v>407</v>
      </c>
      <c r="B354" s="8" t="str">
        <f>VLOOKUP(A354,地区!$B$1:$C$43,2,0)</f>
        <v>华东地区</v>
      </c>
      <c r="C354" s="8" t="s">
        <v>145</v>
      </c>
      <c r="D354" s="8" t="s">
        <v>408</v>
      </c>
      <c r="E354" s="8">
        <v>25</v>
      </c>
      <c r="F354" s="8">
        <v>81</v>
      </c>
      <c r="G354" s="8">
        <v>7.1</v>
      </c>
      <c r="H354" s="8">
        <v>7.4</v>
      </c>
      <c r="I354" s="8">
        <v>7.1</v>
      </c>
    </row>
    <row r="355" spans="1:9">
      <c r="A355" s="8" t="s">
        <v>407</v>
      </c>
      <c r="B355" s="8" t="str">
        <f>VLOOKUP(A355,地区!$B$1:$C$43,2,0)</f>
        <v>华东地区</v>
      </c>
      <c r="C355" s="8" t="s">
        <v>45</v>
      </c>
      <c r="D355" s="8" t="s">
        <v>409</v>
      </c>
      <c r="E355" s="8">
        <v>608</v>
      </c>
      <c r="F355" s="8">
        <v>100</v>
      </c>
      <c r="G355" s="8">
        <v>7.5</v>
      </c>
      <c r="H355" s="8">
        <v>9.1</v>
      </c>
      <c r="I355" s="8">
        <v>7.8</v>
      </c>
    </row>
    <row r="356" spans="1:9">
      <c r="A356" s="8" t="s">
        <v>407</v>
      </c>
      <c r="B356" s="8" t="str">
        <f>VLOOKUP(A356,地区!$B$1:$C$43,2,0)</f>
        <v>华东地区</v>
      </c>
      <c r="C356" s="8" t="s">
        <v>45</v>
      </c>
      <c r="D356" s="8" t="s">
        <v>410</v>
      </c>
      <c r="E356" s="8">
        <v>822</v>
      </c>
      <c r="F356" s="8">
        <v>59</v>
      </c>
      <c r="G356" s="8">
        <v>7.4</v>
      </c>
      <c r="H356" s="8">
        <v>7.6</v>
      </c>
      <c r="I356" s="8">
        <v>7.2</v>
      </c>
    </row>
    <row r="357" spans="1:9">
      <c r="A357" s="8" t="s">
        <v>407</v>
      </c>
      <c r="B357" s="8" t="str">
        <f>VLOOKUP(A357,地区!$B$1:$C$43,2,0)</f>
        <v>华东地区</v>
      </c>
      <c r="C357" s="8" t="s">
        <v>45</v>
      </c>
      <c r="D357" s="8" t="s">
        <v>411</v>
      </c>
      <c r="E357" s="8">
        <v>1</v>
      </c>
      <c r="F357" s="8">
        <v>20</v>
      </c>
      <c r="G357" s="8">
        <v>7</v>
      </c>
      <c r="H357" s="8">
        <v>7</v>
      </c>
      <c r="I357" s="8">
        <v>7</v>
      </c>
    </row>
    <row r="358" spans="1:9">
      <c r="A358" s="8" t="s">
        <v>407</v>
      </c>
      <c r="B358" s="8" t="str">
        <f>VLOOKUP(A358,地区!$B$1:$C$43,2,0)</f>
        <v>华东地区</v>
      </c>
      <c r="C358" s="8" t="s">
        <v>412</v>
      </c>
      <c r="D358" s="8" t="s">
        <v>413</v>
      </c>
      <c r="E358" s="8">
        <v>5</v>
      </c>
      <c r="F358" s="8">
        <v>45</v>
      </c>
      <c r="G358" s="8">
        <v>6.7</v>
      </c>
      <c r="H358" s="8">
        <v>6.8</v>
      </c>
      <c r="I358" s="8">
        <v>6.8</v>
      </c>
    </row>
    <row r="359" spans="1:9">
      <c r="A359" s="8" t="s">
        <v>407</v>
      </c>
      <c r="B359" s="8" t="str">
        <f>VLOOKUP(A359,地区!$B$1:$C$43,2,0)</f>
        <v>华东地区</v>
      </c>
      <c r="C359" s="8" t="s">
        <v>15</v>
      </c>
      <c r="D359" s="8" t="s">
        <v>414</v>
      </c>
      <c r="E359" s="8">
        <v>210</v>
      </c>
      <c r="F359" s="8">
        <v>66</v>
      </c>
      <c r="G359" s="8">
        <v>8.3</v>
      </c>
      <c r="H359" s="8">
        <v>9.1</v>
      </c>
      <c r="I359" s="8">
        <v>8.8</v>
      </c>
    </row>
    <row r="360" spans="1:9">
      <c r="A360" s="8" t="s">
        <v>407</v>
      </c>
      <c r="B360" s="8" t="str">
        <f>VLOOKUP(A360,地区!$B$1:$C$43,2,0)</f>
        <v>华东地区</v>
      </c>
      <c r="C360" s="8" t="s">
        <v>13</v>
      </c>
      <c r="D360" s="8" t="s">
        <v>415</v>
      </c>
      <c r="E360" s="8">
        <v>992</v>
      </c>
      <c r="F360" s="8">
        <v>37</v>
      </c>
      <c r="G360" s="8">
        <v>8</v>
      </c>
      <c r="H360" s="8">
        <v>8.2</v>
      </c>
      <c r="I360" s="8">
        <v>7.8</v>
      </c>
    </row>
    <row r="361" spans="1:9">
      <c r="A361" s="8" t="s">
        <v>407</v>
      </c>
      <c r="B361" s="8" t="str">
        <f>VLOOKUP(A361,地区!$B$1:$C$43,2,0)</f>
        <v>华东地区</v>
      </c>
      <c r="C361" s="8" t="s">
        <v>329</v>
      </c>
      <c r="D361" s="8" t="s">
        <v>416</v>
      </c>
      <c r="E361" s="8">
        <v>3</v>
      </c>
      <c r="F361" s="8">
        <v>39</v>
      </c>
      <c r="G361" s="8">
        <v>7.1</v>
      </c>
      <c r="H361" s="8">
        <v>7.1</v>
      </c>
      <c r="I361" s="8">
        <v>7.1</v>
      </c>
    </row>
    <row r="362" spans="1:9">
      <c r="A362" s="8" t="s">
        <v>407</v>
      </c>
      <c r="B362" s="8" t="str">
        <f>VLOOKUP(A362,地区!$B$1:$C$43,2,0)</f>
        <v>华东地区</v>
      </c>
      <c r="C362" s="8" t="s">
        <v>55</v>
      </c>
      <c r="D362" s="8" t="s">
        <v>417</v>
      </c>
      <c r="E362" s="8">
        <v>98</v>
      </c>
      <c r="F362" s="8">
        <v>75</v>
      </c>
      <c r="G362" s="8">
        <v>7.6</v>
      </c>
      <c r="H362" s="8">
        <v>7.1</v>
      </c>
      <c r="I362" s="8">
        <v>7.4</v>
      </c>
    </row>
    <row r="363" spans="1:9">
      <c r="A363" s="8" t="s">
        <v>407</v>
      </c>
      <c r="B363" s="8" t="str">
        <f>VLOOKUP(A363,地区!$B$1:$C$43,2,0)</f>
        <v>华东地区</v>
      </c>
      <c r="C363" s="8" t="s">
        <v>55</v>
      </c>
      <c r="D363" s="8" t="s">
        <v>418</v>
      </c>
      <c r="E363" s="8">
        <v>111</v>
      </c>
      <c r="F363" s="8">
        <v>50</v>
      </c>
      <c r="G363" s="8">
        <v>6.9</v>
      </c>
      <c r="H363" s="8">
        <v>7.2</v>
      </c>
      <c r="I363" s="8">
        <v>7.3</v>
      </c>
    </row>
    <row r="364" spans="1:9">
      <c r="A364" s="8" t="s">
        <v>407</v>
      </c>
      <c r="B364" s="8" t="str">
        <f>VLOOKUP(A364,地区!$B$1:$C$43,2,0)</f>
        <v>华东地区</v>
      </c>
      <c r="C364" s="8" t="s">
        <v>329</v>
      </c>
      <c r="D364" s="8" t="s">
        <v>419</v>
      </c>
      <c r="E364" s="8">
        <v>7</v>
      </c>
      <c r="F364" s="8">
        <v>29</v>
      </c>
      <c r="G364" s="8">
        <v>7</v>
      </c>
      <c r="H364" s="8">
        <v>7.1</v>
      </c>
      <c r="I364" s="8">
        <v>7</v>
      </c>
    </row>
    <row r="365" spans="1:9">
      <c r="A365" s="8" t="s">
        <v>407</v>
      </c>
      <c r="B365" s="8" t="str">
        <f>VLOOKUP(A365,地区!$B$1:$C$43,2,0)</f>
        <v>华东地区</v>
      </c>
      <c r="C365" s="8" t="s">
        <v>420</v>
      </c>
      <c r="D365" s="8" t="s">
        <v>421</v>
      </c>
      <c r="E365" s="8">
        <v>332</v>
      </c>
      <c r="F365" s="8">
        <v>373</v>
      </c>
      <c r="G365" s="8">
        <v>8.2</v>
      </c>
      <c r="H365" s="8">
        <v>9.1</v>
      </c>
      <c r="I365" s="8">
        <v>8.7</v>
      </c>
    </row>
    <row r="366" spans="1:9">
      <c r="A366" s="8" t="s">
        <v>407</v>
      </c>
      <c r="B366" s="8" t="str">
        <f>VLOOKUP(A366,地区!$B$1:$C$43,2,0)</f>
        <v>华东地区</v>
      </c>
      <c r="C366" s="8" t="s">
        <v>420</v>
      </c>
      <c r="D366" s="8" t="s">
        <v>422</v>
      </c>
      <c r="E366" s="8">
        <v>32</v>
      </c>
      <c r="F366" s="8">
        <v>66</v>
      </c>
      <c r="G366" s="8">
        <v>7.2</v>
      </c>
      <c r="H366" s="8">
        <v>7.5</v>
      </c>
      <c r="I366" s="8">
        <v>7.2</v>
      </c>
    </row>
    <row r="367" spans="1:9">
      <c r="A367" s="8" t="s">
        <v>407</v>
      </c>
      <c r="B367" s="8" t="str">
        <f>VLOOKUP(A367,地区!$B$1:$C$43,2,0)</f>
        <v>华东地区</v>
      </c>
      <c r="C367" s="8" t="s">
        <v>420</v>
      </c>
      <c r="D367" s="8" t="s">
        <v>423</v>
      </c>
      <c r="E367" s="8">
        <v>45</v>
      </c>
      <c r="F367" s="8">
        <v>48</v>
      </c>
      <c r="G367" s="8">
        <v>7.3</v>
      </c>
      <c r="H367" s="8">
        <v>7</v>
      </c>
      <c r="I367" s="8">
        <v>7</v>
      </c>
    </row>
    <row r="368" spans="1:9">
      <c r="A368" s="8" t="s">
        <v>407</v>
      </c>
      <c r="B368" s="8" t="str">
        <f>VLOOKUP(A368,地区!$B$1:$C$43,2,0)</f>
        <v>华东地区</v>
      </c>
      <c r="C368" s="8" t="s">
        <v>420</v>
      </c>
      <c r="D368" s="8" t="s">
        <v>424</v>
      </c>
      <c r="E368" s="8">
        <v>22</v>
      </c>
      <c r="F368" s="8">
        <v>38</v>
      </c>
      <c r="G368" s="8">
        <v>7.2</v>
      </c>
      <c r="H368" s="8">
        <v>7.2</v>
      </c>
      <c r="I368" s="8">
        <v>7.3</v>
      </c>
    </row>
    <row r="369" spans="1:9">
      <c r="A369" s="8" t="s">
        <v>407</v>
      </c>
      <c r="B369" s="8" t="str">
        <f>VLOOKUP(A369,地区!$B$1:$C$43,2,0)</f>
        <v>华东地区</v>
      </c>
      <c r="C369" s="8" t="s">
        <v>104</v>
      </c>
      <c r="D369" s="8" t="s">
        <v>425</v>
      </c>
      <c r="E369" s="8">
        <v>168</v>
      </c>
      <c r="F369" s="8">
        <v>26</v>
      </c>
      <c r="G369" s="8">
        <v>8</v>
      </c>
      <c r="H369" s="8">
        <v>7.7</v>
      </c>
      <c r="I369" s="8">
        <v>7.9</v>
      </c>
    </row>
    <row r="370" spans="1:9">
      <c r="A370" s="8" t="s">
        <v>407</v>
      </c>
      <c r="B370" s="8" t="str">
        <f>VLOOKUP(A370,地区!$B$1:$C$43,2,0)</f>
        <v>华东地区</v>
      </c>
      <c r="C370" s="8" t="s">
        <v>104</v>
      </c>
      <c r="D370" s="8" t="s">
        <v>426</v>
      </c>
      <c r="E370" s="8">
        <v>2</v>
      </c>
      <c r="F370" s="8">
        <v>14</v>
      </c>
      <c r="G370" s="8">
        <v>7</v>
      </c>
      <c r="H370" s="8">
        <v>7</v>
      </c>
      <c r="I370" s="8">
        <v>7</v>
      </c>
    </row>
    <row r="371" spans="1:9">
      <c r="A371" s="8" t="s">
        <v>407</v>
      </c>
      <c r="B371" s="8" t="str">
        <f>VLOOKUP(A371,地区!$B$1:$C$43,2,0)</f>
        <v>华东地区</v>
      </c>
      <c r="C371" s="8" t="s">
        <v>90</v>
      </c>
      <c r="D371" s="8" t="s">
        <v>427</v>
      </c>
      <c r="E371" s="8">
        <v>9</v>
      </c>
      <c r="F371" s="8">
        <v>42</v>
      </c>
      <c r="G371" s="8">
        <v>6.5</v>
      </c>
      <c r="H371" s="8">
        <v>6.6</v>
      </c>
      <c r="I371" s="8">
        <v>6.5</v>
      </c>
    </row>
    <row r="372" spans="1:9">
      <c r="A372" s="8" t="s">
        <v>428</v>
      </c>
      <c r="B372" s="8" t="str">
        <f>VLOOKUP(A372,地区!$B$1:$C$43,2,0)</f>
        <v>华东地区</v>
      </c>
      <c r="C372" s="8" t="s">
        <v>33</v>
      </c>
      <c r="D372" s="8" t="s">
        <v>429</v>
      </c>
      <c r="E372" s="8">
        <v>104</v>
      </c>
      <c r="F372" s="8">
        <v>69</v>
      </c>
      <c r="G372" s="8">
        <v>7.5</v>
      </c>
      <c r="H372" s="8">
        <v>7.7</v>
      </c>
      <c r="I372" s="8">
        <v>7.7</v>
      </c>
    </row>
    <row r="373" spans="1:9">
      <c r="A373" s="8" t="s">
        <v>428</v>
      </c>
      <c r="B373" s="8" t="str">
        <f>VLOOKUP(A373,地区!$B$1:$C$43,2,0)</f>
        <v>华东地区</v>
      </c>
      <c r="C373" s="8" t="s">
        <v>33</v>
      </c>
      <c r="D373" s="8" t="s">
        <v>430</v>
      </c>
      <c r="E373" s="8">
        <v>13</v>
      </c>
      <c r="F373" s="8">
        <v>10</v>
      </c>
      <c r="G373" s="8">
        <v>7.6</v>
      </c>
      <c r="H373" s="8">
        <v>7.6</v>
      </c>
      <c r="I373" s="8">
        <v>7.5</v>
      </c>
    </row>
    <row r="374" spans="1:9">
      <c r="A374" s="8" t="s">
        <v>428</v>
      </c>
      <c r="B374" s="8" t="str">
        <f>VLOOKUP(A374,地区!$B$1:$C$43,2,0)</f>
        <v>华东地区</v>
      </c>
      <c r="C374" s="8" t="s">
        <v>33</v>
      </c>
      <c r="D374" s="8" t="s">
        <v>431</v>
      </c>
      <c r="E374" s="8">
        <v>2</v>
      </c>
      <c r="F374" s="8">
        <v>22</v>
      </c>
      <c r="G374" s="8">
        <v>7.2</v>
      </c>
      <c r="H374" s="8">
        <v>7.2</v>
      </c>
      <c r="I374" s="8">
        <v>7.2</v>
      </c>
    </row>
    <row r="375" spans="1:9">
      <c r="A375" s="8" t="s">
        <v>428</v>
      </c>
      <c r="B375" s="8" t="str">
        <f>VLOOKUP(A375,地区!$B$1:$C$43,2,0)</f>
        <v>华东地区</v>
      </c>
      <c r="C375" s="8" t="s">
        <v>33</v>
      </c>
      <c r="D375" s="8" t="s">
        <v>432</v>
      </c>
      <c r="E375" s="8">
        <v>1</v>
      </c>
      <c r="F375" s="8">
        <v>25</v>
      </c>
      <c r="G375" s="8">
        <v>7</v>
      </c>
      <c r="H375" s="8">
        <v>7</v>
      </c>
      <c r="I375" s="8">
        <v>7</v>
      </c>
    </row>
    <row r="376" spans="1:9">
      <c r="A376" s="8" t="s">
        <v>428</v>
      </c>
      <c r="B376" s="8" t="str">
        <f>VLOOKUP(A376,地区!$B$1:$C$43,2,0)</f>
        <v>华东地区</v>
      </c>
      <c r="C376" s="8" t="s">
        <v>45</v>
      </c>
      <c r="D376" s="8" t="s">
        <v>433</v>
      </c>
      <c r="E376" s="8">
        <v>11</v>
      </c>
      <c r="F376" s="8">
        <v>35</v>
      </c>
      <c r="G376" s="8">
        <v>7.2</v>
      </c>
      <c r="H376" s="8">
        <v>7.1</v>
      </c>
      <c r="I376" s="8">
        <v>7.2</v>
      </c>
    </row>
    <row r="377" spans="1:9">
      <c r="A377" s="8" t="s">
        <v>428</v>
      </c>
      <c r="B377" s="8" t="str">
        <f>VLOOKUP(A377,地区!$B$1:$C$43,2,0)</f>
        <v>华东地区</v>
      </c>
      <c r="C377" s="8" t="s">
        <v>45</v>
      </c>
      <c r="D377" s="8" t="s">
        <v>434</v>
      </c>
      <c r="E377" s="8">
        <v>4</v>
      </c>
      <c r="F377" s="8">
        <v>34</v>
      </c>
      <c r="G377" s="8">
        <v>6.9</v>
      </c>
      <c r="H377" s="8">
        <v>6.9</v>
      </c>
      <c r="I377" s="8">
        <v>6.9</v>
      </c>
    </row>
    <row r="378" spans="1:9">
      <c r="A378" s="8" t="s">
        <v>428</v>
      </c>
      <c r="B378" s="8" t="str">
        <f>VLOOKUP(A378,地区!$B$1:$C$43,2,0)</f>
        <v>华东地区</v>
      </c>
      <c r="C378" s="8" t="s">
        <v>55</v>
      </c>
      <c r="D378" s="8" t="s">
        <v>435</v>
      </c>
      <c r="E378" s="8">
        <v>71</v>
      </c>
      <c r="F378" s="8">
        <v>130</v>
      </c>
      <c r="G378" s="8">
        <v>9.1</v>
      </c>
      <c r="H378" s="8">
        <v>9</v>
      </c>
      <c r="I378" s="8">
        <v>8.9</v>
      </c>
    </row>
    <row r="379" spans="1:9">
      <c r="A379" s="8" t="s">
        <v>428</v>
      </c>
      <c r="B379" s="8" t="str">
        <f>VLOOKUP(A379,地区!$B$1:$C$43,2,0)</f>
        <v>华东地区</v>
      </c>
      <c r="C379" s="8" t="s">
        <v>412</v>
      </c>
      <c r="D379" s="8" t="s">
        <v>436</v>
      </c>
      <c r="E379" s="8">
        <v>74</v>
      </c>
      <c r="F379" s="8">
        <v>364</v>
      </c>
      <c r="G379" s="8">
        <v>7.7</v>
      </c>
      <c r="H379" s="8">
        <v>7.7</v>
      </c>
      <c r="I379" s="8">
        <v>7.6</v>
      </c>
    </row>
    <row r="380" spans="1:9">
      <c r="A380" s="8" t="s">
        <v>428</v>
      </c>
      <c r="B380" s="8" t="str">
        <f>VLOOKUP(A380,地区!$B$1:$C$43,2,0)</f>
        <v>华东地区</v>
      </c>
      <c r="C380" s="8" t="s">
        <v>412</v>
      </c>
      <c r="D380" s="8" t="s">
        <v>437</v>
      </c>
      <c r="E380" s="8">
        <v>16</v>
      </c>
      <c r="F380" s="8">
        <v>61</v>
      </c>
      <c r="G380" s="8">
        <v>7</v>
      </c>
      <c r="H380" s="8">
        <v>7.5</v>
      </c>
      <c r="I380" s="8">
        <v>7.5</v>
      </c>
    </row>
    <row r="381" spans="1:9">
      <c r="A381" s="8" t="s">
        <v>428</v>
      </c>
      <c r="B381" s="8" t="str">
        <f>VLOOKUP(A381,地区!$B$1:$C$43,2,0)</f>
        <v>华东地区</v>
      </c>
      <c r="C381" s="8" t="s">
        <v>412</v>
      </c>
      <c r="D381" s="8" t="s">
        <v>438</v>
      </c>
      <c r="E381" s="8">
        <v>551</v>
      </c>
      <c r="F381" s="8">
        <v>62</v>
      </c>
      <c r="G381" s="8">
        <v>6.9</v>
      </c>
      <c r="H381" s="8">
        <v>7.4</v>
      </c>
      <c r="I381" s="8">
        <v>7.1</v>
      </c>
    </row>
    <row r="382" spans="1:9">
      <c r="A382" s="8" t="s">
        <v>428</v>
      </c>
      <c r="B382" s="8" t="str">
        <f>VLOOKUP(A382,地区!$B$1:$C$43,2,0)</f>
        <v>华东地区</v>
      </c>
      <c r="C382" s="8" t="s">
        <v>412</v>
      </c>
      <c r="D382" s="8" t="s">
        <v>439</v>
      </c>
      <c r="E382" s="8">
        <v>35</v>
      </c>
      <c r="F382" s="8">
        <v>121</v>
      </c>
      <c r="G382" s="8">
        <v>7.4</v>
      </c>
      <c r="H382" s="8">
        <v>7.6</v>
      </c>
      <c r="I382" s="8">
        <v>7.6</v>
      </c>
    </row>
    <row r="383" spans="1:9">
      <c r="A383" s="8" t="s">
        <v>428</v>
      </c>
      <c r="B383" s="8" t="str">
        <f>VLOOKUP(A383,地区!$B$1:$C$43,2,0)</f>
        <v>华东地区</v>
      </c>
      <c r="C383" s="8" t="s">
        <v>412</v>
      </c>
      <c r="D383" s="8" t="s">
        <v>440</v>
      </c>
      <c r="E383" s="8">
        <v>8</v>
      </c>
      <c r="F383" s="8">
        <v>72</v>
      </c>
      <c r="G383" s="8">
        <v>7.3</v>
      </c>
      <c r="H383" s="8">
        <v>7.2</v>
      </c>
      <c r="I383" s="8">
        <v>7.3</v>
      </c>
    </row>
    <row r="384" spans="1:9">
      <c r="A384" s="8" t="s">
        <v>428</v>
      </c>
      <c r="B384" s="8" t="str">
        <f>VLOOKUP(A384,地区!$B$1:$C$43,2,0)</f>
        <v>华东地区</v>
      </c>
      <c r="C384" s="8" t="s">
        <v>412</v>
      </c>
      <c r="D384" s="8" t="s">
        <v>441</v>
      </c>
      <c r="E384" s="8">
        <v>19</v>
      </c>
      <c r="F384" s="8">
        <v>81</v>
      </c>
      <c r="G384" s="8">
        <v>7.3</v>
      </c>
      <c r="H384" s="8">
        <v>7.3</v>
      </c>
      <c r="I384" s="8">
        <v>7.3</v>
      </c>
    </row>
    <row r="385" spans="1:9">
      <c r="A385" s="8" t="s">
        <v>428</v>
      </c>
      <c r="B385" s="8" t="str">
        <f>VLOOKUP(A385,地区!$B$1:$C$43,2,0)</f>
        <v>华东地区</v>
      </c>
      <c r="C385" s="8" t="s">
        <v>412</v>
      </c>
      <c r="D385" s="8" t="s">
        <v>442</v>
      </c>
      <c r="E385" s="8">
        <v>11</v>
      </c>
      <c r="F385" s="8">
        <v>43</v>
      </c>
      <c r="G385" s="8">
        <v>7.2</v>
      </c>
      <c r="H385" s="8">
        <v>7</v>
      </c>
      <c r="I385" s="8">
        <v>7.1</v>
      </c>
    </row>
    <row r="386" spans="1:9">
      <c r="A386" s="8" t="s">
        <v>428</v>
      </c>
      <c r="B386" s="8" t="str">
        <f>VLOOKUP(A386,地区!$B$1:$C$43,2,0)</f>
        <v>华东地区</v>
      </c>
      <c r="C386" s="8" t="s">
        <v>59</v>
      </c>
      <c r="D386" s="8" t="s">
        <v>443</v>
      </c>
      <c r="E386" s="8">
        <v>35</v>
      </c>
      <c r="F386" s="8">
        <v>127</v>
      </c>
      <c r="G386" s="8">
        <v>7.4</v>
      </c>
      <c r="H386" s="8">
        <v>7.5</v>
      </c>
      <c r="I386" s="8">
        <v>7.4</v>
      </c>
    </row>
    <row r="387" spans="1:9">
      <c r="A387" s="8" t="s">
        <v>428</v>
      </c>
      <c r="B387" s="8" t="str">
        <f>VLOOKUP(A387,地区!$B$1:$C$43,2,0)</f>
        <v>华东地区</v>
      </c>
      <c r="C387" s="8" t="s">
        <v>59</v>
      </c>
      <c r="D387" s="8" t="s">
        <v>444</v>
      </c>
      <c r="E387" s="8">
        <v>3</v>
      </c>
      <c r="F387" s="8">
        <v>50</v>
      </c>
      <c r="G387" s="8">
        <v>7</v>
      </c>
      <c r="H387" s="8">
        <v>7.1</v>
      </c>
      <c r="I387" s="8">
        <v>7.1</v>
      </c>
    </row>
    <row r="388" spans="1:9">
      <c r="A388" s="8" t="s">
        <v>428</v>
      </c>
      <c r="B388" s="8" t="str">
        <f>VLOOKUP(A388,地区!$B$1:$C$43,2,0)</f>
        <v>华东地区</v>
      </c>
      <c r="C388" s="8" t="s">
        <v>445</v>
      </c>
      <c r="D388" s="8" t="s">
        <v>446</v>
      </c>
      <c r="E388" s="8">
        <v>8</v>
      </c>
      <c r="F388" s="8">
        <v>11</v>
      </c>
      <c r="G388" s="8">
        <v>7.4</v>
      </c>
      <c r="H388" s="8">
        <v>6.9</v>
      </c>
      <c r="I388" s="8">
        <v>7.4</v>
      </c>
    </row>
    <row r="389" spans="1:9">
      <c r="A389" s="8" t="s">
        <v>428</v>
      </c>
      <c r="B389" s="8" t="str">
        <f>VLOOKUP(A389,地区!$B$1:$C$43,2,0)</f>
        <v>华东地区</v>
      </c>
      <c r="C389" s="8" t="s">
        <v>445</v>
      </c>
      <c r="D389" s="8" t="s">
        <v>447</v>
      </c>
      <c r="E389" s="8">
        <v>1</v>
      </c>
      <c r="F389" s="8">
        <v>14</v>
      </c>
      <c r="G389" s="8">
        <v>7.1</v>
      </c>
      <c r="H389" s="8">
        <v>7.1</v>
      </c>
      <c r="I389" s="8">
        <v>7.1</v>
      </c>
    </row>
    <row r="390" spans="1:9">
      <c r="A390" s="8" t="s">
        <v>428</v>
      </c>
      <c r="B390" s="8" t="str">
        <f>VLOOKUP(A390,地区!$B$1:$C$43,2,0)</f>
        <v>华东地区</v>
      </c>
      <c r="C390" s="8" t="s">
        <v>155</v>
      </c>
      <c r="D390" s="8" t="s">
        <v>448</v>
      </c>
      <c r="E390" s="8">
        <v>13</v>
      </c>
      <c r="F390" s="8">
        <v>18</v>
      </c>
      <c r="G390" s="8">
        <v>7.5</v>
      </c>
      <c r="H390" s="8">
        <v>7.4</v>
      </c>
      <c r="I390" s="8">
        <v>7.6</v>
      </c>
    </row>
    <row r="391" spans="1:9">
      <c r="A391" s="8" t="s">
        <v>428</v>
      </c>
      <c r="B391" s="8" t="str">
        <f>VLOOKUP(A391,地区!$B$1:$C$43,2,0)</f>
        <v>华东地区</v>
      </c>
      <c r="C391" s="8" t="s">
        <v>155</v>
      </c>
      <c r="D391" s="8" t="s">
        <v>449</v>
      </c>
      <c r="E391" s="8">
        <v>22</v>
      </c>
      <c r="F391" s="8">
        <v>62</v>
      </c>
      <c r="G391" s="8">
        <v>6.8</v>
      </c>
      <c r="H391" s="8">
        <v>6.9</v>
      </c>
      <c r="I391" s="8">
        <v>7.1</v>
      </c>
    </row>
    <row r="392" spans="1:9">
      <c r="A392" s="8" t="s">
        <v>428</v>
      </c>
      <c r="B392" s="8" t="str">
        <f>VLOOKUP(A392,地区!$B$1:$C$43,2,0)</f>
        <v>华东地区</v>
      </c>
      <c r="C392" s="8" t="s">
        <v>445</v>
      </c>
      <c r="D392" s="8" t="s">
        <v>450</v>
      </c>
      <c r="E392" s="8">
        <v>1</v>
      </c>
      <c r="F392" s="8">
        <v>11</v>
      </c>
      <c r="G392" s="8">
        <v>7</v>
      </c>
      <c r="H392" s="8">
        <v>7</v>
      </c>
      <c r="I392" s="8">
        <v>7</v>
      </c>
    </row>
    <row r="393" spans="1:9">
      <c r="A393" s="8" t="s">
        <v>428</v>
      </c>
      <c r="B393" s="8" t="str">
        <f>VLOOKUP(A393,地区!$B$1:$C$43,2,0)</f>
        <v>华东地区</v>
      </c>
      <c r="C393" s="8" t="s">
        <v>15</v>
      </c>
      <c r="D393" s="8" t="s">
        <v>451</v>
      </c>
      <c r="E393" s="8">
        <v>3</v>
      </c>
      <c r="F393" s="8">
        <v>45</v>
      </c>
      <c r="G393" s="8">
        <v>7</v>
      </c>
      <c r="H393" s="8">
        <v>7</v>
      </c>
      <c r="I393" s="8">
        <v>7</v>
      </c>
    </row>
    <row r="394" spans="1:9">
      <c r="A394" s="8" t="s">
        <v>452</v>
      </c>
      <c r="B394" s="8" t="str">
        <f>VLOOKUP(A394,地区!$B$1:$C$43,2,0)</f>
        <v>西南地区</v>
      </c>
      <c r="C394" s="8" t="s">
        <v>453</v>
      </c>
      <c r="D394" s="8" t="s">
        <v>454</v>
      </c>
      <c r="E394" s="8">
        <v>9</v>
      </c>
      <c r="F394" s="8">
        <v>60</v>
      </c>
      <c r="G394" s="8">
        <v>7.1</v>
      </c>
      <c r="H394" s="8">
        <v>7.6</v>
      </c>
      <c r="I394" s="8">
        <v>7.1</v>
      </c>
    </row>
    <row r="395" spans="1:9">
      <c r="A395" s="8" t="s">
        <v>452</v>
      </c>
      <c r="B395" s="8" t="str">
        <f>VLOOKUP(A395,地区!$B$1:$C$43,2,0)</f>
        <v>西南地区</v>
      </c>
      <c r="C395" s="8" t="s">
        <v>453</v>
      </c>
      <c r="D395" s="8" t="s">
        <v>455</v>
      </c>
      <c r="E395" s="8">
        <v>59</v>
      </c>
      <c r="F395" s="8">
        <v>57</v>
      </c>
      <c r="G395" s="8">
        <v>7.3</v>
      </c>
      <c r="H395" s="8">
        <v>7.2</v>
      </c>
      <c r="I395" s="8">
        <v>6.8</v>
      </c>
    </row>
    <row r="396" spans="1:9">
      <c r="A396" s="8" t="s">
        <v>452</v>
      </c>
      <c r="B396" s="8" t="str">
        <f>VLOOKUP(A396,地区!$B$1:$C$43,2,0)</f>
        <v>西南地区</v>
      </c>
      <c r="C396" s="8" t="s">
        <v>453</v>
      </c>
      <c r="D396" s="8" t="s">
        <v>456</v>
      </c>
      <c r="E396" s="8">
        <v>16</v>
      </c>
      <c r="F396" s="8">
        <v>20</v>
      </c>
      <c r="G396" s="8">
        <v>7.2</v>
      </c>
      <c r="H396" s="8">
        <v>7.3</v>
      </c>
      <c r="I396" s="8">
        <v>7.1</v>
      </c>
    </row>
    <row r="397" spans="1:9">
      <c r="A397" s="8" t="s">
        <v>452</v>
      </c>
      <c r="B397" s="8" t="str">
        <f>VLOOKUP(A397,地区!$B$1:$C$43,2,0)</f>
        <v>西南地区</v>
      </c>
      <c r="C397" s="8" t="s">
        <v>453</v>
      </c>
      <c r="D397" s="8" t="s">
        <v>457</v>
      </c>
      <c r="E397" s="8">
        <v>19</v>
      </c>
      <c r="F397" s="8">
        <v>43</v>
      </c>
      <c r="G397" s="8">
        <v>7.4</v>
      </c>
      <c r="H397" s="8">
        <v>7.2</v>
      </c>
      <c r="I397" s="8">
        <v>7.2</v>
      </c>
    </row>
    <row r="398" spans="1:9">
      <c r="A398" s="8" t="s">
        <v>452</v>
      </c>
      <c r="B398" s="8" t="str">
        <f>VLOOKUP(A398,地区!$B$1:$C$43,2,0)</f>
        <v>西南地区</v>
      </c>
      <c r="C398" s="8" t="s">
        <v>45</v>
      </c>
      <c r="D398" s="8" t="s">
        <v>458</v>
      </c>
      <c r="E398" s="8">
        <v>1</v>
      </c>
      <c r="F398" s="8">
        <v>35</v>
      </c>
      <c r="G398" s="8">
        <v>6.9</v>
      </c>
      <c r="H398" s="8">
        <v>6.9</v>
      </c>
      <c r="I398" s="8">
        <v>6.9</v>
      </c>
    </row>
    <row r="399" spans="1:9">
      <c r="A399" s="8" t="s">
        <v>452</v>
      </c>
      <c r="B399" s="8" t="str">
        <f>VLOOKUP(A399,地区!$B$1:$C$43,2,0)</f>
        <v>西南地区</v>
      </c>
      <c r="C399" s="8" t="s">
        <v>45</v>
      </c>
      <c r="D399" s="8" t="s">
        <v>459</v>
      </c>
      <c r="E399" s="8">
        <v>8</v>
      </c>
      <c r="F399" s="8">
        <v>42</v>
      </c>
      <c r="G399" s="8">
        <v>6.9</v>
      </c>
      <c r="H399" s="8">
        <v>6.9</v>
      </c>
      <c r="I399" s="8">
        <v>6.9</v>
      </c>
    </row>
    <row r="400" spans="1:9">
      <c r="A400" s="8" t="s">
        <v>452</v>
      </c>
      <c r="B400" s="8" t="str">
        <f>VLOOKUP(A400,地区!$B$1:$C$43,2,0)</f>
        <v>西南地区</v>
      </c>
      <c r="C400" s="8" t="s">
        <v>59</v>
      </c>
      <c r="D400" s="8" t="s">
        <v>460</v>
      </c>
      <c r="E400" s="8">
        <v>215</v>
      </c>
      <c r="F400" s="8">
        <v>89</v>
      </c>
      <c r="G400" s="8">
        <v>7.8</v>
      </c>
      <c r="H400" s="8">
        <v>8.4</v>
      </c>
      <c r="I400" s="8">
        <v>8</v>
      </c>
    </row>
    <row r="401" spans="1:9">
      <c r="A401" s="8" t="s">
        <v>452</v>
      </c>
      <c r="B401" s="8" t="str">
        <f>VLOOKUP(A401,地区!$B$1:$C$43,2,0)</f>
        <v>西南地区</v>
      </c>
      <c r="C401" s="8" t="s">
        <v>59</v>
      </c>
      <c r="D401" s="8" t="s">
        <v>461</v>
      </c>
      <c r="E401" s="8">
        <v>86</v>
      </c>
      <c r="F401" s="8">
        <v>107</v>
      </c>
      <c r="G401" s="8">
        <v>7.2</v>
      </c>
      <c r="H401" s="8">
        <v>7.2</v>
      </c>
      <c r="I401" s="8">
        <v>6.8</v>
      </c>
    </row>
    <row r="402" spans="1:9">
      <c r="A402" s="8" t="s">
        <v>452</v>
      </c>
      <c r="B402" s="8" t="str">
        <f>VLOOKUP(A402,地区!$B$1:$C$43,2,0)</f>
        <v>西南地区</v>
      </c>
      <c r="C402" s="8" t="s">
        <v>59</v>
      </c>
      <c r="D402" s="8" t="s">
        <v>462</v>
      </c>
      <c r="E402" s="8">
        <v>61</v>
      </c>
      <c r="F402" s="8">
        <v>57</v>
      </c>
      <c r="G402" s="8">
        <v>7.1</v>
      </c>
      <c r="H402" s="8">
        <v>7</v>
      </c>
      <c r="I402" s="8">
        <v>7</v>
      </c>
    </row>
    <row r="403" spans="1:9">
      <c r="A403" s="8" t="s">
        <v>452</v>
      </c>
      <c r="B403" s="8" t="str">
        <f>VLOOKUP(A403,地区!$B$1:$C$43,2,0)</f>
        <v>西南地区</v>
      </c>
      <c r="C403" s="8" t="s">
        <v>59</v>
      </c>
      <c r="D403" s="8" t="s">
        <v>463</v>
      </c>
      <c r="E403" s="8">
        <v>17</v>
      </c>
      <c r="F403" s="8">
        <v>55</v>
      </c>
      <c r="G403" s="8">
        <v>7.5</v>
      </c>
      <c r="H403" s="8">
        <v>7.6</v>
      </c>
      <c r="I403" s="8">
        <v>7.6</v>
      </c>
    </row>
    <row r="404" spans="1:9">
      <c r="A404" s="8" t="s">
        <v>452</v>
      </c>
      <c r="B404" s="8" t="str">
        <f>VLOOKUP(A404,地区!$B$1:$C$43,2,0)</f>
        <v>西南地区</v>
      </c>
      <c r="C404" s="8" t="s">
        <v>59</v>
      </c>
      <c r="D404" s="8" t="s">
        <v>464</v>
      </c>
      <c r="E404" s="8">
        <v>40</v>
      </c>
      <c r="F404" s="8">
        <v>68</v>
      </c>
      <c r="G404" s="8">
        <v>7.4</v>
      </c>
      <c r="H404" s="8">
        <v>6.9</v>
      </c>
      <c r="I404" s="8">
        <v>6.9</v>
      </c>
    </row>
    <row r="405" spans="1:9">
      <c r="A405" s="8" t="s">
        <v>452</v>
      </c>
      <c r="B405" s="8" t="str">
        <f>VLOOKUP(A405,地区!$B$1:$C$43,2,0)</f>
        <v>西南地区</v>
      </c>
      <c r="C405" s="8" t="s">
        <v>59</v>
      </c>
      <c r="D405" s="8" t="s">
        <v>465</v>
      </c>
      <c r="E405" s="8">
        <v>4</v>
      </c>
      <c r="F405" s="8">
        <v>37</v>
      </c>
      <c r="G405" s="8">
        <v>7.5</v>
      </c>
      <c r="H405" s="8">
        <v>7.6</v>
      </c>
      <c r="I405" s="8">
        <v>7.6</v>
      </c>
    </row>
    <row r="406" spans="1:9">
      <c r="A406" s="8" t="s">
        <v>452</v>
      </c>
      <c r="B406" s="8" t="str">
        <f>VLOOKUP(A406,地区!$B$1:$C$43,2,0)</f>
        <v>西南地区</v>
      </c>
      <c r="C406" s="8" t="s">
        <v>59</v>
      </c>
      <c r="D406" s="8" t="s">
        <v>466</v>
      </c>
      <c r="E406" s="8">
        <v>2</v>
      </c>
      <c r="F406" s="8">
        <v>39</v>
      </c>
      <c r="G406" s="8">
        <v>7.4</v>
      </c>
      <c r="H406" s="8">
        <v>7.1</v>
      </c>
      <c r="I406" s="8">
        <v>7.4</v>
      </c>
    </row>
    <row r="407" spans="1:9">
      <c r="A407" s="8" t="s">
        <v>452</v>
      </c>
      <c r="B407" s="8" t="str">
        <f>VLOOKUP(A407,地区!$B$1:$C$43,2,0)</f>
        <v>西南地区</v>
      </c>
      <c r="C407" s="8" t="s">
        <v>233</v>
      </c>
      <c r="D407" s="8" t="s">
        <v>467</v>
      </c>
      <c r="E407" s="8">
        <v>3</v>
      </c>
      <c r="F407" s="8">
        <v>34</v>
      </c>
      <c r="G407" s="8">
        <v>7</v>
      </c>
      <c r="H407" s="8">
        <v>6.8</v>
      </c>
      <c r="I407" s="8">
        <v>6.8</v>
      </c>
    </row>
    <row r="408" spans="1:9">
      <c r="A408" s="8" t="s">
        <v>452</v>
      </c>
      <c r="B408" s="8" t="str">
        <f>VLOOKUP(A408,地区!$B$1:$C$43,2,0)</f>
        <v>西南地区</v>
      </c>
      <c r="C408" s="8" t="s">
        <v>233</v>
      </c>
      <c r="D408" s="8" t="s">
        <v>468</v>
      </c>
      <c r="E408" s="8">
        <v>16</v>
      </c>
      <c r="F408" s="8">
        <v>4</v>
      </c>
      <c r="G408" s="8">
        <v>7</v>
      </c>
      <c r="H408" s="8">
        <v>6.8</v>
      </c>
      <c r="I408" s="8">
        <v>6.9</v>
      </c>
    </row>
    <row r="409" spans="1:9">
      <c r="A409" s="8" t="s">
        <v>452</v>
      </c>
      <c r="B409" s="8" t="str">
        <f>VLOOKUP(A409,地区!$B$1:$C$43,2,0)</f>
        <v>西南地区</v>
      </c>
      <c r="C409" s="8" t="s">
        <v>104</v>
      </c>
      <c r="D409" s="8" t="s">
        <v>469</v>
      </c>
      <c r="E409" s="8">
        <v>6</v>
      </c>
      <c r="F409" s="8">
        <v>50</v>
      </c>
      <c r="G409" s="8">
        <v>7.4</v>
      </c>
      <c r="H409" s="8">
        <v>7.2</v>
      </c>
      <c r="I409" s="8">
        <v>7.4</v>
      </c>
    </row>
    <row r="410" spans="1:9">
      <c r="A410" s="8" t="s">
        <v>452</v>
      </c>
      <c r="B410" s="8" t="str">
        <f>VLOOKUP(A410,地区!$B$1:$C$43,2,0)</f>
        <v>西南地区</v>
      </c>
      <c r="C410" s="8" t="s">
        <v>104</v>
      </c>
      <c r="D410" s="8" t="s">
        <v>470</v>
      </c>
      <c r="E410" s="8">
        <v>2</v>
      </c>
      <c r="F410" s="8">
        <v>15</v>
      </c>
      <c r="G410" s="8">
        <v>6.9</v>
      </c>
      <c r="H410" s="8">
        <v>7</v>
      </c>
      <c r="I410" s="8">
        <v>7</v>
      </c>
    </row>
    <row r="411" spans="1:9">
      <c r="A411" s="8" t="s">
        <v>452</v>
      </c>
      <c r="B411" s="8" t="str">
        <f>VLOOKUP(A411,地区!$B$1:$C$43,2,0)</f>
        <v>西南地区</v>
      </c>
      <c r="C411" s="8" t="s">
        <v>104</v>
      </c>
      <c r="D411" s="8" t="s">
        <v>471</v>
      </c>
      <c r="E411" s="8">
        <v>8</v>
      </c>
      <c r="F411" s="8">
        <v>27</v>
      </c>
      <c r="G411" s="8">
        <v>7</v>
      </c>
      <c r="H411" s="8">
        <v>6.9</v>
      </c>
      <c r="I411" s="8">
        <v>7.1</v>
      </c>
    </row>
    <row r="412" spans="1:9">
      <c r="A412" s="8" t="s">
        <v>452</v>
      </c>
      <c r="B412" s="8" t="str">
        <f>VLOOKUP(A412,地区!$B$1:$C$43,2,0)</f>
        <v>西南地区</v>
      </c>
      <c r="C412" s="8" t="s">
        <v>85</v>
      </c>
      <c r="D412" s="8" t="s">
        <v>472</v>
      </c>
      <c r="E412" s="8">
        <v>22</v>
      </c>
      <c r="F412" s="8">
        <v>41</v>
      </c>
      <c r="G412" s="8">
        <v>7.5</v>
      </c>
      <c r="H412" s="8">
        <v>7.4</v>
      </c>
      <c r="I412" s="8">
        <v>7.4</v>
      </c>
    </row>
    <row r="413" spans="1:9">
      <c r="A413" s="8" t="s">
        <v>452</v>
      </c>
      <c r="B413" s="8" t="str">
        <f>VLOOKUP(A413,地区!$B$1:$C$43,2,0)</f>
        <v>西南地区</v>
      </c>
      <c r="C413" s="8" t="s">
        <v>85</v>
      </c>
      <c r="D413" s="8" t="s">
        <v>473</v>
      </c>
      <c r="E413" s="8">
        <v>353</v>
      </c>
      <c r="F413" s="8">
        <v>21</v>
      </c>
      <c r="G413" s="8">
        <v>7.8</v>
      </c>
      <c r="H413" s="8">
        <v>7.7</v>
      </c>
      <c r="I413" s="8">
        <v>7.6</v>
      </c>
    </row>
    <row r="414" spans="1:9">
      <c r="A414" s="8" t="s">
        <v>452</v>
      </c>
      <c r="B414" s="8" t="str">
        <f>VLOOKUP(A414,地区!$B$1:$C$43,2,0)</f>
        <v>西南地区</v>
      </c>
      <c r="C414" s="8" t="s">
        <v>85</v>
      </c>
      <c r="D414" s="8" t="s">
        <v>474</v>
      </c>
      <c r="E414" s="8">
        <v>6</v>
      </c>
      <c r="F414" s="8">
        <v>34</v>
      </c>
      <c r="G414" s="8">
        <v>7.6</v>
      </c>
      <c r="H414" s="8">
        <v>7.6</v>
      </c>
      <c r="I414" s="8">
        <v>7.6</v>
      </c>
    </row>
    <row r="415" spans="1:9">
      <c r="A415" s="8" t="s">
        <v>452</v>
      </c>
      <c r="B415" s="8" t="str">
        <f>VLOOKUP(A415,地区!$B$1:$C$43,2,0)</f>
        <v>西南地区</v>
      </c>
      <c r="C415" s="8" t="s">
        <v>85</v>
      </c>
      <c r="D415" s="8" t="s">
        <v>475</v>
      </c>
      <c r="E415" s="8">
        <v>40</v>
      </c>
      <c r="F415" s="8">
        <v>23</v>
      </c>
      <c r="G415" s="8">
        <v>7.3</v>
      </c>
      <c r="H415" s="8">
        <v>6.8</v>
      </c>
      <c r="I415" s="8">
        <v>6.8</v>
      </c>
    </row>
    <row r="416" spans="1:9">
      <c r="A416" s="8" t="s">
        <v>452</v>
      </c>
      <c r="B416" s="8" t="str">
        <f>VLOOKUP(A416,地区!$B$1:$C$43,2,0)</f>
        <v>西南地区</v>
      </c>
      <c r="C416" s="8" t="s">
        <v>85</v>
      </c>
      <c r="D416" s="8" t="s">
        <v>476</v>
      </c>
      <c r="E416" s="8">
        <v>20</v>
      </c>
      <c r="F416" s="8">
        <v>58</v>
      </c>
      <c r="G416" s="8">
        <v>7.7</v>
      </c>
      <c r="H416" s="8">
        <v>7.7</v>
      </c>
      <c r="I416" s="8">
        <v>7.5</v>
      </c>
    </row>
    <row r="417" spans="1:9">
      <c r="A417" s="8" t="s">
        <v>452</v>
      </c>
      <c r="B417" s="8" t="str">
        <f>VLOOKUP(A417,地区!$B$1:$C$43,2,0)</f>
        <v>西南地区</v>
      </c>
      <c r="C417" s="8" t="s">
        <v>85</v>
      </c>
      <c r="D417" s="8" t="s">
        <v>477</v>
      </c>
      <c r="E417" s="8">
        <v>80</v>
      </c>
      <c r="F417" s="8">
        <v>11</v>
      </c>
      <c r="G417" s="8">
        <v>7.4</v>
      </c>
      <c r="H417" s="8">
        <v>7.5</v>
      </c>
      <c r="I417" s="8">
        <v>7.4</v>
      </c>
    </row>
    <row r="418" spans="1:9">
      <c r="A418" s="8" t="s">
        <v>452</v>
      </c>
      <c r="B418" s="8" t="str">
        <f>VLOOKUP(A418,地区!$B$1:$C$43,2,0)</f>
        <v>西南地区</v>
      </c>
      <c r="C418" s="8" t="s">
        <v>85</v>
      </c>
      <c r="D418" s="8" t="s">
        <v>478</v>
      </c>
      <c r="E418" s="8">
        <v>24</v>
      </c>
      <c r="F418" s="8">
        <v>10</v>
      </c>
      <c r="G418" s="8">
        <v>7.3</v>
      </c>
      <c r="H418" s="8">
        <v>7.3</v>
      </c>
      <c r="I418" s="8">
        <v>7.2</v>
      </c>
    </row>
    <row r="419" spans="1:9">
      <c r="A419" s="8" t="s">
        <v>452</v>
      </c>
      <c r="B419" s="8" t="str">
        <f>VLOOKUP(A419,地区!$B$1:$C$43,2,0)</f>
        <v>西南地区</v>
      </c>
      <c r="C419" s="8" t="s">
        <v>124</v>
      </c>
      <c r="D419" s="8" t="s">
        <v>479</v>
      </c>
      <c r="E419" s="8">
        <v>347</v>
      </c>
      <c r="F419" s="8">
        <v>194</v>
      </c>
      <c r="G419" s="8">
        <v>7.3</v>
      </c>
      <c r="H419" s="8">
        <v>8.4</v>
      </c>
      <c r="I419" s="8">
        <v>7.6</v>
      </c>
    </row>
    <row r="420" spans="1:9">
      <c r="A420" s="8" t="s">
        <v>452</v>
      </c>
      <c r="B420" s="8" t="str">
        <f>VLOOKUP(A420,地区!$B$1:$C$43,2,0)</f>
        <v>西南地区</v>
      </c>
      <c r="C420" s="8" t="s">
        <v>124</v>
      </c>
      <c r="D420" s="8" t="s">
        <v>480</v>
      </c>
      <c r="E420" s="8">
        <v>107</v>
      </c>
      <c r="F420" s="8">
        <v>29</v>
      </c>
      <c r="G420" s="8">
        <v>7.7</v>
      </c>
      <c r="H420" s="8">
        <v>7.8</v>
      </c>
      <c r="I420" s="8">
        <v>7.9</v>
      </c>
    </row>
    <row r="421" spans="1:9">
      <c r="A421" s="8" t="s">
        <v>452</v>
      </c>
      <c r="B421" s="8" t="str">
        <f>VLOOKUP(A421,地区!$B$1:$C$43,2,0)</f>
        <v>西南地区</v>
      </c>
      <c r="C421" s="8" t="s">
        <v>72</v>
      </c>
      <c r="D421" s="8" t="s">
        <v>481</v>
      </c>
      <c r="E421" s="8">
        <v>126</v>
      </c>
      <c r="F421" s="8">
        <v>17</v>
      </c>
      <c r="G421" s="8">
        <v>7.9</v>
      </c>
      <c r="H421" s="8">
        <v>7.9</v>
      </c>
      <c r="I421" s="8">
        <v>7.9</v>
      </c>
    </row>
    <row r="422" spans="1:9">
      <c r="A422" s="8" t="s">
        <v>452</v>
      </c>
      <c r="B422" s="8" t="str">
        <f>VLOOKUP(A422,地区!$B$1:$C$43,2,0)</f>
        <v>西南地区</v>
      </c>
      <c r="C422" s="8" t="s">
        <v>72</v>
      </c>
      <c r="D422" s="8" t="s">
        <v>482</v>
      </c>
      <c r="E422" s="8">
        <v>11</v>
      </c>
      <c r="F422" s="8">
        <v>11</v>
      </c>
      <c r="G422" s="8">
        <v>7.4</v>
      </c>
      <c r="H422" s="8">
        <v>6.9</v>
      </c>
      <c r="I422" s="8">
        <v>7.2</v>
      </c>
    </row>
    <row r="423" spans="1:9">
      <c r="A423" s="8" t="s">
        <v>452</v>
      </c>
      <c r="B423" s="8" t="str">
        <f>VLOOKUP(A423,地区!$B$1:$C$43,2,0)</f>
        <v>西南地区</v>
      </c>
      <c r="C423" s="8" t="s">
        <v>72</v>
      </c>
      <c r="D423" s="8" t="s">
        <v>483</v>
      </c>
      <c r="E423" s="8">
        <v>22</v>
      </c>
      <c r="F423" s="8">
        <v>15</v>
      </c>
      <c r="G423" s="8">
        <v>7.3</v>
      </c>
      <c r="H423" s="8">
        <v>7.2</v>
      </c>
      <c r="I423" s="8">
        <v>7.1</v>
      </c>
    </row>
    <row r="424" spans="1:9">
      <c r="A424" s="8" t="s">
        <v>452</v>
      </c>
      <c r="B424" s="8" t="str">
        <f>VLOOKUP(A424,地区!$B$1:$C$43,2,0)</f>
        <v>西南地区</v>
      </c>
      <c r="C424" s="8" t="s">
        <v>72</v>
      </c>
      <c r="D424" s="8" t="s">
        <v>484</v>
      </c>
      <c r="E424" s="8">
        <v>13</v>
      </c>
      <c r="F424" s="8">
        <v>21</v>
      </c>
      <c r="G424" s="8">
        <v>7</v>
      </c>
      <c r="H424" s="8">
        <v>6.9</v>
      </c>
      <c r="I424" s="8">
        <v>7.2</v>
      </c>
    </row>
    <row r="425" spans="1:9">
      <c r="A425" s="8" t="s">
        <v>452</v>
      </c>
      <c r="B425" s="8" t="str">
        <f>VLOOKUP(A425,地区!$B$1:$C$43,2,0)</f>
        <v>西南地区</v>
      </c>
      <c r="C425" s="8" t="s">
        <v>72</v>
      </c>
      <c r="D425" s="8" t="s">
        <v>485</v>
      </c>
      <c r="E425" s="8">
        <v>15</v>
      </c>
      <c r="F425" s="8">
        <v>13</v>
      </c>
      <c r="G425" s="8">
        <v>7.3</v>
      </c>
      <c r="H425" s="8">
        <v>7.1</v>
      </c>
      <c r="I425" s="8">
        <v>7.3</v>
      </c>
    </row>
    <row r="426" spans="1:9">
      <c r="A426" s="8" t="s">
        <v>452</v>
      </c>
      <c r="B426" s="8" t="str">
        <f>VLOOKUP(A426,地区!$B$1:$C$43,2,0)</f>
        <v>西南地区</v>
      </c>
      <c r="C426" s="8" t="s">
        <v>155</v>
      </c>
      <c r="D426" s="8" t="s">
        <v>486</v>
      </c>
      <c r="E426" s="8">
        <v>2</v>
      </c>
      <c r="F426" s="8">
        <v>10</v>
      </c>
      <c r="G426" s="8">
        <v>7</v>
      </c>
      <c r="H426" s="8">
        <v>7.1</v>
      </c>
      <c r="I426" s="8">
        <v>6.9</v>
      </c>
    </row>
    <row r="427" spans="1:9">
      <c r="A427" s="8" t="s">
        <v>452</v>
      </c>
      <c r="B427" s="8" t="str">
        <f>VLOOKUP(A427,地区!$B$1:$C$43,2,0)</f>
        <v>西南地区</v>
      </c>
      <c r="C427" s="8" t="s">
        <v>90</v>
      </c>
      <c r="D427" s="8" t="s">
        <v>487</v>
      </c>
      <c r="E427" s="8">
        <v>128</v>
      </c>
      <c r="F427" s="8">
        <v>43</v>
      </c>
      <c r="G427" s="8">
        <v>8.3</v>
      </c>
      <c r="H427" s="8">
        <v>8.3</v>
      </c>
      <c r="I427" s="8">
        <v>8.2</v>
      </c>
    </row>
    <row r="428" spans="1:9">
      <c r="A428" s="8" t="s">
        <v>452</v>
      </c>
      <c r="B428" s="8" t="str">
        <f>VLOOKUP(A428,地区!$B$1:$C$43,2,0)</f>
        <v>西南地区</v>
      </c>
      <c r="C428" s="8" t="s">
        <v>90</v>
      </c>
      <c r="D428" s="8" t="s">
        <v>488</v>
      </c>
      <c r="E428" s="8">
        <v>16</v>
      </c>
      <c r="F428" s="8">
        <v>54</v>
      </c>
      <c r="G428" s="8">
        <v>7.2</v>
      </c>
      <c r="H428" s="8">
        <v>7.2</v>
      </c>
      <c r="I428" s="8">
        <v>7</v>
      </c>
    </row>
    <row r="429" spans="1:9">
      <c r="A429" s="8" t="s">
        <v>452</v>
      </c>
      <c r="B429" s="8" t="str">
        <f>VLOOKUP(A429,地区!$B$1:$C$43,2,0)</f>
        <v>西南地区</v>
      </c>
      <c r="C429" s="8" t="s">
        <v>90</v>
      </c>
      <c r="D429" s="8" t="s">
        <v>489</v>
      </c>
      <c r="E429" s="8">
        <v>9</v>
      </c>
      <c r="F429" s="8">
        <v>73</v>
      </c>
      <c r="G429" s="8">
        <v>7</v>
      </c>
      <c r="H429" s="8">
        <v>7</v>
      </c>
      <c r="I429" s="8">
        <v>7.3</v>
      </c>
    </row>
    <row r="430" spans="1:9">
      <c r="A430" s="8" t="s">
        <v>452</v>
      </c>
      <c r="B430" s="8" t="str">
        <f>VLOOKUP(A430,地区!$B$1:$C$43,2,0)</f>
        <v>西南地区</v>
      </c>
      <c r="C430" s="8" t="s">
        <v>90</v>
      </c>
      <c r="D430" s="8" t="s">
        <v>490</v>
      </c>
      <c r="E430" s="8">
        <v>17</v>
      </c>
      <c r="F430" s="8">
        <v>33</v>
      </c>
      <c r="G430" s="8">
        <v>6.9</v>
      </c>
      <c r="H430" s="8">
        <v>7</v>
      </c>
      <c r="I430" s="8">
        <v>6.9</v>
      </c>
    </row>
    <row r="431" spans="1:9">
      <c r="A431" s="8" t="s">
        <v>452</v>
      </c>
      <c r="B431" s="8" t="str">
        <f>VLOOKUP(A431,地区!$B$1:$C$43,2,0)</f>
        <v>西南地区</v>
      </c>
      <c r="C431" s="8" t="s">
        <v>90</v>
      </c>
      <c r="D431" s="8" t="s">
        <v>491</v>
      </c>
      <c r="E431" s="8">
        <v>8</v>
      </c>
      <c r="F431" s="8">
        <v>40</v>
      </c>
      <c r="G431" s="8">
        <v>7.2</v>
      </c>
      <c r="H431" s="8">
        <v>7</v>
      </c>
      <c r="I431" s="8">
        <v>6.9</v>
      </c>
    </row>
    <row r="432" spans="1:9">
      <c r="A432" s="8" t="s">
        <v>492</v>
      </c>
      <c r="B432" s="8" t="str">
        <f>VLOOKUP(A432,地区!$B$1:$C$43,2,0)</f>
        <v>西北地区</v>
      </c>
      <c r="C432" s="8" t="s">
        <v>45</v>
      </c>
      <c r="D432" s="8" t="s">
        <v>493</v>
      </c>
      <c r="E432" s="8">
        <v>6</v>
      </c>
      <c r="F432" s="8">
        <v>33</v>
      </c>
      <c r="G432" s="8">
        <v>7</v>
      </c>
      <c r="H432" s="8">
        <v>6.9</v>
      </c>
      <c r="I432" s="8">
        <v>6.9</v>
      </c>
    </row>
    <row r="433" spans="1:9">
      <c r="A433" s="8" t="s">
        <v>492</v>
      </c>
      <c r="B433" s="8" t="str">
        <f>VLOOKUP(A433,地区!$B$1:$C$43,2,0)</f>
        <v>西北地区</v>
      </c>
      <c r="C433" s="8" t="s">
        <v>45</v>
      </c>
      <c r="D433" s="8" t="s">
        <v>494</v>
      </c>
      <c r="E433" s="8">
        <v>4</v>
      </c>
      <c r="F433" s="8">
        <v>39</v>
      </c>
      <c r="G433" s="8">
        <v>6.9</v>
      </c>
      <c r="H433" s="8">
        <v>6.9</v>
      </c>
      <c r="I433" s="8">
        <v>6.9</v>
      </c>
    </row>
    <row r="434" spans="1:9">
      <c r="A434" s="8" t="s">
        <v>492</v>
      </c>
      <c r="B434" s="8" t="str">
        <f>VLOOKUP(A434,地区!$B$1:$C$43,2,0)</f>
        <v>西北地区</v>
      </c>
      <c r="C434" s="8" t="s">
        <v>45</v>
      </c>
      <c r="D434" s="8" t="s">
        <v>495</v>
      </c>
      <c r="E434" s="8">
        <v>9</v>
      </c>
      <c r="F434" s="8">
        <v>50</v>
      </c>
      <c r="G434" s="8">
        <v>6.8</v>
      </c>
      <c r="H434" s="8">
        <v>6.9</v>
      </c>
      <c r="I434" s="8">
        <v>6.9</v>
      </c>
    </row>
    <row r="435" spans="1:9">
      <c r="A435" s="8" t="s">
        <v>492</v>
      </c>
      <c r="B435" s="8" t="str">
        <f>VLOOKUP(A435,地区!$B$1:$C$43,2,0)</f>
        <v>西北地区</v>
      </c>
      <c r="C435" s="8" t="s">
        <v>271</v>
      </c>
      <c r="D435" s="8" t="s">
        <v>496</v>
      </c>
      <c r="E435" s="8">
        <v>4</v>
      </c>
      <c r="F435" s="8">
        <v>34</v>
      </c>
      <c r="G435" s="8">
        <v>7.5</v>
      </c>
      <c r="H435" s="8">
        <v>7.5</v>
      </c>
      <c r="I435" s="8">
        <v>7.5</v>
      </c>
    </row>
    <row r="436" spans="1:9">
      <c r="A436" s="8" t="s">
        <v>492</v>
      </c>
      <c r="B436" s="8" t="str">
        <f>VLOOKUP(A436,地区!$B$1:$C$43,2,0)</f>
        <v>西北地区</v>
      </c>
      <c r="C436" s="8" t="s">
        <v>211</v>
      </c>
      <c r="D436" s="8" t="s">
        <v>497</v>
      </c>
      <c r="E436" s="8">
        <v>25</v>
      </c>
      <c r="F436" s="8">
        <v>31</v>
      </c>
      <c r="G436" s="8">
        <v>7</v>
      </c>
      <c r="H436" s="8">
        <v>7.1</v>
      </c>
      <c r="I436" s="8">
        <v>6.9</v>
      </c>
    </row>
    <row r="437" spans="1:9">
      <c r="A437" s="8" t="s">
        <v>492</v>
      </c>
      <c r="B437" s="8" t="str">
        <f>VLOOKUP(A437,地区!$B$1:$C$43,2,0)</f>
        <v>西北地区</v>
      </c>
      <c r="C437" s="8" t="s">
        <v>211</v>
      </c>
      <c r="D437" s="8" t="s">
        <v>498</v>
      </c>
      <c r="E437" s="8">
        <v>4</v>
      </c>
      <c r="F437" s="8">
        <v>13</v>
      </c>
      <c r="G437" s="8">
        <v>7</v>
      </c>
      <c r="H437" s="8">
        <v>7</v>
      </c>
      <c r="I437" s="8">
        <v>6.9</v>
      </c>
    </row>
    <row r="438" spans="1:9">
      <c r="A438" s="8" t="s">
        <v>492</v>
      </c>
      <c r="B438" s="8" t="str">
        <f>VLOOKUP(A438,地区!$B$1:$C$43,2,0)</f>
        <v>西北地区</v>
      </c>
      <c r="C438" s="8" t="s">
        <v>211</v>
      </c>
      <c r="D438" s="8" t="s">
        <v>499</v>
      </c>
      <c r="E438" s="8">
        <v>20</v>
      </c>
      <c r="F438" s="8">
        <v>10</v>
      </c>
      <c r="G438" s="8">
        <v>7.1</v>
      </c>
      <c r="H438" s="8">
        <v>7.1</v>
      </c>
      <c r="I438" s="8">
        <v>7.1</v>
      </c>
    </row>
    <row r="439" spans="1:9">
      <c r="A439" s="8" t="s">
        <v>492</v>
      </c>
      <c r="B439" s="8" t="str">
        <f>VLOOKUP(A439,地区!$B$1:$C$43,2,0)</f>
        <v>西北地区</v>
      </c>
      <c r="C439" s="8" t="s">
        <v>211</v>
      </c>
      <c r="D439" s="8" t="s">
        <v>500</v>
      </c>
      <c r="E439" s="8">
        <v>11</v>
      </c>
      <c r="F439" s="8">
        <v>15</v>
      </c>
      <c r="G439" s="8">
        <v>7.4</v>
      </c>
      <c r="H439" s="8">
        <v>7.5</v>
      </c>
      <c r="I439" s="8">
        <v>7.5</v>
      </c>
    </row>
    <row r="440" spans="1:9">
      <c r="A440" s="8" t="s">
        <v>492</v>
      </c>
      <c r="B440" s="8" t="str">
        <f>VLOOKUP(A440,地区!$B$1:$C$43,2,0)</f>
        <v>西北地区</v>
      </c>
      <c r="C440" s="8" t="s">
        <v>211</v>
      </c>
      <c r="D440" s="8" t="s">
        <v>501</v>
      </c>
      <c r="E440" s="8">
        <v>118</v>
      </c>
      <c r="F440" s="8">
        <v>9</v>
      </c>
      <c r="G440" s="8">
        <v>7.1</v>
      </c>
      <c r="H440" s="8">
        <v>6.6</v>
      </c>
      <c r="I440" s="8">
        <v>6.6</v>
      </c>
    </row>
    <row r="441" spans="1:9">
      <c r="A441" s="8" t="s">
        <v>492</v>
      </c>
      <c r="B441" s="8" t="str">
        <f>VLOOKUP(A441,地区!$B$1:$C$43,2,0)</f>
        <v>西北地区</v>
      </c>
      <c r="C441" s="8" t="s">
        <v>211</v>
      </c>
      <c r="D441" s="8" t="s">
        <v>502</v>
      </c>
      <c r="E441" s="8">
        <v>31</v>
      </c>
      <c r="F441" s="8">
        <v>21</v>
      </c>
      <c r="G441" s="8">
        <v>7.2</v>
      </c>
      <c r="H441" s="8">
        <v>7.3</v>
      </c>
      <c r="I441" s="8">
        <v>7.3</v>
      </c>
    </row>
    <row r="442" spans="1:9">
      <c r="A442" s="8" t="s">
        <v>492</v>
      </c>
      <c r="B442" s="8" t="str">
        <f>VLOOKUP(A442,地区!$B$1:$C$43,2,0)</f>
        <v>西北地区</v>
      </c>
      <c r="C442" s="8" t="s">
        <v>211</v>
      </c>
      <c r="D442" s="8" t="s">
        <v>503</v>
      </c>
      <c r="E442" s="8">
        <v>16</v>
      </c>
      <c r="F442" s="8">
        <v>20</v>
      </c>
      <c r="G442" s="8">
        <v>7.2</v>
      </c>
      <c r="H442" s="8">
        <v>7.2</v>
      </c>
      <c r="I442" s="8">
        <v>7</v>
      </c>
    </row>
    <row r="443" spans="1:9">
      <c r="A443" s="8" t="s">
        <v>492</v>
      </c>
      <c r="B443" s="8" t="str">
        <f>VLOOKUP(A443,地区!$B$1:$C$43,2,0)</f>
        <v>西北地区</v>
      </c>
      <c r="C443" s="8" t="s">
        <v>211</v>
      </c>
      <c r="D443" s="8" t="s">
        <v>504</v>
      </c>
      <c r="E443" s="8">
        <v>5</v>
      </c>
      <c r="F443" s="8">
        <v>16</v>
      </c>
      <c r="G443" s="8">
        <v>7.3</v>
      </c>
      <c r="H443" s="8">
        <v>7.2</v>
      </c>
      <c r="I443" s="8">
        <v>7.2</v>
      </c>
    </row>
    <row r="444" spans="1:9">
      <c r="A444" s="8" t="s">
        <v>492</v>
      </c>
      <c r="B444" s="8" t="str">
        <f>VLOOKUP(A444,地区!$B$1:$C$43,2,0)</f>
        <v>西北地区</v>
      </c>
      <c r="C444" s="8" t="s">
        <v>233</v>
      </c>
      <c r="D444" s="8" t="s">
        <v>505</v>
      </c>
      <c r="E444" s="8">
        <v>13</v>
      </c>
      <c r="F444" s="8">
        <v>32</v>
      </c>
      <c r="G444" s="8">
        <v>7.2</v>
      </c>
      <c r="H444" s="8">
        <v>7</v>
      </c>
      <c r="I444" s="8">
        <v>7.1</v>
      </c>
    </row>
    <row r="445" spans="1:9">
      <c r="A445" s="8" t="s">
        <v>492</v>
      </c>
      <c r="B445" s="8" t="str">
        <f>VLOOKUP(A445,地区!$B$1:$C$43,2,0)</f>
        <v>西北地区</v>
      </c>
      <c r="C445" s="8" t="s">
        <v>233</v>
      </c>
      <c r="D445" s="8" t="s">
        <v>506</v>
      </c>
      <c r="E445" s="8">
        <v>6</v>
      </c>
      <c r="F445" s="8">
        <v>30</v>
      </c>
      <c r="G445" s="8">
        <v>7.1</v>
      </c>
      <c r="H445" s="8">
        <v>7</v>
      </c>
      <c r="I445" s="8">
        <v>7</v>
      </c>
    </row>
    <row r="446" spans="1:9">
      <c r="A446" s="8" t="s">
        <v>492</v>
      </c>
      <c r="B446" s="8" t="str">
        <f>VLOOKUP(A446,地区!$B$1:$C$43,2,0)</f>
        <v>西北地区</v>
      </c>
      <c r="C446" s="8" t="s">
        <v>124</v>
      </c>
      <c r="D446" s="8" t="s">
        <v>507</v>
      </c>
      <c r="E446" s="8">
        <v>13</v>
      </c>
      <c r="F446" s="8">
        <v>37</v>
      </c>
      <c r="G446" s="8">
        <v>7.2</v>
      </c>
      <c r="H446" s="8">
        <v>7.4</v>
      </c>
      <c r="I446" s="8">
        <v>7.4</v>
      </c>
    </row>
    <row r="447" spans="1:9">
      <c r="A447" s="8" t="s">
        <v>492</v>
      </c>
      <c r="B447" s="8" t="str">
        <f>VLOOKUP(A447,地区!$B$1:$C$43,2,0)</f>
        <v>西北地区</v>
      </c>
      <c r="C447" s="8" t="s">
        <v>59</v>
      </c>
      <c r="D447" s="8" t="s">
        <v>508</v>
      </c>
      <c r="E447" s="8">
        <v>214</v>
      </c>
      <c r="F447" s="8">
        <v>65</v>
      </c>
      <c r="G447" s="8">
        <v>8.3</v>
      </c>
      <c r="H447" s="8">
        <v>8.2</v>
      </c>
      <c r="I447" s="8">
        <v>8</v>
      </c>
    </row>
    <row r="448" spans="1:9">
      <c r="A448" s="8" t="s">
        <v>492</v>
      </c>
      <c r="B448" s="8" t="str">
        <f>VLOOKUP(A448,地区!$B$1:$C$43,2,0)</f>
        <v>西北地区</v>
      </c>
      <c r="C448" s="8" t="s">
        <v>59</v>
      </c>
      <c r="D448" s="8" t="s">
        <v>509</v>
      </c>
      <c r="E448" s="8">
        <v>97</v>
      </c>
      <c r="F448" s="8">
        <v>57</v>
      </c>
      <c r="G448" s="8">
        <v>7.1</v>
      </c>
      <c r="H448" s="8">
        <v>6.9</v>
      </c>
      <c r="I448" s="8">
        <v>6.9</v>
      </c>
    </row>
    <row r="449" spans="1:9">
      <c r="A449" s="8" t="s">
        <v>492</v>
      </c>
      <c r="B449" s="8" t="str">
        <f>VLOOKUP(A449,地区!$B$1:$C$43,2,0)</f>
        <v>西北地区</v>
      </c>
      <c r="C449" s="8" t="s">
        <v>59</v>
      </c>
      <c r="D449" s="8" t="s">
        <v>510</v>
      </c>
      <c r="E449" s="8">
        <v>5</v>
      </c>
      <c r="F449" s="8">
        <v>40</v>
      </c>
      <c r="G449" s="8">
        <v>6.4</v>
      </c>
      <c r="H449" s="8">
        <v>6.4</v>
      </c>
      <c r="I449" s="8">
        <v>6.4</v>
      </c>
    </row>
    <row r="450" spans="1:9">
      <c r="A450" s="8" t="s">
        <v>492</v>
      </c>
      <c r="B450" s="8" t="str">
        <f>VLOOKUP(A450,地区!$B$1:$C$43,2,0)</f>
        <v>西北地区</v>
      </c>
      <c r="C450" s="8" t="s">
        <v>59</v>
      </c>
      <c r="D450" s="8" t="s">
        <v>511</v>
      </c>
      <c r="E450" s="8">
        <v>41</v>
      </c>
      <c r="F450" s="8">
        <v>22</v>
      </c>
      <c r="G450" s="8">
        <v>7.5</v>
      </c>
      <c r="H450" s="8">
        <v>7.6</v>
      </c>
      <c r="I450" s="8">
        <v>7.4</v>
      </c>
    </row>
    <row r="451" spans="1:9">
      <c r="A451" s="8" t="s">
        <v>492</v>
      </c>
      <c r="B451" s="8" t="str">
        <f>VLOOKUP(A451,地区!$B$1:$C$43,2,0)</f>
        <v>西北地区</v>
      </c>
      <c r="C451" s="8" t="s">
        <v>59</v>
      </c>
      <c r="D451" s="8" t="s">
        <v>512</v>
      </c>
      <c r="E451" s="8">
        <v>12</v>
      </c>
      <c r="F451" s="8">
        <v>37</v>
      </c>
      <c r="G451" s="8">
        <v>7.3</v>
      </c>
      <c r="H451" s="8">
        <v>7.2</v>
      </c>
      <c r="I451" s="8">
        <v>7.4</v>
      </c>
    </row>
    <row r="452" spans="1:9">
      <c r="A452" s="8" t="s">
        <v>492</v>
      </c>
      <c r="B452" s="8" t="str">
        <f>VLOOKUP(A452,地区!$B$1:$C$43,2,0)</f>
        <v>西北地区</v>
      </c>
      <c r="C452" s="8" t="s">
        <v>59</v>
      </c>
      <c r="D452" s="8" t="s">
        <v>513</v>
      </c>
      <c r="E452" s="8">
        <v>44</v>
      </c>
      <c r="F452" s="8">
        <v>68</v>
      </c>
      <c r="G452" s="8">
        <v>7.4</v>
      </c>
      <c r="H452" s="8">
        <v>7.6</v>
      </c>
      <c r="I452" s="8">
        <v>7.4</v>
      </c>
    </row>
    <row r="453" spans="1:9">
      <c r="A453" s="8" t="s">
        <v>492</v>
      </c>
      <c r="B453" s="8" t="str">
        <f>VLOOKUP(A453,地区!$B$1:$C$43,2,0)</f>
        <v>西北地区</v>
      </c>
      <c r="C453" s="8" t="s">
        <v>59</v>
      </c>
      <c r="D453" s="8" t="s">
        <v>514</v>
      </c>
      <c r="E453" s="8">
        <v>7</v>
      </c>
      <c r="F453" s="8">
        <v>50</v>
      </c>
      <c r="G453" s="8">
        <v>6.9</v>
      </c>
      <c r="H453" s="8">
        <v>6.9</v>
      </c>
      <c r="I453" s="8">
        <v>7</v>
      </c>
    </row>
    <row r="454" spans="1:9">
      <c r="A454" s="8" t="s">
        <v>492</v>
      </c>
      <c r="B454" s="8" t="str">
        <f>VLOOKUP(A454,地区!$B$1:$C$43,2,0)</f>
        <v>西北地区</v>
      </c>
      <c r="C454" s="8" t="s">
        <v>59</v>
      </c>
      <c r="D454" s="8" t="s">
        <v>515</v>
      </c>
      <c r="E454" s="8">
        <v>9</v>
      </c>
      <c r="F454" s="8">
        <v>33</v>
      </c>
      <c r="G454" s="8">
        <v>6.8</v>
      </c>
      <c r="H454" s="8">
        <v>6.8</v>
      </c>
      <c r="I454" s="8">
        <v>6.6</v>
      </c>
    </row>
    <row r="455" spans="1:9">
      <c r="A455" s="8" t="s">
        <v>492</v>
      </c>
      <c r="B455" s="8" t="str">
        <f>VLOOKUP(A455,地区!$B$1:$C$43,2,0)</f>
        <v>西北地区</v>
      </c>
      <c r="C455" s="8" t="s">
        <v>445</v>
      </c>
      <c r="D455" s="8" t="s">
        <v>516</v>
      </c>
      <c r="E455" s="8">
        <v>88</v>
      </c>
      <c r="F455" s="8">
        <v>11</v>
      </c>
      <c r="G455" s="8">
        <v>7.2</v>
      </c>
      <c r="H455" s="8">
        <v>6.7</v>
      </c>
      <c r="I455" s="8">
        <v>6.6</v>
      </c>
    </row>
    <row r="456" spans="1:9">
      <c r="A456" s="8" t="s">
        <v>492</v>
      </c>
      <c r="B456" s="8" t="str">
        <f>VLOOKUP(A456,地区!$B$1:$C$43,2,0)</f>
        <v>西北地区</v>
      </c>
      <c r="C456" s="8" t="s">
        <v>445</v>
      </c>
      <c r="D456" s="8" t="s">
        <v>517</v>
      </c>
      <c r="E456" s="8">
        <v>18</v>
      </c>
      <c r="F456" s="8">
        <v>14</v>
      </c>
      <c r="G456" s="8">
        <v>7.4</v>
      </c>
      <c r="H456" s="8">
        <v>6.7</v>
      </c>
      <c r="I456" s="8">
        <v>6.7</v>
      </c>
    </row>
    <row r="457" spans="1:9">
      <c r="A457" s="8" t="s">
        <v>492</v>
      </c>
      <c r="B457" s="8" t="str">
        <f>VLOOKUP(A457,地区!$B$1:$C$43,2,0)</f>
        <v>西北地区</v>
      </c>
      <c r="C457" s="8" t="s">
        <v>445</v>
      </c>
      <c r="D457" s="8" t="s">
        <v>518</v>
      </c>
      <c r="E457" s="8">
        <v>2</v>
      </c>
      <c r="F457" s="8">
        <v>28</v>
      </c>
      <c r="G457" s="8">
        <v>6.9</v>
      </c>
      <c r="H457" s="8">
        <v>6.9</v>
      </c>
      <c r="I457" s="8">
        <v>6.9</v>
      </c>
    </row>
    <row r="458" spans="1:9">
      <c r="A458" s="8" t="s">
        <v>492</v>
      </c>
      <c r="B458" s="8" t="str">
        <f>VLOOKUP(A458,地区!$B$1:$C$43,2,0)</f>
        <v>西北地区</v>
      </c>
      <c r="C458" s="8" t="s">
        <v>90</v>
      </c>
      <c r="D458" s="8" t="s">
        <v>519</v>
      </c>
      <c r="E458" s="8">
        <v>88</v>
      </c>
      <c r="F458" s="8">
        <v>63</v>
      </c>
      <c r="G458" s="8">
        <v>7.8</v>
      </c>
      <c r="H458" s="8">
        <v>7.6</v>
      </c>
      <c r="I458" s="8">
        <v>7.1</v>
      </c>
    </row>
    <row r="459" spans="1:9">
      <c r="A459" s="8" t="s">
        <v>492</v>
      </c>
      <c r="B459" s="8" t="str">
        <f>VLOOKUP(A459,地区!$B$1:$C$43,2,0)</f>
        <v>西北地区</v>
      </c>
      <c r="C459" s="8" t="s">
        <v>90</v>
      </c>
      <c r="D459" s="8" t="s">
        <v>520</v>
      </c>
      <c r="E459" s="8">
        <v>27</v>
      </c>
      <c r="F459" s="8">
        <v>21</v>
      </c>
      <c r="G459" s="8">
        <v>8.6</v>
      </c>
      <c r="H459" s="8">
        <v>8.9</v>
      </c>
      <c r="I459" s="8">
        <v>8.8</v>
      </c>
    </row>
    <row r="460" spans="1:9">
      <c r="A460" s="8" t="s">
        <v>492</v>
      </c>
      <c r="B460" s="8" t="str">
        <f>VLOOKUP(A460,地区!$B$1:$C$43,2,0)</f>
        <v>西北地区</v>
      </c>
      <c r="C460" s="8" t="s">
        <v>90</v>
      </c>
      <c r="D460" s="8" t="s">
        <v>521</v>
      </c>
      <c r="E460" s="8">
        <v>10</v>
      </c>
      <c r="F460" s="8">
        <v>80</v>
      </c>
      <c r="G460" s="8">
        <v>7.4</v>
      </c>
      <c r="H460" s="8">
        <v>7.2</v>
      </c>
      <c r="I460" s="8">
        <v>7.2</v>
      </c>
    </row>
    <row r="461" spans="1:9">
      <c r="A461" s="8" t="s">
        <v>492</v>
      </c>
      <c r="B461" s="8" t="str">
        <f>VLOOKUP(A461,地区!$B$1:$C$43,2,0)</f>
        <v>西北地区</v>
      </c>
      <c r="C461" s="8" t="s">
        <v>90</v>
      </c>
      <c r="D461" s="8" t="s">
        <v>522</v>
      </c>
      <c r="E461" s="8">
        <v>20</v>
      </c>
      <c r="F461" s="8">
        <v>25</v>
      </c>
      <c r="G461" s="8">
        <v>7.3</v>
      </c>
      <c r="H461" s="8">
        <v>7.4</v>
      </c>
      <c r="I461" s="8">
        <v>7.3</v>
      </c>
    </row>
    <row r="462" spans="1:9">
      <c r="A462" s="8" t="s">
        <v>492</v>
      </c>
      <c r="B462" s="8" t="str">
        <f>VLOOKUP(A462,地区!$B$1:$C$43,2,0)</f>
        <v>西北地区</v>
      </c>
      <c r="C462" s="8" t="s">
        <v>90</v>
      </c>
      <c r="D462" s="8" t="s">
        <v>523</v>
      </c>
      <c r="E462" s="8">
        <v>10</v>
      </c>
      <c r="F462" s="8">
        <v>39</v>
      </c>
      <c r="G462" s="8">
        <v>7.1</v>
      </c>
      <c r="H462" s="8">
        <v>7.1</v>
      </c>
      <c r="I462" s="8">
        <v>7</v>
      </c>
    </row>
    <row r="463" spans="1:9">
      <c r="A463" s="8" t="s">
        <v>492</v>
      </c>
      <c r="B463" s="8" t="str">
        <f>VLOOKUP(A463,地区!$B$1:$C$43,2,0)</f>
        <v>西北地区</v>
      </c>
      <c r="C463" s="8" t="s">
        <v>79</v>
      </c>
      <c r="D463" s="8" t="s">
        <v>524</v>
      </c>
      <c r="E463" s="8">
        <v>34</v>
      </c>
      <c r="F463" s="8">
        <v>48</v>
      </c>
      <c r="G463" s="8">
        <v>7.4</v>
      </c>
      <c r="H463" s="8">
        <v>7.5</v>
      </c>
      <c r="I463" s="8">
        <v>7.5</v>
      </c>
    </row>
    <row r="464" spans="1:9">
      <c r="A464" s="8" t="s">
        <v>492</v>
      </c>
      <c r="B464" s="8" t="str">
        <f>VLOOKUP(A464,地区!$B$1:$C$43,2,0)</f>
        <v>西北地区</v>
      </c>
      <c r="C464" s="8" t="s">
        <v>85</v>
      </c>
      <c r="D464" s="8" t="s">
        <v>525</v>
      </c>
      <c r="E464" s="8">
        <v>3</v>
      </c>
      <c r="F464" s="8">
        <v>20</v>
      </c>
      <c r="G464" s="8">
        <v>7</v>
      </c>
      <c r="H464" s="8">
        <v>7.1</v>
      </c>
      <c r="I464" s="8">
        <v>7</v>
      </c>
    </row>
    <row r="465" spans="1:9">
      <c r="A465" s="8" t="s">
        <v>492</v>
      </c>
      <c r="B465" s="8" t="str">
        <f>VLOOKUP(A465,地区!$B$1:$C$43,2,0)</f>
        <v>西北地区</v>
      </c>
      <c r="C465" s="8" t="s">
        <v>85</v>
      </c>
      <c r="D465" s="8" t="s">
        <v>526</v>
      </c>
      <c r="E465" s="8">
        <v>1</v>
      </c>
      <c r="F465" s="8">
        <v>20</v>
      </c>
      <c r="G465" s="8">
        <v>7</v>
      </c>
      <c r="H465" s="8">
        <v>7</v>
      </c>
      <c r="I465" s="8">
        <v>7</v>
      </c>
    </row>
    <row r="466" spans="1:9">
      <c r="A466" s="8" t="s">
        <v>492</v>
      </c>
      <c r="B466" s="8" t="str">
        <f>VLOOKUP(A466,地区!$B$1:$C$43,2,0)</f>
        <v>西北地区</v>
      </c>
      <c r="C466" s="8" t="s">
        <v>33</v>
      </c>
      <c r="D466" s="8" t="s">
        <v>527</v>
      </c>
      <c r="E466" s="8">
        <v>31</v>
      </c>
      <c r="F466" s="8">
        <v>14</v>
      </c>
      <c r="G466" s="8">
        <v>6.8</v>
      </c>
      <c r="H466" s="8">
        <v>6.6</v>
      </c>
      <c r="I466" s="8">
        <v>6.3</v>
      </c>
    </row>
    <row r="467" spans="1:9">
      <c r="A467" s="8" t="s">
        <v>528</v>
      </c>
      <c r="B467" s="8" t="str">
        <f>VLOOKUP(A467,地区!$B$1:$C$43,2,0)</f>
        <v>华东地区</v>
      </c>
      <c r="C467" s="8" t="s">
        <v>271</v>
      </c>
      <c r="D467" s="8" t="s">
        <v>529</v>
      </c>
      <c r="E467" s="8">
        <v>13</v>
      </c>
      <c r="F467" s="8">
        <v>52</v>
      </c>
      <c r="G467" s="8">
        <v>7.3</v>
      </c>
      <c r="H467" s="8">
        <v>7.1</v>
      </c>
      <c r="I467" s="8">
        <v>7.4</v>
      </c>
    </row>
    <row r="468" spans="1:9">
      <c r="A468" s="8" t="s">
        <v>528</v>
      </c>
      <c r="B468" s="8" t="str">
        <f>VLOOKUP(A468,地区!$B$1:$C$43,2,0)</f>
        <v>华东地区</v>
      </c>
      <c r="C468" s="8" t="s">
        <v>530</v>
      </c>
      <c r="D468" s="8" t="s">
        <v>531</v>
      </c>
      <c r="E468" s="8">
        <v>674</v>
      </c>
      <c r="F468" s="8">
        <v>57</v>
      </c>
      <c r="G468" s="8">
        <v>7.7</v>
      </c>
      <c r="H468" s="8">
        <v>7.7</v>
      </c>
      <c r="I468" s="8">
        <v>7.7</v>
      </c>
    </row>
    <row r="469" spans="1:9">
      <c r="A469" s="8" t="s">
        <v>528</v>
      </c>
      <c r="B469" s="8" t="str">
        <f>VLOOKUP(A469,地区!$B$1:$C$43,2,0)</f>
        <v>华东地区</v>
      </c>
      <c r="C469" s="8" t="s">
        <v>530</v>
      </c>
      <c r="D469" s="8" t="s">
        <v>532</v>
      </c>
      <c r="E469" s="8">
        <v>199</v>
      </c>
      <c r="F469" s="8">
        <v>45</v>
      </c>
      <c r="G469" s="8">
        <v>7</v>
      </c>
      <c r="H469" s="8">
        <v>7</v>
      </c>
      <c r="I469" s="8">
        <v>6.9</v>
      </c>
    </row>
    <row r="470" spans="1:9">
      <c r="A470" s="8" t="s">
        <v>528</v>
      </c>
      <c r="B470" s="8" t="str">
        <f>VLOOKUP(A470,地区!$B$1:$C$43,2,0)</f>
        <v>华东地区</v>
      </c>
      <c r="C470" s="8" t="s">
        <v>530</v>
      </c>
      <c r="D470" s="8" t="s">
        <v>533</v>
      </c>
      <c r="E470" s="8">
        <v>25</v>
      </c>
      <c r="F470" s="8">
        <v>19</v>
      </c>
      <c r="G470" s="8">
        <v>7.3</v>
      </c>
      <c r="H470" s="8">
        <v>6.4</v>
      </c>
      <c r="I470" s="8">
        <v>6.7</v>
      </c>
    </row>
    <row r="471" spans="1:9">
      <c r="A471" s="8" t="s">
        <v>528</v>
      </c>
      <c r="B471" s="8" t="str">
        <f>VLOOKUP(A471,地区!$B$1:$C$43,2,0)</f>
        <v>华东地区</v>
      </c>
      <c r="C471" s="8" t="s">
        <v>530</v>
      </c>
      <c r="D471" s="8" t="s">
        <v>534</v>
      </c>
      <c r="E471" s="8">
        <v>5</v>
      </c>
      <c r="F471" s="8">
        <v>10</v>
      </c>
      <c r="G471" s="8">
        <v>7.5</v>
      </c>
      <c r="H471" s="8">
        <v>7.5</v>
      </c>
      <c r="I471" s="8">
        <v>7.5</v>
      </c>
    </row>
    <row r="472" spans="1:9">
      <c r="A472" s="8" t="s">
        <v>528</v>
      </c>
      <c r="B472" s="8" t="str">
        <f>VLOOKUP(A472,地区!$B$1:$C$43,2,0)</f>
        <v>华东地区</v>
      </c>
      <c r="C472" s="8" t="s">
        <v>45</v>
      </c>
      <c r="D472" s="8" t="s">
        <v>535</v>
      </c>
      <c r="E472" s="8">
        <v>39</v>
      </c>
      <c r="F472" s="8">
        <v>7</v>
      </c>
      <c r="G472" s="8">
        <v>7.4</v>
      </c>
      <c r="H472" s="8">
        <v>7.3</v>
      </c>
      <c r="I472" s="8">
        <v>6.8</v>
      </c>
    </row>
    <row r="473" spans="1:9">
      <c r="A473" s="8" t="s">
        <v>528</v>
      </c>
      <c r="B473" s="8" t="str">
        <f>VLOOKUP(A473,地区!$B$1:$C$43,2,0)</f>
        <v>华东地区</v>
      </c>
      <c r="C473" s="8" t="s">
        <v>145</v>
      </c>
      <c r="D473" s="8" t="s">
        <v>536</v>
      </c>
      <c r="E473" s="8">
        <v>6</v>
      </c>
      <c r="F473" s="8">
        <v>26</v>
      </c>
      <c r="G473" s="8">
        <v>7.3</v>
      </c>
      <c r="H473" s="8">
        <v>7.4</v>
      </c>
      <c r="I473" s="8">
        <v>7.4</v>
      </c>
    </row>
    <row r="474" spans="1:9">
      <c r="A474" s="8" t="s">
        <v>528</v>
      </c>
      <c r="B474" s="8" t="str">
        <f>VLOOKUP(A474,地区!$B$1:$C$43,2,0)</f>
        <v>华东地区</v>
      </c>
      <c r="C474" s="8" t="s">
        <v>145</v>
      </c>
      <c r="D474" s="8" t="s">
        <v>537</v>
      </c>
      <c r="E474" s="8">
        <v>1</v>
      </c>
      <c r="F474" s="8">
        <v>30</v>
      </c>
      <c r="G474" s="8">
        <v>6.9</v>
      </c>
      <c r="H474" s="8">
        <v>6.9</v>
      </c>
      <c r="I474" s="8">
        <v>6.9</v>
      </c>
    </row>
    <row r="475" spans="1:9">
      <c r="A475" s="8" t="s">
        <v>528</v>
      </c>
      <c r="B475" s="8" t="str">
        <f>VLOOKUP(A475,地区!$B$1:$C$43,2,0)</f>
        <v>华东地区</v>
      </c>
      <c r="C475" s="8" t="s">
        <v>145</v>
      </c>
      <c r="D475" s="8" t="s">
        <v>538</v>
      </c>
      <c r="E475" s="8">
        <v>160</v>
      </c>
      <c r="F475" s="8">
        <v>83</v>
      </c>
      <c r="G475" s="8">
        <v>7.6</v>
      </c>
      <c r="H475" s="8">
        <v>7.1</v>
      </c>
      <c r="I475" s="8">
        <v>7.4</v>
      </c>
    </row>
    <row r="476" spans="1:9">
      <c r="A476" s="8" t="s">
        <v>528</v>
      </c>
      <c r="B476" s="8" t="str">
        <f>VLOOKUP(A476,地区!$B$1:$C$43,2,0)</f>
        <v>华东地区</v>
      </c>
      <c r="C476" s="8" t="s">
        <v>59</v>
      </c>
      <c r="D476" s="8" t="s">
        <v>539</v>
      </c>
      <c r="E476" s="8">
        <v>262</v>
      </c>
      <c r="F476" s="8">
        <v>48</v>
      </c>
      <c r="G476" s="8">
        <v>7.8</v>
      </c>
      <c r="H476" s="8">
        <v>8.3</v>
      </c>
      <c r="I476" s="8">
        <v>8.4</v>
      </c>
    </row>
    <row r="477" spans="1:9">
      <c r="A477" s="8" t="s">
        <v>528</v>
      </c>
      <c r="B477" s="8" t="str">
        <f>VLOOKUP(A477,地区!$B$1:$C$43,2,0)</f>
        <v>华东地区</v>
      </c>
      <c r="C477" s="8" t="s">
        <v>59</v>
      </c>
      <c r="D477" s="8" t="s">
        <v>540</v>
      </c>
      <c r="E477" s="8">
        <v>4514</v>
      </c>
      <c r="F477" s="8">
        <v>42</v>
      </c>
      <c r="G477" s="8">
        <v>7.6</v>
      </c>
      <c r="H477" s="8">
        <v>7.4</v>
      </c>
      <c r="I477" s="8">
        <v>7.5</v>
      </c>
    </row>
    <row r="478" spans="1:9">
      <c r="A478" s="8" t="s">
        <v>528</v>
      </c>
      <c r="B478" s="8" t="str">
        <f>VLOOKUP(A478,地区!$B$1:$C$43,2,0)</f>
        <v>华东地区</v>
      </c>
      <c r="C478" s="8" t="s">
        <v>59</v>
      </c>
      <c r="D478" s="8" t="s">
        <v>541</v>
      </c>
      <c r="E478" s="8">
        <v>3</v>
      </c>
      <c r="F478" s="8">
        <v>30</v>
      </c>
      <c r="G478" s="8">
        <v>7.2</v>
      </c>
      <c r="H478" s="8">
        <v>7.2</v>
      </c>
      <c r="I478" s="8">
        <v>7</v>
      </c>
    </row>
    <row r="479" spans="1:9">
      <c r="A479" s="8" t="s">
        <v>528</v>
      </c>
      <c r="B479" s="8" t="str">
        <f>VLOOKUP(A479,地区!$B$1:$C$43,2,0)</f>
        <v>华东地区</v>
      </c>
      <c r="C479" s="8" t="s">
        <v>59</v>
      </c>
      <c r="D479" s="8" t="s">
        <v>542</v>
      </c>
      <c r="E479" s="8">
        <v>2</v>
      </c>
      <c r="F479" s="8">
        <v>18</v>
      </c>
      <c r="G479" s="8">
        <v>7</v>
      </c>
      <c r="H479" s="8">
        <v>7</v>
      </c>
      <c r="I479" s="8">
        <v>7</v>
      </c>
    </row>
    <row r="480" spans="1:9">
      <c r="A480" s="8" t="s">
        <v>528</v>
      </c>
      <c r="B480" s="8" t="str">
        <f>VLOOKUP(A480,地区!$B$1:$C$43,2,0)</f>
        <v>华东地区</v>
      </c>
      <c r="C480" s="8" t="s">
        <v>124</v>
      </c>
      <c r="D480" s="8" t="s">
        <v>543</v>
      </c>
      <c r="E480" s="8">
        <v>731</v>
      </c>
      <c r="F480" s="8">
        <v>55</v>
      </c>
      <c r="G480" s="8">
        <v>8</v>
      </c>
      <c r="H480" s="8">
        <v>8.2</v>
      </c>
      <c r="I480" s="8">
        <v>7.9</v>
      </c>
    </row>
    <row r="481" spans="1:9">
      <c r="A481" s="8" t="s">
        <v>528</v>
      </c>
      <c r="B481" s="8" t="str">
        <f>VLOOKUP(A481,地区!$B$1:$C$43,2,0)</f>
        <v>华东地区</v>
      </c>
      <c r="C481" s="8" t="s">
        <v>544</v>
      </c>
      <c r="D481" s="8" t="s">
        <v>545</v>
      </c>
      <c r="E481" s="8">
        <v>108</v>
      </c>
      <c r="F481" s="8">
        <v>111</v>
      </c>
      <c r="G481" s="8">
        <v>8.5</v>
      </c>
      <c r="H481" s="8">
        <v>8.4</v>
      </c>
      <c r="I481" s="8">
        <v>8.5</v>
      </c>
    </row>
    <row r="482" spans="1:9">
      <c r="A482" s="8" t="s">
        <v>528</v>
      </c>
      <c r="B482" s="8" t="str">
        <f>VLOOKUP(A482,地区!$B$1:$C$43,2,0)</f>
        <v>华东地区</v>
      </c>
      <c r="C482" s="8" t="s">
        <v>72</v>
      </c>
      <c r="D482" s="8" t="s">
        <v>546</v>
      </c>
      <c r="E482" s="8">
        <v>297</v>
      </c>
      <c r="F482" s="8">
        <v>27</v>
      </c>
      <c r="G482" s="8">
        <v>6.7</v>
      </c>
      <c r="H482" s="8">
        <v>6.8</v>
      </c>
      <c r="I482" s="8">
        <v>6.3</v>
      </c>
    </row>
    <row r="483" spans="1:9">
      <c r="A483" s="8" t="s">
        <v>528</v>
      </c>
      <c r="B483" s="8" t="str">
        <f>VLOOKUP(A483,地区!$B$1:$C$43,2,0)</f>
        <v>华东地区</v>
      </c>
      <c r="C483" s="8" t="s">
        <v>72</v>
      </c>
      <c r="D483" s="8" t="s">
        <v>547</v>
      </c>
      <c r="E483" s="8">
        <v>28</v>
      </c>
      <c r="F483" s="8">
        <v>14</v>
      </c>
      <c r="G483" s="8">
        <v>7</v>
      </c>
      <c r="H483" s="8">
        <v>6.9</v>
      </c>
      <c r="I483" s="8">
        <v>6.9</v>
      </c>
    </row>
    <row r="484" spans="1:9">
      <c r="A484" s="8" t="s">
        <v>528</v>
      </c>
      <c r="B484" s="8" t="str">
        <f>VLOOKUP(A484,地区!$B$1:$C$43,2,0)</f>
        <v>华东地区</v>
      </c>
      <c r="C484" s="8" t="s">
        <v>72</v>
      </c>
      <c r="D484" s="8" t="s">
        <v>548</v>
      </c>
      <c r="E484" s="8">
        <v>26</v>
      </c>
      <c r="F484" s="8">
        <v>22</v>
      </c>
      <c r="G484" s="8">
        <v>7.3</v>
      </c>
      <c r="H484" s="8">
        <v>7.1</v>
      </c>
      <c r="I484" s="8">
        <v>7.2</v>
      </c>
    </row>
    <row r="485" spans="1:9">
      <c r="A485" s="8" t="s">
        <v>528</v>
      </c>
      <c r="B485" s="8" t="str">
        <f>VLOOKUP(A485,地区!$B$1:$C$43,2,0)</f>
        <v>华东地区</v>
      </c>
      <c r="C485" s="8" t="s">
        <v>104</v>
      </c>
      <c r="D485" s="8" t="s">
        <v>549</v>
      </c>
      <c r="E485" s="8">
        <v>336</v>
      </c>
      <c r="F485" s="8">
        <v>60</v>
      </c>
      <c r="G485" s="8">
        <v>7.4</v>
      </c>
      <c r="H485" s="8">
        <v>8.3</v>
      </c>
      <c r="I485" s="8">
        <v>8</v>
      </c>
    </row>
    <row r="486" spans="1:9">
      <c r="A486" s="8" t="s">
        <v>528</v>
      </c>
      <c r="B486" s="8" t="str">
        <f>VLOOKUP(A486,地区!$B$1:$C$43,2,0)</f>
        <v>华东地区</v>
      </c>
      <c r="C486" s="8" t="s">
        <v>104</v>
      </c>
      <c r="D486" s="8" t="s">
        <v>550</v>
      </c>
      <c r="E486" s="8">
        <v>2</v>
      </c>
      <c r="F486" s="8">
        <v>25</v>
      </c>
      <c r="G486" s="8">
        <v>6.9</v>
      </c>
      <c r="H486" s="8">
        <v>6.9</v>
      </c>
      <c r="I486" s="8">
        <v>6.9</v>
      </c>
    </row>
    <row r="487" spans="1:9">
      <c r="A487" s="8" t="s">
        <v>528</v>
      </c>
      <c r="B487" s="8" t="str">
        <f>VLOOKUP(A487,地区!$B$1:$C$43,2,0)</f>
        <v>华东地区</v>
      </c>
      <c r="C487" s="8" t="s">
        <v>85</v>
      </c>
      <c r="D487" s="8" t="s">
        <v>551</v>
      </c>
      <c r="E487" s="8">
        <v>2</v>
      </c>
      <c r="F487" s="8">
        <v>23</v>
      </c>
      <c r="G487" s="8">
        <v>7.1</v>
      </c>
      <c r="H487" s="8">
        <v>7.1</v>
      </c>
      <c r="I487" s="8">
        <v>7.3</v>
      </c>
    </row>
    <row r="488" spans="1:9">
      <c r="A488" s="8" t="s">
        <v>528</v>
      </c>
      <c r="B488" s="8" t="str">
        <f>VLOOKUP(A488,地区!$B$1:$C$43,2,0)</f>
        <v>华东地区</v>
      </c>
      <c r="C488" s="8" t="s">
        <v>85</v>
      </c>
      <c r="D488" s="8" t="s">
        <v>552</v>
      </c>
      <c r="E488" s="8">
        <v>52</v>
      </c>
      <c r="F488" s="8">
        <v>22</v>
      </c>
      <c r="G488" s="8">
        <v>7.7</v>
      </c>
      <c r="H488" s="8">
        <v>7.8</v>
      </c>
      <c r="I488" s="8">
        <v>7.8</v>
      </c>
    </row>
    <row r="489" spans="1:9">
      <c r="A489" s="8" t="s">
        <v>528</v>
      </c>
      <c r="B489" s="8" t="str">
        <f>VLOOKUP(A489,地区!$B$1:$C$43,2,0)</f>
        <v>华东地区</v>
      </c>
      <c r="C489" s="8" t="s">
        <v>85</v>
      </c>
      <c r="D489" s="8" t="s">
        <v>553</v>
      </c>
      <c r="E489" s="8">
        <v>129</v>
      </c>
      <c r="F489" s="8">
        <v>17</v>
      </c>
      <c r="G489" s="8">
        <v>7.4</v>
      </c>
      <c r="H489" s="8">
        <v>7.4</v>
      </c>
      <c r="I489" s="8">
        <v>7.4</v>
      </c>
    </row>
    <row r="490" spans="1:9">
      <c r="A490" s="8" t="s">
        <v>528</v>
      </c>
      <c r="B490" s="8" t="str">
        <f>VLOOKUP(A490,地区!$B$1:$C$43,2,0)</f>
        <v>华东地区</v>
      </c>
      <c r="C490" s="8" t="s">
        <v>85</v>
      </c>
      <c r="D490" s="8" t="s">
        <v>554</v>
      </c>
      <c r="E490" s="8">
        <v>11</v>
      </c>
      <c r="F490" s="8">
        <v>26</v>
      </c>
      <c r="G490" s="8">
        <v>7.2</v>
      </c>
      <c r="H490" s="8">
        <v>7.4</v>
      </c>
      <c r="I490" s="8">
        <v>7.2</v>
      </c>
    </row>
    <row r="491" spans="1:9">
      <c r="A491" s="8" t="s">
        <v>528</v>
      </c>
      <c r="B491" s="8" t="str">
        <f>VLOOKUP(A491,地区!$B$1:$C$43,2,0)</f>
        <v>华东地区</v>
      </c>
      <c r="C491" s="8" t="s">
        <v>85</v>
      </c>
      <c r="D491" s="8" t="s">
        <v>555</v>
      </c>
      <c r="E491" s="8">
        <v>1</v>
      </c>
      <c r="F491" s="8">
        <v>17</v>
      </c>
      <c r="G491" s="8">
        <v>7.6</v>
      </c>
      <c r="H491" s="8">
        <v>7.6</v>
      </c>
      <c r="I491" s="8">
        <v>7.6</v>
      </c>
    </row>
    <row r="492" spans="1:9">
      <c r="A492" s="8" t="s">
        <v>528</v>
      </c>
      <c r="B492" s="8" t="str">
        <f>VLOOKUP(A492,地区!$B$1:$C$43,2,0)</f>
        <v>华东地区</v>
      </c>
      <c r="C492" s="8" t="s">
        <v>79</v>
      </c>
      <c r="D492" s="8" t="s">
        <v>556</v>
      </c>
      <c r="E492" s="8">
        <v>38</v>
      </c>
      <c r="F492" s="8">
        <v>27</v>
      </c>
      <c r="G492" s="8">
        <v>7.2</v>
      </c>
      <c r="H492" s="8">
        <v>7.6</v>
      </c>
      <c r="I492" s="8">
        <v>7</v>
      </c>
    </row>
    <row r="493" spans="1:9">
      <c r="A493" s="8" t="s">
        <v>528</v>
      </c>
      <c r="B493" s="8" t="str">
        <f>VLOOKUP(A493,地区!$B$1:$C$43,2,0)</f>
        <v>华东地区</v>
      </c>
      <c r="C493" s="8" t="s">
        <v>155</v>
      </c>
      <c r="D493" s="8" t="s">
        <v>557</v>
      </c>
      <c r="E493" s="8">
        <v>5</v>
      </c>
      <c r="F493" s="8">
        <v>39</v>
      </c>
      <c r="G493" s="8">
        <v>7</v>
      </c>
      <c r="H493" s="8">
        <v>7</v>
      </c>
      <c r="I493" s="8">
        <v>7.1</v>
      </c>
    </row>
    <row r="494" spans="1:9">
      <c r="A494" s="8" t="s">
        <v>528</v>
      </c>
      <c r="B494" s="8" t="str">
        <f>VLOOKUP(A494,地区!$B$1:$C$43,2,0)</f>
        <v>华东地区</v>
      </c>
      <c r="C494" s="8" t="s">
        <v>233</v>
      </c>
      <c r="D494" s="8" t="s">
        <v>558</v>
      </c>
      <c r="E494" s="8">
        <v>1</v>
      </c>
      <c r="F494" s="8">
        <v>30</v>
      </c>
      <c r="G494" s="8">
        <v>7.1</v>
      </c>
      <c r="H494" s="8">
        <v>7.1</v>
      </c>
      <c r="I494" s="8">
        <v>7.1</v>
      </c>
    </row>
    <row r="495" spans="1:9">
      <c r="A495" s="8" t="s">
        <v>528</v>
      </c>
      <c r="B495" s="8" t="str">
        <f>VLOOKUP(A495,地区!$B$1:$C$43,2,0)</f>
        <v>华东地区</v>
      </c>
      <c r="C495" s="8" t="s">
        <v>233</v>
      </c>
      <c r="D495" s="8" t="s">
        <v>559</v>
      </c>
      <c r="E495" s="8">
        <v>23</v>
      </c>
      <c r="F495" s="8">
        <v>34</v>
      </c>
      <c r="G495" s="8">
        <v>7.1</v>
      </c>
      <c r="H495" s="8">
        <v>7.1</v>
      </c>
      <c r="I495" s="8">
        <v>7.1</v>
      </c>
    </row>
    <row r="496" spans="1:9">
      <c r="A496" s="8" t="s">
        <v>528</v>
      </c>
      <c r="B496" s="8" t="str">
        <f>VLOOKUP(A496,地区!$B$1:$C$43,2,0)</f>
        <v>华东地区</v>
      </c>
      <c r="C496" s="8" t="s">
        <v>90</v>
      </c>
      <c r="D496" s="8" t="s">
        <v>560</v>
      </c>
      <c r="E496" s="8">
        <v>32</v>
      </c>
      <c r="F496" s="8">
        <v>88</v>
      </c>
      <c r="G496" s="8">
        <v>7.2</v>
      </c>
      <c r="H496" s="8">
        <v>7.2</v>
      </c>
      <c r="I496" s="8">
        <v>7.2</v>
      </c>
    </row>
    <row r="497" spans="1:9">
      <c r="A497" s="8" t="s">
        <v>528</v>
      </c>
      <c r="B497" s="8" t="str">
        <f>VLOOKUP(A497,地区!$B$1:$C$43,2,0)</f>
        <v>华东地区</v>
      </c>
      <c r="C497" s="8" t="s">
        <v>90</v>
      </c>
      <c r="D497" s="8" t="s">
        <v>561</v>
      </c>
      <c r="E497" s="8">
        <v>154</v>
      </c>
      <c r="F497" s="8">
        <v>37</v>
      </c>
      <c r="G497" s="8">
        <v>7.4</v>
      </c>
      <c r="H497" s="8">
        <v>7.3</v>
      </c>
      <c r="I497" s="8">
        <v>7.4</v>
      </c>
    </row>
    <row r="498" spans="1:9">
      <c r="A498" s="8" t="s">
        <v>528</v>
      </c>
      <c r="B498" s="8" t="str">
        <f>VLOOKUP(A498,地区!$B$1:$C$43,2,0)</f>
        <v>华东地区</v>
      </c>
      <c r="C498" s="8" t="s">
        <v>90</v>
      </c>
      <c r="D498" s="8" t="s">
        <v>562</v>
      </c>
      <c r="E498" s="8">
        <v>11</v>
      </c>
      <c r="F498" s="8">
        <v>30</v>
      </c>
      <c r="G498" s="8">
        <v>7.4</v>
      </c>
      <c r="H498" s="8">
        <v>7.3</v>
      </c>
      <c r="I498" s="8">
        <v>7.4</v>
      </c>
    </row>
    <row r="499" spans="1:9">
      <c r="A499" s="8" t="s">
        <v>563</v>
      </c>
      <c r="B499" s="8" t="str">
        <f>VLOOKUP(A499,地区!$B$1:$C$43,2,0)</f>
        <v>华南地区</v>
      </c>
      <c r="C499" s="8" t="s">
        <v>45</v>
      </c>
      <c r="D499" s="8" t="s">
        <v>564</v>
      </c>
      <c r="E499" s="8">
        <v>55</v>
      </c>
      <c r="F499" s="8">
        <v>58</v>
      </c>
      <c r="G499" s="8">
        <v>7</v>
      </c>
      <c r="H499" s="8">
        <v>7</v>
      </c>
      <c r="I499" s="8">
        <v>7</v>
      </c>
    </row>
    <row r="500" spans="1:9">
      <c r="A500" s="8" t="s">
        <v>563</v>
      </c>
      <c r="B500" s="8" t="str">
        <f>VLOOKUP(A500,地区!$B$1:$C$43,2,0)</f>
        <v>华南地区</v>
      </c>
      <c r="C500" s="8" t="s">
        <v>45</v>
      </c>
      <c r="D500" s="8" t="s">
        <v>565</v>
      </c>
      <c r="E500" s="8">
        <v>4</v>
      </c>
      <c r="F500" s="8">
        <v>45</v>
      </c>
      <c r="G500" s="8">
        <v>7</v>
      </c>
      <c r="H500" s="8">
        <v>7</v>
      </c>
      <c r="I500" s="8">
        <v>7</v>
      </c>
    </row>
    <row r="501" spans="1:9">
      <c r="A501" s="8" t="s">
        <v>563</v>
      </c>
      <c r="B501" s="8" t="str">
        <f>VLOOKUP(A501,地区!$B$1:$C$43,2,0)</f>
        <v>华南地区</v>
      </c>
      <c r="C501" s="8" t="s">
        <v>45</v>
      </c>
      <c r="D501" s="8" t="s">
        <v>566</v>
      </c>
      <c r="E501" s="8">
        <v>4</v>
      </c>
      <c r="F501" s="8">
        <v>60</v>
      </c>
      <c r="G501" s="8">
        <v>7.6</v>
      </c>
      <c r="H501" s="8">
        <v>7.6</v>
      </c>
      <c r="I501" s="8">
        <v>7.5</v>
      </c>
    </row>
    <row r="502" spans="1:9">
      <c r="A502" s="8" t="s">
        <v>563</v>
      </c>
      <c r="B502" s="8" t="str">
        <f>VLOOKUP(A502,地区!$B$1:$C$43,2,0)</f>
        <v>华南地区</v>
      </c>
      <c r="C502" s="8" t="s">
        <v>45</v>
      </c>
      <c r="D502" s="8" t="s">
        <v>567</v>
      </c>
      <c r="E502" s="8">
        <v>23</v>
      </c>
      <c r="F502" s="8">
        <v>39</v>
      </c>
      <c r="G502" s="8">
        <v>6.9</v>
      </c>
      <c r="H502" s="8">
        <v>6.9</v>
      </c>
      <c r="I502" s="8">
        <v>6.8</v>
      </c>
    </row>
    <row r="503" spans="1:9">
      <c r="A503" s="8" t="s">
        <v>563</v>
      </c>
      <c r="B503" s="8" t="str">
        <f>VLOOKUP(A503,地区!$B$1:$C$43,2,0)</f>
        <v>华南地区</v>
      </c>
      <c r="C503" s="8" t="s">
        <v>412</v>
      </c>
      <c r="D503" s="8" t="s">
        <v>568</v>
      </c>
      <c r="E503" s="8">
        <v>99</v>
      </c>
      <c r="F503" s="8">
        <v>45</v>
      </c>
      <c r="G503" s="8">
        <v>7.8</v>
      </c>
      <c r="H503" s="8">
        <v>8.6</v>
      </c>
      <c r="I503" s="8">
        <v>8</v>
      </c>
    </row>
    <row r="504" spans="1:9">
      <c r="A504" s="8" t="s">
        <v>563</v>
      </c>
      <c r="B504" s="8" t="str">
        <f>VLOOKUP(A504,地区!$B$1:$C$43,2,0)</f>
        <v>华南地区</v>
      </c>
      <c r="C504" s="8" t="s">
        <v>15</v>
      </c>
      <c r="D504" s="8" t="s">
        <v>569</v>
      </c>
      <c r="E504" s="8">
        <v>15</v>
      </c>
      <c r="F504" s="8">
        <v>24</v>
      </c>
      <c r="G504" s="8">
        <v>7.3</v>
      </c>
      <c r="H504" s="8">
        <v>7.4</v>
      </c>
      <c r="I504" s="8">
        <v>7.3</v>
      </c>
    </row>
    <row r="505" spans="1:9">
      <c r="A505" s="8" t="s">
        <v>563</v>
      </c>
      <c r="B505" s="8" t="str">
        <f>VLOOKUP(A505,地区!$B$1:$C$43,2,0)</f>
        <v>华南地区</v>
      </c>
      <c r="C505" s="8" t="s">
        <v>15</v>
      </c>
      <c r="D505" s="8" t="s">
        <v>570</v>
      </c>
      <c r="E505" s="8">
        <v>16</v>
      </c>
      <c r="F505" s="8">
        <v>52</v>
      </c>
      <c r="G505" s="8">
        <v>6.9</v>
      </c>
      <c r="H505" s="8">
        <v>7.1</v>
      </c>
      <c r="I505" s="8">
        <v>6.6</v>
      </c>
    </row>
    <row r="506" spans="1:9">
      <c r="A506" s="8" t="s">
        <v>563</v>
      </c>
      <c r="B506" s="8" t="str">
        <f>VLOOKUP(A506,地区!$B$1:$C$43,2,0)</f>
        <v>华南地区</v>
      </c>
      <c r="C506" s="8" t="s">
        <v>15</v>
      </c>
      <c r="D506" s="8" t="s">
        <v>571</v>
      </c>
      <c r="E506" s="8">
        <v>51</v>
      </c>
      <c r="F506" s="8">
        <v>23</v>
      </c>
      <c r="G506" s="8">
        <v>7</v>
      </c>
      <c r="H506" s="8">
        <v>7</v>
      </c>
      <c r="I506" s="8">
        <v>6.9</v>
      </c>
    </row>
    <row r="507" spans="1:9">
      <c r="A507" s="8" t="s">
        <v>563</v>
      </c>
      <c r="B507" s="8" t="str">
        <f>VLOOKUP(A507,地区!$B$1:$C$43,2,0)</f>
        <v>华南地区</v>
      </c>
      <c r="C507" s="8" t="s">
        <v>59</v>
      </c>
      <c r="D507" s="8" t="s">
        <v>572</v>
      </c>
      <c r="E507" s="8">
        <v>153</v>
      </c>
      <c r="F507" s="8">
        <v>70</v>
      </c>
      <c r="G507" s="8">
        <v>7.1</v>
      </c>
      <c r="H507" s="8">
        <v>7.6</v>
      </c>
      <c r="I507" s="8">
        <v>7.6</v>
      </c>
    </row>
    <row r="508" spans="1:9">
      <c r="A508" s="8" t="s">
        <v>563</v>
      </c>
      <c r="B508" s="8" t="str">
        <f>VLOOKUP(A508,地区!$B$1:$C$43,2,0)</f>
        <v>华南地区</v>
      </c>
      <c r="C508" s="8" t="s">
        <v>59</v>
      </c>
      <c r="D508" s="8" t="s">
        <v>573</v>
      </c>
      <c r="E508" s="8">
        <v>8</v>
      </c>
      <c r="F508" s="8">
        <v>62</v>
      </c>
      <c r="G508" s="8">
        <v>7.7</v>
      </c>
      <c r="H508" s="8">
        <v>7.4</v>
      </c>
      <c r="I508" s="8">
        <v>7.5</v>
      </c>
    </row>
    <row r="509" spans="1:9">
      <c r="A509" s="8" t="s">
        <v>563</v>
      </c>
      <c r="B509" s="8" t="str">
        <f>VLOOKUP(A509,地区!$B$1:$C$43,2,0)</f>
        <v>华南地区</v>
      </c>
      <c r="C509" s="8" t="s">
        <v>124</v>
      </c>
      <c r="D509" s="8" t="s">
        <v>574</v>
      </c>
      <c r="E509" s="8">
        <v>454</v>
      </c>
      <c r="F509" s="8">
        <v>250</v>
      </c>
      <c r="G509" s="8">
        <v>8.3</v>
      </c>
      <c r="H509" s="8">
        <v>8.8</v>
      </c>
      <c r="I509" s="8">
        <v>7.9</v>
      </c>
    </row>
    <row r="510" spans="1:9">
      <c r="A510" s="8" t="s">
        <v>563</v>
      </c>
      <c r="B510" s="8" t="str">
        <f>VLOOKUP(A510,地区!$B$1:$C$43,2,0)</f>
        <v>华南地区</v>
      </c>
      <c r="C510" s="8" t="s">
        <v>72</v>
      </c>
      <c r="D510" s="8" t="s">
        <v>575</v>
      </c>
      <c r="E510" s="8">
        <v>13</v>
      </c>
      <c r="F510" s="8">
        <v>16</v>
      </c>
      <c r="G510" s="8">
        <v>7.3</v>
      </c>
      <c r="H510" s="8">
        <v>7.2</v>
      </c>
      <c r="I510" s="8">
        <v>7.3</v>
      </c>
    </row>
    <row r="511" spans="1:9">
      <c r="A511" s="8" t="s">
        <v>563</v>
      </c>
      <c r="B511" s="8" t="str">
        <f>VLOOKUP(A511,地区!$B$1:$C$43,2,0)</f>
        <v>华南地区</v>
      </c>
      <c r="C511" s="8" t="s">
        <v>72</v>
      </c>
      <c r="D511" s="8" t="s">
        <v>576</v>
      </c>
      <c r="E511" s="8">
        <v>9</v>
      </c>
      <c r="F511" s="8">
        <v>10</v>
      </c>
      <c r="G511" s="8">
        <v>7.4</v>
      </c>
      <c r="H511" s="8">
        <v>7.5</v>
      </c>
      <c r="I511" s="8">
        <v>7.5</v>
      </c>
    </row>
    <row r="512" spans="1:9">
      <c r="A512" s="8" t="s">
        <v>563</v>
      </c>
      <c r="B512" s="8" t="str">
        <f>VLOOKUP(A512,地区!$B$1:$C$43,2,0)</f>
        <v>华南地区</v>
      </c>
      <c r="C512" s="8" t="s">
        <v>72</v>
      </c>
      <c r="D512" s="8" t="s">
        <v>577</v>
      </c>
      <c r="E512" s="8">
        <v>5</v>
      </c>
      <c r="F512" s="8">
        <v>19</v>
      </c>
      <c r="G512" s="8">
        <v>7.5</v>
      </c>
      <c r="H512" s="8">
        <v>7.5</v>
      </c>
      <c r="I512" s="8">
        <v>7.5</v>
      </c>
    </row>
    <row r="513" spans="1:9">
      <c r="A513" s="8" t="s">
        <v>563</v>
      </c>
      <c r="B513" s="8" t="str">
        <f>VLOOKUP(A513,地区!$B$1:$C$43,2,0)</f>
        <v>华南地区</v>
      </c>
      <c r="C513" s="8" t="s">
        <v>155</v>
      </c>
      <c r="D513" s="8" t="s">
        <v>578</v>
      </c>
      <c r="E513" s="8">
        <v>5</v>
      </c>
      <c r="F513" s="8">
        <v>19</v>
      </c>
      <c r="G513" s="8">
        <v>6.9</v>
      </c>
      <c r="H513" s="8">
        <v>6.9</v>
      </c>
      <c r="I513" s="8">
        <v>6.9</v>
      </c>
    </row>
    <row r="514" spans="1:9">
      <c r="A514" s="8" t="s">
        <v>563</v>
      </c>
      <c r="B514" s="8" t="str">
        <f>VLOOKUP(A514,地区!$B$1:$C$43,2,0)</f>
        <v>华南地区</v>
      </c>
      <c r="C514" s="8" t="s">
        <v>155</v>
      </c>
      <c r="D514" s="8" t="s">
        <v>579</v>
      </c>
      <c r="E514" s="8">
        <v>154</v>
      </c>
      <c r="F514" s="8">
        <v>76</v>
      </c>
      <c r="G514" s="8">
        <v>7.7</v>
      </c>
      <c r="H514" s="8">
        <v>8.1</v>
      </c>
      <c r="I514" s="8">
        <v>8.2</v>
      </c>
    </row>
    <row r="515" spans="1:9">
      <c r="A515" s="8" t="s">
        <v>563</v>
      </c>
      <c r="B515" s="8" t="str">
        <f>VLOOKUP(A515,地区!$B$1:$C$43,2,0)</f>
        <v>华南地区</v>
      </c>
      <c r="C515" s="8" t="s">
        <v>104</v>
      </c>
      <c r="D515" s="8" t="s">
        <v>580</v>
      </c>
      <c r="E515" s="8">
        <v>47</v>
      </c>
      <c r="F515" s="8">
        <v>97</v>
      </c>
      <c r="G515" s="8">
        <v>7.7</v>
      </c>
      <c r="H515" s="8">
        <v>8.5</v>
      </c>
      <c r="I515" s="8">
        <v>8</v>
      </c>
    </row>
    <row r="516" spans="1:9">
      <c r="A516" s="8" t="s">
        <v>563</v>
      </c>
      <c r="B516" s="8" t="str">
        <f>VLOOKUP(A516,地区!$B$1:$C$43,2,0)</f>
        <v>华南地区</v>
      </c>
      <c r="C516" s="8" t="s">
        <v>104</v>
      </c>
      <c r="D516" s="8" t="s">
        <v>581</v>
      </c>
      <c r="E516" s="8">
        <v>10</v>
      </c>
      <c r="F516" s="8">
        <v>83</v>
      </c>
      <c r="G516" s="8">
        <v>7.1</v>
      </c>
      <c r="H516" s="8">
        <v>7.1</v>
      </c>
      <c r="I516" s="8">
        <v>7.1</v>
      </c>
    </row>
    <row r="517" spans="1:9">
      <c r="A517" s="8" t="s">
        <v>563</v>
      </c>
      <c r="B517" s="8" t="str">
        <f>VLOOKUP(A517,地区!$B$1:$C$43,2,0)</f>
        <v>华南地区</v>
      </c>
      <c r="C517" s="8" t="s">
        <v>104</v>
      </c>
      <c r="D517" s="8" t="s">
        <v>582</v>
      </c>
      <c r="E517" s="8">
        <v>1</v>
      </c>
      <c r="F517" s="8">
        <v>28</v>
      </c>
      <c r="G517" s="8">
        <v>7.1</v>
      </c>
      <c r="H517" s="8">
        <v>7.1</v>
      </c>
      <c r="I517" s="8">
        <v>7.1</v>
      </c>
    </row>
    <row r="518" spans="1:9">
      <c r="A518" s="8" t="s">
        <v>563</v>
      </c>
      <c r="B518" s="8" t="str">
        <f>VLOOKUP(A518,地区!$B$1:$C$43,2,0)</f>
        <v>华南地区</v>
      </c>
      <c r="C518" s="8" t="s">
        <v>85</v>
      </c>
      <c r="D518" s="8" t="s">
        <v>583</v>
      </c>
      <c r="E518" s="8">
        <v>43</v>
      </c>
      <c r="F518" s="8">
        <v>7</v>
      </c>
      <c r="G518" s="8">
        <v>7.6</v>
      </c>
      <c r="H518" s="8">
        <v>7.4</v>
      </c>
      <c r="I518" s="8">
        <v>7.4</v>
      </c>
    </row>
    <row r="519" spans="1:9">
      <c r="A519" s="8" t="s">
        <v>563</v>
      </c>
      <c r="B519" s="8" t="str">
        <f>VLOOKUP(A519,地区!$B$1:$C$43,2,0)</f>
        <v>华南地区</v>
      </c>
      <c r="C519" s="8" t="s">
        <v>85</v>
      </c>
      <c r="D519" s="8" t="s">
        <v>584</v>
      </c>
      <c r="E519" s="8">
        <v>5</v>
      </c>
      <c r="F519" s="8">
        <v>10</v>
      </c>
      <c r="G519" s="8">
        <v>7.6</v>
      </c>
      <c r="H519" s="8">
        <v>7.6</v>
      </c>
      <c r="I519" s="8">
        <v>7.6</v>
      </c>
    </row>
    <row r="520" spans="1:9">
      <c r="A520" s="8" t="s">
        <v>563</v>
      </c>
      <c r="B520" s="8" t="str">
        <f>VLOOKUP(A520,地区!$B$1:$C$43,2,0)</f>
        <v>华南地区</v>
      </c>
      <c r="C520" s="8" t="s">
        <v>85</v>
      </c>
      <c r="D520" s="8" t="s">
        <v>585</v>
      </c>
      <c r="E520" s="8">
        <v>26</v>
      </c>
      <c r="F520" s="8">
        <v>13</v>
      </c>
      <c r="G520" s="8">
        <v>7.3</v>
      </c>
      <c r="H520" s="8">
        <v>7.2</v>
      </c>
      <c r="I520" s="8">
        <v>7.2</v>
      </c>
    </row>
    <row r="521" spans="1:9">
      <c r="A521" s="8" t="s">
        <v>563</v>
      </c>
      <c r="B521" s="8" t="str">
        <f>VLOOKUP(A521,地区!$B$1:$C$43,2,0)</f>
        <v>华南地区</v>
      </c>
      <c r="C521" s="8" t="s">
        <v>90</v>
      </c>
      <c r="D521" s="8" t="s">
        <v>586</v>
      </c>
      <c r="E521" s="8">
        <v>273</v>
      </c>
      <c r="F521" s="8">
        <v>79</v>
      </c>
      <c r="G521" s="8">
        <v>7.8</v>
      </c>
      <c r="H521" s="8">
        <v>9</v>
      </c>
      <c r="I521" s="8">
        <v>8</v>
      </c>
    </row>
    <row r="522" spans="1:9">
      <c r="A522" s="8" t="s">
        <v>563</v>
      </c>
      <c r="B522" s="8" t="str">
        <f>VLOOKUP(A522,地区!$B$1:$C$43,2,0)</f>
        <v>华南地区</v>
      </c>
      <c r="C522" s="8" t="s">
        <v>90</v>
      </c>
      <c r="D522" s="8" t="s">
        <v>587</v>
      </c>
      <c r="E522" s="8">
        <v>11</v>
      </c>
      <c r="F522" s="8">
        <v>30</v>
      </c>
      <c r="G522" s="8">
        <v>7</v>
      </c>
      <c r="H522" s="8">
        <v>7.2</v>
      </c>
      <c r="I522" s="8">
        <v>7.2</v>
      </c>
    </row>
    <row r="523" spans="1:9">
      <c r="A523" s="8" t="s">
        <v>563</v>
      </c>
      <c r="B523" s="8" t="str">
        <f>VLOOKUP(A523,地区!$B$1:$C$43,2,0)</f>
        <v>华南地区</v>
      </c>
      <c r="C523" s="8" t="s">
        <v>85</v>
      </c>
      <c r="D523" s="8" t="s">
        <v>588</v>
      </c>
      <c r="E523" s="8">
        <v>3</v>
      </c>
      <c r="F523" s="8">
        <v>10</v>
      </c>
      <c r="G523" s="8">
        <v>7.3</v>
      </c>
      <c r="H523" s="8">
        <v>7.3</v>
      </c>
      <c r="I523" s="8">
        <v>7.3</v>
      </c>
    </row>
    <row r="524" spans="1:9">
      <c r="A524" s="8" t="s">
        <v>563</v>
      </c>
      <c r="B524" s="8" t="str">
        <f>VLOOKUP(A524,地区!$B$1:$C$43,2,0)</f>
        <v>华南地区</v>
      </c>
      <c r="C524" s="8" t="s">
        <v>85</v>
      </c>
      <c r="D524" s="8" t="s">
        <v>589</v>
      </c>
      <c r="E524" s="8">
        <v>2</v>
      </c>
      <c r="F524" s="8">
        <v>15</v>
      </c>
      <c r="G524" s="8">
        <v>6.9</v>
      </c>
      <c r="H524" s="8">
        <v>7.1</v>
      </c>
      <c r="I524" s="8">
        <v>6.8</v>
      </c>
    </row>
    <row r="525" spans="1:9">
      <c r="A525" s="8" t="s">
        <v>563</v>
      </c>
      <c r="B525" s="8" t="str">
        <f>VLOOKUP(A525,地区!$B$1:$C$43,2,0)</f>
        <v>华南地区</v>
      </c>
      <c r="C525" s="8" t="s">
        <v>90</v>
      </c>
      <c r="D525" s="8" t="s">
        <v>590</v>
      </c>
      <c r="E525" s="8">
        <v>7</v>
      </c>
      <c r="F525" s="8">
        <v>44</v>
      </c>
      <c r="G525" s="8">
        <v>7.4</v>
      </c>
      <c r="H525" s="8">
        <v>7.1</v>
      </c>
      <c r="I525" s="8">
        <v>7.3</v>
      </c>
    </row>
    <row r="526" spans="1:9">
      <c r="A526" s="8" t="s">
        <v>563</v>
      </c>
      <c r="B526" s="8" t="str">
        <f>VLOOKUP(A526,地区!$B$1:$C$43,2,0)</f>
        <v>华南地区</v>
      </c>
      <c r="C526" s="8" t="s">
        <v>90</v>
      </c>
      <c r="D526" s="8" t="s">
        <v>591</v>
      </c>
      <c r="E526" s="8">
        <v>34</v>
      </c>
      <c r="F526" s="8">
        <v>37</v>
      </c>
      <c r="G526" s="8">
        <v>7.4</v>
      </c>
      <c r="H526" s="8">
        <v>7.5</v>
      </c>
      <c r="I526" s="8">
        <v>7.4</v>
      </c>
    </row>
    <row r="527" spans="1:9">
      <c r="A527" s="8" t="s">
        <v>563</v>
      </c>
      <c r="B527" s="8" t="str">
        <f>VLOOKUP(A527,地区!$B$1:$C$43,2,0)</f>
        <v>华南地区</v>
      </c>
      <c r="C527" s="8" t="s">
        <v>90</v>
      </c>
      <c r="D527" s="8" t="s">
        <v>592</v>
      </c>
      <c r="E527" s="8">
        <v>9</v>
      </c>
      <c r="F527" s="8">
        <v>55</v>
      </c>
      <c r="G527" s="8">
        <v>7.1</v>
      </c>
      <c r="H527" s="8">
        <v>7.1</v>
      </c>
      <c r="I527" s="8">
        <v>6.9</v>
      </c>
    </row>
    <row r="528" spans="1:9">
      <c r="A528" s="8" t="s">
        <v>563</v>
      </c>
      <c r="B528" s="8" t="str">
        <f>VLOOKUP(A528,地区!$B$1:$C$43,2,0)</f>
        <v>华南地区</v>
      </c>
      <c r="C528" s="8" t="s">
        <v>90</v>
      </c>
      <c r="D528" s="8" t="s">
        <v>593</v>
      </c>
      <c r="E528" s="8">
        <v>17</v>
      </c>
      <c r="F528" s="8">
        <v>17</v>
      </c>
      <c r="G528" s="8">
        <v>7.2</v>
      </c>
      <c r="H528" s="8">
        <v>6.8</v>
      </c>
      <c r="I528" s="8">
        <v>7</v>
      </c>
    </row>
    <row r="529" spans="1:9">
      <c r="A529" s="8" t="s">
        <v>563</v>
      </c>
      <c r="B529" s="8" t="str">
        <f>VLOOKUP(A529,地区!$B$1:$C$43,2,0)</f>
        <v>华南地区</v>
      </c>
      <c r="C529" s="8" t="s">
        <v>90</v>
      </c>
      <c r="D529" s="8" t="s">
        <v>594</v>
      </c>
      <c r="E529" s="8">
        <v>10</v>
      </c>
      <c r="F529" s="8">
        <v>51</v>
      </c>
      <c r="G529" s="8">
        <v>7.8</v>
      </c>
      <c r="H529" s="8">
        <v>7.6</v>
      </c>
      <c r="I529" s="8">
        <v>7.8</v>
      </c>
    </row>
    <row r="530" spans="1:9">
      <c r="A530" s="8" t="s">
        <v>563</v>
      </c>
      <c r="B530" s="8" t="str">
        <f>VLOOKUP(A530,地区!$B$1:$C$43,2,0)</f>
        <v>华南地区</v>
      </c>
      <c r="C530" s="8" t="s">
        <v>90</v>
      </c>
      <c r="D530" s="8" t="s">
        <v>595</v>
      </c>
      <c r="E530" s="8">
        <v>4</v>
      </c>
      <c r="F530" s="8">
        <v>13</v>
      </c>
      <c r="G530" s="8">
        <v>7.3</v>
      </c>
      <c r="H530" s="8">
        <v>7.4</v>
      </c>
      <c r="I530" s="8">
        <v>7.4</v>
      </c>
    </row>
    <row r="531" spans="1:9">
      <c r="A531" s="8" t="s">
        <v>563</v>
      </c>
      <c r="B531" s="8" t="str">
        <f>VLOOKUP(A531,地区!$B$1:$C$43,2,0)</f>
        <v>华南地区</v>
      </c>
      <c r="C531" s="8" t="s">
        <v>90</v>
      </c>
      <c r="D531" s="8" t="s">
        <v>596</v>
      </c>
      <c r="E531" s="8">
        <v>14</v>
      </c>
      <c r="F531" s="8">
        <v>115</v>
      </c>
      <c r="G531" s="8">
        <v>7.2</v>
      </c>
      <c r="H531" s="8">
        <v>7.2</v>
      </c>
      <c r="I531" s="8">
        <v>7.2</v>
      </c>
    </row>
    <row r="532" spans="1:9">
      <c r="A532" s="8" t="s">
        <v>563</v>
      </c>
      <c r="B532" s="8" t="str">
        <f>VLOOKUP(A532,地区!$B$1:$C$43,2,0)</f>
        <v>华南地区</v>
      </c>
      <c r="C532" s="8" t="s">
        <v>597</v>
      </c>
      <c r="D532" s="8" t="s">
        <v>598</v>
      </c>
      <c r="E532" s="8">
        <v>7</v>
      </c>
      <c r="F532" s="8">
        <v>13</v>
      </c>
      <c r="G532" s="8">
        <v>7.1</v>
      </c>
      <c r="H532" s="8">
        <v>7.1</v>
      </c>
      <c r="I532" s="8">
        <v>7.1</v>
      </c>
    </row>
    <row r="533" spans="1:9">
      <c r="A533" s="8" t="s">
        <v>563</v>
      </c>
      <c r="B533" s="8" t="str">
        <f>VLOOKUP(A533,地区!$B$1:$C$43,2,0)</f>
        <v>华南地区</v>
      </c>
      <c r="C533" s="8" t="s">
        <v>597</v>
      </c>
      <c r="D533" s="8" t="s">
        <v>599</v>
      </c>
      <c r="E533" s="8">
        <v>14</v>
      </c>
      <c r="F533" s="8">
        <v>8</v>
      </c>
      <c r="G533" s="8">
        <v>7.1</v>
      </c>
      <c r="H533" s="8">
        <v>7</v>
      </c>
      <c r="I533" s="8">
        <v>6.9</v>
      </c>
    </row>
    <row r="534" spans="1:9">
      <c r="A534" s="8" t="s">
        <v>600</v>
      </c>
      <c r="B534" s="8" t="str">
        <f>VLOOKUP(A534,地区!$B$1:$C$43,2,0)</f>
        <v>华东地区</v>
      </c>
      <c r="C534" s="8" t="s">
        <v>10</v>
      </c>
      <c r="D534" s="8" t="s">
        <v>601</v>
      </c>
      <c r="E534" s="8">
        <v>1</v>
      </c>
      <c r="F534" s="8">
        <v>25</v>
      </c>
      <c r="G534" s="8">
        <v>6.9</v>
      </c>
      <c r="H534" s="8">
        <v>6.9</v>
      </c>
      <c r="I534" s="8">
        <v>6.9</v>
      </c>
    </row>
    <row r="535" spans="1:9">
      <c r="A535" s="8" t="s">
        <v>600</v>
      </c>
      <c r="B535" s="8" t="str">
        <f>VLOOKUP(A535,地区!$B$1:$C$43,2,0)</f>
        <v>华东地区</v>
      </c>
      <c r="C535" s="8" t="s">
        <v>45</v>
      </c>
      <c r="D535" s="8" t="s">
        <v>602</v>
      </c>
      <c r="E535" s="8">
        <v>3</v>
      </c>
      <c r="F535" s="8">
        <v>42</v>
      </c>
      <c r="G535" s="8">
        <v>6.9</v>
      </c>
      <c r="H535" s="8">
        <v>6.9</v>
      </c>
      <c r="I535" s="8">
        <v>6.9</v>
      </c>
    </row>
    <row r="536" spans="1:9">
      <c r="A536" s="8" t="s">
        <v>600</v>
      </c>
      <c r="B536" s="8" t="str">
        <f>VLOOKUP(A536,地区!$B$1:$C$43,2,0)</f>
        <v>华东地区</v>
      </c>
      <c r="C536" s="8" t="s">
        <v>45</v>
      </c>
      <c r="D536" s="8" t="s">
        <v>603</v>
      </c>
      <c r="E536" s="8">
        <v>5</v>
      </c>
      <c r="F536" s="8">
        <v>35</v>
      </c>
      <c r="G536" s="8">
        <v>7</v>
      </c>
      <c r="H536" s="8">
        <v>7</v>
      </c>
      <c r="I536" s="8">
        <v>7</v>
      </c>
    </row>
    <row r="537" spans="1:9">
      <c r="A537" s="8" t="s">
        <v>600</v>
      </c>
      <c r="B537" s="8" t="str">
        <f>VLOOKUP(A537,地区!$B$1:$C$43,2,0)</f>
        <v>华东地区</v>
      </c>
      <c r="C537" s="8" t="s">
        <v>45</v>
      </c>
      <c r="D537" s="8" t="s">
        <v>604</v>
      </c>
      <c r="E537" s="8">
        <v>8</v>
      </c>
      <c r="F537" s="8">
        <v>25</v>
      </c>
      <c r="G537" s="8">
        <v>7.2</v>
      </c>
      <c r="H537" s="8">
        <v>7.2</v>
      </c>
      <c r="I537" s="8">
        <v>7.2</v>
      </c>
    </row>
    <row r="538" spans="1:9">
      <c r="A538" s="8" t="s">
        <v>600</v>
      </c>
      <c r="B538" s="8" t="str">
        <f>VLOOKUP(A538,地区!$B$1:$C$43,2,0)</f>
        <v>华东地区</v>
      </c>
      <c r="C538" s="8" t="s">
        <v>45</v>
      </c>
      <c r="D538" s="8" t="s">
        <v>605</v>
      </c>
      <c r="E538" s="8">
        <v>1</v>
      </c>
      <c r="F538" s="8">
        <v>30</v>
      </c>
      <c r="G538" s="8">
        <v>6.6</v>
      </c>
      <c r="H538" s="8">
        <v>7.1</v>
      </c>
      <c r="I538" s="8">
        <v>7.1</v>
      </c>
    </row>
    <row r="539" spans="1:9">
      <c r="A539" s="8" t="s">
        <v>600</v>
      </c>
      <c r="B539" s="8" t="str">
        <f>VLOOKUP(A539,地区!$B$1:$C$43,2,0)</f>
        <v>华东地区</v>
      </c>
      <c r="C539" s="8" t="s">
        <v>55</v>
      </c>
      <c r="D539" s="8" t="s">
        <v>606</v>
      </c>
      <c r="E539" s="8">
        <v>95</v>
      </c>
      <c r="F539" s="8">
        <v>106</v>
      </c>
      <c r="G539" s="8">
        <v>8.4</v>
      </c>
      <c r="H539" s="8">
        <v>8.1</v>
      </c>
      <c r="I539" s="8">
        <v>8</v>
      </c>
    </row>
    <row r="540" spans="1:9">
      <c r="A540" s="8" t="s">
        <v>600</v>
      </c>
      <c r="B540" s="8" t="str">
        <f>VLOOKUP(A540,地区!$B$1:$C$43,2,0)</f>
        <v>华东地区</v>
      </c>
      <c r="C540" s="8" t="s">
        <v>55</v>
      </c>
      <c r="D540" s="8" t="s">
        <v>607</v>
      </c>
      <c r="E540" s="8">
        <v>42</v>
      </c>
      <c r="F540" s="8">
        <v>86</v>
      </c>
      <c r="G540" s="8">
        <v>7.6</v>
      </c>
      <c r="H540" s="8">
        <v>7.4</v>
      </c>
      <c r="I540" s="8">
        <v>7.4</v>
      </c>
    </row>
    <row r="541" spans="1:9">
      <c r="A541" s="8" t="s">
        <v>600</v>
      </c>
      <c r="B541" s="8" t="str">
        <f>VLOOKUP(A541,地区!$B$1:$C$43,2,0)</f>
        <v>华东地区</v>
      </c>
      <c r="C541" s="8" t="s">
        <v>33</v>
      </c>
      <c r="D541" s="8" t="s">
        <v>608</v>
      </c>
      <c r="E541" s="8">
        <v>4</v>
      </c>
      <c r="F541" s="8">
        <v>36</v>
      </c>
      <c r="G541" s="8">
        <v>6.9</v>
      </c>
      <c r="H541" s="8">
        <v>7.3</v>
      </c>
      <c r="I541" s="8">
        <v>7.3</v>
      </c>
    </row>
    <row r="542" spans="1:9">
      <c r="A542" s="8" t="s">
        <v>600</v>
      </c>
      <c r="B542" s="8" t="str">
        <f>VLOOKUP(A542,地区!$B$1:$C$43,2,0)</f>
        <v>华东地区</v>
      </c>
      <c r="C542" s="8" t="s">
        <v>412</v>
      </c>
      <c r="D542" s="8" t="s">
        <v>609</v>
      </c>
      <c r="E542" s="8">
        <v>87</v>
      </c>
      <c r="F542" s="8">
        <v>56</v>
      </c>
      <c r="G542" s="8">
        <v>7.5</v>
      </c>
      <c r="H542" s="8">
        <v>7.3</v>
      </c>
      <c r="I542" s="8">
        <v>7.4</v>
      </c>
    </row>
    <row r="543" spans="1:9">
      <c r="A543" s="8" t="s">
        <v>600</v>
      </c>
      <c r="B543" s="8" t="str">
        <f>VLOOKUP(A543,地区!$B$1:$C$43,2,0)</f>
        <v>华东地区</v>
      </c>
      <c r="C543" s="8" t="s">
        <v>412</v>
      </c>
      <c r="D543" s="8" t="s">
        <v>610</v>
      </c>
      <c r="E543" s="8">
        <v>2</v>
      </c>
      <c r="F543" s="8">
        <v>30</v>
      </c>
      <c r="G543" s="8">
        <v>7.2</v>
      </c>
      <c r="H543" s="8">
        <v>7.2</v>
      </c>
      <c r="I543" s="8">
        <v>7.2</v>
      </c>
    </row>
    <row r="544" spans="1:9">
      <c r="A544" s="8" t="s">
        <v>600</v>
      </c>
      <c r="B544" s="8" t="str">
        <f>VLOOKUP(A544,地区!$B$1:$C$43,2,0)</f>
        <v>华东地区</v>
      </c>
      <c r="C544" s="8" t="s">
        <v>412</v>
      </c>
      <c r="D544" s="8" t="s">
        <v>611</v>
      </c>
      <c r="E544" s="8">
        <v>13</v>
      </c>
      <c r="F544" s="8">
        <v>75</v>
      </c>
      <c r="G544" s="8">
        <v>7.3</v>
      </c>
      <c r="H544" s="8">
        <v>7.2</v>
      </c>
      <c r="I544" s="8">
        <v>7</v>
      </c>
    </row>
    <row r="545" spans="1:9">
      <c r="A545" s="8" t="s">
        <v>600</v>
      </c>
      <c r="B545" s="8" t="str">
        <f>VLOOKUP(A545,地区!$B$1:$C$43,2,0)</f>
        <v>华东地区</v>
      </c>
      <c r="C545" s="8" t="s">
        <v>59</v>
      </c>
      <c r="D545" s="8" t="s">
        <v>612</v>
      </c>
      <c r="E545" s="8">
        <v>34</v>
      </c>
      <c r="F545" s="8">
        <v>79</v>
      </c>
      <c r="G545" s="8">
        <v>8.1</v>
      </c>
      <c r="H545" s="8">
        <v>8.1</v>
      </c>
      <c r="I545" s="8">
        <v>8.3</v>
      </c>
    </row>
    <row r="546" spans="1:9">
      <c r="A546" s="8" t="s">
        <v>600</v>
      </c>
      <c r="B546" s="8" t="str">
        <f>VLOOKUP(A546,地区!$B$1:$C$43,2,0)</f>
        <v>华东地区</v>
      </c>
      <c r="C546" s="8" t="s">
        <v>59</v>
      </c>
      <c r="D546" s="8" t="s">
        <v>613</v>
      </c>
      <c r="E546" s="8">
        <v>25</v>
      </c>
      <c r="F546" s="8">
        <v>65</v>
      </c>
      <c r="G546" s="8">
        <v>7.2</v>
      </c>
      <c r="H546" s="8">
        <v>7.2</v>
      </c>
      <c r="I546" s="8">
        <v>7.2</v>
      </c>
    </row>
    <row r="547" spans="1:9">
      <c r="A547" s="8" t="s">
        <v>600</v>
      </c>
      <c r="B547" s="8" t="str">
        <f>VLOOKUP(A547,地区!$B$1:$C$43,2,0)</f>
        <v>华东地区</v>
      </c>
      <c r="C547" s="8" t="s">
        <v>59</v>
      </c>
      <c r="D547" s="8" t="s">
        <v>614</v>
      </c>
      <c r="E547" s="8">
        <v>5</v>
      </c>
      <c r="F547" s="8">
        <v>58</v>
      </c>
      <c r="G547" s="8">
        <v>7.2</v>
      </c>
      <c r="H547" s="8">
        <v>7.2</v>
      </c>
      <c r="I547" s="8">
        <v>7.2</v>
      </c>
    </row>
    <row r="548" spans="1:9">
      <c r="A548" s="8" t="s">
        <v>600</v>
      </c>
      <c r="B548" s="8" t="str">
        <f>VLOOKUP(A548,地区!$B$1:$C$43,2,0)</f>
        <v>华东地区</v>
      </c>
      <c r="C548" s="8" t="s">
        <v>445</v>
      </c>
      <c r="D548" s="8" t="s">
        <v>615</v>
      </c>
      <c r="E548" s="8">
        <v>13</v>
      </c>
      <c r="F548" s="8">
        <v>24</v>
      </c>
      <c r="G548" s="8">
        <v>7.3</v>
      </c>
      <c r="H548" s="8">
        <v>7.3</v>
      </c>
      <c r="I548" s="8">
        <v>7.3</v>
      </c>
    </row>
    <row r="549" spans="1:9">
      <c r="A549" s="8" t="s">
        <v>600</v>
      </c>
      <c r="B549" s="8" t="str">
        <f>VLOOKUP(A549,地区!$B$1:$C$43,2,0)</f>
        <v>华东地区</v>
      </c>
      <c r="C549" s="8" t="s">
        <v>445</v>
      </c>
      <c r="D549" s="8" t="s">
        <v>616</v>
      </c>
      <c r="E549" s="8">
        <v>15</v>
      </c>
      <c r="F549" s="8">
        <v>25</v>
      </c>
      <c r="G549" s="8">
        <v>7.5</v>
      </c>
      <c r="H549" s="8">
        <v>7.4</v>
      </c>
      <c r="I549" s="8">
        <v>7.5</v>
      </c>
    </row>
    <row r="550" spans="1:9">
      <c r="A550" s="8" t="s">
        <v>600</v>
      </c>
      <c r="B550" s="8" t="str">
        <f>VLOOKUP(A550,地区!$B$1:$C$43,2,0)</f>
        <v>华东地区</v>
      </c>
      <c r="C550" s="8" t="s">
        <v>445</v>
      </c>
      <c r="D550" s="8" t="s">
        <v>617</v>
      </c>
      <c r="E550" s="8">
        <v>7</v>
      </c>
      <c r="F550" s="8">
        <v>19</v>
      </c>
      <c r="G550" s="8">
        <v>7.1</v>
      </c>
      <c r="H550" s="8">
        <v>7.1</v>
      </c>
      <c r="I550" s="8">
        <v>7.1</v>
      </c>
    </row>
    <row r="551" spans="1:9">
      <c r="A551" s="8" t="s">
        <v>600</v>
      </c>
      <c r="B551" s="8" t="str">
        <f>VLOOKUP(A551,地区!$B$1:$C$43,2,0)</f>
        <v>华东地区</v>
      </c>
      <c r="C551" s="8" t="s">
        <v>445</v>
      </c>
      <c r="D551" s="8" t="s">
        <v>618</v>
      </c>
      <c r="E551" s="8">
        <v>110</v>
      </c>
      <c r="F551" s="8">
        <v>16</v>
      </c>
      <c r="G551" s="8">
        <v>7.2</v>
      </c>
      <c r="H551" s="8">
        <v>7.3</v>
      </c>
      <c r="I551" s="8">
        <v>7.3</v>
      </c>
    </row>
    <row r="552" spans="1:9">
      <c r="A552" s="8" t="s">
        <v>600</v>
      </c>
      <c r="B552" s="8" t="str">
        <f>VLOOKUP(A552,地区!$B$1:$C$43,2,0)</f>
        <v>华东地区</v>
      </c>
      <c r="C552" s="8" t="s">
        <v>233</v>
      </c>
      <c r="D552" s="8" t="s">
        <v>619</v>
      </c>
      <c r="E552" s="8">
        <v>24</v>
      </c>
      <c r="F552" s="8">
        <v>49</v>
      </c>
      <c r="G552" s="8">
        <v>7.1</v>
      </c>
      <c r="H552" s="8">
        <v>6.6</v>
      </c>
      <c r="I552" s="8">
        <v>6.8</v>
      </c>
    </row>
    <row r="553" spans="1:9">
      <c r="A553" s="8" t="s">
        <v>600</v>
      </c>
      <c r="B553" s="8" t="str">
        <f>VLOOKUP(A553,地区!$B$1:$C$43,2,0)</f>
        <v>华东地区</v>
      </c>
      <c r="C553" s="8" t="s">
        <v>79</v>
      </c>
      <c r="D553" s="8" t="s">
        <v>620</v>
      </c>
      <c r="E553" s="8">
        <v>14</v>
      </c>
      <c r="F553" s="8">
        <v>19</v>
      </c>
      <c r="G553" s="8">
        <v>7.3</v>
      </c>
      <c r="H553" s="8">
        <v>7.3</v>
      </c>
      <c r="I553" s="8">
        <v>7.5</v>
      </c>
    </row>
    <row r="554" spans="1:9">
      <c r="A554" s="8" t="s">
        <v>621</v>
      </c>
      <c r="B554" s="8" t="str">
        <f>VLOOKUP(A554,地区!$B$1:$C$43,2,0)</f>
        <v>华东地区</v>
      </c>
      <c r="C554" s="8" t="s">
        <v>155</v>
      </c>
      <c r="D554" s="8" t="s">
        <v>622</v>
      </c>
      <c r="E554" s="8">
        <v>628</v>
      </c>
      <c r="F554" s="8">
        <v>71</v>
      </c>
      <c r="G554" s="8">
        <v>8.1</v>
      </c>
      <c r="H554" s="8">
        <v>8.2</v>
      </c>
      <c r="I554" s="8">
        <v>8.2</v>
      </c>
    </row>
    <row r="555" spans="1:9">
      <c r="A555" s="8" t="s">
        <v>621</v>
      </c>
      <c r="B555" s="8" t="str">
        <f>VLOOKUP(A555,地区!$B$1:$C$43,2,0)</f>
        <v>华东地区</v>
      </c>
      <c r="C555" s="8" t="s">
        <v>155</v>
      </c>
      <c r="D555" s="8" t="s">
        <v>623</v>
      </c>
      <c r="E555" s="8">
        <v>52</v>
      </c>
      <c r="F555" s="8">
        <v>65</v>
      </c>
      <c r="G555" s="8">
        <v>7.8</v>
      </c>
      <c r="H555" s="8">
        <v>7.9</v>
      </c>
      <c r="I555" s="8">
        <v>7.8</v>
      </c>
    </row>
    <row r="556" spans="1:9">
      <c r="A556" s="8" t="s">
        <v>621</v>
      </c>
      <c r="B556" s="8" t="str">
        <f>VLOOKUP(A556,地区!$B$1:$C$43,2,0)</f>
        <v>华东地区</v>
      </c>
      <c r="C556" s="8" t="s">
        <v>155</v>
      </c>
      <c r="D556" s="8" t="s">
        <v>624</v>
      </c>
      <c r="E556" s="8">
        <v>48</v>
      </c>
      <c r="F556" s="8">
        <v>297</v>
      </c>
      <c r="G556" s="8">
        <v>7.4</v>
      </c>
      <c r="H556" s="8">
        <v>7.5</v>
      </c>
      <c r="I556" s="8">
        <v>7.5</v>
      </c>
    </row>
    <row r="557" spans="1:9">
      <c r="A557" s="8" t="s">
        <v>621</v>
      </c>
      <c r="B557" s="8" t="str">
        <f>VLOOKUP(A557,地区!$B$1:$C$43,2,0)</f>
        <v>华东地区</v>
      </c>
      <c r="C557" s="8" t="s">
        <v>15</v>
      </c>
      <c r="D557" s="8" t="s">
        <v>625</v>
      </c>
      <c r="E557" s="8">
        <v>155</v>
      </c>
      <c r="F557" s="8">
        <v>146</v>
      </c>
      <c r="G557" s="8">
        <v>7.2</v>
      </c>
      <c r="H557" s="8">
        <v>7.6</v>
      </c>
      <c r="I557" s="8">
        <v>7.5</v>
      </c>
    </row>
    <row r="558" spans="1:9">
      <c r="A558" s="8" t="s">
        <v>621</v>
      </c>
      <c r="B558" s="8" t="str">
        <f>VLOOKUP(A558,地区!$B$1:$C$43,2,0)</f>
        <v>华东地区</v>
      </c>
      <c r="C558" s="8" t="s">
        <v>55</v>
      </c>
      <c r="D558" s="8" t="s">
        <v>626</v>
      </c>
      <c r="E558" s="8">
        <v>48</v>
      </c>
      <c r="F558" s="8">
        <v>36</v>
      </c>
      <c r="G558" s="8">
        <v>7.8</v>
      </c>
      <c r="H558" s="8">
        <v>7.5</v>
      </c>
      <c r="I558" s="8">
        <v>8</v>
      </c>
    </row>
    <row r="559" spans="1:9">
      <c r="A559" s="8" t="s">
        <v>621</v>
      </c>
      <c r="B559" s="8" t="str">
        <f>VLOOKUP(A559,地区!$B$1:$C$43,2,0)</f>
        <v>华东地区</v>
      </c>
      <c r="C559" s="8" t="s">
        <v>55</v>
      </c>
      <c r="D559" s="8" t="s">
        <v>627</v>
      </c>
      <c r="E559" s="8">
        <v>11</v>
      </c>
      <c r="F559" s="8">
        <v>35</v>
      </c>
      <c r="G559" s="8">
        <v>6.8</v>
      </c>
      <c r="H559" s="8">
        <v>6.7</v>
      </c>
      <c r="I559" s="8">
        <v>6.8</v>
      </c>
    </row>
    <row r="560" spans="1:9">
      <c r="A560" s="8" t="s">
        <v>621</v>
      </c>
      <c r="B560" s="8" t="str">
        <f>VLOOKUP(A560,地区!$B$1:$C$43,2,0)</f>
        <v>华东地区</v>
      </c>
      <c r="C560" s="8" t="s">
        <v>59</v>
      </c>
      <c r="D560" s="8" t="s">
        <v>628</v>
      </c>
      <c r="E560" s="8">
        <v>17</v>
      </c>
      <c r="F560" s="8">
        <v>121</v>
      </c>
      <c r="G560" s="8">
        <v>7</v>
      </c>
      <c r="H560" s="8">
        <v>7</v>
      </c>
      <c r="I560" s="8">
        <v>7</v>
      </c>
    </row>
    <row r="561" spans="1:9">
      <c r="A561" s="8" t="s">
        <v>621</v>
      </c>
      <c r="B561" s="8" t="str">
        <f>VLOOKUP(A561,地区!$B$1:$C$43,2,0)</f>
        <v>华东地区</v>
      </c>
      <c r="C561" s="8" t="s">
        <v>59</v>
      </c>
      <c r="D561" s="8" t="s">
        <v>629</v>
      </c>
      <c r="E561" s="8">
        <v>29</v>
      </c>
      <c r="F561" s="8">
        <v>48</v>
      </c>
      <c r="G561" s="8">
        <v>7.3</v>
      </c>
      <c r="H561" s="8">
        <v>7.2</v>
      </c>
      <c r="I561" s="8">
        <v>6.8</v>
      </c>
    </row>
    <row r="562" spans="1:9">
      <c r="A562" s="8" t="s">
        <v>621</v>
      </c>
      <c r="B562" s="8" t="str">
        <f>VLOOKUP(A562,地区!$B$1:$C$43,2,0)</f>
        <v>华东地区</v>
      </c>
      <c r="C562" s="8" t="s">
        <v>59</v>
      </c>
      <c r="D562" s="8" t="s">
        <v>630</v>
      </c>
      <c r="E562" s="8">
        <v>5</v>
      </c>
      <c r="F562" s="8">
        <v>53</v>
      </c>
      <c r="G562" s="8">
        <v>7.7</v>
      </c>
      <c r="H562" s="8">
        <v>7.7</v>
      </c>
      <c r="I562" s="8">
        <v>7.7</v>
      </c>
    </row>
    <row r="563" spans="1:9">
      <c r="A563" s="8" t="s">
        <v>621</v>
      </c>
      <c r="B563" s="8" t="str">
        <f>VLOOKUP(A563,地区!$B$1:$C$43,2,0)</f>
        <v>华东地区</v>
      </c>
      <c r="C563" s="8" t="s">
        <v>59</v>
      </c>
      <c r="D563" s="8" t="s">
        <v>631</v>
      </c>
      <c r="E563" s="8">
        <v>110</v>
      </c>
      <c r="F563" s="8">
        <v>85</v>
      </c>
      <c r="G563" s="8">
        <v>8</v>
      </c>
      <c r="H563" s="8">
        <v>8</v>
      </c>
      <c r="I563" s="8">
        <v>7.9</v>
      </c>
    </row>
    <row r="564" spans="1:9">
      <c r="A564" s="8" t="s">
        <v>621</v>
      </c>
      <c r="B564" s="8" t="str">
        <f>VLOOKUP(A564,地区!$B$1:$C$43,2,0)</f>
        <v>华东地区</v>
      </c>
      <c r="C564" s="8" t="s">
        <v>59</v>
      </c>
      <c r="D564" s="8" t="s">
        <v>632</v>
      </c>
      <c r="E564" s="8">
        <v>1</v>
      </c>
      <c r="F564" s="8">
        <v>50</v>
      </c>
      <c r="G564" s="8">
        <v>6.9</v>
      </c>
      <c r="H564" s="8">
        <v>6.9</v>
      </c>
      <c r="I564" s="8">
        <v>6.9</v>
      </c>
    </row>
    <row r="565" spans="1:9">
      <c r="A565" s="8" t="s">
        <v>621</v>
      </c>
      <c r="B565" s="8" t="str">
        <f>VLOOKUP(A565,地区!$B$1:$C$43,2,0)</f>
        <v>华东地区</v>
      </c>
      <c r="C565" s="8" t="s">
        <v>104</v>
      </c>
      <c r="D565" s="8" t="s">
        <v>633</v>
      </c>
      <c r="E565" s="8">
        <v>451</v>
      </c>
      <c r="F565" s="8">
        <v>82</v>
      </c>
      <c r="G565" s="8">
        <v>8.7</v>
      </c>
      <c r="H565" s="8">
        <v>9.1</v>
      </c>
      <c r="I565" s="8">
        <v>8.9</v>
      </c>
    </row>
    <row r="566" spans="1:9">
      <c r="A566" s="8" t="s">
        <v>621</v>
      </c>
      <c r="B566" s="8" t="str">
        <f>VLOOKUP(A566,地区!$B$1:$C$43,2,0)</f>
        <v>华东地区</v>
      </c>
      <c r="C566" s="8" t="s">
        <v>104</v>
      </c>
      <c r="D566" s="8" t="s">
        <v>634</v>
      </c>
      <c r="E566" s="8">
        <v>14</v>
      </c>
      <c r="F566" s="8">
        <v>20</v>
      </c>
      <c r="G566" s="8">
        <v>7.4</v>
      </c>
      <c r="H566" s="8">
        <v>7.4</v>
      </c>
      <c r="I566" s="8">
        <v>7.3</v>
      </c>
    </row>
    <row r="567" spans="1:9">
      <c r="A567" s="8" t="s">
        <v>621</v>
      </c>
      <c r="B567" s="8" t="str">
        <f>VLOOKUP(A567,地区!$B$1:$C$43,2,0)</f>
        <v>华东地区</v>
      </c>
      <c r="C567" s="8" t="s">
        <v>104</v>
      </c>
      <c r="D567" s="8" t="s">
        <v>635</v>
      </c>
      <c r="E567" s="8">
        <v>90</v>
      </c>
      <c r="F567" s="8">
        <v>62</v>
      </c>
      <c r="G567" s="8">
        <v>6.8</v>
      </c>
      <c r="H567" s="8">
        <v>6.8</v>
      </c>
      <c r="I567" s="8">
        <v>6.8</v>
      </c>
    </row>
    <row r="568" spans="1:9">
      <c r="A568" s="8" t="s">
        <v>621</v>
      </c>
      <c r="B568" s="8" t="str">
        <f>VLOOKUP(A568,地区!$B$1:$C$43,2,0)</f>
        <v>华东地区</v>
      </c>
      <c r="C568" s="8" t="s">
        <v>104</v>
      </c>
      <c r="D568" s="8" t="s">
        <v>636</v>
      </c>
      <c r="E568" s="8">
        <v>39</v>
      </c>
      <c r="F568" s="8">
        <v>45</v>
      </c>
      <c r="G568" s="8">
        <v>7.9</v>
      </c>
      <c r="H568" s="8">
        <v>8.1</v>
      </c>
      <c r="I568" s="8">
        <v>8.3</v>
      </c>
    </row>
    <row r="569" spans="1:9">
      <c r="A569" s="8" t="s">
        <v>621</v>
      </c>
      <c r="B569" s="8" t="str">
        <f>VLOOKUP(A569,地区!$B$1:$C$43,2,0)</f>
        <v>华东地区</v>
      </c>
      <c r="C569" s="8" t="s">
        <v>104</v>
      </c>
      <c r="D569" s="8" t="s">
        <v>637</v>
      </c>
      <c r="E569" s="8">
        <v>21</v>
      </c>
      <c r="F569" s="8">
        <v>39</v>
      </c>
      <c r="G569" s="8">
        <v>7.2</v>
      </c>
      <c r="H569" s="8">
        <v>7.3</v>
      </c>
      <c r="I569" s="8">
        <v>7.2</v>
      </c>
    </row>
    <row r="570" spans="1:9">
      <c r="A570" s="8" t="s">
        <v>621</v>
      </c>
      <c r="B570" s="8" t="str">
        <f>VLOOKUP(A570,地区!$B$1:$C$43,2,0)</f>
        <v>华东地区</v>
      </c>
      <c r="C570" s="8" t="s">
        <v>104</v>
      </c>
      <c r="D570" s="8" t="s">
        <v>638</v>
      </c>
      <c r="E570" s="8">
        <v>11</v>
      </c>
      <c r="F570" s="8">
        <v>16</v>
      </c>
      <c r="G570" s="8">
        <v>7.1</v>
      </c>
      <c r="H570" s="8">
        <v>7</v>
      </c>
      <c r="I570" s="8">
        <v>7.1</v>
      </c>
    </row>
    <row r="571" spans="1:9">
      <c r="A571" s="8" t="s">
        <v>621</v>
      </c>
      <c r="B571" s="8" t="str">
        <f>VLOOKUP(A571,地区!$B$1:$C$43,2,0)</f>
        <v>华东地区</v>
      </c>
      <c r="C571" s="8" t="s">
        <v>104</v>
      </c>
      <c r="D571" s="8" t="s">
        <v>639</v>
      </c>
      <c r="E571" s="8">
        <v>75</v>
      </c>
      <c r="F571" s="8">
        <v>38</v>
      </c>
      <c r="G571" s="8">
        <v>7.5</v>
      </c>
      <c r="H571" s="8">
        <v>7.6</v>
      </c>
      <c r="I571" s="8">
        <v>7.6</v>
      </c>
    </row>
    <row r="572" spans="1:9">
      <c r="A572" s="8" t="s">
        <v>621</v>
      </c>
      <c r="B572" s="8" t="str">
        <f>VLOOKUP(A572,地区!$B$1:$C$43,2,0)</f>
        <v>华东地区</v>
      </c>
      <c r="C572" s="8" t="s">
        <v>124</v>
      </c>
      <c r="D572" s="8" t="s">
        <v>640</v>
      </c>
      <c r="E572" s="8">
        <v>643</v>
      </c>
      <c r="F572" s="8">
        <v>289</v>
      </c>
      <c r="G572" s="8">
        <v>8.5</v>
      </c>
      <c r="H572" s="8">
        <v>9.3</v>
      </c>
      <c r="I572" s="8">
        <v>9.1</v>
      </c>
    </row>
    <row r="573" spans="1:9">
      <c r="A573" s="8" t="s">
        <v>621</v>
      </c>
      <c r="B573" s="8" t="str">
        <f>VLOOKUP(A573,地区!$B$1:$C$43,2,0)</f>
        <v>华东地区</v>
      </c>
      <c r="C573" s="8" t="s">
        <v>124</v>
      </c>
      <c r="D573" s="8" t="s">
        <v>641</v>
      </c>
      <c r="E573" s="8">
        <v>140</v>
      </c>
      <c r="F573" s="8">
        <v>181</v>
      </c>
      <c r="G573" s="8">
        <v>6.8</v>
      </c>
      <c r="H573" s="8">
        <v>7.1</v>
      </c>
      <c r="I573" s="8">
        <v>6.9</v>
      </c>
    </row>
    <row r="574" spans="1:9">
      <c r="A574" s="8" t="s">
        <v>621</v>
      </c>
      <c r="B574" s="8" t="str">
        <f>VLOOKUP(A574,地区!$B$1:$C$43,2,0)</f>
        <v>华东地区</v>
      </c>
      <c r="C574" s="8" t="s">
        <v>124</v>
      </c>
      <c r="D574" s="8" t="s">
        <v>642</v>
      </c>
      <c r="E574" s="8">
        <v>631</v>
      </c>
      <c r="F574" s="8">
        <v>196</v>
      </c>
      <c r="G574" s="8">
        <v>8.3</v>
      </c>
      <c r="H574" s="8">
        <v>8.5</v>
      </c>
      <c r="I574" s="8">
        <v>8.5</v>
      </c>
    </row>
    <row r="575" spans="1:9">
      <c r="A575" s="8" t="s">
        <v>621</v>
      </c>
      <c r="B575" s="8" t="str">
        <f>VLOOKUP(A575,地区!$B$1:$C$43,2,0)</f>
        <v>华东地区</v>
      </c>
      <c r="C575" s="8" t="s">
        <v>124</v>
      </c>
      <c r="D575" s="8" t="s">
        <v>643</v>
      </c>
      <c r="E575" s="8">
        <v>1142</v>
      </c>
      <c r="F575" s="8">
        <v>240</v>
      </c>
      <c r="G575" s="8">
        <v>8.2</v>
      </c>
      <c r="H575" s="8">
        <v>8.9</v>
      </c>
      <c r="I575" s="8">
        <v>8.7</v>
      </c>
    </row>
    <row r="576" spans="1:9">
      <c r="A576" s="8" t="s">
        <v>621</v>
      </c>
      <c r="B576" s="8" t="str">
        <f>VLOOKUP(A576,地区!$B$1:$C$43,2,0)</f>
        <v>华东地区</v>
      </c>
      <c r="C576" s="8" t="s">
        <v>124</v>
      </c>
      <c r="D576" s="8" t="s">
        <v>644</v>
      </c>
      <c r="E576" s="8">
        <v>55</v>
      </c>
      <c r="F576" s="8">
        <v>45</v>
      </c>
      <c r="G576" s="8">
        <v>7.3</v>
      </c>
      <c r="H576" s="8">
        <v>7.3</v>
      </c>
      <c r="I576" s="8">
        <v>7.4</v>
      </c>
    </row>
    <row r="577" spans="1:9">
      <c r="A577" s="8" t="s">
        <v>621</v>
      </c>
      <c r="B577" s="8" t="str">
        <f>VLOOKUP(A577,地区!$B$1:$C$43,2,0)</f>
        <v>华东地区</v>
      </c>
      <c r="C577" s="8" t="s">
        <v>85</v>
      </c>
      <c r="D577" s="8" t="s">
        <v>645</v>
      </c>
      <c r="E577" s="8">
        <v>98</v>
      </c>
      <c r="F577" s="8">
        <v>28</v>
      </c>
      <c r="G577" s="8">
        <v>7.8</v>
      </c>
      <c r="H577" s="8">
        <v>8.1</v>
      </c>
      <c r="I577" s="8">
        <v>7.9</v>
      </c>
    </row>
    <row r="578" spans="1:9">
      <c r="A578" s="8" t="s">
        <v>621</v>
      </c>
      <c r="B578" s="8" t="str">
        <f>VLOOKUP(A578,地区!$B$1:$C$43,2,0)</f>
        <v>华东地区</v>
      </c>
      <c r="C578" s="8" t="s">
        <v>85</v>
      </c>
      <c r="D578" s="8" t="s">
        <v>646</v>
      </c>
      <c r="E578" s="8">
        <v>62</v>
      </c>
      <c r="F578" s="8">
        <v>33</v>
      </c>
      <c r="G578" s="8">
        <v>7.5</v>
      </c>
      <c r="H578" s="8">
        <v>7.8</v>
      </c>
      <c r="I578" s="8">
        <v>7.9</v>
      </c>
    </row>
    <row r="579" spans="1:9">
      <c r="A579" s="8" t="s">
        <v>621</v>
      </c>
      <c r="B579" s="8" t="str">
        <f>VLOOKUP(A579,地区!$B$1:$C$43,2,0)</f>
        <v>华东地区</v>
      </c>
      <c r="C579" s="8" t="s">
        <v>85</v>
      </c>
      <c r="D579" s="8" t="s">
        <v>647</v>
      </c>
      <c r="E579" s="8">
        <v>47</v>
      </c>
      <c r="F579" s="8">
        <v>33</v>
      </c>
      <c r="G579" s="8">
        <v>8.2</v>
      </c>
      <c r="H579" s="8">
        <v>8.4</v>
      </c>
      <c r="I579" s="8">
        <v>8.2</v>
      </c>
    </row>
    <row r="580" spans="1:9">
      <c r="A580" s="8" t="s">
        <v>621</v>
      </c>
      <c r="B580" s="8" t="str">
        <f>VLOOKUP(A580,地区!$B$1:$C$43,2,0)</f>
        <v>华东地区</v>
      </c>
      <c r="C580" s="8" t="s">
        <v>85</v>
      </c>
      <c r="D580" s="8" t="s">
        <v>648</v>
      </c>
      <c r="E580" s="8">
        <v>861</v>
      </c>
      <c r="F580" s="8">
        <v>19</v>
      </c>
      <c r="G580" s="8">
        <v>8.3</v>
      </c>
      <c r="H580" s="8">
        <v>8.4</v>
      </c>
      <c r="I580" s="8">
        <v>8.3</v>
      </c>
    </row>
    <row r="581" spans="1:9">
      <c r="A581" s="8" t="s">
        <v>621</v>
      </c>
      <c r="B581" s="8" t="str">
        <f>VLOOKUP(A581,地区!$B$1:$C$43,2,0)</f>
        <v>华东地区</v>
      </c>
      <c r="C581" s="8" t="s">
        <v>85</v>
      </c>
      <c r="D581" s="8" t="s">
        <v>649</v>
      </c>
      <c r="E581" s="8">
        <v>47</v>
      </c>
      <c r="F581" s="8">
        <v>14</v>
      </c>
      <c r="G581" s="8">
        <v>8.1</v>
      </c>
      <c r="H581" s="8">
        <v>8</v>
      </c>
      <c r="I581" s="8">
        <v>7.9</v>
      </c>
    </row>
    <row r="582" spans="1:9">
      <c r="A582" s="8" t="s">
        <v>621</v>
      </c>
      <c r="B582" s="8" t="str">
        <f>VLOOKUP(A582,地区!$B$1:$C$43,2,0)</f>
        <v>华东地区</v>
      </c>
      <c r="C582" s="8" t="s">
        <v>85</v>
      </c>
      <c r="D582" s="8" t="s">
        <v>650</v>
      </c>
      <c r="E582" s="8">
        <v>61</v>
      </c>
      <c r="F582" s="8">
        <v>10</v>
      </c>
      <c r="G582" s="8">
        <v>7.3</v>
      </c>
      <c r="H582" s="8">
        <v>7.2</v>
      </c>
      <c r="I582" s="8">
        <v>7.2</v>
      </c>
    </row>
    <row r="583" spans="1:9">
      <c r="A583" s="8" t="s">
        <v>621</v>
      </c>
      <c r="B583" s="8" t="str">
        <f>VLOOKUP(A583,地区!$B$1:$C$43,2,0)</f>
        <v>华东地区</v>
      </c>
      <c r="C583" s="8" t="s">
        <v>33</v>
      </c>
      <c r="D583" s="8" t="s">
        <v>651</v>
      </c>
      <c r="E583" s="8">
        <v>54</v>
      </c>
      <c r="F583" s="8">
        <v>35</v>
      </c>
      <c r="G583" s="8">
        <v>7.2</v>
      </c>
      <c r="H583" s="8">
        <v>7.4</v>
      </c>
      <c r="I583" s="8">
        <v>7.3</v>
      </c>
    </row>
    <row r="584" spans="1:9">
      <c r="A584" s="8" t="s">
        <v>652</v>
      </c>
      <c r="B584" s="8" t="str">
        <f>VLOOKUP(A584,地区!$B$1:$C$43,2,0)</f>
        <v>华东地区</v>
      </c>
      <c r="C584" s="8" t="s">
        <v>79</v>
      </c>
      <c r="D584" s="8" t="s">
        <v>653</v>
      </c>
      <c r="E584" s="8">
        <v>32</v>
      </c>
      <c r="F584" s="8">
        <v>46</v>
      </c>
      <c r="G584" s="8">
        <v>6.7</v>
      </c>
      <c r="H584" s="8">
        <v>6.9</v>
      </c>
      <c r="I584" s="8">
        <v>7</v>
      </c>
    </row>
    <row r="585" spans="1:9">
      <c r="A585" s="8" t="s">
        <v>652</v>
      </c>
      <c r="B585" s="8" t="str">
        <f>VLOOKUP(A585,地区!$B$1:$C$43,2,0)</f>
        <v>华东地区</v>
      </c>
      <c r="C585" s="8" t="s">
        <v>85</v>
      </c>
      <c r="D585" s="8" t="s">
        <v>654</v>
      </c>
      <c r="E585" s="8">
        <v>58</v>
      </c>
      <c r="F585" s="8">
        <v>14</v>
      </c>
      <c r="G585" s="8">
        <v>8.2</v>
      </c>
      <c r="H585" s="8">
        <v>8.1</v>
      </c>
      <c r="I585" s="8">
        <v>8.2</v>
      </c>
    </row>
    <row r="586" spans="1:9">
      <c r="A586" s="8" t="s">
        <v>652</v>
      </c>
      <c r="B586" s="8" t="str">
        <f>VLOOKUP(A586,地区!$B$1:$C$43,2,0)</f>
        <v>华东地区</v>
      </c>
      <c r="C586" s="8" t="s">
        <v>85</v>
      </c>
      <c r="D586" s="8" t="s">
        <v>655</v>
      </c>
      <c r="E586" s="8">
        <v>55</v>
      </c>
      <c r="F586" s="8">
        <v>37</v>
      </c>
      <c r="G586" s="8">
        <v>7.6</v>
      </c>
      <c r="H586" s="8">
        <v>7.7</v>
      </c>
      <c r="I586" s="8">
        <v>7.6</v>
      </c>
    </row>
    <row r="587" spans="1:9">
      <c r="A587" s="8" t="s">
        <v>652</v>
      </c>
      <c r="B587" s="8" t="str">
        <f>VLOOKUP(A587,地区!$B$1:$C$43,2,0)</f>
        <v>华东地区</v>
      </c>
      <c r="C587" s="8" t="s">
        <v>85</v>
      </c>
      <c r="D587" s="8" t="s">
        <v>656</v>
      </c>
      <c r="E587" s="8">
        <v>196</v>
      </c>
      <c r="F587" s="8">
        <v>19</v>
      </c>
      <c r="G587" s="8">
        <v>7.5</v>
      </c>
      <c r="H587" s="8">
        <v>7.5</v>
      </c>
      <c r="I587" s="8">
        <v>7.6</v>
      </c>
    </row>
    <row r="588" spans="1:9">
      <c r="A588" s="8" t="s">
        <v>652</v>
      </c>
      <c r="B588" s="8" t="str">
        <f>VLOOKUP(A588,地区!$B$1:$C$43,2,0)</f>
        <v>华东地区</v>
      </c>
      <c r="C588" s="8" t="s">
        <v>85</v>
      </c>
      <c r="D588" s="8" t="s">
        <v>657</v>
      </c>
      <c r="E588" s="8">
        <v>46</v>
      </c>
      <c r="F588" s="8">
        <v>12</v>
      </c>
      <c r="G588" s="8">
        <v>7.8</v>
      </c>
      <c r="H588" s="8">
        <v>7.5</v>
      </c>
      <c r="I588" s="8">
        <v>7.8</v>
      </c>
    </row>
    <row r="589" spans="1:9">
      <c r="A589" s="8" t="s">
        <v>652</v>
      </c>
      <c r="B589" s="8" t="str">
        <f>VLOOKUP(A589,地区!$B$1:$C$43,2,0)</f>
        <v>华东地区</v>
      </c>
      <c r="C589" s="8" t="s">
        <v>85</v>
      </c>
      <c r="D589" s="8" t="s">
        <v>658</v>
      </c>
      <c r="E589" s="8">
        <v>138</v>
      </c>
      <c r="F589" s="8">
        <v>12</v>
      </c>
      <c r="G589" s="8">
        <v>8.4</v>
      </c>
      <c r="H589" s="8">
        <v>8</v>
      </c>
      <c r="I589" s="8">
        <v>8.1</v>
      </c>
    </row>
    <row r="590" spans="1:9">
      <c r="A590" s="8" t="s">
        <v>652</v>
      </c>
      <c r="B590" s="8" t="str">
        <f>VLOOKUP(A590,地区!$B$1:$C$43,2,0)</f>
        <v>华东地区</v>
      </c>
      <c r="C590" s="8" t="s">
        <v>85</v>
      </c>
      <c r="D590" s="8" t="s">
        <v>659</v>
      </c>
      <c r="E590" s="8">
        <v>5</v>
      </c>
      <c r="F590" s="8">
        <v>10</v>
      </c>
      <c r="G590" s="8">
        <v>7.2</v>
      </c>
      <c r="H590" s="8">
        <v>7.3</v>
      </c>
      <c r="I590" s="8">
        <v>7.3</v>
      </c>
    </row>
    <row r="591" spans="1:9">
      <c r="A591" s="8" t="s">
        <v>652</v>
      </c>
      <c r="B591" s="8" t="str">
        <f>VLOOKUP(A591,地区!$B$1:$C$43,2,0)</f>
        <v>华东地区</v>
      </c>
      <c r="C591" s="8" t="s">
        <v>90</v>
      </c>
      <c r="D591" s="8" t="s">
        <v>660</v>
      </c>
      <c r="E591" s="8">
        <v>22</v>
      </c>
      <c r="F591" s="8">
        <v>50</v>
      </c>
      <c r="G591" s="8">
        <v>7.5</v>
      </c>
      <c r="H591" s="8">
        <v>7.3</v>
      </c>
      <c r="I591" s="8">
        <v>7.7</v>
      </c>
    </row>
    <row r="592" spans="1:9">
      <c r="A592" s="8" t="s">
        <v>652</v>
      </c>
      <c r="B592" s="8" t="str">
        <f>VLOOKUP(A592,地区!$B$1:$C$43,2,0)</f>
        <v>华东地区</v>
      </c>
      <c r="C592" s="8" t="s">
        <v>90</v>
      </c>
      <c r="D592" s="8" t="s">
        <v>661</v>
      </c>
      <c r="E592" s="8">
        <v>7</v>
      </c>
      <c r="F592" s="8">
        <v>30</v>
      </c>
      <c r="G592" s="8">
        <v>7.2</v>
      </c>
      <c r="H592" s="8">
        <v>7</v>
      </c>
      <c r="I592" s="8">
        <v>7.2</v>
      </c>
    </row>
    <row r="593" spans="1:9">
      <c r="A593" s="8" t="s">
        <v>652</v>
      </c>
      <c r="B593" s="8" t="str">
        <f>VLOOKUP(A593,地区!$B$1:$C$43,2,0)</f>
        <v>华东地区</v>
      </c>
      <c r="C593" s="8" t="s">
        <v>90</v>
      </c>
      <c r="D593" s="8" t="s">
        <v>662</v>
      </c>
      <c r="E593" s="8">
        <v>26</v>
      </c>
      <c r="F593" s="8">
        <v>25</v>
      </c>
      <c r="G593" s="8">
        <v>7.2</v>
      </c>
      <c r="H593" s="8">
        <v>7</v>
      </c>
      <c r="I593" s="8">
        <v>7.1</v>
      </c>
    </row>
    <row r="594" spans="1:9">
      <c r="A594" s="8" t="s">
        <v>652</v>
      </c>
      <c r="B594" s="8" t="str">
        <f>VLOOKUP(A594,地区!$B$1:$C$43,2,0)</f>
        <v>华东地区</v>
      </c>
      <c r="C594" s="8" t="s">
        <v>90</v>
      </c>
      <c r="D594" s="8" t="s">
        <v>663</v>
      </c>
      <c r="E594" s="8">
        <v>8</v>
      </c>
      <c r="F594" s="8">
        <v>20</v>
      </c>
      <c r="G594" s="8">
        <v>7.3</v>
      </c>
      <c r="H594" s="8">
        <v>7.2</v>
      </c>
      <c r="I594" s="8">
        <v>7.2</v>
      </c>
    </row>
    <row r="595" spans="1:9">
      <c r="A595" s="8" t="s">
        <v>652</v>
      </c>
      <c r="B595" s="8" t="str">
        <f>VLOOKUP(A595,地区!$B$1:$C$43,2,0)</f>
        <v>华东地区</v>
      </c>
      <c r="C595" s="8" t="s">
        <v>329</v>
      </c>
      <c r="D595" s="8" t="s">
        <v>664</v>
      </c>
      <c r="E595" s="8">
        <v>5</v>
      </c>
      <c r="F595" s="8">
        <v>31</v>
      </c>
      <c r="G595" s="8">
        <v>7.1</v>
      </c>
      <c r="H595" s="8">
        <v>7.1</v>
      </c>
      <c r="I595" s="8">
        <v>7.1</v>
      </c>
    </row>
    <row r="596" spans="1:9">
      <c r="A596" s="8" t="s">
        <v>652</v>
      </c>
      <c r="B596" s="8" t="str">
        <f>VLOOKUP(A596,地区!$B$1:$C$43,2,0)</f>
        <v>华东地区</v>
      </c>
      <c r="C596" s="8" t="s">
        <v>329</v>
      </c>
      <c r="D596" s="8" t="s">
        <v>665</v>
      </c>
      <c r="E596" s="8">
        <v>2</v>
      </c>
      <c r="F596" s="8">
        <v>47</v>
      </c>
      <c r="G596" s="8">
        <v>7</v>
      </c>
      <c r="H596" s="8">
        <v>7.2</v>
      </c>
      <c r="I596" s="8">
        <v>7.2</v>
      </c>
    </row>
    <row r="597" spans="1:9">
      <c r="A597" s="8" t="s">
        <v>652</v>
      </c>
      <c r="B597" s="8" t="str">
        <f>VLOOKUP(A597,地区!$B$1:$C$43,2,0)</f>
        <v>华东地区</v>
      </c>
      <c r="C597" s="8" t="s">
        <v>329</v>
      </c>
      <c r="D597" s="8" t="s">
        <v>666</v>
      </c>
      <c r="E597" s="8">
        <v>6</v>
      </c>
      <c r="F597" s="8">
        <v>39</v>
      </c>
      <c r="G597" s="8">
        <v>6.9</v>
      </c>
      <c r="H597" s="8">
        <v>6.9</v>
      </c>
      <c r="I597" s="8">
        <v>6.9</v>
      </c>
    </row>
    <row r="598" spans="1:9">
      <c r="A598" s="8" t="s">
        <v>652</v>
      </c>
      <c r="B598" s="8" t="str">
        <f>VLOOKUP(A598,地区!$B$1:$C$43,2,0)</f>
        <v>华东地区</v>
      </c>
      <c r="C598" s="8" t="s">
        <v>124</v>
      </c>
      <c r="D598" s="8" t="s">
        <v>667</v>
      </c>
      <c r="E598" s="8">
        <v>26</v>
      </c>
      <c r="F598" s="8">
        <v>49</v>
      </c>
      <c r="G598" s="8">
        <v>7.4</v>
      </c>
      <c r="H598" s="8">
        <v>7.4</v>
      </c>
      <c r="I598" s="8">
        <v>7.4</v>
      </c>
    </row>
    <row r="599" spans="1:9">
      <c r="A599" s="8" t="s">
        <v>652</v>
      </c>
      <c r="B599" s="8" t="str">
        <f>VLOOKUP(A599,地区!$B$1:$C$43,2,0)</f>
        <v>华东地区</v>
      </c>
      <c r="C599" s="8" t="s">
        <v>329</v>
      </c>
      <c r="D599" s="8" t="s">
        <v>668</v>
      </c>
      <c r="E599" s="8">
        <v>1</v>
      </c>
      <c r="F599" s="8">
        <v>30</v>
      </c>
      <c r="G599" s="8">
        <v>6.9</v>
      </c>
      <c r="H599" s="8">
        <v>6.9</v>
      </c>
      <c r="I599" s="8">
        <v>6.9</v>
      </c>
    </row>
    <row r="600" spans="1:9">
      <c r="A600" s="8" t="s">
        <v>652</v>
      </c>
      <c r="B600" s="8" t="str">
        <f>VLOOKUP(A600,地区!$B$1:$C$43,2,0)</f>
        <v>华东地区</v>
      </c>
      <c r="C600" s="8" t="s">
        <v>59</v>
      </c>
      <c r="D600" s="8" t="s">
        <v>669</v>
      </c>
      <c r="E600" s="8">
        <v>557</v>
      </c>
      <c r="F600" s="8">
        <v>59</v>
      </c>
      <c r="G600" s="8">
        <v>9.2</v>
      </c>
      <c r="H600" s="8">
        <v>9</v>
      </c>
      <c r="I600" s="8">
        <v>8.8</v>
      </c>
    </row>
    <row r="601" spans="1:9">
      <c r="A601" s="8" t="s">
        <v>652</v>
      </c>
      <c r="B601" s="8" t="str">
        <f>VLOOKUP(A601,地区!$B$1:$C$43,2,0)</f>
        <v>华东地区</v>
      </c>
      <c r="C601" s="8" t="s">
        <v>59</v>
      </c>
      <c r="D601" s="8" t="s">
        <v>670</v>
      </c>
      <c r="E601" s="8">
        <v>202</v>
      </c>
      <c r="F601" s="8">
        <v>76</v>
      </c>
      <c r="G601" s="8">
        <v>8.7</v>
      </c>
      <c r="H601" s="8">
        <v>8.2</v>
      </c>
      <c r="I601" s="8">
        <v>8.2</v>
      </c>
    </row>
    <row r="602" spans="1:9">
      <c r="A602" s="8" t="s">
        <v>652</v>
      </c>
      <c r="B602" s="8" t="str">
        <f>VLOOKUP(A602,地区!$B$1:$C$43,2,0)</f>
        <v>华东地区</v>
      </c>
      <c r="C602" s="8" t="s">
        <v>59</v>
      </c>
      <c r="D602" s="8" t="s">
        <v>671</v>
      </c>
      <c r="E602" s="8">
        <v>104</v>
      </c>
      <c r="F602" s="8">
        <v>58</v>
      </c>
      <c r="G602" s="8">
        <v>7.6</v>
      </c>
      <c r="H602" s="8">
        <v>7.7</v>
      </c>
      <c r="I602" s="8">
        <v>7.6</v>
      </c>
    </row>
    <row r="603" spans="1:9">
      <c r="A603" s="8" t="s">
        <v>652</v>
      </c>
      <c r="B603" s="8" t="str">
        <f>VLOOKUP(A603,地区!$B$1:$C$43,2,0)</f>
        <v>华东地区</v>
      </c>
      <c r="C603" s="8" t="s">
        <v>233</v>
      </c>
      <c r="D603" s="8" t="s">
        <v>672</v>
      </c>
      <c r="E603" s="8">
        <v>38</v>
      </c>
      <c r="F603" s="8">
        <v>57</v>
      </c>
      <c r="G603" s="8">
        <v>7.6</v>
      </c>
      <c r="H603" s="8">
        <v>7.5</v>
      </c>
      <c r="I603" s="8">
        <v>7.5</v>
      </c>
    </row>
    <row r="604" spans="1:9">
      <c r="A604" s="8" t="s">
        <v>652</v>
      </c>
      <c r="B604" s="8" t="str">
        <f>VLOOKUP(A604,地区!$B$1:$C$43,2,0)</f>
        <v>华东地区</v>
      </c>
      <c r="C604" s="8" t="s">
        <v>233</v>
      </c>
      <c r="D604" s="8" t="s">
        <v>673</v>
      </c>
      <c r="E604" s="8">
        <v>127</v>
      </c>
      <c r="F604" s="8">
        <v>63</v>
      </c>
      <c r="G604" s="8">
        <v>7.4</v>
      </c>
      <c r="H604" s="8">
        <v>7.2</v>
      </c>
      <c r="I604" s="8">
        <v>7.2</v>
      </c>
    </row>
    <row r="605" spans="1:9">
      <c r="A605" s="8" t="s">
        <v>652</v>
      </c>
      <c r="B605" s="8" t="str">
        <f>VLOOKUP(A605,地区!$B$1:$C$43,2,0)</f>
        <v>华东地区</v>
      </c>
      <c r="C605" s="8" t="s">
        <v>233</v>
      </c>
      <c r="D605" s="8" t="s">
        <v>674</v>
      </c>
      <c r="E605" s="8">
        <v>36</v>
      </c>
      <c r="F605" s="8">
        <v>49</v>
      </c>
      <c r="G605" s="8">
        <v>7</v>
      </c>
      <c r="H605" s="8">
        <v>7</v>
      </c>
      <c r="I605" s="8">
        <v>7</v>
      </c>
    </row>
    <row r="606" spans="1:9">
      <c r="A606" s="8" t="s">
        <v>652</v>
      </c>
      <c r="B606" s="8" t="str">
        <f>VLOOKUP(A606,地区!$B$1:$C$43,2,0)</f>
        <v>华东地区</v>
      </c>
      <c r="C606" s="8" t="s">
        <v>233</v>
      </c>
      <c r="D606" s="8" t="s">
        <v>675</v>
      </c>
      <c r="E606" s="8">
        <v>3</v>
      </c>
      <c r="F606" s="8">
        <v>40</v>
      </c>
      <c r="G606" s="8">
        <v>7.2</v>
      </c>
      <c r="H606" s="8">
        <v>7.5</v>
      </c>
      <c r="I606" s="8">
        <v>7.5</v>
      </c>
    </row>
    <row r="607" spans="1:9">
      <c r="A607" s="8" t="s">
        <v>652</v>
      </c>
      <c r="B607" s="8" t="str">
        <f>VLOOKUP(A607,地区!$B$1:$C$43,2,0)</f>
        <v>华东地区</v>
      </c>
      <c r="C607" s="8" t="s">
        <v>233</v>
      </c>
      <c r="D607" s="8" t="s">
        <v>676</v>
      </c>
      <c r="E607" s="8">
        <v>2</v>
      </c>
      <c r="F607" s="8">
        <v>40</v>
      </c>
      <c r="G607" s="8">
        <v>7.2</v>
      </c>
      <c r="H607" s="8">
        <v>7.2</v>
      </c>
      <c r="I607" s="8">
        <v>7.2</v>
      </c>
    </row>
    <row r="608" spans="1:9">
      <c r="A608" s="8" t="s">
        <v>677</v>
      </c>
      <c r="B608" s="8" t="str">
        <f>VLOOKUP(A608,地区!$B$1:$C$43,2,0)</f>
        <v>华东地区</v>
      </c>
      <c r="C608" s="8" t="s">
        <v>45</v>
      </c>
      <c r="D608" s="8" t="s">
        <v>678</v>
      </c>
      <c r="E608" s="8">
        <v>119</v>
      </c>
      <c r="F608" s="8">
        <v>54</v>
      </c>
      <c r="G608" s="8">
        <v>7.1</v>
      </c>
      <c r="H608" s="8">
        <v>7.2</v>
      </c>
      <c r="I608" s="8">
        <v>7</v>
      </c>
    </row>
    <row r="609" spans="1:9">
      <c r="A609" s="8" t="s">
        <v>677</v>
      </c>
      <c r="B609" s="8" t="str">
        <f>VLOOKUP(A609,地区!$B$1:$C$43,2,0)</f>
        <v>华东地区</v>
      </c>
      <c r="C609" s="8" t="s">
        <v>45</v>
      </c>
      <c r="D609" s="8" t="s">
        <v>679</v>
      </c>
      <c r="E609" s="8">
        <v>5</v>
      </c>
      <c r="F609" s="8">
        <v>22</v>
      </c>
      <c r="G609" s="8">
        <v>7.2</v>
      </c>
      <c r="H609" s="8">
        <v>7.2</v>
      </c>
      <c r="I609" s="8">
        <v>7.2</v>
      </c>
    </row>
    <row r="610" spans="1:9">
      <c r="A610" s="8" t="s">
        <v>677</v>
      </c>
      <c r="B610" s="8" t="str">
        <f>VLOOKUP(A610,地区!$B$1:$C$43,2,0)</f>
        <v>华东地区</v>
      </c>
      <c r="C610" s="8" t="s">
        <v>45</v>
      </c>
      <c r="D610" s="8" t="s">
        <v>680</v>
      </c>
      <c r="E610" s="8">
        <v>242</v>
      </c>
      <c r="F610" s="8">
        <v>47</v>
      </c>
      <c r="G610" s="8">
        <v>7.8</v>
      </c>
      <c r="H610" s="8">
        <v>7.5</v>
      </c>
      <c r="I610" s="8">
        <v>7.7</v>
      </c>
    </row>
    <row r="611" spans="1:9">
      <c r="A611" s="8" t="s">
        <v>677</v>
      </c>
      <c r="B611" s="8" t="str">
        <f>VLOOKUP(A611,地区!$B$1:$C$43,2,0)</f>
        <v>华东地区</v>
      </c>
      <c r="C611" s="8" t="s">
        <v>45</v>
      </c>
      <c r="D611" s="8" t="s">
        <v>681</v>
      </c>
      <c r="E611" s="8">
        <v>7</v>
      </c>
      <c r="F611" s="8">
        <v>30</v>
      </c>
      <c r="G611" s="8">
        <v>7.5</v>
      </c>
      <c r="H611" s="8">
        <v>7.5</v>
      </c>
      <c r="I611" s="8">
        <v>7.5</v>
      </c>
    </row>
    <row r="612" spans="1:9">
      <c r="A612" s="8" t="s">
        <v>677</v>
      </c>
      <c r="B612" s="8" t="str">
        <f>VLOOKUP(A612,地区!$B$1:$C$43,2,0)</f>
        <v>华东地区</v>
      </c>
      <c r="C612" s="8" t="s">
        <v>45</v>
      </c>
      <c r="D612" s="8" t="s">
        <v>682</v>
      </c>
      <c r="E612" s="8">
        <v>1</v>
      </c>
      <c r="F612" s="8">
        <v>15</v>
      </c>
      <c r="G612" s="8">
        <v>6.9</v>
      </c>
      <c r="H612" s="8">
        <v>6.9</v>
      </c>
      <c r="I612" s="8">
        <v>6.9</v>
      </c>
    </row>
    <row r="613" spans="1:9">
      <c r="A613" s="8" t="s">
        <v>677</v>
      </c>
      <c r="B613" s="8" t="str">
        <f>VLOOKUP(A613,地区!$B$1:$C$43,2,0)</f>
        <v>华东地区</v>
      </c>
      <c r="C613" s="8" t="s">
        <v>683</v>
      </c>
      <c r="D613" s="8" t="s">
        <v>684</v>
      </c>
      <c r="E613" s="8">
        <v>5</v>
      </c>
      <c r="F613" s="8">
        <v>34</v>
      </c>
      <c r="G613" s="8">
        <v>7.1</v>
      </c>
      <c r="H613" s="8">
        <v>7</v>
      </c>
      <c r="I613" s="8">
        <v>7</v>
      </c>
    </row>
    <row r="614" spans="1:9">
      <c r="A614" s="8" t="s">
        <v>677</v>
      </c>
      <c r="B614" s="8" t="str">
        <f>VLOOKUP(A614,地区!$B$1:$C$43,2,0)</f>
        <v>华东地区</v>
      </c>
      <c r="C614" s="8" t="s">
        <v>55</v>
      </c>
      <c r="D614" s="8" t="s">
        <v>685</v>
      </c>
      <c r="E614" s="8">
        <v>70</v>
      </c>
      <c r="F614" s="8">
        <v>357</v>
      </c>
      <c r="G614" s="8">
        <v>6.5</v>
      </c>
      <c r="H614" s="8">
        <v>8.2</v>
      </c>
      <c r="I614" s="8">
        <v>7.4</v>
      </c>
    </row>
    <row r="615" spans="1:9">
      <c r="A615" s="8" t="s">
        <v>677</v>
      </c>
      <c r="B615" s="8" t="str">
        <f>VLOOKUP(A615,地区!$B$1:$C$43,2,0)</f>
        <v>华东地区</v>
      </c>
      <c r="C615" s="8" t="s">
        <v>55</v>
      </c>
      <c r="D615" s="8" t="s">
        <v>686</v>
      </c>
      <c r="E615" s="8">
        <v>2</v>
      </c>
      <c r="F615" s="8">
        <v>30</v>
      </c>
      <c r="G615" s="8">
        <v>7</v>
      </c>
      <c r="H615" s="8">
        <v>7</v>
      </c>
      <c r="I615" s="8">
        <v>6.9</v>
      </c>
    </row>
    <row r="616" spans="1:9">
      <c r="A616" s="8" t="s">
        <v>677</v>
      </c>
      <c r="B616" s="8" t="str">
        <f>VLOOKUP(A616,地区!$B$1:$C$43,2,0)</f>
        <v>华东地区</v>
      </c>
      <c r="C616" s="8" t="s">
        <v>15</v>
      </c>
      <c r="D616" s="8" t="s">
        <v>687</v>
      </c>
      <c r="E616" s="8">
        <v>12</v>
      </c>
      <c r="F616" s="8">
        <v>41</v>
      </c>
      <c r="G616" s="8">
        <v>7.1</v>
      </c>
      <c r="H616" s="8">
        <v>7</v>
      </c>
      <c r="I616" s="8">
        <v>7</v>
      </c>
    </row>
    <row r="617" spans="1:9">
      <c r="A617" s="8" t="s">
        <v>677</v>
      </c>
      <c r="B617" s="8" t="str">
        <f>VLOOKUP(A617,地区!$B$1:$C$43,2,0)</f>
        <v>华东地区</v>
      </c>
      <c r="C617" s="8" t="s">
        <v>412</v>
      </c>
      <c r="D617" s="8" t="s">
        <v>688</v>
      </c>
      <c r="E617" s="8">
        <v>4</v>
      </c>
      <c r="F617" s="8">
        <v>72</v>
      </c>
      <c r="G617" s="8">
        <v>6.9</v>
      </c>
      <c r="H617" s="8">
        <v>7.3</v>
      </c>
      <c r="I617" s="8">
        <v>7.3</v>
      </c>
    </row>
    <row r="618" spans="1:9">
      <c r="A618" s="8" t="s">
        <v>677</v>
      </c>
      <c r="B618" s="8" t="str">
        <f>VLOOKUP(A618,地区!$B$1:$C$43,2,0)</f>
        <v>华东地区</v>
      </c>
      <c r="C618" s="8" t="s">
        <v>445</v>
      </c>
      <c r="D618" s="8" t="s">
        <v>689</v>
      </c>
      <c r="E618" s="8">
        <v>22</v>
      </c>
      <c r="F618" s="8">
        <v>13</v>
      </c>
      <c r="G618" s="8">
        <v>7.3</v>
      </c>
      <c r="H618" s="8">
        <v>7.2</v>
      </c>
      <c r="I618" s="8">
        <v>7.4</v>
      </c>
    </row>
    <row r="619" spans="1:9">
      <c r="A619" s="8" t="s">
        <v>677</v>
      </c>
      <c r="B619" s="8" t="str">
        <f>VLOOKUP(A619,地区!$B$1:$C$43,2,0)</f>
        <v>华东地区</v>
      </c>
      <c r="C619" s="8" t="s">
        <v>445</v>
      </c>
      <c r="D619" s="8" t="s">
        <v>690</v>
      </c>
      <c r="E619" s="8">
        <v>3</v>
      </c>
      <c r="F619" s="8">
        <v>16</v>
      </c>
      <c r="G619" s="8">
        <v>7.2</v>
      </c>
      <c r="H619" s="8">
        <v>7.2</v>
      </c>
      <c r="I619" s="8">
        <v>7.2</v>
      </c>
    </row>
    <row r="620" spans="1:9">
      <c r="A620" s="8" t="s">
        <v>677</v>
      </c>
      <c r="B620" s="8" t="str">
        <f>VLOOKUP(A620,地区!$B$1:$C$43,2,0)</f>
        <v>华东地区</v>
      </c>
      <c r="C620" s="8" t="s">
        <v>445</v>
      </c>
      <c r="D620" s="8" t="s">
        <v>691</v>
      </c>
      <c r="E620" s="8">
        <v>5</v>
      </c>
      <c r="F620" s="8">
        <v>10</v>
      </c>
      <c r="G620" s="8">
        <v>7.1</v>
      </c>
      <c r="H620" s="8">
        <v>7</v>
      </c>
      <c r="I620" s="8">
        <v>7.1</v>
      </c>
    </row>
    <row r="621" spans="1:9">
      <c r="A621" s="8" t="s">
        <v>677</v>
      </c>
      <c r="B621" s="8" t="str">
        <f>VLOOKUP(A621,地区!$B$1:$C$43,2,0)</f>
        <v>华东地区</v>
      </c>
      <c r="C621" s="8" t="s">
        <v>233</v>
      </c>
      <c r="D621" s="8" t="s">
        <v>692</v>
      </c>
      <c r="E621" s="8">
        <v>15</v>
      </c>
      <c r="F621" s="8">
        <v>69</v>
      </c>
      <c r="G621" s="8">
        <v>7.2</v>
      </c>
      <c r="H621" s="8">
        <v>7.1</v>
      </c>
      <c r="I621" s="8">
        <v>7.4</v>
      </c>
    </row>
    <row r="622" spans="1:9">
      <c r="A622" s="8" t="s">
        <v>677</v>
      </c>
      <c r="B622" s="8" t="str">
        <f>VLOOKUP(A622,地区!$B$1:$C$43,2,0)</f>
        <v>华东地区</v>
      </c>
      <c r="C622" s="8" t="s">
        <v>233</v>
      </c>
      <c r="D622" s="8" t="s">
        <v>693</v>
      </c>
      <c r="E622" s="8">
        <v>4</v>
      </c>
      <c r="F622" s="8">
        <v>35</v>
      </c>
      <c r="G622" s="8">
        <v>7.4</v>
      </c>
      <c r="H622" s="8">
        <v>7.4</v>
      </c>
      <c r="I622" s="8">
        <v>7.4</v>
      </c>
    </row>
    <row r="623" spans="1:9">
      <c r="A623" s="8" t="s">
        <v>677</v>
      </c>
      <c r="B623" s="8" t="str">
        <f>VLOOKUP(A623,地区!$B$1:$C$43,2,0)</f>
        <v>华东地区</v>
      </c>
      <c r="C623" s="8" t="s">
        <v>155</v>
      </c>
      <c r="D623" s="8" t="s">
        <v>694</v>
      </c>
      <c r="E623" s="8">
        <v>57</v>
      </c>
      <c r="F623" s="8">
        <v>255</v>
      </c>
      <c r="G623" s="8">
        <v>8</v>
      </c>
      <c r="H623" s="8">
        <v>7.4</v>
      </c>
      <c r="I623" s="8">
        <v>7.7</v>
      </c>
    </row>
    <row r="624" spans="1:9">
      <c r="A624" s="8" t="s">
        <v>677</v>
      </c>
      <c r="B624" s="8" t="str">
        <f>VLOOKUP(A624,地区!$B$1:$C$43,2,0)</f>
        <v>华东地区</v>
      </c>
      <c r="C624" s="8" t="s">
        <v>104</v>
      </c>
      <c r="D624" s="8" t="s">
        <v>695</v>
      </c>
      <c r="E624" s="8">
        <v>38</v>
      </c>
      <c r="F624" s="8">
        <v>61</v>
      </c>
      <c r="G624" s="8">
        <v>7.2</v>
      </c>
      <c r="H624" s="8">
        <v>7.1</v>
      </c>
      <c r="I624" s="8">
        <v>7</v>
      </c>
    </row>
    <row r="625" spans="1:9">
      <c r="A625" s="8" t="s">
        <v>677</v>
      </c>
      <c r="B625" s="8" t="str">
        <f>VLOOKUP(A625,地区!$B$1:$C$43,2,0)</f>
        <v>华东地区</v>
      </c>
      <c r="C625" s="8" t="s">
        <v>104</v>
      </c>
      <c r="D625" s="8" t="s">
        <v>696</v>
      </c>
      <c r="E625" s="8">
        <v>8</v>
      </c>
      <c r="F625" s="8">
        <v>26</v>
      </c>
      <c r="G625" s="8">
        <v>7.1</v>
      </c>
      <c r="H625" s="8">
        <v>7.1</v>
      </c>
      <c r="I625" s="8">
        <v>7.1</v>
      </c>
    </row>
    <row r="626" spans="1:9">
      <c r="A626" s="8" t="s">
        <v>677</v>
      </c>
      <c r="B626" s="8" t="str">
        <f>VLOOKUP(A626,地区!$B$1:$C$43,2,0)</f>
        <v>华东地区</v>
      </c>
      <c r="C626" s="8" t="s">
        <v>85</v>
      </c>
      <c r="D626" s="8" t="s">
        <v>697</v>
      </c>
      <c r="E626" s="8">
        <v>33</v>
      </c>
      <c r="F626" s="8">
        <v>17</v>
      </c>
      <c r="G626" s="8">
        <v>7.5</v>
      </c>
      <c r="H626" s="8">
        <v>7.6</v>
      </c>
      <c r="I626" s="8">
        <v>7.7</v>
      </c>
    </row>
    <row r="627" spans="1:9">
      <c r="A627" s="8" t="s">
        <v>677</v>
      </c>
      <c r="B627" s="8" t="str">
        <f>VLOOKUP(A627,地区!$B$1:$C$43,2,0)</f>
        <v>华东地区</v>
      </c>
      <c r="C627" s="8" t="s">
        <v>85</v>
      </c>
      <c r="D627" s="8" t="s">
        <v>698</v>
      </c>
      <c r="E627" s="8">
        <v>354</v>
      </c>
      <c r="F627" s="8">
        <v>15</v>
      </c>
      <c r="G627" s="8">
        <v>8</v>
      </c>
      <c r="H627" s="8">
        <v>8.2</v>
      </c>
      <c r="I627" s="8">
        <v>8.1</v>
      </c>
    </row>
    <row r="628" spans="1:9">
      <c r="A628" s="8" t="s">
        <v>677</v>
      </c>
      <c r="B628" s="8" t="str">
        <f>VLOOKUP(A628,地区!$B$1:$C$43,2,0)</f>
        <v>华东地区</v>
      </c>
      <c r="C628" s="8" t="s">
        <v>85</v>
      </c>
      <c r="D628" s="8" t="s">
        <v>699</v>
      </c>
      <c r="E628" s="8">
        <v>73</v>
      </c>
      <c r="F628" s="8">
        <v>14</v>
      </c>
      <c r="G628" s="8">
        <v>7.3</v>
      </c>
      <c r="H628" s="8">
        <v>7.8</v>
      </c>
      <c r="I628" s="8">
        <v>7.7</v>
      </c>
    </row>
    <row r="629" spans="1:9">
      <c r="A629" s="8" t="s">
        <v>677</v>
      </c>
      <c r="B629" s="8" t="str">
        <f>VLOOKUP(A629,地区!$B$1:$C$43,2,0)</f>
        <v>华东地区</v>
      </c>
      <c r="C629" s="8" t="s">
        <v>85</v>
      </c>
      <c r="D629" s="8" t="s">
        <v>700</v>
      </c>
      <c r="E629" s="8">
        <v>26</v>
      </c>
      <c r="F629" s="8">
        <v>19</v>
      </c>
      <c r="G629" s="8">
        <v>7.5</v>
      </c>
      <c r="H629" s="8">
        <v>7.5</v>
      </c>
      <c r="I629" s="8">
        <v>7.5</v>
      </c>
    </row>
    <row r="630" spans="1:9">
      <c r="A630" s="8" t="s">
        <v>677</v>
      </c>
      <c r="B630" s="8" t="str">
        <f>VLOOKUP(A630,地区!$B$1:$C$43,2,0)</f>
        <v>华东地区</v>
      </c>
      <c r="C630" s="8" t="s">
        <v>33</v>
      </c>
      <c r="D630" s="8" t="s">
        <v>701</v>
      </c>
      <c r="E630" s="8">
        <v>2</v>
      </c>
      <c r="F630" s="8">
        <v>25</v>
      </c>
      <c r="G630" s="8">
        <v>7.3</v>
      </c>
      <c r="H630" s="8">
        <v>7.3</v>
      </c>
      <c r="I630" s="8">
        <v>7.3</v>
      </c>
    </row>
    <row r="631" spans="1:9">
      <c r="A631" s="8" t="s">
        <v>677</v>
      </c>
      <c r="B631" s="8" t="str">
        <f>VLOOKUP(A631,地区!$B$1:$C$43,2,0)</f>
        <v>华东地区</v>
      </c>
      <c r="C631" s="8" t="s">
        <v>33</v>
      </c>
      <c r="D631" s="8" t="s">
        <v>702</v>
      </c>
      <c r="E631" s="8">
        <v>1</v>
      </c>
      <c r="F631" s="8">
        <v>18</v>
      </c>
      <c r="G631" s="8">
        <v>7</v>
      </c>
      <c r="H631" s="8">
        <v>7</v>
      </c>
      <c r="I631" s="8">
        <v>7</v>
      </c>
    </row>
    <row r="632" spans="1:9">
      <c r="A632" s="8" t="s">
        <v>677</v>
      </c>
      <c r="B632" s="8" t="str">
        <f>VLOOKUP(A632,地区!$B$1:$C$43,2,0)</f>
        <v>华东地区</v>
      </c>
      <c r="C632" s="8" t="s">
        <v>90</v>
      </c>
      <c r="D632" s="8" t="s">
        <v>703</v>
      </c>
      <c r="E632" s="8">
        <v>5</v>
      </c>
      <c r="F632" s="8">
        <v>45</v>
      </c>
      <c r="G632" s="8">
        <v>6.9</v>
      </c>
      <c r="H632" s="8">
        <v>7</v>
      </c>
      <c r="I632" s="8">
        <v>7</v>
      </c>
    </row>
    <row r="633" spans="1:9">
      <c r="A633" s="8" t="s">
        <v>677</v>
      </c>
      <c r="B633" s="8" t="str">
        <f>VLOOKUP(A633,地区!$B$1:$C$43,2,0)</f>
        <v>华东地区</v>
      </c>
      <c r="C633" s="8" t="s">
        <v>59</v>
      </c>
      <c r="D633" s="8" t="s">
        <v>704</v>
      </c>
      <c r="E633" s="8">
        <v>483</v>
      </c>
      <c r="F633" s="8">
        <v>35</v>
      </c>
      <c r="G633" s="8">
        <v>7.8</v>
      </c>
      <c r="H633" s="8">
        <v>8</v>
      </c>
      <c r="I633" s="8">
        <v>8</v>
      </c>
    </row>
    <row r="634" spans="1:9">
      <c r="A634" s="8" t="s">
        <v>677</v>
      </c>
      <c r="B634" s="8" t="str">
        <f>VLOOKUP(A634,地区!$B$1:$C$43,2,0)</f>
        <v>华东地区</v>
      </c>
      <c r="C634" s="8" t="s">
        <v>59</v>
      </c>
      <c r="D634" s="8" t="s">
        <v>705</v>
      </c>
      <c r="E634" s="8">
        <v>12</v>
      </c>
      <c r="F634" s="8">
        <v>105</v>
      </c>
      <c r="G634" s="8">
        <v>7.3</v>
      </c>
      <c r="H634" s="8">
        <v>7.3</v>
      </c>
      <c r="I634" s="8">
        <v>7.2</v>
      </c>
    </row>
    <row r="635" spans="1:9">
      <c r="A635" s="8" t="s">
        <v>677</v>
      </c>
      <c r="B635" s="8" t="str">
        <f>VLOOKUP(A635,地区!$B$1:$C$43,2,0)</f>
        <v>华东地区</v>
      </c>
      <c r="C635" s="8" t="s">
        <v>59</v>
      </c>
      <c r="D635" s="8" t="s">
        <v>706</v>
      </c>
      <c r="E635" s="8">
        <v>2</v>
      </c>
      <c r="F635" s="8">
        <v>23</v>
      </c>
      <c r="G635" s="8">
        <v>6.9</v>
      </c>
      <c r="H635" s="8">
        <v>6.9</v>
      </c>
      <c r="I635" s="8">
        <v>6.9</v>
      </c>
    </row>
    <row r="636" spans="1:9">
      <c r="A636" s="8" t="s">
        <v>677</v>
      </c>
      <c r="B636" s="8" t="str">
        <f>VLOOKUP(A636,地区!$B$1:$C$43,2,0)</f>
        <v>华东地区</v>
      </c>
      <c r="C636" s="8" t="s">
        <v>59</v>
      </c>
      <c r="D636" s="8" t="s">
        <v>707</v>
      </c>
      <c r="E636" s="8">
        <v>1</v>
      </c>
      <c r="F636" s="8">
        <v>42</v>
      </c>
      <c r="G636" s="8">
        <v>7.7</v>
      </c>
      <c r="H636" s="8">
        <v>7.7</v>
      </c>
      <c r="I636" s="8">
        <v>7.7</v>
      </c>
    </row>
    <row r="637" spans="1:9">
      <c r="A637" s="8" t="s">
        <v>677</v>
      </c>
      <c r="B637" s="8" t="str">
        <f>VLOOKUP(A637,地区!$B$1:$C$43,2,0)</f>
        <v>华东地区</v>
      </c>
      <c r="C637" s="8" t="s">
        <v>211</v>
      </c>
      <c r="D637" s="8" t="s">
        <v>708</v>
      </c>
      <c r="E637" s="8">
        <v>24</v>
      </c>
      <c r="F637" s="8">
        <v>7</v>
      </c>
      <c r="G637" s="8">
        <v>7.9</v>
      </c>
      <c r="H637" s="8">
        <v>7.3</v>
      </c>
      <c r="I637" s="8">
        <v>7.6</v>
      </c>
    </row>
    <row r="638" spans="1:9">
      <c r="A638" s="8" t="s">
        <v>677</v>
      </c>
      <c r="B638" s="8" t="str">
        <f>VLOOKUP(A638,地区!$B$1:$C$43,2,0)</f>
        <v>华东地区</v>
      </c>
      <c r="C638" s="8" t="s">
        <v>211</v>
      </c>
      <c r="D638" s="8" t="s">
        <v>709</v>
      </c>
      <c r="E638" s="8">
        <v>1</v>
      </c>
      <c r="F638" s="8">
        <v>14</v>
      </c>
      <c r="G638" s="8">
        <v>7.3</v>
      </c>
      <c r="H638" s="8">
        <v>7.3</v>
      </c>
      <c r="I638" s="8">
        <v>7.3</v>
      </c>
    </row>
    <row r="639" spans="1:9">
      <c r="A639" s="8" t="s">
        <v>677</v>
      </c>
      <c r="B639" s="8" t="str">
        <f>VLOOKUP(A639,地区!$B$1:$C$43,2,0)</f>
        <v>华东地区</v>
      </c>
      <c r="C639" s="8" t="s">
        <v>271</v>
      </c>
      <c r="D639" s="8" t="s">
        <v>710</v>
      </c>
      <c r="E639" s="8">
        <v>66</v>
      </c>
      <c r="F639" s="8">
        <v>55</v>
      </c>
      <c r="G639" s="8">
        <v>7.4</v>
      </c>
      <c r="H639" s="8">
        <v>7.3</v>
      </c>
      <c r="I639" s="8">
        <v>7.3</v>
      </c>
    </row>
    <row r="640" spans="1:9">
      <c r="A640" s="8" t="s">
        <v>677</v>
      </c>
      <c r="B640" s="8" t="str">
        <f>VLOOKUP(A640,地区!$B$1:$C$43,2,0)</f>
        <v>华东地区</v>
      </c>
      <c r="C640" s="8" t="s">
        <v>271</v>
      </c>
      <c r="D640" s="8" t="s">
        <v>711</v>
      </c>
      <c r="E640" s="8">
        <v>5</v>
      </c>
      <c r="F640" s="8">
        <v>25</v>
      </c>
      <c r="G640" s="8">
        <v>7</v>
      </c>
      <c r="H640" s="8">
        <v>7</v>
      </c>
      <c r="I640" s="8">
        <v>7</v>
      </c>
    </row>
    <row r="641" spans="1:9">
      <c r="A641" s="8" t="s">
        <v>677</v>
      </c>
      <c r="B641" s="8" t="str">
        <f>VLOOKUP(A641,地区!$B$1:$C$43,2,0)</f>
        <v>华东地区</v>
      </c>
      <c r="C641" s="8" t="s">
        <v>271</v>
      </c>
      <c r="D641" s="8" t="s">
        <v>712</v>
      </c>
      <c r="E641" s="8">
        <v>2</v>
      </c>
      <c r="F641" s="8">
        <v>29</v>
      </c>
      <c r="G641" s="8">
        <v>7.2</v>
      </c>
      <c r="H641" s="8">
        <v>7.2</v>
      </c>
      <c r="I641" s="8">
        <v>7.2</v>
      </c>
    </row>
    <row r="642" spans="1:9">
      <c r="A642" s="8" t="s">
        <v>713</v>
      </c>
      <c r="B642" s="8" t="str">
        <f>VLOOKUP(A642,地区!$B$1:$C$43,2,0)</f>
        <v>华东地区</v>
      </c>
      <c r="C642" s="8" t="s">
        <v>714</v>
      </c>
      <c r="D642" s="8" t="s">
        <v>715</v>
      </c>
      <c r="E642" s="8">
        <v>16</v>
      </c>
      <c r="F642" s="8">
        <v>52</v>
      </c>
      <c r="G642" s="8">
        <v>7.4</v>
      </c>
      <c r="H642" s="8">
        <v>7.2</v>
      </c>
      <c r="I642" s="8">
        <v>7.3</v>
      </c>
    </row>
    <row r="643" spans="1:9">
      <c r="A643" s="8" t="s">
        <v>713</v>
      </c>
      <c r="B643" s="8" t="str">
        <f>VLOOKUP(A643,地区!$B$1:$C$43,2,0)</f>
        <v>华东地区</v>
      </c>
      <c r="C643" s="8" t="s">
        <v>714</v>
      </c>
      <c r="D643" s="8" t="s">
        <v>716</v>
      </c>
      <c r="E643" s="8">
        <v>42</v>
      </c>
      <c r="F643" s="8">
        <v>24</v>
      </c>
      <c r="G643" s="8">
        <v>6.7</v>
      </c>
      <c r="H643" s="8">
        <v>6.4</v>
      </c>
      <c r="I643" s="8">
        <v>6.6</v>
      </c>
    </row>
    <row r="644" spans="1:9">
      <c r="A644" s="8" t="s">
        <v>713</v>
      </c>
      <c r="B644" s="8" t="str">
        <f>VLOOKUP(A644,地区!$B$1:$C$43,2,0)</f>
        <v>华东地区</v>
      </c>
      <c r="C644" s="8" t="s">
        <v>714</v>
      </c>
      <c r="D644" s="8" t="s">
        <v>717</v>
      </c>
      <c r="E644" s="8">
        <v>84</v>
      </c>
      <c r="F644" s="8">
        <v>16</v>
      </c>
      <c r="G644" s="8">
        <v>6.9</v>
      </c>
      <c r="H644" s="8">
        <v>7.2</v>
      </c>
      <c r="I644" s="8">
        <v>7.1</v>
      </c>
    </row>
    <row r="645" spans="1:9">
      <c r="A645" s="8" t="s">
        <v>713</v>
      </c>
      <c r="B645" s="8" t="str">
        <f>VLOOKUP(A645,地区!$B$1:$C$43,2,0)</f>
        <v>华东地区</v>
      </c>
      <c r="C645" s="8" t="s">
        <v>55</v>
      </c>
      <c r="D645" s="8" t="s">
        <v>718</v>
      </c>
      <c r="E645" s="8">
        <v>531</v>
      </c>
      <c r="F645" s="8">
        <v>256</v>
      </c>
      <c r="G645" s="8">
        <v>8.8</v>
      </c>
      <c r="H645" s="8">
        <v>8.5</v>
      </c>
      <c r="I645" s="8">
        <v>8.4</v>
      </c>
    </row>
    <row r="646" spans="1:9">
      <c r="A646" s="8" t="s">
        <v>713</v>
      </c>
      <c r="B646" s="8" t="str">
        <f>VLOOKUP(A646,地区!$B$1:$C$43,2,0)</f>
        <v>华东地区</v>
      </c>
      <c r="C646" s="8" t="s">
        <v>55</v>
      </c>
      <c r="D646" s="8" t="s">
        <v>719</v>
      </c>
      <c r="E646" s="8">
        <v>119</v>
      </c>
      <c r="F646" s="8">
        <v>218</v>
      </c>
      <c r="G646" s="8">
        <v>8.3</v>
      </c>
      <c r="H646" s="8">
        <v>8.2</v>
      </c>
      <c r="I646" s="8">
        <v>8.3</v>
      </c>
    </row>
    <row r="647" spans="1:9">
      <c r="A647" s="8" t="s">
        <v>713</v>
      </c>
      <c r="B647" s="8" t="str">
        <f>VLOOKUP(A647,地区!$B$1:$C$43,2,0)</f>
        <v>华东地区</v>
      </c>
      <c r="C647" s="8" t="s">
        <v>55</v>
      </c>
      <c r="D647" s="8" t="s">
        <v>720</v>
      </c>
      <c r="E647" s="8">
        <v>272</v>
      </c>
      <c r="F647" s="8">
        <v>140</v>
      </c>
      <c r="G647" s="8">
        <v>8.1</v>
      </c>
      <c r="H647" s="8">
        <v>7.9</v>
      </c>
      <c r="I647" s="8">
        <v>7.9</v>
      </c>
    </row>
    <row r="648" spans="1:9">
      <c r="A648" s="8" t="s">
        <v>713</v>
      </c>
      <c r="B648" s="8" t="str">
        <f>VLOOKUP(A648,地区!$B$1:$C$43,2,0)</f>
        <v>华东地区</v>
      </c>
      <c r="C648" s="8" t="s">
        <v>55</v>
      </c>
      <c r="D648" s="8" t="s">
        <v>721</v>
      </c>
      <c r="E648" s="8">
        <v>682</v>
      </c>
      <c r="F648" s="8">
        <v>128</v>
      </c>
      <c r="G648" s="8">
        <v>8.2</v>
      </c>
      <c r="H648" s="8">
        <v>8.3</v>
      </c>
      <c r="I648" s="8">
        <v>8.7</v>
      </c>
    </row>
    <row r="649" spans="1:9">
      <c r="A649" s="8" t="s">
        <v>713</v>
      </c>
      <c r="B649" s="8" t="str">
        <f>VLOOKUP(A649,地区!$B$1:$C$43,2,0)</f>
        <v>华东地区</v>
      </c>
      <c r="C649" s="8" t="s">
        <v>55</v>
      </c>
      <c r="D649" s="8" t="s">
        <v>722</v>
      </c>
      <c r="E649" s="8">
        <v>71</v>
      </c>
      <c r="F649" s="8">
        <v>82</v>
      </c>
      <c r="G649" s="8">
        <v>6.7</v>
      </c>
      <c r="H649" s="8">
        <v>6.8</v>
      </c>
      <c r="I649" s="8">
        <v>6.7</v>
      </c>
    </row>
    <row r="650" spans="1:9">
      <c r="A650" s="8" t="s">
        <v>713</v>
      </c>
      <c r="B650" s="8" t="str">
        <f>VLOOKUP(A650,地区!$B$1:$C$43,2,0)</f>
        <v>华东地区</v>
      </c>
      <c r="C650" s="8" t="s">
        <v>55</v>
      </c>
      <c r="D650" s="8" t="s">
        <v>723</v>
      </c>
      <c r="E650" s="8">
        <v>165</v>
      </c>
      <c r="F650" s="8">
        <v>173</v>
      </c>
      <c r="G650" s="8">
        <v>7.5</v>
      </c>
      <c r="H650" s="8">
        <v>7.1</v>
      </c>
      <c r="I650" s="8">
        <v>7</v>
      </c>
    </row>
    <row r="651" spans="1:9">
      <c r="A651" s="8" t="s">
        <v>713</v>
      </c>
      <c r="B651" s="8" t="str">
        <f>VLOOKUP(A651,地区!$B$1:$C$43,2,0)</f>
        <v>华东地区</v>
      </c>
      <c r="C651" s="8" t="s">
        <v>329</v>
      </c>
      <c r="D651" s="8" t="s">
        <v>724</v>
      </c>
      <c r="E651" s="8">
        <v>2463</v>
      </c>
      <c r="F651" s="8">
        <v>60</v>
      </c>
      <c r="G651" s="8">
        <v>8.4</v>
      </c>
      <c r="H651" s="8">
        <v>8.1</v>
      </c>
      <c r="I651" s="8">
        <v>8.3</v>
      </c>
    </row>
    <row r="652" spans="1:9">
      <c r="A652" s="8" t="s">
        <v>713</v>
      </c>
      <c r="B652" s="8" t="str">
        <f>VLOOKUP(A652,地区!$B$1:$C$43,2,0)</f>
        <v>华东地区</v>
      </c>
      <c r="C652" s="8" t="s">
        <v>329</v>
      </c>
      <c r="D652" s="8" t="s">
        <v>725</v>
      </c>
      <c r="E652" s="8">
        <v>273</v>
      </c>
      <c r="F652" s="8">
        <v>57</v>
      </c>
      <c r="G652" s="8">
        <v>7.7</v>
      </c>
      <c r="H652" s="8">
        <v>7.5</v>
      </c>
      <c r="I652" s="8">
        <v>7.2</v>
      </c>
    </row>
    <row r="653" spans="1:9">
      <c r="A653" s="8" t="s">
        <v>713</v>
      </c>
      <c r="B653" s="8" t="str">
        <f>VLOOKUP(A653,地区!$B$1:$C$43,2,0)</f>
        <v>华东地区</v>
      </c>
      <c r="C653" s="8" t="s">
        <v>329</v>
      </c>
      <c r="D653" s="8" t="s">
        <v>726</v>
      </c>
      <c r="E653" s="8">
        <v>17</v>
      </c>
      <c r="F653" s="8">
        <v>68</v>
      </c>
      <c r="G653" s="8">
        <v>7.7</v>
      </c>
      <c r="H653" s="8">
        <v>7.5</v>
      </c>
      <c r="I653" s="8">
        <v>7.4</v>
      </c>
    </row>
    <row r="654" spans="1:9">
      <c r="A654" s="8" t="s">
        <v>713</v>
      </c>
      <c r="B654" s="8" t="str">
        <f>VLOOKUP(A654,地区!$B$1:$C$43,2,0)</f>
        <v>华东地区</v>
      </c>
      <c r="C654" s="8" t="s">
        <v>329</v>
      </c>
      <c r="D654" s="8" t="s">
        <v>727</v>
      </c>
      <c r="E654" s="8">
        <v>17</v>
      </c>
      <c r="F654" s="8">
        <v>32</v>
      </c>
      <c r="G654" s="8">
        <v>7.1</v>
      </c>
      <c r="H654" s="8">
        <v>7</v>
      </c>
      <c r="I654" s="8">
        <v>7</v>
      </c>
    </row>
    <row r="655" spans="1:9">
      <c r="A655" s="8" t="s">
        <v>713</v>
      </c>
      <c r="B655" s="8" t="str">
        <f>VLOOKUP(A655,地区!$B$1:$C$43,2,0)</f>
        <v>华东地区</v>
      </c>
      <c r="C655" s="8" t="s">
        <v>329</v>
      </c>
      <c r="D655" s="8" t="s">
        <v>728</v>
      </c>
      <c r="E655" s="8">
        <v>6</v>
      </c>
      <c r="F655" s="8">
        <v>20</v>
      </c>
      <c r="G655" s="8">
        <v>6.9</v>
      </c>
      <c r="H655" s="8">
        <v>6.9</v>
      </c>
      <c r="I655" s="8">
        <v>7.1</v>
      </c>
    </row>
    <row r="656" spans="1:9">
      <c r="A656" s="8" t="s">
        <v>713</v>
      </c>
      <c r="B656" s="8" t="str">
        <f>VLOOKUP(A656,地区!$B$1:$C$43,2,0)</f>
        <v>华东地区</v>
      </c>
      <c r="C656" s="8" t="s">
        <v>329</v>
      </c>
      <c r="D656" s="8" t="s">
        <v>729</v>
      </c>
      <c r="E656" s="8">
        <v>7</v>
      </c>
      <c r="F656" s="8">
        <v>30</v>
      </c>
      <c r="G656" s="8">
        <v>6.9</v>
      </c>
      <c r="H656" s="8">
        <v>6.8</v>
      </c>
      <c r="I656" s="8">
        <v>6.8</v>
      </c>
    </row>
    <row r="657" spans="1:9">
      <c r="A657" s="8" t="s">
        <v>713</v>
      </c>
      <c r="B657" s="8" t="str">
        <f>VLOOKUP(A657,地区!$B$1:$C$43,2,0)</f>
        <v>华东地区</v>
      </c>
      <c r="C657" s="8" t="s">
        <v>45</v>
      </c>
      <c r="D657" s="8" t="s">
        <v>730</v>
      </c>
      <c r="E657" s="8">
        <v>2970</v>
      </c>
      <c r="F657" s="8">
        <v>116</v>
      </c>
      <c r="G657" s="8">
        <v>8.4</v>
      </c>
      <c r="H657" s="8">
        <v>8.9</v>
      </c>
      <c r="I657" s="8">
        <v>8.9</v>
      </c>
    </row>
    <row r="658" spans="1:9">
      <c r="A658" s="8" t="s">
        <v>713</v>
      </c>
      <c r="B658" s="8" t="str">
        <f>VLOOKUP(A658,地区!$B$1:$C$43,2,0)</f>
        <v>华东地区</v>
      </c>
      <c r="C658" s="8" t="s">
        <v>45</v>
      </c>
      <c r="D658" s="8" t="s">
        <v>731</v>
      </c>
      <c r="E658" s="8">
        <v>167</v>
      </c>
      <c r="F658" s="8">
        <v>75</v>
      </c>
      <c r="G658" s="8">
        <v>8.6</v>
      </c>
      <c r="H658" s="8">
        <v>8.8</v>
      </c>
      <c r="I658" s="8">
        <v>8.3</v>
      </c>
    </row>
    <row r="659" spans="1:9">
      <c r="A659" s="8" t="s">
        <v>713</v>
      </c>
      <c r="B659" s="8" t="str">
        <f>VLOOKUP(A659,地区!$B$1:$C$43,2,0)</f>
        <v>华东地区</v>
      </c>
      <c r="C659" s="8" t="s">
        <v>45</v>
      </c>
      <c r="D659" s="8" t="s">
        <v>732</v>
      </c>
      <c r="E659" s="8">
        <v>79</v>
      </c>
      <c r="F659" s="8">
        <v>81</v>
      </c>
      <c r="G659" s="8">
        <v>8.1</v>
      </c>
      <c r="H659" s="8">
        <v>8</v>
      </c>
      <c r="I659" s="8">
        <v>8.4</v>
      </c>
    </row>
    <row r="660" spans="1:9">
      <c r="A660" s="8" t="s">
        <v>713</v>
      </c>
      <c r="B660" s="8" t="str">
        <f>VLOOKUP(A660,地区!$B$1:$C$43,2,0)</f>
        <v>华东地区</v>
      </c>
      <c r="C660" s="8" t="s">
        <v>45</v>
      </c>
      <c r="D660" s="8" t="s">
        <v>733</v>
      </c>
      <c r="E660" s="8">
        <v>207</v>
      </c>
      <c r="F660" s="8">
        <v>83</v>
      </c>
      <c r="G660" s="8">
        <v>8.4</v>
      </c>
      <c r="H660" s="8">
        <v>8.2</v>
      </c>
      <c r="I660" s="8">
        <v>8.4</v>
      </c>
    </row>
    <row r="661" spans="1:9">
      <c r="A661" s="8" t="s">
        <v>713</v>
      </c>
      <c r="B661" s="8" t="str">
        <f>VLOOKUP(A661,地区!$B$1:$C$43,2,0)</f>
        <v>华东地区</v>
      </c>
      <c r="C661" s="8" t="s">
        <v>45</v>
      </c>
      <c r="D661" s="8" t="s">
        <v>734</v>
      </c>
      <c r="E661" s="8">
        <v>254</v>
      </c>
      <c r="F661" s="8">
        <v>51</v>
      </c>
      <c r="G661" s="8">
        <v>7.7</v>
      </c>
      <c r="H661" s="8">
        <v>7.6</v>
      </c>
      <c r="I661" s="8">
        <v>7.7</v>
      </c>
    </row>
    <row r="662" spans="1:9">
      <c r="A662" s="8" t="s">
        <v>713</v>
      </c>
      <c r="B662" s="8" t="str">
        <f>VLOOKUP(A662,地区!$B$1:$C$43,2,0)</f>
        <v>华东地区</v>
      </c>
      <c r="C662" s="8" t="s">
        <v>45</v>
      </c>
      <c r="D662" s="8" t="s">
        <v>735</v>
      </c>
      <c r="E662" s="8">
        <v>283</v>
      </c>
      <c r="F662" s="8">
        <v>78</v>
      </c>
      <c r="G662" s="8">
        <v>7.8</v>
      </c>
      <c r="H662" s="8">
        <v>7.8</v>
      </c>
      <c r="I662" s="8">
        <v>7.3</v>
      </c>
    </row>
    <row r="663" spans="1:9">
      <c r="A663" s="8" t="s">
        <v>736</v>
      </c>
      <c r="B663" s="8" t="str">
        <f>VLOOKUP(A663,地区!$B$1:$C$43,2,0)</f>
        <v>华东地区</v>
      </c>
      <c r="C663" s="8" t="s">
        <v>271</v>
      </c>
      <c r="D663" s="8" t="s">
        <v>737</v>
      </c>
      <c r="E663" s="8">
        <v>27</v>
      </c>
      <c r="F663" s="8">
        <v>49</v>
      </c>
      <c r="G663" s="8">
        <v>7.1</v>
      </c>
      <c r="H663" s="8">
        <v>7</v>
      </c>
      <c r="I663" s="8">
        <v>6.9</v>
      </c>
    </row>
    <row r="664" spans="1:9">
      <c r="A664" s="8" t="s">
        <v>736</v>
      </c>
      <c r="B664" s="8" t="str">
        <f>VLOOKUP(A664,地区!$B$1:$C$43,2,0)</f>
        <v>华东地区</v>
      </c>
      <c r="C664" s="8" t="s">
        <v>145</v>
      </c>
      <c r="D664" s="8" t="s">
        <v>738</v>
      </c>
      <c r="E664" s="8">
        <v>25</v>
      </c>
      <c r="F664" s="8">
        <v>98</v>
      </c>
      <c r="G664" s="8">
        <v>7</v>
      </c>
      <c r="H664" s="8">
        <v>6.6</v>
      </c>
      <c r="I664" s="8">
        <v>6.8</v>
      </c>
    </row>
    <row r="665" spans="1:9">
      <c r="A665" s="8" t="s">
        <v>736</v>
      </c>
      <c r="B665" s="8" t="str">
        <f>VLOOKUP(A665,地区!$B$1:$C$43,2,0)</f>
        <v>华东地区</v>
      </c>
      <c r="C665" s="8" t="s">
        <v>45</v>
      </c>
      <c r="D665" s="8" t="s">
        <v>739</v>
      </c>
      <c r="E665" s="8">
        <v>29</v>
      </c>
      <c r="F665" s="8">
        <v>72</v>
      </c>
      <c r="G665" s="8">
        <v>7.2</v>
      </c>
      <c r="H665" s="8">
        <v>7.3</v>
      </c>
      <c r="I665" s="8">
        <v>7.3</v>
      </c>
    </row>
    <row r="666" spans="1:9">
      <c r="A666" s="8" t="s">
        <v>736</v>
      </c>
      <c r="B666" s="8" t="str">
        <f>VLOOKUP(A666,地区!$B$1:$C$43,2,0)</f>
        <v>华东地区</v>
      </c>
      <c r="C666" s="8" t="s">
        <v>45</v>
      </c>
      <c r="D666" s="8" t="s">
        <v>740</v>
      </c>
      <c r="E666" s="8">
        <v>1</v>
      </c>
      <c r="F666" s="8">
        <v>33</v>
      </c>
      <c r="G666" s="8">
        <v>7.1</v>
      </c>
      <c r="H666" s="8">
        <v>6.8</v>
      </c>
      <c r="I666" s="8">
        <v>6.6</v>
      </c>
    </row>
    <row r="667" spans="1:9">
      <c r="A667" s="8" t="s">
        <v>736</v>
      </c>
      <c r="B667" s="8" t="str">
        <f>VLOOKUP(A667,地区!$B$1:$C$43,2,0)</f>
        <v>华东地区</v>
      </c>
      <c r="C667" s="8" t="s">
        <v>45</v>
      </c>
      <c r="D667" s="8" t="s">
        <v>741</v>
      </c>
      <c r="E667" s="8">
        <v>391</v>
      </c>
      <c r="F667" s="8">
        <v>69</v>
      </c>
      <c r="G667" s="8">
        <v>8.5</v>
      </c>
      <c r="H667" s="8">
        <v>9</v>
      </c>
      <c r="I667" s="8">
        <v>8.6</v>
      </c>
    </row>
    <row r="668" spans="1:9">
      <c r="A668" s="8" t="s">
        <v>736</v>
      </c>
      <c r="B668" s="8" t="str">
        <f>VLOOKUP(A668,地区!$B$1:$C$43,2,0)</f>
        <v>华东地区</v>
      </c>
      <c r="C668" s="8" t="s">
        <v>15</v>
      </c>
      <c r="D668" s="8" t="s">
        <v>742</v>
      </c>
      <c r="E668" s="8">
        <v>37</v>
      </c>
      <c r="F668" s="8">
        <v>38</v>
      </c>
      <c r="G668" s="8">
        <v>6.9</v>
      </c>
      <c r="H668" s="8">
        <v>7</v>
      </c>
      <c r="I668" s="8">
        <v>6.9</v>
      </c>
    </row>
    <row r="669" spans="1:9">
      <c r="A669" s="8" t="s">
        <v>736</v>
      </c>
      <c r="B669" s="8" t="str">
        <f>VLOOKUP(A669,地区!$B$1:$C$43,2,0)</f>
        <v>华东地区</v>
      </c>
      <c r="C669" s="8" t="s">
        <v>412</v>
      </c>
      <c r="D669" s="8" t="s">
        <v>743</v>
      </c>
      <c r="E669" s="8">
        <v>53</v>
      </c>
      <c r="F669" s="8">
        <v>29</v>
      </c>
      <c r="G669" s="8">
        <v>7.4</v>
      </c>
      <c r="H669" s="8">
        <v>7.4</v>
      </c>
      <c r="I669" s="8">
        <v>7.5</v>
      </c>
    </row>
    <row r="670" spans="1:9">
      <c r="A670" s="8" t="s">
        <v>736</v>
      </c>
      <c r="B670" s="8" t="str">
        <f>VLOOKUP(A670,地区!$B$1:$C$43,2,0)</f>
        <v>华东地区</v>
      </c>
      <c r="C670" s="8" t="s">
        <v>412</v>
      </c>
      <c r="D670" s="8" t="s">
        <v>744</v>
      </c>
      <c r="E670" s="8">
        <v>7</v>
      </c>
      <c r="F670" s="8">
        <v>44</v>
      </c>
      <c r="G670" s="8">
        <v>7.4</v>
      </c>
      <c r="H670" s="8">
        <v>7.4</v>
      </c>
      <c r="I670" s="8">
        <v>7.4</v>
      </c>
    </row>
    <row r="671" spans="1:9">
      <c r="A671" s="8" t="s">
        <v>736</v>
      </c>
      <c r="B671" s="8" t="str">
        <f>VLOOKUP(A671,地区!$B$1:$C$43,2,0)</f>
        <v>华东地区</v>
      </c>
      <c r="C671" s="8" t="s">
        <v>59</v>
      </c>
      <c r="D671" s="8" t="s">
        <v>745</v>
      </c>
      <c r="E671" s="8">
        <v>18</v>
      </c>
      <c r="F671" s="8">
        <v>50</v>
      </c>
      <c r="G671" s="8">
        <v>8.4</v>
      </c>
      <c r="H671" s="8">
        <v>8.5</v>
      </c>
      <c r="I671" s="8">
        <v>8.5</v>
      </c>
    </row>
    <row r="672" spans="1:9">
      <c r="A672" s="8" t="s">
        <v>736</v>
      </c>
      <c r="B672" s="8" t="str">
        <f>VLOOKUP(A672,地区!$B$1:$C$43,2,0)</f>
        <v>华东地区</v>
      </c>
      <c r="C672" s="8" t="s">
        <v>412</v>
      </c>
      <c r="D672" s="8" t="s">
        <v>746</v>
      </c>
      <c r="E672" s="8">
        <v>2</v>
      </c>
      <c r="F672" s="8">
        <v>19</v>
      </c>
      <c r="G672" s="8">
        <v>6.9</v>
      </c>
      <c r="H672" s="8">
        <v>6.9</v>
      </c>
      <c r="I672" s="8">
        <v>6.9</v>
      </c>
    </row>
    <row r="673" spans="1:9">
      <c r="A673" s="8" t="s">
        <v>736</v>
      </c>
      <c r="B673" s="8" t="str">
        <f>VLOOKUP(A673,地区!$B$1:$C$43,2,0)</f>
        <v>华东地区</v>
      </c>
      <c r="C673" s="8" t="s">
        <v>59</v>
      </c>
      <c r="D673" s="8" t="s">
        <v>747</v>
      </c>
      <c r="E673" s="8">
        <v>1</v>
      </c>
      <c r="F673" s="8">
        <v>50</v>
      </c>
      <c r="G673" s="8">
        <v>7</v>
      </c>
      <c r="H673" s="8">
        <v>7</v>
      </c>
      <c r="I673" s="8">
        <v>6.9</v>
      </c>
    </row>
    <row r="674" spans="1:9">
      <c r="A674" s="8" t="s">
        <v>736</v>
      </c>
      <c r="B674" s="8" t="str">
        <f>VLOOKUP(A674,地区!$B$1:$C$43,2,0)</f>
        <v>华东地区</v>
      </c>
      <c r="C674" s="8" t="s">
        <v>59</v>
      </c>
      <c r="D674" s="8" t="s">
        <v>748</v>
      </c>
      <c r="E674" s="8">
        <v>39</v>
      </c>
      <c r="F674" s="8">
        <v>54</v>
      </c>
      <c r="G674" s="8">
        <v>7.7</v>
      </c>
      <c r="H674" s="8">
        <v>7.6</v>
      </c>
      <c r="I674" s="8">
        <v>7.6</v>
      </c>
    </row>
    <row r="675" spans="1:9">
      <c r="A675" s="8" t="s">
        <v>736</v>
      </c>
      <c r="B675" s="8" t="str">
        <f>VLOOKUP(A675,地区!$B$1:$C$43,2,0)</f>
        <v>华东地区</v>
      </c>
      <c r="C675" s="8" t="s">
        <v>59</v>
      </c>
      <c r="D675" s="8" t="s">
        <v>749</v>
      </c>
      <c r="E675" s="8">
        <v>87</v>
      </c>
      <c r="F675" s="8">
        <v>102</v>
      </c>
      <c r="G675" s="8">
        <v>7.8</v>
      </c>
      <c r="H675" s="8">
        <v>8.6</v>
      </c>
      <c r="I675" s="8">
        <v>8.4</v>
      </c>
    </row>
    <row r="676" spans="1:9">
      <c r="A676" s="8" t="s">
        <v>736</v>
      </c>
      <c r="B676" s="8" t="str">
        <f>VLOOKUP(A676,地区!$B$1:$C$43,2,0)</f>
        <v>华东地区</v>
      </c>
      <c r="C676" s="8" t="s">
        <v>59</v>
      </c>
      <c r="D676" s="8" t="s">
        <v>750</v>
      </c>
      <c r="E676" s="8">
        <v>12</v>
      </c>
      <c r="F676" s="8">
        <v>88</v>
      </c>
      <c r="G676" s="8">
        <v>7.6</v>
      </c>
      <c r="H676" s="8">
        <v>7.6</v>
      </c>
      <c r="I676" s="8">
        <v>7.7</v>
      </c>
    </row>
    <row r="677" spans="1:9">
      <c r="A677" s="8" t="s">
        <v>736</v>
      </c>
      <c r="B677" s="8" t="str">
        <f>VLOOKUP(A677,地区!$B$1:$C$43,2,0)</f>
        <v>华东地区</v>
      </c>
      <c r="C677" s="8" t="s">
        <v>751</v>
      </c>
      <c r="D677" s="8" t="s">
        <v>752</v>
      </c>
      <c r="E677" s="8">
        <v>17</v>
      </c>
      <c r="F677" s="8">
        <v>91</v>
      </c>
      <c r="G677" s="8">
        <v>7.3</v>
      </c>
      <c r="H677" s="8">
        <v>7.3</v>
      </c>
      <c r="I677" s="8">
        <v>7.3</v>
      </c>
    </row>
    <row r="678" spans="1:9">
      <c r="A678" s="8" t="s">
        <v>736</v>
      </c>
      <c r="B678" s="8" t="str">
        <f>VLOOKUP(A678,地区!$B$1:$C$43,2,0)</f>
        <v>华东地区</v>
      </c>
      <c r="C678" s="8" t="s">
        <v>104</v>
      </c>
      <c r="D678" s="8" t="s">
        <v>753</v>
      </c>
      <c r="E678" s="8">
        <v>2</v>
      </c>
      <c r="F678" s="8">
        <v>40</v>
      </c>
      <c r="G678" s="8">
        <v>7</v>
      </c>
      <c r="H678" s="8">
        <v>7</v>
      </c>
      <c r="I678" s="8">
        <v>7</v>
      </c>
    </row>
    <row r="679" spans="1:9">
      <c r="A679" s="8" t="s">
        <v>736</v>
      </c>
      <c r="B679" s="8" t="str">
        <f>VLOOKUP(A679,地区!$B$1:$C$43,2,0)</f>
        <v>华东地区</v>
      </c>
      <c r="C679" s="8" t="s">
        <v>85</v>
      </c>
      <c r="D679" s="8" t="s">
        <v>754</v>
      </c>
      <c r="E679" s="8">
        <v>55</v>
      </c>
      <c r="F679" s="8">
        <v>10</v>
      </c>
      <c r="G679" s="8">
        <v>7.9</v>
      </c>
      <c r="H679" s="8">
        <v>7.8</v>
      </c>
      <c r="I679" s="8">
        <v>7.9</v>
      </c>
    </row>
    <row r="680" spans="1:9">
      <c r="A680" s="8" t="s">
        <v>736</v>
      </c>
      <c r="B680" s="8" t="str">
        <f>VLOOKUP(A680,地区!$B$1:$C$43,2,0)</f>
        <v>华东地区</v>
      </c>
      <c r="C680" s="8" t="s">
        <v>85</v>
      </c>
      <c r="D680" s="8" t="s">
        <v>755</v>
      </c>
      <c r="E680" s="8">
        <v>69</v>
      </c>
      <c r="F680" s="8">
        <v>23</v>
      </c>
      <c r="G680" s="8">
        <v>7.8</v>
      </c>
      <c r="H680" s="8">
        <v>7.9</v>
      </c>
      <c r="I680" s="8">
        <v>7.9</v>
      </c>
    </row>
    <row r="681" spans="1:9">
      <c r="A681" s="8" t="s">
        <v>736</v>
      </c>
      <c r="B681" s="8" t="str">
        <f>VLOOKUP(A681,地区!$B$1:$C$43,2,0)</f>
        <v>华东地区</v>
      </c>
      <c r="C681" s="8" t="s">
        <v>85</v>
      </c>
      <c r="D681" s="8" t="s">
        <v>756</v>
      </c>
      <c r="E681" s="8">
        <v>32</v>
      </c>
      <c r="F681" s="8">
        <v>18</v>
      </c>
      <c r="G681" s="8">
        <v>7.5</v>
      </c>
      <c r="H681" s="8">
        <v>7.4</v>
      </c>
      <c r="I681" s="8">
        <v>7.4</v>
      </c>
    </row>
    <row r="682" spans="1:9">
      <c r="A682" s="8" t="s">
        <v>736</v>
      </c>
      <c r="B682" s="8" t="str">
        <f>VLOOKUP(A682,地区!$B$1:$C$43,2,0)</f>
        <v>华东地区</v>
      </c>
      <c r="C682" s="8" t="s">
        <v>85</v>
      </c>
      <c r="D682" s="8" t="s">
        <v>757</v>
      </c>
      <c r="E682" s="8">
        <v>14</v>
      </c>
      <c r="F682" s="8">
        <v>27</v>
      </c>
      <c r="G682" s="8">
        <v>7.2</v>
      </c>
      <c r="H682" s="8">
        <v>7.2</v>
      </c>
      <c r="I682" s="8">
        <v>7.2</v>
      </c>
    </row>
    <row r="683" spans="1:9">
      <c r="A683" s="8" t="s">
        <v>736</v>
      </c>
      <c r="B683" s="8" t="str">
        <f>VLOOKUP(A683,地区!$B$1:$C$43,2,0)</f>
        <v>华东地区</v>
      </c>
      <c r="C683" s="8" t="s">
        <v>85</v>
      </c>
      <c r="D683" s="8" t="s">
        <v>758</v>
      </c>
      <c r="E683" s="8">
        <v>160</v>
      </c>
      <c r="F683" s="8">
        <v>7</v>
      </c>
      <c r="G683" s="8">
        <v>7.7</v>
      </c>
      <c r="H683" s="8">
        <v>7.8</v>
      </c>
      <c r="I683" s="8">
        <v>8.1</v>
      </c>
    </row>
    <row r="684" spans="1:9">
      <c r="A684" s="8" t="s">
        <v>736</v>
      </c>
      <c r="B684" s="8" t="str">
        <f>VLOOKUP(A684,地区!$B$1:$C$43,2,0)</f>
        <v>华东地区</v>
      </c>
      <c r="C684" s="8" t="s">
        <v>85</v>
      </c>
      <c r="D684" s="8" t="s">
        <v>759</v>
      </c>
      <c r="E684" s="8">
        <v>23</v>
      </c>
      <c r="F684" s="8">
        <v>24</v>
      </c>
      <c r="G684" s="8">
        <v>7.1</v>
      </c>
      <c r="H684" s="8">
        <v>7.4</v>
      </c>
      <c r="I684" s="8">
        <v>7.3</v>
      </c>
    </row>
    <row r="685" spans="1:9">
      <c r="A685" s="8" t="s">
        <v>736</v>
      </c>
      <c r="B685" s="8" t="str">
        <f>VLOOKUP(A685,地区!$B$1:$C$43,2,0)</f>
        <v>华东地区</v>
      </c>
      <c r="C685" s="8" t="s">
        <v>85</v>
      </c>
      <c r="D685" s="8" t="s">
        <v>760</v>
      </c>
      <c r="E685" s="8">
        <v>12</v>
      </c>
      <c r="F685" s="8">
        <v>18</v>
      </c>
      <c r="G685" s="8">
        <v>7.4</v>
      </c>
      <c r="H685" s="8">
        <v>7.4</v>
      </c>
      <c r="I685" s="8">
        <v>7.4</v>
      </c>
    </row>
    <row r="686" spans="1:9">
      <c r="A686" s="8" t="s">
        <v>736</v>
      </c>
      <c r="B686" s="8" t="str">
        <f>VLOOKUP(A686,地区!$B$1:$C$43,2,0)</f>
        <v>华东地区</v>
      </c>
      <c r="C686" s="8" t="s">
        <v>90</v>
      </c>
      <c r="D686" s="8" t="s">
        <v>761</v>
      </c>
      <c r="E686" s="8">
        <v>109</v>
      </c>
      <c r="F686" s="8">
        <v>56</v>
      </c>
      <c r="G686" s="8">
        <v>7.6</v>
      </c>
      <c r="H686" s="8">
        <v>7.8</v>
      </c>
      <c r="I686" s="8">
        <v>7.9</v>
      </c>
    </row>
    <row r="687" spans="1:9">
      <c r="A687" s="8" t="s">
        <v>736</v>
      </c>
      <c r="B687" s="8" t="str">
        <f>VLOOKUP(A687,地区!$B$1:$C$43,2,0)</f>
        <v>华东地区</v>
      </c>
      <c r="C687" s="8" t="s">
        <v>90</v>
      </c>
      <c r="D687" s="8" t="s">
        <v>762</v>
      </c>
      <c r="E687" s="8">
        <v>36</v>
      </c>
      <c r="F687" s="8">
        <v>92</v>
      </c>
      <c r="G687" s="8">
        <v>7.5</v>
      </c>
      <c r="H687" s="8">
        <v>7.5</v>
      </c>
      <c r="I687" s="8">
        <v>7.6</v>
      </c>
    </row>
    <row r="688" spans="1:9">
      <c r="A688" s="8" t="s">
        <v>736</v>
      </c>
      <c r="B688" s="8" t="str">
        <f>VLOOKUP(A688,地区!$B$1:$C$43,2,0)</f>
        <v>华东地区</v>
      </c>
      <c r="C688" s="8" t="s">
        <v>445</v>
      </c>
      <c r="D688" s="8" t="s">
        <v>763</v>
      </c>
      <c r="E688" s="8">
        <v>60</v>
      </c>
      <c r="F688" s="8">
        <v>12</v>
      </c>
      <c r="G688" s="8">
        <v>7.4</v>
      </c>
      <c r="H688" s="8">
        <v>7.4</v>
      </c>
      <c r="I688" s="8">
        <v>7.5</v>
      </c>
    </row>
    <row r="689" spans="1:9">
      <c r="A689" s="8" t="s">
        <v>736</v>
      </c>
      <c r="B689" s="8" t="str">
        <f>VLOOKUP(A689,地区!$B$1:$C$43,2,0)</f>
        <v>华东地区</v>
      </c>
      <c r="C689" s="8" t="s">
        <v>445</v>
      </c>
      <c r="D689" s="8" t="s">
        <v>764</v>
      </c>
      <c r="E689" s="8">
        <v>4</v>
      </c>
      <c r="F689" s="8">
        <v>15</v>
      </c>
      <c r="G689" s="8">
        <v>7.1</v>
      </c>
      <c r="H689" s="8">
        <v>7.1</v>
      </c>
      <c r="I689" s="8">
        <v>7.1</v>
      </c>
    </row>
    <row r="690" spans="1:9">
      <c r="A690" s="8" t="s">
        <v>736</v>
      </c>
      <c r="B690" s="8" t="str">
        <f>VLOOKUP(A690,地区!$B$1:$C$43,2,0)</f>
        <v>华东地区</v>
      </c>
      <c r="C690" s="8" t="s">
        <v>211</v>
      </c>
      <c r="D690" s="8" t="s">
        <v>765</v>
      </c>
      <c r="E690" s="8">
        <v>560</v>
      </c>
      <c r="F690" s="8">
        <v>20</v>
      </c>
      <c r="G690" s="8">
        <v>8.7</v>
      </c>
      <c r="H690" s="8">
        <v>8.6</v>
      </c>
      <c r="I690" s="8">
        <v>8.6</v>
      </c>
    </row>
    <row r="691" spans="1:9">
      <c r="A691" s="8" t="s">
        <v>736</v>
      </c>
      <c r="B691" s="8" t="str">
        <f>VLOOKUP(A691,地区!$B$1:$C$43,2,0)</f>
        <v>华东地区</v>
      </c>
      <c r="C691" s="8" t="s">
        <v>211</v>
      </c>
      <c r="D691" s="8" t="s">
        <v>766</v>
      </c>
      <c r="E691" s="8">
        <v>16</v>
      </c>
      <c r="F691" s="8">
        <v>16</v>
      </c>
      <c r="G691" s="8">
        <v>7.2</v>
      </c>
      <c r="H691" s="8">
        <v>7.2</v>
      </c>
      <c r="I691" s="8">
        <v>7.2</v>
      </c>
    </row>
    <row r="692" spans="1:9">
      <c r="A692" s="8" t="s">
        <v>736</v>
      </c>
      <c r="B692" s="8" t="str">
        <f>VLOOKUP(A692,地区!$B$1:$C$43,2,0)</f>
        <v>华东地区</v>
      </c>
      <c r="C692" s="8" t="s">
        <v>211</v>
      </c>
      <c r="D692" s="8" t="s">
        <v>767</v>
      </c>
      <c r="E692" s="8">
        <v>18</v>
      </c>
      <c r="F692" s="8">
        <v>16</v>
      </c>
      <c r="G692" s="8">
        <v>7.5</v>
      </c>
      <c r="H692" s="8">
        <v>7.6</v>
      </c>
      <c r="I692" s="8">
        <v>7.6</v>
      </c>
    </row>
    <row r="693" spans="1:9">
      <c r="A693" s="8" t="s">
        <v>768</v>
      </c>
      <c r="B693" s="8" t="str">
        <f>VLOOKUP(A693,地区!$B$1:$C$43,2,0)</f>
        <v>华南地区</v>
      </c>
      <c r="C693" s="8" t="s">
        <v>10</v>
      </c>
      <c r="D693" s="8" t="s">
        <v>769</v>
      </c>
      <c r="E693" s="8">
        <v>4</v>
      </c>
      <c r="F693" s="8">
        <v>55</v>
      </c>
      <c r="G693" s="8">
        <v>7</v>
      </c>
      <c r="H693" s="8">
        <v>6.8</v>
      </c>
      <c r="I693" s="8">
        <v>6.8</v>
      </c>
    </row>
    <row r="694" spans="1:9">
      <c r="A694" s="8" t="s">
        <v>768</v>
      </c>
      <c r="B694" s="8" t="str">
        <f>VLOOKUP(A694,地区!$B$1:$C$43,2,0)</f>
        <v>华南地区</v>
      </c>
      <c r="C694" s="8" t="s">
        <v>397</v>
      </c>
      <c r="D694" s="8" t="s">
        <v>770</v>
      </c>
      <c r="E694" s="8">
        <v>8</v>
      </c>
      <c r="F694" s="8">
        <v>100</v>
      </c>
      <c r="G694" s="8">
        <v>7.3</v>
      </c>
      <c r="H694" s="8">
        <v>7.2</v>
      </c>
      <c r="I694" s="8">
        <v>7.2</v>
      </c>
    </row>
    <row r="695" spans="1:9">
      <c r="A695" s="8" t="s">
        <v>768</v>
      </c>
      <c r="B695" s="8" t="str">
        <f>VLOOKUP(A695,地区!$B$1:$C$43,2,0)</f>
        <v>华南地区</v>
      </c>
      <c r="C695" s="8" t="s">
        <v>771</v>
      </c>
      <c r="D695" s="8" t="s">
        <v>772</v>
      </c>
      <c r="E695" s="8">
        <v>32</v>
      </c>
      <c r="F695" s="8">
        <v>59</v>
      </c>
      <c r="G695" s="8">
        <v>6.9</v>
      </c>
      <c r="H695" s="8">
        <v>7</v>
      </c>
      <c r="I695" s="8">
        <v>7</v>
      </c>
    </row>
    <row r="696" spans="1:9">
      <c r="A696" s="8" t="s">
        <v>768</v>
      </c>
      <c r="B696" s="8" t="str">
        <f>VLOOKUP(A696,地区!$B$1:$C$43,2,0)</f>
        <v>华南地区</v>
      </c>
      <c r="C696" s="8" t="s">
        <v>145</v>
      </c>
      <c r="D696" s="8" t="s">
        <v>773</v>
      </c>
      <c r="E696" s="8">
        <v>417</v>
      </c>
      <c r="F696" s="8">
        <v>157</v>
      </c>
      <c r="G696" s="8">
        <v>8.3</v>
      </c>
      <c r="H696" s="8">
        <v>8.2</v>
      </c>
      <c r="I696" s="8">
        <v>8.6</v>
      </c>
    </row>
    <row r="697" spans="1:9">
      <c r="A697" s="8" t="s">
        <v>768</v>
      </c>
      <c r="B697" s="8" t="str">
        <f>VLOOKUP(A697,地区!$B$1:$C$43,2,0)</f>
        <v>华南地区</v>
      </c>
      <c r="C697" s="8" t="s">
        <v>145</v>
      </c>
      <c r="D697" s="8" t="s">
        <v>774</v>
      </c>
      <c r="E697" s="8">
        <v>43</v>
      </c>
      <c r="F697" s="8">
        <v>78</v>
      </c>
      <c r="G697" s="8">
        <v>7.3</v>
      </c>
      <c r="H697" s="8">
        <v>7</v>
      </c>
      <c r="I697" s="8">
        <v>7.3</v>
      </c>
    </row>
    <row r="698" spans="1:9">
      <c r="A698" s="8" t="s">
        <v>768</v>
      </c>
      <c r="B698" s="8" t="str">
        <f>VLOOKUP(A698,地区!$B$1:$C$43,2,0)</f>
        <v>华南地区</v>
      </c>
      <c r="C698" s="8" t="s">
        <v>145</v>
      </c>
      <c r="D698" s="8" t="s">
        <v>775</v>
      </c>
      <c r="E698" s="8">
        <v>1</v>
      </c>
      <c r="F698" s="8">
        <v>55</v>
      </c>
      <c r="G698" s="8">
        <v>7</v>
      </c>
      <c r="H698" s="8">
        <v>7</v>
      </c>
      <c r="I698" s="8">
        <v>7</v>
      </c>
    </row>
    <row r="699" spans="1:9">
      <c r="A699" s="8" t="s">
        <v>768</v>
      </c>
      <c r="B699" s="8" t="str">
        <f>VLOOKUP(A699,地区!$B$1:$C$43,2,0)</f>
        <v>华南地区</v>
      </c>
      <c r="C699" s="8" t="s">
        <v>145</v>
      </c>
      <c r="D699" s="8" t="s">
        <v>776</v>
      </c>
      <c r="E699" s="8">
        <v>1</v>
      </c>
      <c r="F699" s="8">
        <v>30</v>
      </c>
      <c r="G699" s="8">
        <v>7</v>
      </c>
      <c r="H699" s="8">
        <v>6.9</v>
      </c>
      <c r="I699" s="8">
        <v>7</v>
      </c>
    </row>
    <row r="700" spans="1:9">
      <c r="A700" s="8" t="s">
        <v>768</v>
      </c>
      <c r="B700" s="8" t="str">
        <f>VLOOKUP(A700,地区!$B$1:$C$43,2,0)</f>
        <v>华南地区</v>
      </c>
      <c r="C700" s="8" t="s">
        <v>15</v>
      </c>
      <c r="D700" s="8" t="s">
        <v>777</v>
      </c>
      <c r="E700" s="8">
        <v>62</v>
      </c>
      <c r="F700" s="8">
        <v>63</v>
      </c>
      <c r="G700" s="8">
        <v>8.5</v>
      </c>
      <c r="H700" s="8">
        <v>8.2</v>
      </c>
      <c r="I700" s="8">
        <v>8.3</v>
      </c>
    </row>
    <row r="701" spans="1:9">
      <c r="A701" s="8" t="s">
        <v>768</v>
      </c>
      <c r="B701" s="8" t="str">
        <f>VLOOKUP(A701,地区!$B$1:$C$43,2,0)</f>
        <v>华南地区</v>
      </c>
      <c r="C701" s="8" t="s">
        <v>15</v>
      </c>
      <c r="D701" s="8" t="s">
        <v>778</v>
      </c>
      <c r="E701" s="8">
        <v>489</v>
      </c>
      <c r="F701" s="8">
        <v>96</v>
      </c>
      <c r="G701" s="8">
        <v>8.3</v>
      </c>
      <c r="H701" s="8">
        <v>8.8</v>
      </c>
      <c r="I701" s="8">
        <v>8.2</v>
      </c>
    </row>
    <row r="702" spans="1:9">
      <c r="A702" s="8" t="s">
        <v>768</v>
      </c>
      <c r="B702" s="8" t="str">
        <f>VLOOKUP(A702,地区!$B$1:$C$43,2,0)</f>
        <v>华南地区</v>
      </c>
      <c r="C702" s="8" t="s">
        <v>15</v>
      </c>
      <c r="D702" s="8" t="s">
        <v>779</v>
      </c>
      <c r="E702" s="8">
        <v>2321</v>
      </c>
      <c r="F702" s="8">
        <v>83</v>
      </c>
      <c r="G702" s="8">
        <v>8</v>
      </c>
      <c r="H702" s="8">
        <v>8.3</v>
      </c>
      <c r="I702" s="8">
        <v>8.4</v>
      </c>
    </row>
    <row r="703" spans="1:9">
      <c r="A703" s="8" t="s">
        <v>768</v>
      </c>
      <c r="B703" s="8" t="str">
        <f>VLOOKUP(A703,地区!$B$1:$C$43,2,0)</f>
        <v>华南地区</v>
      </c>
      <c r="C703" s="8" t="s">
        <v>15</v>
      </c>
      <c r="D703" s="8" t="s">
        <v>780</v>
      </c>
      <c r="E703" s="8">
        <v>297</v>
      </c>
      <c r="F703" s="8">
        <v>89</v>
      </c>
      <c r="G703" s="8">
        <v>7.4</v>
      </c>
      <c r="H703" s="8">
        <v>8</v>
      </c>
      <c r="I703" s="8">
        <v>8.2</v>
      </c>
    </row>
    <row r="704" spans="1:9">
      <c r="A704" s="8" t="s">
        <v>768</v>
      </c>
      <c r="B704" s="8" t="str">
        <f>VLOOKUP(A704,地区!$B$1:$C$43,2,0)</f>
        <v>华南地区</v>
      </c>
      <c r="C704" s="8" t="s">
        <v>15</v>
      </c>
      <c r="D704" s="8" t="s">
        <v>781</v>
      </c>
      <c r="E704" s="8">
        <v>460</v>
      </c>
      <c r="F704" s="8">
        <v>102</v>
      </c>
      <c r="G704" s="8">
        <v>7.6</v>
      </c>
      <c r="H704" s="8">
        <v>7.6</v>
      </c>
      <c r="I704" s="8">
        <v>7.5</v>
      </c>
    </row>
    <row r="705" spans="1:9">
      <c r="A705" s="8" t="s">
        <v>768</v>
      </c>
      <c r="B705" s="8" t="str">
        <f>VLOOKUP(A705,地区!$B$1:$C$43,2,0)</f>
        <v>华南地区</v>
      </c>
      <c r="C705" s="8" t="s">
        <v>15</v>
      </c>
      <c r="D705" s="8" t="s">
        <v>782</v>
      </c>
      <c r="E705" s="8">
        <v>264</v>
      </c>
      <c r="F705" s="8">
        <v>118</v>
      </c>
      <c r="G705" s="8">
        <v>7.2</v>
      </c>
      <c r="H705" s="8">
        <v>7.4</v>
      </c>
      <c r="I705" s="8">
        <v>7.3</v>
      </c>
    </row>
    <row r="706" spans="1:9">
      <c r="A706" s="8" t="s">
        <v>768</v>
      </c>
      <c r="B706" s="8" t="str">
        <f>VLOOKUP(A706,地区!$B$1:$C$43,2,0)</f>
        <v>华南地区</v>
      </c>
      <c r="C706" s="8" t="s">
        <v>282</v>
      </c>
      <c r="D706" s="8" t="s">
        <v>783</v>
      </c>
      <c r="E706" s="8">
        <v>163</v>
      </c>
      <c r="F706" s="8">
        <v>55</v>
      </c>
      <c r="G706" s="8">
        <v>6.7</v>
      </c>
      <c r="H706" s="8">
        <v>6.9</v>
      </c>
      <c r="I706" s="8">
        <v>6.7</v>
      </c>
    </row>
    <row r="707" spans="1:9">
      <c r="A707" s="8" t="s">
        <v>768</v>
      </c>
      <c r="B707" s="8" t="str">
        <f>VLOOKUP(A707,地区!$B$1:$C$43,2,0)</f>
        <v>华南地区</v>
      </c>
      <c r="C707" s="8" t="s">
        <v>282</v>
      </c>
      <c r="D707" s="8" t="s">
        <v>784</v>
      </c>
      <c r="E707" s="8">
        <v>32</v>
      </c>
      <c r="F707" s="8">
        <v>45</v>
      </c>
      <c r="G707" s="8">
        <v>7.3</v>
      </c>
      <c r="H707" s="8">
        <v>7.6</v>
      </c>
      <c r="I707" s="8">
        <v>7.7</v>
      </c>
    </row>
    <row r="708" spans="1:9">
      <c r="A708" s="8" t="s">
        <v>768</v>
      </c>
      <c r="B708" s="8" t="str">
        <f>VLOOKUP(A708,地区!$B$1:$C$43,2,0)</f>
        <v>华南地区</v>
      </c>
      <c r="C708" s="8" t="s">
        <v>282</v>
      </c>
      <c r="D708" s="8" t="s">
        <v>785</v>
      </c>
      <c r="E708" s="8">
        <v>5</v>
      </c>
      <c r="F708" s="8">
        <v>44</v>
      </c>
      <c r="G708" s="8">
        <v>6.8</v>
      </c>
      <c r="H708" s="8">
        <v>6.8</v>
      </c>
      <c r="I708" s="8">
        <v>6.8</v>
      </c>
    </row>
    <row r="709" spans="1:9">
      <c r="A709" s="8" t="s">
        <v>768</v>
      </c>
      <c r="B709" s="8" t="str">
        <f>VLOOKUP(A709,地区!$B$1:$C$43,2,0)</f>
        <v>华南地区</v>
      </c>
      <c r="C709" s="8" t="s">
        <v>412</v>
      </c>
      <c r="D709" s="8" t="s">
        <v>786</v>
      </c>
      <c r="E709" s="8">
        <v>3</v>
      </c>
      <c r="F709" s="8">
        <v>60</v>
      </c>
      <c r="G709" s="8">
        <v>6.7</v>
      </c>
      <c r="H709" s="8">
        <v>6.7</v>
      </c>
      <c r="I709" s="8">
        <v>7</v>
      </c>
    </row>
    <row r="710" spans="1:9">
      <c r="A710" s="8" t="s">
        <v>768</v>
      </c>
      <c r="B710" s="8" t="str">
        <f>VLOOKUP(A710,地区!$B$1:$C$43,2,0)</f>
        <v>华南地区</v>
      </c>
      <c r="C710" s="8" t="s">
        <v>412</v>
      </c>
      <c r="D710" s="8" t="s">
        <v>787</v>
      </c>
      <c r="E710" s="8">
        <v>1725</v>
      </c>
      <c r="F710" s="8">
        <v>51</v>
      </c>
      <c r="G710" s="8">
        <v>7.8</v>
      </c>
      <c r="H710" s="8">
        <v>8.4</v>
      </c>
      <c r="I710" s="8">
        <v>8</v>
      </c>
    </row>
    <row r="711" spans="1:9">
      <c r="A711" s="8" t="s">
        <v>768</v>
      </c>
      <c r="B711" s="8" t="str">
        <f>VLOOKUP(A711,地区!$B$1:$C$43,2,0)</f>
        <v>华南地区</v>
      </c>
      <c r="C711" s="8" t="s">
        <v>329</v>
      </c>
      <c r="D711" s="8" t="s">
        <v>788</v>
      </c>
      <c r="E711" s="8">
        <v>9</v>
      </c>
      <c r="F711" s="8">
        <v>35</v>
      </c>
      <c r="G711" s="8">
        <v>7.2</v>
      </c>
      <c r="H711" s="8">
        <v>7.2</v>
      </c>
      <c r="I711" s="8">
        <v>7</v>
      </c>
    </row>
    <row r="712" spans="1:9">
      <c r="A712" s="8" t="s">
        <v>768</v>
      </c>
      <c r="B712" s="8" t="str">
        <f>VLOOKUP(A712,地区!$B$1:$C$43,2,0)</f>
        <v>华南地区</v>
      </c>
      <c r="C712" s="8" t="s">
        <v>329</v>
      </c>
      <c r="D712" s="8" t="s">
        <v>789</v>
      </c>
      <c r="E712" s="8">
        <v>72</v>
      </c>
      <c r="F712" s="8">
        <v>56</v>
      </c>
      <c r="G712" s="8">
        <v>7.2</v>
      </c>
      <c r="H712" s="8">
        <v>7.2</v>
      </c>
      <c r="I712" s="8">
        <v>7.3</v>
      </c>
    </row>
    <row r="713" spans="1:9">
      <c r="A713" s="8" t="s">
        <v>768</v>
      </c>
      <c r="B713" s="8" t="str">
        <f>VLOOKUP(A713,地区!$B$1:$C$43,2,0)</f>
        <v>华南地区</v>
      </c>
      <c r="C713" s="8" t="s">
        <v>329</v>
      </c>
      <c r="D713" s="8" t="s">
        <v>790</v>
      </c>
      <c r="E713" s="8">
        <v>2</v>
      </c>
      <c r="F713" s="8">
        <v>37</v>
      </c>
      <c r="G713" s="8">
        <v>7.3</v>
      </c>
      <c r="H713" s="8">
        <v>7.2</v>
      </c>
      <c r="I713" s="8">
        <v>7.3</v>
      </c>
    </row>
    <row r="714" spans="1:9">
      <c r="A714" s="8" t="s">
        <v>768</v>
      </c>
      <c r="B714" s="8" t="str">
        <f>VLOOKUP(A714,地区!$B$1:$C$43,2,0)</f>
        <v>华南地区</v>
      </c>
      <c r="C714" s="8" t="s">
        <v>329</v>
      </c>
      <c r="D714" s="8" t="s">
        <v>791</v>
      </c>
      <c r="E714" s="8">
        <v>5</v>
      </c>
      <c r="F714" s="8">
        <v>69</v>
      </c>
      <c r="G714" s="8">
        <v>7.3</v>
      </c>
      <c r="H714" s="8">
        <v>7.3</v>
      </c>
      <c r="I714" s="8">
        <v>7.3</v>
      </c>
    </row>
    <row r="715" spans="1:9">
      <c r="A715" s="8" t="s">
        <v>768</v>
      </c>
      <c r="B715" s="8" t="str">
        <f>VLOOKUP(A715,地区!$B$1:$C$43,2,0)</f>
        <v>华南地区</v>
      </c>
      <c r="C715" s="8" t="s">
        <v>329</v>
      </c>
      <c r="D715" s="8" t="s">
        <v>792</v>
      </c>
      <c r="E715" s="8">
        <v>27</v>
      </c>
      <c r="F715" s="8">
        <v>54</v>
      </c>
      <c r="G715" s="8">
        <v>7.2</v>
      </c>
      <c r="H715" s="8">
        <v>7.2</v>
      </c>
      <c r="I715" s="8">
        <v>7.1</v>
      </c>
    </row>
    <row r="716" spans="1:9">
      <c r="A716" s="8" t="s">
        <v>768</v>
      </c>
      <c r="B716" s="8" t="str">
        <f>VLOOKUP(A716,地区!$B$1:$C$43,2,0)</f>
        <v>华南地区</v>
      </c>
      <c r="C716" s="8" t="s">
        <v>793</v>
      </c>
      <c r="D716" s="8" t="s">
        <v>794</v>
      </c>
      <c r="E716" s="8">
        <v>239</v>
      </c>
      <c r="F716" s="8">
        <v>19</v>
      </c>
      <c r="G716" s="8">
        <v>7.5</v>
      </c>
      <c r="H716" s="8">
        <v>7.4</v>
      </c>
      <c r="I716" s="8">
        <v>7.4</v>
      </c>
    </row>
    <row r="717" spans="1:9">
      <c r="A717" s="8" t="s">
        <v>768</v>
      </c>
      <c r="B717" s="8" t="str">
        <f>VLOOKUP(A717,地区!$B$1:$C$43,2,0)</f>
        <v>华南地区</v>
      </c>
      <c r="C717" s="8" t="s">
        <v>793</v>
      </c>
      <c r="D717" s="8" t="s">
        <v>795</v>
      </c>
      <c r="E717" s="8">
        <v>33</v>
      </c>
      <c r="F717" s="8">
        <v>20</v>
      </c>
      <c r="G717" s="8">
        <v>7.1</v>
      </c>
      <c r="H717" s="8">
        <v>6.9</v>
      </c>
      <c r="I717" s="8">
        <v>6.9</v>
      </c>
    </row>
    <row r="718" spans="1:9">
      <c r="A718" s="8" t="s">
        <v>768</v>
      </c>
      <c r="B718" s="8" t="str">
        <f>VLOOKUP(A718,地区!$B$1:$C$43,2,0)</f>
        <v>华南地区</v>
      </c>
      <c r="C718" s="8" t="s">
        <v>793</v>
      </c>
      <c r="D718" s="8" t="s">
        <v>796</v>
      </c>
      <c r="E718" s="8">
        <v>14</v>
      </c>
      <c r="F718" s="8">
        <v>13</v>
      </c>
      <c r="G718" s="8">
        <v>6.3</v>
      </c>
      <c r="H718" s="8">
        <v>7.2</v>
      </c>
      <c r="I718" s="8">
        <v>6.9</v>
      </c>
    </row>
    <row r="719" spans="1:9">
      <c r="A719" s="8" t="s">
        <v>768</v>
      </c>
      <c r="B719" s="8" t="str">
        <f>VLOOKUP(A719,地区!$B$1:$C$43,2,0)</f>
        <v>华南地区</v>
      </c>
      <c r="C719" s="8" t="s">
        <v>40</v>
      </c>
      <c r="D719" s="8" t="s">
        <v>797</v>
      </c>
      <c r="E719" s="8">
        <v>788</v>
      </c>
      <c r="F719" s="8">
        <v>91</v>
      </c>
      <c r="G719" s="8">
        <v>6.9</v>
      </c>
      <c r="H719" s="8">
        <v>7.8</v>
      </c>
      <c r="I719" s="8">
        <v>7.3</v>
      </c>
    </row>
    <row r="720" spans="1:9">
      <c r="A720" s="8" t="s">
        <v>798</v>
      </c>
      <c r="B720" s="8" t="str">
        <f>VLOOKUP(A720,地区!$B$1:$C$43,2,0)</f>
        <v>东北地区</v>
      </c>
      <c r="C720" s="8" t="s">
        <v>233</v>
      </c>
      <c r="D720" s="8" t="s">
        <v>799</v>
      </c>
      <c r="E720" s="8">
        <v>123</v>
      </c>
      <c r="F720" s="8">
        <v>74</v>
      </c>
      <c r="G720" s="8">
        <v>7.8</v>
      </c>
      <c r="H720" s="8">
        <v>8.5</v>
      </c>
      <c r="I720" s="8">
        <v>8.8</v>
      </c>
    </row>
    <row r="721" spans="1:9">
      <c r="A721" s="8" t="s">
        <v>798</v>
      </c>
      <c r="B721" s="8" t="str">
        <f>VLOOKUP(A721,地区!$B$1:$C$43,2,0)</f>
        <v>东北地区</v>
      </c>
      <c r="C721" s="8" t="s">
        <v>233</v>
      </c>
      <c r="D721" s="8" t="s">
        <v>800</v>
      </c>
      <c r="E721" s="8">
        <v>252</v>
      </c>
      <c r="F721" s="8">
        <v>92</v>
      </c>
      <c r="G721" s="8">
        <v>7.3</v>
      </c>
      <c r="H721" s="8">
        <v>7.3</v>
      </c>
      <c r="I721" s="8">
        <v>7.3</v>
      </c>
    </row>
    <row r="722" spans="1:9">
      <c r="A722" s="8" t="s">
        <v>798</v>
      </c>
      <c r="B722" s="8" t="str">
        <f>VLOOKUP(A722,地区!$B$1:$C$43,2,0)</f>
        <v>东北地区</v>
      </c>
      <c r="C722" s="8" t="s">
        <v>233</v>
      </c>
      <c r="D722" s="8" t="s">
        <v>801</v>
      </c>
      <c r="E722" s="8">
        <v>18</v>
      </c>
      <c r="F722" s="8">
        <v>67</v>
      </c>
      <c r="G722" s="8">
        <v>7.5</v>
      </c>
      <c r="H722" s="8">
        <v>7.6</v>
      </c>
      <c r="I722" s="8">
        <v>7.7</v>
      </c>
    </row>
    <row r="723" spans="1:9">
      <c r="A723" s="8" t="s">
        <v>798</v>
      </c>
      <c r="B723" s="8" t="str">
        <f>VLOOKUP(A723,地区!$B$1:$C$43,2,0)</f>
        <v>东北地区</v>
      </c>
      <c r="C723" s="8" t="s">
        <v>233</v>
      </c>
      <c r="D723" s="8" t="s">
        <v>802</v>
      </c>
      <c r="E723" s="8">
        <v>72</v>
      </c>
      <c r="F723" s="8">
        <v>64</v>
      </c>
      <c r="G723" s="8">
        <v>8.1</v>
      </c>
      <c r="H723" s="8">
        <v>7.7</v>
      </c>
      <c r="I723" s="8">
        <v>8.5</v>
      </c>
    </row>
    <row r="724" spans="1:9">
      <c r="A724" s="8" t="s">
        <v>798</v>
      </c>
      <c r="B724" s="8" t="str">
        <f>VLOOKUP(A724,地区!$B$1:$C$43,2,0)</f>
        <v>东北地区</v>
      </c>
      <c r="C724" s="8" t="s">
        <v>59</v>
      </c>
      <c r="D724" s="8" t="s">
        <v>803</v>
      </c>
      <c r="E724" s="8">
        <v>287</v>
      </c>
      <c r="F724" s="8">
        <v>65</v>
      </c>
      <c r="G724" s="8">
        <v>8.2</v>
      </c>
      <c r="H724" s="8">
        <v>8.2</v>
      </c>
      <c r="I724" s="8">
        <v>8.2</v>
      </c>
    </row>
    <row r="725" spans="1:9">
      <c r="A725" s="8" t="s">
        <v>798</v>
      </c>
      <c r="B725" s="8" t="str">
        <f>VLOOKUP(A725,地区!$B$1:$C$43,2,0)</f>
        <v>东北地区</v>
      </c>
      <c r="C725" s="8" t="s">
        <v>59</v>
      </c>
      <c r="D725" s="8" t="s">
        <v>804</v>
      </c>
      <c r="E725" s="8">
        <v>28</v>
      </c>
      <c r="F725" s="8">
        <v>50</v>
      </c>
      <c r="G725" s="8">
        <v>7.9</v>
      </c>
      <c r="H725" s="8">
        <v>7.9</v>
      </c>
      <c r="I725" s="8">
        <v>7.5</v>
      </c>
    </row>
    <row r="726" spans="1:9">
      <c r="A726" s="8" t="s">
        <v>798</v>
      </c>
      <c r="B726" s="8" t="str">
        <f>VLOOKUP(A726,地区!$B$1:$C$43,2,0)</f>
        <v>东北地区</v>
      </c>
      <c r="C726" s="8" t="s">
        <v>59</v>
      </c>
      <c r="D726" s="8" t="s">
        <v>805</v>
      </c>
      <c r="E726" s="8">
        <v>5</v>
      </c>
      <c r="F726" s="8">
        <v>50</v>
      </c>
      <c r="G726" s="8">
        <v>7.7</v>
      </c>
      <c r="H726" s="8">
        <v>7.7</v>
      </c>
      <c r="I726" s="8">
        <v>7.7</v>
      </c>
    </row>
    <row r="727" spans="1:9">
      <c r="A727" s="8" t="s">
        <v>798</v>
      </c>
      <c r="B727" s="8" t="str">
        <f>VLOOKUP(A727,地区!$B$1:$C$43,2,0)</f>
        <v>东北地区</v>
      </c>
      <c r="C727" s="8" t="s">
        <v>59</v>
      </c>
      <c r="D727" s="8" t="s">
        <v>806</v>
      </c>
      <c r="E727" s="8">
        <v>105</v>
      </c>
      <c r="F727" s="8">
        <v>68</v>
      </c>
      <c r="G727" s="8">
        <v>7.8</v>
      </c>
      <c r="H727" s="8">
        <v>7.7</v>
      </c>
      <c r="I727" s="8">
        <v>7.8</v>
      </c>
    </row>
    <row r="728" spans="1:9">
      <c r="A728" s="8" t="s">
        <v>798</v>
      </c>
      <c r="B728" s="8" t="str">
        <f>VLOOKUP(A728,地区!$B$1:$C$43,2,0)</f>
        <v>东北地区</v>
      </c>
      <c r="C728" s="8" t="s">
        <v>59</v>
      </c>
      <c r="D728" s="8" t="s">
        <v>807</v>
      </c>
      <c r="E728" s="8">
        <v>4</v>
      </c>
      <c r="F728" s="8">
        <v>78</v>
      </c>
      <c r="G728" s="8">
        <v>7.4</v>
      </c>
      <c r="H728" s="8">
        <v>7.9</v>
      </c>
      <c r="I728" s="8">
        <v>7.6</v>
      </c>
    </row>
    <row r="729" spans="1:9">
      <c r="A729" s="8" t="s">
        <v>798</v>
      </c>
      <c r="B729" s="8" t="str">
        <f>VLOOKUP(A729,地区!$B$1:$C$43,2,0)</f>
        <v>东北地区</v>
      </c>
      <c r="C729" s="8" t="s">
        <v>59</v>
      </c>
      <c r="D729" s="8" t="s">
        <v>808</v>
      </c>
      <c r="E729" s="8">
        <v>98</v>
      </c>
      <c r="F729" s="8">
        <v>57</v>
      </c>
      <c r="G729" s="8">
        <v>7.6</v>
      </c>
      <c r="H729" s="8">
        <v>7.4</v>
      </c>
      <c r="I729" s="8">
        <v>7.6</v>
      </c>
    </row>
    <row r="730" spans="1:9">
      <c r="A730" s="8" t="s">
        <v>798</v>
      </c>
      <c r="B730" s="8" t="str">
        <f>VLOOKUP(A730,地区!$B$1:$C$43,2,0)</f>
        <v>东北地区</v>
      </c>
      <c r="C730" s="8" t="s">
        <v>55</v>
      </c>
      <c r="D730" s="8" t="s">
        <v>809</v>
      </c>
      <c r="E730" s="8">
        <v>366</v>
      </c>
      <c r="F730" s="8">
        <v>251</v>
      </c>
      <c r="G730" s="8">
        <v>7.8</v>
      </c>
      <c r="H730" s="8">
        <v>8</v>
      </c>
      <c r="I730" s="8">
        <v>7.5</v>
      </c>
    </row>
    <row r="731" spans="1:9">
      <c r="A731" s="8" t="s">
        <v>798</v>
      </c>
      <c r="B731" s="8" t="str">
        <f>VLOOKUP(A731,地区!$B$1:$C$43,2,0)</f>
        <v>东北地区</v>
      </c>
      <c r="C731" s="8" t="s">
        <v>55</v>
      </c>
      <c r="D731" s="8" t="s">
        <v>810</v>
      </c>
      <c r="E731" s="8">
        <v>162</v>
      </c>
      <c r="F731" s="8">
        <v>63</v>
      </c>
      <c r="G731" s="8">
        <v>6.9</v>
      </c>
      <c r="H731" s="8">
        <v>7</v>
      </c>
      <c r="I731" s="8">
        <v>6.8</v>
      </c>
    </row>
    <row r="732" spans="1:9">
      <c r="A732" s="8" t="s">
        <v>798</v>
      </c>
      <c r="B732" s="8" t="str">
        <f>VLOOKUP(A732,地区!$B$1:$C$43,2,0)</f>
        <v>东北地区</v>
      </c>
      <c r="C732" s="8" t="s">
        <v>55</v>
      </c>
      <c r="D732" s="8" t="s">
        <v>811</v>
      </c>
      <c r="E732" s="8">
        <v>65</v>
      </c>
      <c r="F732" s="8">
        <v>57</v>
      </c>
      <c r="G732" s="8">
        <v>7.8</v>
      </c>
      <c r="H732" s="8">
        <v>7.8</v>
      </c>
      <c r="I732" s="8">
        <v>7.8</v>
      </c>
    </row>
    <row r="733" spans="1:9">
      <c r="A733" s="8" t="s">
        <v>798</v>
      </c>
      <c r="B733" s="8" t="str">
        <f>VLOOKUP(A733,地区!$B$1:$C$43,2,0)</f>
        <v>东北地区</v>
      </c>
      <c r="C733" s="8" t="s">
        <v>55</v>
      </c>
      <c r="D733" s="8" t="s">
        <v>812</v>
      </c>
      <c r="E733" s="8">
        <v>7</v>
      </c>
      <c r="F733" s="8">
        <v>50</v>
      </c>
      <c r="G733" s="8">
        <v>7.6</v>
      </c>
      <c r="H733" s="8">
        <v>7.6</v>
      </c>
      <c r="I733" s="8">
        <v>7.6</v>
      </c>
    </row>
    <row r="734" spans="1:9">
      <c r="A734" s="8" t="s">
        <v>798</v>
      </c>
      <c r="B734" s="8" t="str">
        <f>VLOOKUP(A734,地区!$B$1:$C$43,2,0)</f>
        <v>东北地区</v>
      </c>
      <c r="C734" s="8" t="s">
        <v>59</v>
      </c>
      <c r="D734" s="8" t="s">
        <v>813</v>
      </c>
      <c r="E734" s="8">
        <v>155</v>
      </c>
      <c r="F734" s="8">
        <v>49</v>
      </c>
      <c r="G734" s="8">
        <v>7.8</v>
      </c>
      <c r="H734" s="8">
        <v>7.7</v>
      </c>
      <c r="I734" s="8">
        <v>7.6</v>
      </c>
    </row>
    <row r="735" spans="1:9">
      <c r="A735" s="8" t="s">
        <v>798</v>
      </c>
      <c r="B735" s="8" t="str">
        <f>VLOOKUP(A735,地区!$B$1:$C$43,2,0)</f>
        <v>东北地区</v>
      </c>
      <c r="C735" s="8" t="s">
        <v>55</v>
      </c>
      <c r="D735" s="8" t="s">
        <v>814</v>
      </c>
      <c r="E735" s="8">
        <v>83</v>
      </c>
      <c r="F735" s="8">
        <v>138</v>
      </c>
      <c r="G735" s="8">
        <v>6.7</v>
      </c>
      <c r="H735" s="8">
        <v>6.7</v>
      </c>
      <c r="I735" s="8">
        <v>6.4</v>
      </c>
    </row>
    <row r="736" spans="1:9">
      <c r="A736" s="8" t="s">
        <v>798</v>
      </c>
      <c r="B736" s="8" t="str">
        <f>VLOOKUP(A736,地区!$B$1:$C$43,2,0)</f>
        <v>东北地区</v>
      </c>
      <c r="C736" s="8" t="s">
        <v>55</v>
      </c>
      <c r="D736" s="8" t="s">
        <v>815</v>
      </c>
      <c r="E736" s="8">
        <v>50</v>
      </c>
      <c r="F736" s="8">
        <v>79</v>
      </c>
      <c r="G736" s="8">
        <v>6.7</v>
      </c>
      <c r="H736" s="8">
        <v>6.6</v>
      </c>
      <c r="I736" s="8">
        <v>6.6</v>
      </c>
    </row>
    <row r="737" spans="1:9">
      <c r="A737" s="8" t="s">
        <v>798</v>
      </c>
      <c r="B737" s="8" t="str">
        <f>VLOOKUP(A737,地区!$B$1:$C$43,2,0)</f>
        <v>东北地区</v>
      </c>
      <c r="C737" s="8" t="s">
        <v>55</v>
      </c>
      <c r="D737" s="8" t="s">
        <v>816</v>
      </c>
      <c r="E737" s="8">
        <v>466</v>
      </c>
      <c r="F737" s="8">
        <v>68</v>
      </c>
      <c r="G737" s="8">
        <v>8.9</v>
      </c>
      <c r="H737" s="8">
        <v>8.6</v>
      </c>
      <c r="I737" s="8">
        <v>8.7</v>
      </c>
    </row>
    <row r="738" spans="1:9">
      <c r="A738" s="8" t="s">
        <v>798</v>
      </c>
      <c r="B738" s="8" t="str">
        <f>VLOOKUP(A738,地区!$B$1:$C$43,2,0)</f>
        <v>东北地区</v>
      </c>
      <c r="C738" s="8" t="s">
        <v>55</v>
      </c>
      <c r="D738" s="8" t="s">
        <v>817</v>
      </c>
      <c r="E738" s="8">
        <v>1015</v>
      </c>
      <c r="F738" s="8">
        <v>77</v>
      </c>
      <c r="G738" s="8">
        <v>8.6</v>
      </c>
      <c r="H738" s="8">
        <v>9</v>
      </c>
      <c r="I738" s="8">
        <v>8.8</v>
      </c>
    </row>
    <row r="739" spans="1:9">
      <c r="A739" s="8" t="s">
        <v>798</v>
      </c>
      <c r="B739" s="8" t="str">
        <f>VLOOKUP(A739,地区!$B$1:$C$43,2,0)</f>
        <v>东北地区</v>
      </c>
      <c r="C739" s="8" t="s">
        <v>33</v>
      </c>
      <c r="D739" s="8" t="s">
        <v>818</v>
      </c>
      <c r="E739" s="8">
        <v>13</v>
      </c>
      <c r="F739" s="8">
        <v>59</v>
      </c>
      <c r="G739" s="8">
        <v>7.6</v>
      </c>
      <c r="H739" s="8">
        <v>7.5</v>
      </c>
      <c r="I739" s="8">
        <v>7.6</v>
      </c>
    </row>
    <row r="740" spans="1:9">
      <c r="A740" s="8" t="s">
        <v>798</v>
      </c>
      <c r="B740" s="8" t="str">
        <f>VLOOKUP(A740,地区!$B$1:$C$43,2,0)</f>
        <v>东北地区</v>
      </c>
      <c r="C740" s="8" t="s">
        <v>33</v>
      </c>
      <c r="D740" s="8" t="s">
        <v>819</v>
      </c>
      <c r="E740" s="8">
        <v>198</v>
      </c>
      <c r="F740" s="8">
        <v>33</v>
      </c>
      <c r="G740" s="8">
        <v>7.7</v>
      </c>
      <c r="H740" s="8">
        <v>7.9</v>
      </c>
      <c r="I740" s="8">
        <v>7.7</v>
      </c>
    </row>
    <row r="741" spans="1:9">
      <c r="A741" s="8" t="s">
        <v>798</v>
      </c>
      <c r="B741" s="8" t="str">
        <f>VLOOKUP(A741,地区!$B$1:$C$43,2,0)</f>
        <v>东北地区</v>
      </c>
      <c r="C741" s="8" t="s">
        <v>33</v>
      </c>
      <c r="D741" s="8" t="s">
        <v>820</v>
      </c>
      <c r="E741" s="8">
        <v>72</v>
      </c>
      <c r="F741" s="8">
        <v>36</v>
      </c>
      <c r="G741" s="8">
        <v>7.5</v>
      </c>
      <c r="H741" s="8">
        <v>7.6</v>
      </c>
      <c r="I741" s="8">
        <v>7.7</v>
      </c>
    </row>
    <row r="742" spans="1:9">
      <c r="A742" s="8" t="s">
        <v>798</v>
      </c>
      <c r="B742" s="8" t="str">
        <f>VLOOKUP(A742,地区!$B$1:$C$43,2,0)</f>
        <v>东北地区</v>
      </c>
      <c r="C742" s="8" t="s">
        <v>33</v>
      </c>
      <c r="D742" s="8" t="s">
        <v>821</v>
      </c>
      <c r="E742" s="8">
        <v>3</v>
      </c>
      <c r="F742" s="8">
        <v>46</v>
      </c>
      <c r="G742" s="8">
        <v>7</v>
      </c>
      <c r="H742" s="8">
        <v>7</v>
      </c>
      <c r="I742" s="8">
        <v>7</v>
      </c>
    </row>
    <row r="743" spans="1:9">
      <c r="A743" s="8" t="s">
        <v>798</v>
      </c>
      <c r="B743" s="8" t="str">
        <f>VLOOKUP(A743,地区!$B$1:$C$43,2,0)</f>
        <v>东北地区</v>
      </c>
      <c r="C743" s="8" t="s">
        <v>33</v>
      </c>
      <c r="D743" s="8" t="s">
        <v>822</v>
      </c>
      <c r="E743" s="8">
        <v>27</v>
      </c>
      <c r="F743" s="8">
        <v>36</v>
      </c>
      <c r="G743" s="8">
        <v>7.4</v>
      </c>
      <c r="H743" s="8">
        <v>7.4</v>
      </c>
      <c r="I743" s="8">
        <v>7.5</v>
      </c>
    </row>
    <row r="744" spans="1:9">
      <c r="A744" s="8" t="s">
        <v>798</v>
      </c>
      <c r="B744" s="8" t="str">
        <f>VLOOKUP(A744,地区!$B$1:$C$43,2,0)</f>
        <v>东北地区</v>
      </c>
      <c r="C744" s="8" t="s">
        <v>155</v>
      </c>
      <c r="D744" s="8" t="s">
        <v>823</v>
      </c>
      <c r="E744" s="8">
        <v>11</v>
      </c>
      <c r="F744" s="8">
        <v>28</v>
      </c>
      <c r="G744" s="8">
        <v>7.4</v>
      </c>
      <c r="H744" s="8">
        <v>7.4</v>
      </c>
      <c r="I744" s="8">
        <v>7.3</v>
      </c>
    </row>
    <row r="745" spans="1:9">
      <c r="A745" s="8" t="s">
        <v>798</v>
      </c>
      <c r="B745" s="8" t="str">
        <f>VLOOKUP(A745,地区!$B$1:$C$43,2,0)</f>
        <v>东北地区</v>
      </c>
      <c r="C745" s="8" t="s">
        <v>155</v>
      </c>
      <c r="D745" s="8" t="s">
        <v>824</v>
      </c>
      <c r="E745" s="8">
        <v>64</v>
      </c>
      <c r="F745" s="8">
        <v>46</v>
      </c>
      <c r="G745" s="8">
        <v>6.9</v>
      </c>
      <c r="H745" s="8">
        <v>7.1</v>
      </c>
      <c r="I745" s="8">
        <v>7</v>
      </c>
    </row>
    <row r="746" spans="1:9">
      <c r="A746" s="8" t="s">
        <v>798</v>
      </c>
      <c r="B746" s="8" t="str">
        <f>VLOOKUP(A746,地区!$B$1:$C$43,2,0)</f>
        <v>东北地区</v>
      </c>
      <c r="C746" s="8" t="s">
        <v>155</v>
      </c>
      <c r="D746" s="8" t="s">
        <v>825</v>
      </c>
      <c r="E746" s="8">
        <v>14</v>
      </c>
      <c r="F746" s="8">
        <v>35</v>
      </c>
      <c r="G746" s="8">
        <v>7.7</v>
      </c>
      <c r="H746" s="8">
        <v>7.7</v>
      </c>
      <c r="I746" s="8">
        <v>7.8</v>
      </c>
    </row>
    <row r="747" spans="1:9">
      <c r="A747" s="8" t="s">
        <v>798</v>
      </c>
      <c r="B747" s="8" t="str">
        <f>VLOOKUP(A747,地区!$B$1:$C$43,2,0)</f>
        <v>东北地区</v>
      </c>
      <c r="C747" s="8" t="s">
        <v>155</v>
      </c>
      <c r="D747" s="8" t="s">
        <v>826</v>
      </c>
      <c r="E747" s="8">
        <v>17</v>
      </c>
      <c r="F747" s="8">
        <v>10</v>
      </c>
      <c r="G747" s="8">
        <v>7.4</v>
      </c>
      <c r="H747" s="8">
        <v>7.4</v>
      </c>
      <c r="I747" s="8">
        <v>7.4</v>
      </c>
    </row>
    <row r="748" spans="1:9">
      <c r="A748" s="8" t="s">
        <v>798</v>
      </c>
      <c r="B748" s="8" t="str">
        <f>VLOOKUP(A748,地区!$B$1:$C$43,2,0)</f>
        <v>东北地区</v>
      </c>
      <c r="C748" s="8" t="s">
        <v>155</v>
      </c>
      <c r="D748" s="8" t="s">
        <v>827</v>
      </c>
      <c r="E748" s="8">
        <v>10</v>
      </c>
      <c r="F748" s="8">
        <v>28</v>
      </c>
      <c r="G748" s="8">
        <v>7.3</v>
      </c>
      <c r="H748" s="8">
        <v>7.2</v>
      </c>
      <c r="I748" s="8">
        <v>7.3</v>
      </c>
    </row>
    <row r="749" spans="1:9">
      <c r="A749" s="8" t="s">
        <v>798</v>
      </c>
      <c r="B749" s="8" t="str">
        <f>VLOOKUP(A749,地区!$B$1:$C$43,2,0)</f>
        <v>东北地区</v>
      </c>
      <c r="C749" s="8" t="s">
        <v>828</v>
      </c>
      <c r="D749" s="8" t="s">
        <v>829</v>
      </c>
      <c r="E749" s="8">
        <v>764</v>
      </c>
      <c r="F749" s="8">
        <v>150</v>
      </c>
      <c r="G749" s="8">
        <v>9.2</v>
      </c>
      <c r="H749" s="8">
        <v>6.8</v>
      </c>
      <c r="I749" s="8">
        <v>8.5</v>
      </c>
    </row>
    <row r="750" spans="1:9">
      <c r="A750" s="8" t="s">
        <v>830</v>
      </c>
      <c r="B750" s="8" t="str">
        <f>VLOOKUP(A750,地区!$B$1:$C$43,2,0)</f>
        <v>华北地区</v>
      </c>
      <c r="C750" s="8" t="s">
        <v>329</v>
      </c>
      <c r="D750" s="8" t="s">
        <v>831</v>
      </c>
      <c r="E750" s="8">
        <v>2</v>
      </c>
      <c r="F750" s="8">
        <v>44</v>
      </c>
      <c r="G750" s="8">
        <v>6.9</v>
      </c>
      <c r="H750" s="8">
        <v>6.9</v>
      </c>
      <c r="I750" s="8">
        <v>6.9</v>
      </c>
    </row>
    <row r="751" spans="1:9">
      <c r="A751" s="8" t="s">
        <v>830</v>
      </c>
      <c r="B751" s="8" t="str">
        <f>VLOOKUP(A751,地区!$B$1:$C$43,2,0)</f>
        <v>华北地区</v>
      </c>
      <c r="C751" s="8" t="s">
        <v>59</v>
      </c>
      <c r="D751" s="8" t="s">
        <v>832</v>
      </c>
      <c r="E751" s="8">
        <v>79</v>
      </c>
      <c r="F751" s="8">
        <v>68</v>
      </c>
      <c r="G751" s="8">
        <v>7.6</v>
      </c>
      <c r="H751" s="8">
        <v>7.8</v>
      </c>
      <c r="I751" s="8">
        <v>7.7</v>
      </c>
    </row>
    <row r="752" spans="1:9">
      <c r="A752" s="8" t="s">
        <v>830</v>
      </c>
      <c r="B752" s="8" t="str">
        <f>VLOOKUP(A752,地区!$B$1:$C$43,2,0)</f>
        <v>华北地区</v>
      </c>
      <c r="C752" s="8" t="s">
        <v>59</v>
      </c>
      <c r="D752" s="8" t="s">
        <v>833</v>
      </c>
      <c r="E752" s="8">
        <v>37</v>
      </c>
      <c r="F752" s="8">
        <v>53</v>
      </c>
      <c r="G752" s="8">
        <v>7.2</v>
      </c>
      <c r="H752" s="8">
        <v>6.6</v>
      </c>
      <c r="I752" s="8">
        <v>6.7</v>
      </c>
    </row>
    <row r="753" spans="1:9">
      <c r="A753" s="8" t="s">
        <v>830</v>
      </c>
      <c r="B753" s="8" t="str">
        <f>VLOOKUP(A753,地区!$B$1:$C$43,2,0)</f>
        <v>华北地区</v>
      </c>
      <c r="C753" s="8" t="s">
        <v>59</v>
      </c>
      <c r="D753" s="8" t="s">
        <v>834</v>
      </c>
      <c r="E753" s="8">
        <v>159</v>
      </c>
      <c r="F753" s="8">
        <v>43</v>
      </c>
      <c r="G753" s="8">
        <v>7.2</v>
      </c>
      <c r="H753" s="8">
        <v>7.3</v>
      </c>
      <c r="I753" s="8">
        <v>7.3</v>
      </c>
    </row>
    <row r="754" spans="1:9">
      <c r="A754" s="8" t="s">
        <v>830</v>
      </c>
      <c r="B754" s="8" t="str">
        <f>VLOOKUP(A754,地区!$B$1:$C$43,2,0)</f>
        <v>华北地区</v>
      </c>
      <c r="C754" s="8" t="s">
        <v>59</v>
      </c>
      <c r="D754" s="8" t="s">
        <v>835</v>
      </c>
      <c r="E754" s="8">
        <v>8</v>
      </c>
      <c r="F754" s="8">
        <v>48</v>
      </c>
      <c r="G754" s="8">
        <v>7.6</v>
      </c>
      <c r="H754" s="8">
        <v>7.6</v>
      </c>
      <c r="I754" s="8">
        <v>7.6</v>
      </c>
    </row>
    <row r="755" spans="1:9">
      <c r="A755" s="8" t="s">
        <v>830</v>
      </c>
      <c r="B755" s="8" t="str">
        <f>VLOOKUP(A755,地区!$B$1:$C$43,2,0)</f>
        <v>华北地区</v>
      </c>
      <c r="C755" s="8" t="s">
        <v>59</v>
      </c>
      <c r="D755" s="8" t="s">
        <v>836</v>
      </c>
      <c r="E755" s="8">
        <v>1</v>
      </c>
      <c r="F755" s="8">
        <v>40</v>
      </c>
      <c r="G755" s="8">
        <v>7.1</v>
      </c>
      <c r="H755" s="8">
        <v>7.1</v>
      </c>
      <c r="I755" s="8">
        <v>7.1</v>
      </c>
    </row>
    <row r="756" spans="1:9">
      <c r="A756" s="8" t="s">
        <v>830</v>
      </c>
      <c r="B756" s="8" t="str">
        <f>VLOOKUP(A756,地区!$B$1:$C$43,2,0)</f>
        <v>华北地区</v>
      </c>
      <c r="C756" s="8" t="s">
        <v>59</v>
      </c>
      <c r="D756" s="8" t="s">
        <v>837</v>
      </c>
      <c r="E756" s="8">
        <v>13</v>
      </c>
      <c r="F756" s="8">
        <v>52</v>
      </c>
      <c r="G756" s="8">
        <v>7.2</v>
      </c>
      <c r="H756" s="8">
        <v>7.1</v>
      </c>
      <c r="I756" s="8">
        <v>7.2</v>
      </c>
    </row>
    <row r="757" spans="1:9">
      <c r="A757" s="8" t="s">
        <v>830</v>
      </c>
      <c r="B757" s="8" t="str">
        <f>VLOOKUP(A757,地区!$B$1:$C$43,2,0)</f>
        <v>华北地区</v>
      </c>
      <c r="C757" s="8" t="s">
        <v>59</v>
      </c>
      <c r="D757" s="8" t="s">
        <v>838</v>
      </c>
      <c r="E757" s="8">
        <v>2</v>
      </c>
      <c r="F757" s="8">
        <v>38</v>
      </c>
      <c r="G757" s="8">
        <v>7</v>
      </c>
      <c r="H757" s="8">
        <v>7</v>
      </c>
      <c r="I757" s="8">
        <v>7</v>
      </c>
    </row>
    <row r="758" spans="1:9">
      <c r="A758" s="8" t="s">
        <v>830</v>
      </c>
      <c r="B758" s="8" t="str">
        <f>VLOOKUP(A758,地区!$B$1:$C$43,2,0)</f>
        <v>华北地区</v>
      </c>
      <c r="C758" s="8" t="s">
        <v>59</v>
      </c>
      <c r="D758" s="8" t="s">
        <v>839</v>
      </c>
      <c r="E758" s="8">
        <v>3</v>
      </c>
      <c r="F758" s="8">
        <v>45</v>
      </c>
      <c r="G758" s="8">
        <v>7.3</v>
      </c>
      <c r="H758" s="8">
        <v>7.3</v>
      </c>
      <c r="I758" s="8">
        <v>7.3</v>
      </c>
    </row>
    <row r="759" spans="1:9">
      <c r="A759" s="8" t="s">
        <v>830</v>
      </c>
      <c r="B759" s="8" t="str">
        <f>VLOOKUP(A759,地区!$B$1:$C$43,2,0)</f>
        <v>华北地区</v>
      </c>
      <c r="C759" s="8" t="s">
        <v>72</v>
      </c>
      <c r="D759" s="8" t="s">
        <v>840</v>
      </c>
      <c r="E759" s="8">
        <v>34</v>
      </c>
      <c r="F759" s="8">
        <v>9</v>
      </c>
      <c r="G759" s="8">
        <v>7.9</v>
      </c>
      <c r="H759" s="8">
        <v>8.1</v>
      </c>
      <c r="I759" s="8">
        <v>7.9</v>
      </c>
    </row>
    <row r="760" spans="1:9">
      <c r="A760" s="8" t="s">
        <v>830</v>
      </c>
      <c r="B760" s="8" t="str">
        <f>VLOOKUP(A760,地区!$B$1:$C$43,2,0)</f>
        <v>华北地区</v>
      </c>
      <c r="C760" s="8" t="s">
        <v>72</v>
      </c>
      <c r="D760" s="8" t="s">
        <v>841</v>
      </c>
      <c r="E760" s="8">
        <v>556</v>
      </c>
      <c r="F760" s="8">
        <v>13</v>
      </c>
      <c r="G760" s="8">
        <v>8.2</v>
      </c>
      <c r="H760" s="8">
        <v>8.1</v>
      </c>
      <c r="I760" s="8">
        <v>8.1</v>
      </c>
    </row>
    <row r="761" spans="1:9">
      <c r="A761" s="8" t="s">
        <v>830</v>
      </c>
      <c r="B761" s="8" t="str">
        <f>VLOOKUP(A761,地区!$B$1:$C$43,2,0)</f>
        <v>华北地区</v>
      </c>
      <c r="C761" s="8" t="s">
        <v>72</v>
      </c>
      <c r="D761" s="8" t="s">
        <v>842</v>
      </c>
      <c r="E761" s="8">
        <v>10</v>
      </c>
      <c r="F761" s="8">
        <v>20</v>
      </c>
      <c r="G761" s="8">
        <v>7.4</v>
      </c>
      <c r="H761" s="8">
        <v>7.4</v>
      </c>
      <c r="I761" s="8">
        <v>7.4</v>
      </c>
    </row>
    <row r="762" spans="1:9">
      <c r="A762" s="8" t="s">
        <v>830</v>
      </c>
      <c r="B762" s="8" t="str">
        <f>VLOOKUP(A762,地区!$B$1:$C$43,2,0)</f>
        <v>华北地区</v>
      </c>
      <c r="C762" s="8" t="s">
        <v>72</v>
      </c>
      <c r="D762" s="8" t="s">
        <v>843</v>
      </c>
      <c r="E762" s="8">
        <v>13</v>
      </c>
      <c r="F762" s="8">
        <v>20</v>
      </c>
      <c r="G762" s="8">
        <v>7.4</v>
      </c>
      <c r="H762" s="8">
        <v>7.3</v>
      </c>
      <c r="I762" s="8">
        <v>7.4</v>
      </c>
    </row>
    <row r="763" spans="1:9">
      <c r="A763" s="8" t="s">
        <v>830</v>
      </c>
      <c r="B763" s="8" t="str">
        <f>VLOOKUP(A763,地区!$B$1:$C$43,2,0)</f>
        <v>华北地区</v>
      </c>
      <c r="C763" s="8" t="s">
        <v>72</v>
      </c>
      <c r="D763" s="8" t="s">
        <v>844</v>
      </c>
      <c r="E763" s="8">
        <v>21</v>
      </c>
      <c r="F763" s="8">
        <v>12</v>
      </c>
      <c r="G763" s="8">
        <v>7.6</v>
      </c>
      <c r="H763" s="8">
        <v>7.5</v>
      </c>
      <c r="I763" s="8">
        <v>7.5</v>
      </c>
    </row>
    <row r="764" spans="1:9">
      <c r="A764" s="8" t="s">
        <v>830</v>
      </c>
      <c r="B764" s="8" t="str">
        <f>VLOOKUP(A764,地区!$B$1:$C$43,2,0)</f>
        <v>华北地区</v>
      </c>
      <c r="C764" s="8" t="s">
        <v>72</v>
      </c>
      <c r="D764" s="8" t="s">
        <v>845</v>
      </c>
      <c r="E764" s="8">
        <v>157</v>
      </c>
      <c r="F764" s="8">
        <v>13</v>
      </c>
      <c r="G764" s="8">
        <v>7.5</v>
      </c>
      <c r="H764" s="8">
        <v>7.6</v>
      </c>
      <c r="I764" s="8">
        <v>7.6</v>
      </c>
    </row>
    <row r="765" spans="1:9">
      <c r="A765" s="8" t="s">
        <v>830</v>
      </c>
      <c r="B765" s="8" t="str">
        <f>VLOOKUP(A765,地区!$B$1:$C$43,2,0)</f>
        <v>华北地区</v>
      </c>
      <c r="C765" s="8" t="s">
        <v>85</v>
      </c>
      <c r="D765" s="8" t="s">
        <v>846</v>
      </c>
      <c r="E765" s="8">
        <v>209</v>
      </c>
      <c r="F765" s="8">
        <v>39</v>
      </c>
      <c r="G765" s="8">
        <v>8.3</v>
      </c>
      <c r="H765" s="8">
        <v>8.6</v>
      </c>
      <c r="I765" s="8">
        <v>8.6</v>
      </c>
    </row>
    <row r="766" spans="1:9">
      <c r="A766" s="8" t="s">
        <v>830</v>
      </c>
      <c r="B766" s="8" t="str">
        <f>VLOOKUP(A766,地区!$B$1:$C$43,2,0)</f>
        <v>华北地区</v>
      </c>
      <c r="C766" s="8" t="s">
        <v>85</v>
      </c>
      <c r="D766" s="8" t="s">
        <v>847</v>
      </c>
      <c r="E766" s="8">
        <v>33</v>
      </c>
      <c r="F766" s="8">
        <v>58</v>
      </c>
      <c r="G766" s="8">
        <v>7.7</v>
      </c>
      <c r="H766" s="8">
        <v>7.7</v>
      </c>
      <c r="I766" s="8">
        <v>7.7</v>
      </c>
    </row>
    <row r="767" spans="1:9">
      <c r="A767" s="8" t="s">
        <v>830</v>
      </c>
      <c r="B767" s="8" t="str">
        <f>VLOOKUP(A767,地区!$B$1:$C$43,2,0)</f>
        <v>华北地区</v>
      </c>
      <c r="C767" s="8" t="s">
        <v>85</v>
      </c>
      <c r="D767" s="8" t="s">
        <v>848</v>
      </c>
      <c r="E767" s="8">
        <v>9</v>
      </c>
      <c r="F767" s="8">
        <v>10</v>
      </c>
      <c r="G767" s="8">
        <v>7.6</v>
      </c>
      <c r="H767" s="8">
        <v>7.7</v>
      </c>
      <c r="I767" s="8">
        <v>7.8</v>
      </c>
    </row>
    <row r="768" spans="1:9">
      <c r="A768" s="8" t="s">
        <v>830</v>
      </c>
      <c r="B768" s="8" t="str">
        <f>VLOOKUP(A768,地区!$B$1:$C$43,2,0)</f>
        <v>华北地区</v>
      </c>
      <c r="C768" s="8" t="s">
        <v>85</v>
      </c>
      <c r="D768" s="8" t="s">
        <v>849</v>
      </c>
      <c r="E768" s="8">
        <v>12</v>
      </c>
      <c r="F768" s="8">
        <v>20</v>
      </c>
      <c r="G768" s="8">
        <v>7.6</v>
      </c>
      <c r="H768" s="8">
        <v>7.6</v>
      </c>
      <c r="I768" s="8">
        <v>7.6</v>
      </c>
    </row>
    <row r="769" spans="1:9">
      <c r="A769" s="8" t="s">
        <v>830</v>
      </c>
      <c r="B769" s="8" t="str">
        <f>VLOOKUP(A769,地区!$B$1:$C$43,2,0)</f>
        <v>华北地区</v>
      </c>
      <c r="C769" s="8" t="s">
        <v>85</v>
      </c>
      <c r="D769" s="8" t="s">
        <v>850</v>
      </c>
      <c r="E769" s="8">
        <v>85</v>
      </c>
      <c r="F769" s="8">
        <v>30</v>
      </c>
      <c r="G769" s="8">
        <v>7.6</v>
      </c>
      <c r="H769" s="8">
        <v>7.5</v>
      </c>
      <c r="I769" s="8">
        <v>7.6</v>
      </c>
    </row>
    <row r="770" spans="1:9">
      <c r="A770" s="8" t="s">
        <v>830</v>
      </c>
      <c r="B770" s="8" t="str">
        <f>VLOOKUP(A770,地区!$B$1:$C$43,2,0)</f>
        <v>华北地区</v>
      </c>
      <c r="C770" s="8" t="s">
        <v>85</v>
      </c>
      <c r="D770" s="8" t="s">
        <v>851</v>
      </c>
      <c r="E770" s="8">
        <v>26</v>
      </c>
      <c r="F770" s="8">
        <v>16</v>
      </c>
      <c r="G770" s="8">
        <v>7.5</v>
      </c>
      <c r="H770" s="8">
        <v>7.5</v>
      </c>
      <c r="I770" s="8">
        <v>7.5</v>
      </c>
    </row>
    <row r="771" spans="1:9">
      <c r="A771" s="8" t="s">
        <v>830</v>
      </c>
      <c r="B771" s="8" t="str">
        <f>VLOOKUP(A771,地区!$B$1:$C$43,2,0)</f>
        <v>华北地区</v>
      </c>
      <c r="C771" s="8" t="s">
        <v>85</v>
      </c>
      <c r="D771" s="8" t="s">
        <v>852</v>
      </c>
      <c r="E771" s="8">
        <v>9</v>
      </c>
      <c r="F771" s="8">
        <v>10</v>
      </c>
      <c r="G771" s="8">
        <v>7.4</v>
      </c>
      <c r="H771" s="8">
        <v>7.4</v>
      </c>
      <c r="I771" s="8">
        <v>7.7</v>
      </c>
    </row>
    <row r="772" spans="1:9">
      <c r="A772" s="8" t="s">
        <v>830</v>
      </c>
      <c r="B772" s="8" t="str">
        <f>VLOOKUP(A772,地区!$B$1:$C$43,2,0)</f>
        <v>华北地区</v>
      </c>
      <c r="C772" s="8" t="s">
        <v>90</v>
      </c>
      <c r="D772" s="8" t="s">
        <v>853</v>
      </c>
      <c r="E772" s="8">
        <v>1</v>
      </c>
      <c r="F772" s="8">
        <v>17</v>
      </c>
      <c r="G772" s="8">
        <v>7.6</v>
      </c>
      <c r="H772" s="8">
        <v>7.6</v>
      </c>
      <c r="I772" s="8">
        <v>7.6</v>
      </c>
    </row>
    <row r="773" spans="1:9">
      <c r="A773" s="8" t="s">
        <v>830</v>
      </c>
      <c r="B773" s="8" t="str">
        <f>VLOOKUP(A773,地区!$B$1:$C$43,2,0)</f>
        <v>华北地区</v>
      </c>
      <c r="C773" s="8" t="s">
        <v>90</v>
      </c>
      <c r="D773" s="8" t="s">
        <v>854</v>
      </c>
      <c r="E773" s="8">
        <v>1</v>
      </c>
      <c r="F773" s="8">
        <v>35</v>
      </c>
      <c r="G773" s="8">
        <v>7.1</v>
      </c>
      <c r="H773" s="8">
        <v>7</v>
      </c>
      <c r="I773" s="8">
        <v>7</v>
      </c>
    </row>
    <row r="774" spans="1:9">
      <c r="A774" s="8" t="s">
        <v>830</v>
      </c>
      <c r="B774" s="8" t="str">
        <f>VLOOKUP(A774,地区!$B$1:$C$43,2,0)</f>
        <v>华北地区</v>
      </c>
      <c r="C774" s="8" t="s">
        <v>90</v>
      </c>
      <c r="D774" s="8" t="s">
        <v>855</v>
      </c>
      <c r="E774" s="8">
        <v>3</v>
      </c>
      <c r="F774" s="8">
        <v>30</v>
      </c>
      <c r="G774" s="8">
        <v>6.9</v>
      </c>
      <c r="H774" s="8">
        <v>6.9</v>
      </c>
      <c r="I774" s="8">
        <v>6.9</v>
      </c>
    </row>
    <row r="775" spans="1:9">
      <c r="A775" s="8" t="s">
        <v>856</v>
      </c>
      <c r="B775" s="8" t="str">
        <f>VLOOKUP(A775,地区!$B$1:$C$43,2,0)</f>
        <v>华东地区</v>
      </c>
      <c r="C775" s="8" t="s">
        <v>10</v>
      </c>
      <c r="D775" s="8" t="s">
        <v>857</v>
      </c>
      <c r="E775" s="8">
        <v>9</v>
      </c>
      <c r="F775" s="8">
        <v>62</v>
      </c>
      <c r="G775" s="8">
        <v>7.2</v>
      </c>
      <c r="H775" s="8">
        <v>7.2</v>
      </c>
      <c r="I775" s="8">
        <v>7.2</v>
      </c>
    </row>
    <row r="776" spans="1:9">
      <c r="A776" s="8" t="s">
        <v>856</v>
      </c>
      <c r="B776" s="8" t="str">
        <f>VLOOKUP(A776,地区!$B$1:$C$43,2,0)</f>
        <v>华东地区</v>
      </c>
      <c r="C776" s="8" t="s">
        <v>145</v>
      </c>
      <c r="D776" s="8" t="s">
        <v>858</v>
      </c>
      <c r="E776" s="8">
        <v>3</v>
      </c>
      <c r="F776" s="8">
        <v>70</v>
      </c>
      <c r="G776" s="8">
        <v>7.7</v>
      </c>
      <c r="H776" s="8">
        <v>7.2</v>
      </c>
      <c r="I776" s="8">
        <v>7.2</v>
      </c>
    </row>
    <row r="777" spans="1:9">
      <c r="A777" s="8" t="s">
        <v>856</v>
      </c>
      <c r="B777" s="8" t="str">
        <f>VLOOKUP(A777,地区!$B$1:$C$43,2,0)</f>
        <v>华东地区</v>
      </c>
      <c r="C777" s="8" t="s">
        <v>145</v>
      </c>
      <c r="D777" s="8" t="s">
        <v>859</v>
      </c>
      <c r="E777" s="8">
        <v>1</v>
      </c>
      <c r="F777" s="8">
        <v>36</v>
      </c>
      <c r="G777" s="8">
        <v>6.9</v>
      </c>
      <c r="H777" s="8">
        <v>6.9</v>
      </c>
      <c r="I777" s="8">
        <v>6.9</v>
      </c>
    </row>
    <row r="778" spans="1:9">
      <c r="A778" s="8" t="s">
        <v>856</v>
      </c>
      <c r="B778" s="8" t="str">
        <f>VLOOKUP(A778,地区!$B$1:$C$43,2,0)</f>
        <v>华东地区</v>
      </c>
      <c r="C778" s="8" t="s">
        <v>15</v>
      </c>
      <c r="D778" s="8" t="s">
        <v>860</v>
      </c>
      <c r="E778" s="8">
        <v>83</v>
      </c>
      <c r="F778" s="8">
        <v>81</v>
      </c>
      <c r="G778" s="8">
        <v>8.3</v>
      </c>
      <c r="H778" s="8">
        <v>8.7</v>
      </c>
      <c r="I778" s="8">
        <v>8.5</v>
      </c>
    </row>
    <row r="779" spans="1:9">
      <c r="A779" s="8" t="s">
        <v>856</v>
      </c>
      <c r="B779" s="8" t="str">
        <f>VLOOKUP(A779,地区!$B$1:$C$43,2,0)</f>
        <v>华东地区</v>
      </c>
      <c r="C779" s="8" t="s">
        <v>15</v>
      </c>
      <c r="D779" s="8" t="s">
        <v>861</v>
      </c>
      <c r="E779" s="8">
        <v>352</v>
      </c>
      <c r="F779" s="8">
        <v>87</v>
      </c>
      <c r="G779" s="8">
        <v>7.2</v>
      </c>
      <c r="H779" s="8">
        <v>7.5</v>
      </c>
      <c r="I779" s="8">
        <v>7.3</v>
      </c>
    </row>
    <row r="780" spans="1:9">
      <c r="A780" s="8" t="s">
        <v>856</v>
      </c>
      <c r="B780" s="8" t="str">
        <f>VLOOKUP(A780,地区!$B$1:$C$43,2,0)</f>
        <v>华东地区</v>
      </c>
      <c r="C780" s="8" t="s">
        <v>862</v>
      </c>
      <c r="D780" s="8" t="s">
        <v>863</v>
      </c>
      <c r="E780" s="8">
        <v>681</v>
      </c>
      <c r="F780" s="8">
        <v>69</v>
      </c>
      <c r="G780" s="8">
        <v>7.8</v>
      </c>
      <c r="H780" s="8">
        <v>8.6</v>
      </c>
      <c r="I780" s="8">
        <v>7.9</v>
      </c>
    </row>
    <row r="781" spans="1:9">
      <c r="A781" s="8" t="s">
        <v>856</v>
      </c>
      <c r="B781" s="8" t="str">
        <f>VLOOKUP(A781,地区!$B$1:$C$43,2,0)</f>
        <v>华东地区</v>
      </c>
      <c r="C781" s="8" t="s">
        <v>862</v>
      </c>
      <c r="D781" s="8" t="s">
        <v>864</v>
      </c>
      <c r="E781" s="8">
        <v>1637</v>
      </c>
      <c r="F781" s="8">
        <v>84</v>
      </c>
      <c r="G781" s="8">
        <v>8.5</v>
      </c>
      <c r="H781" s="8">
        <v>8.1</v>
      </c>
      <c r="I781" s="8">
        <v>7.9</v>
      </c>
    </row>
    <row r="782" spans="1:9">
      <c r="A782" s="8" t="s">
        <v>856</v>
      </c>
      <c r="B782" s="8" t="str">
        <f>VLOOKUP(A782,地区!$B$1:$C$43,2,0)</f>
        <v>华东地区</v>
      </c>
      <c r="C782" s="8" t="s">
        <v>862</v>
      </c>
      <c r="D782" s="8" t="s">
        <v>865</v>
      </c>
      <c r="E782" s="8">
        <v>333</v>
      </c>
      <c r="F782" s="8">
        <v>47</v>
      </c>
      <c r="G782" s="8">
        <v>8.1</v>
      </c>
      <c r="H782" s="8">
        <v>8</v>
      </c>
      <c r="I782" s="8">
        <v>8</v>
      </c>
    </row>
    <row r="783" spans="1:9">
      <c r="A783" s="8" t="s">
        <v>856</v>
      </c>
      <c r="B783" s="8" t="str">
        <f>VLOOKUP(A783,地区!$B$1:$C$43,2,0)</f>
        <v>华东地区</v>
      </c>
      <c r="C783" s="8" t="s">
        <v>862</v>
      </c>
      <c r="D783" s="8" t="s">
        <v>866</v>
      </c>
      <c r="E783" s="8">
        <v>183</v>
      </c>
      <c r="F783" s="8">
        <v>107</v>
      </c>
      <c r="G783" s="8">
        <v>7.7</v>
      </c>
      <c r="H783" s="8">
        <v>8.4</v>
      </c>
      <c r="I783" s="8">
        <v>7.8</v>
      </c>
    </row>
    <row r="784" spans="1:9">
      <c r="A784" s="8" t="s">
        <v>856</v>
      </c>
      <c r="B784" s="8" t="str">
        <f>VLOOKUP(A784,地区!$B$1:$C$43,2,0)</f>
        <v>华东地区</v>
      </c>
      <c r="C784" s="8" t="s">
        <v>862</v>
      </c>
      <c r="D784" s="8" t="s">
        <v>867</v>
      </c>
      <c r="E784" s="8">
        <v>66</v>
      </c>
      <c r="F784" s="8">
        <v>92</v>
      </c>
      <c r="G784" s="8">
        <v>7.7</v>
      </c>
      <c r="H784" s="8">
        <v>7.6</v>
      </c>
      <c r="I784" s="8">
        <v>7.5</v>
      </c>
    </row>
    <row r="785" spans="1:9">
      <c r="A785" s="8" t="s">
        <v>856</v>
      </c>
      <c r="B785" s="8" t="str">
        <f>VLOOKUP(A785,地区!$B$1:$C$43,2,0)</f>
        <v>华东地区</v>
      </c>
      <c r="C785" s="8" t="s">
        <v>862</v>
      </c>
      <c r="D785" s="8" t="s">
        <v>868</v>
      </c>
      <c r="E785" s="8">
        <v>119</v>
      </c>
      <c r="F785" s="8">
        <v>67</v>
      </c>
      <c r="G785" s="8">
        <v>7.8</v>
      </c>
      <c r="H785" s="8">
        <v>7.5</v>
      </c>
      <c r="I785" s="8">
        <v>7.6</v>
      </c>
    </row>
    <row r="786" spans="1:9">
      <c r="A786" s="8" t="s">
        <v>856</v>
      </c>
      <c r="B786" s="8" t="str">
        <f>VLOOKUP(A786,地区!$B$1:$C$43,2,0)</f>
        <v>华东地区</v>
      </c>
      <c r="C786" s="8" t="s">
        <v>862</v>
      </c>
      <c r="D786" s="8" t="s">
        <v>869</v>
      </c>
      <c r="E786" s="8">
        <v>295</v>
      </c>
      <c r="F786" s="8">
        <v>22</v>
      </c>
      <c r="G786" s="8">
        <v>7.8</v>
      </c>
      <c r="H786" s="8">
        <v>8.1</v>
      </c>
      <c r="I786" s="8">
        <v>8.1</v>
      </c>
    </row>
    <row r="787" spans="1:9">
      <c r="A787" s="8" t="s">
        <v>856</v>
      </c>
      <c r="B787" s="8" t="str">
        <f>VLOOKUP(A787,地区!$B$1:$C$43,2,0)</f>
        <v>华东地区</v>
      </c>
      <c r="C787" s="8" t="s">
        <v>870</v>
      </c>
      <c r="D787" s="8" t="s">
        <v>871</v>
      </c>
      <c r="E787" s="8">
        <v>20</v>
      </c>
      <c r="F787" s="8">
        <v>112</v>
      </c>
      <c r="G787" s="8">
        <v>7.4</v>
      </c>
      <c r="H787" s="8">
        <v>7.6</v>
      </c>
      <c r="I787" s="8">
        <v>7.6</v>
      </c>
    </row>
    <row r="788" spans="1:9">
      <c r="A788" s="8" t="s">
        <v>856</v>
      </c>
      <c r="B788" s="8" t="str">
        <f>VLOOKUP(A788,地区!$B$1:$C$43,2,0)</f>
        <v>华东地区</v>
      </c>
      <c r="C788" s="8" t="s">
        <v>870</v>
      </c>
      <c r="D788" s="8" t="s">
        <v>872</v>
      </c>
      <c r="E788" s="8">
        <v>417</v>
      </c>
      <c r="F788" s="8">
        <v>146</v>
      </c>
      <c r="G788" s="8">
        <v>8.4</v>
      </c>
      <c r="H788" s="8">
        <v>8.4</v>
      </c>
      <c r="I788" s="8">
        <v>8.6</v>
      </c>
    </row>
    <row r="789" spans="1:9">
      <c r="A789" s="8" t="s">
        <v>856</v>
      </c>
      <c r="B789" s="8" t="str">
        <f>VLOOKUP(A789,地区!$B$1:$C$43,2,0)</f>
        <v>华东地区</v>
      </c>
      <c r="C789" s="8" t="s">
        <v>870</v>
      </c>
      <c r="D789" s="8" t="s">
        <v>873</v>
      </c>
      <c r="E789" s="8">
        <v>205</v>
      </c>
      <c r="F789" s="8">
        <v>153</v>
      </c>
      <c r="G789" s="8">
        <v>8.5</v>
      </c>
      <c r="H789" s="8">
        <v>8.6</v>
      </c>
      <c r="I789" s="8">
        <v>8.6</v>
      </c>
    </row>
    <row r="790" spans="1:9">
      <c r="A790" s="8" t="s">
        <v>856</v>
      </c>
      <c r="B790" s="8" t="str">
        <f>VLOOKUP(A790,地区!$B$1:$C$43,2,0)</f>
        <v>华东地区</v>
      </c>
      <c r="C790" s="8" t="s">
        <v>55</v>
      </c>
      <c r="D790" s="8" t="s">
        <v>874</v>
      </c>
      <c r="E790" s="8">
        <v>35</v>
      </c>
      <c r="F790" s="8">
        <v>80</v>
      </c>
      <c r="G790" s="8">
        <v>6.7</v>
      </c>
      <c r="H790" s="8">
        <v>7.2</v>
      </c>
      <c r="I790" s="8">
        <v>6.9</v>
      </c>
    </row>
    <row r="791" spans="1:9">
      <c r="A791" s="8" t="s">
        <v>856</v>
      </c>
      <c r="B791" s="8" t="str">
        <f>VLOOKUP(A791,地区!$B$1:$C$43,2,0)</f>
        <v>华东地区</v>
      </c>
      <c r="C791" s="8" t="s">
        <v>55</v>
      </c>
      <c r="D791" s="8" t="s">
        <v>875</v>
      </c>
      <c r="E791" s="8">
        <v>3</v>
      </c>
      <c r="F791" s="8">
        <v>39</v>
      </c>
      <c r="G791" s="8">
        <v>7.3</v>
      </c>
      <c r="H791" s="8">
        <v>7.3</v>
      </c>
      <c r="I791" s="8">
        <v>7.3</v>
      </c>
    </row>
    <row r="792" spans="1:9">
      <c r="A792" s="8" t="s">
        <v>856</v>
      </c>
      <c r="B792" s="8" t="str">
        <f>VLOOKUP(A792,地区!$B$1:$C$43,2,0)</f>
        <v>华东地区</v>
      </c>
      <c r="C792" s="8" t="s">
        <v>55</v>
      </c>
      <c r="D792" s="8" t="s">
        <v>876</v>
      </c>
      <c r="E792" s="8">
        <v>3</v>
      </c>
      <c r="F792" s="8">
        <v>15</v>
      </c>
      <c r="G792" s="8">
        <v>7</v>
      </c>
      <c r="H792" s="8">
        <v>7</v>
      </c>
      <c r="I792" s="8">
        <v>7</v>
      </c>
    </row>
    <row r="793" spans="1:9">
      <c r="A793" s="8" t="s">
        <v>856</v>
      </c>
      <c r="B793" s="8" t="str">
        <f>VLOOKUP(A793,地区!$B$1:$C$43,2,0)</f>
        <v>华东地区</v>
      </c>
      <c r="C793" s="8" t="s">
        <v>45</v>
      </c>
      <c r="D793" s="8" t="s">
        <v>877</v>
      </c>
      <c r="E793" s="8">
        <v>68</v>
      </c>
      <c r="F793" s="8">
        <v>64</v>
      </c>
      <c r="G793" s="8">
        <v>7.7</v>
      </c>
      <c r="H793" s="8">
        <v>7.8</v>
      </c>
      <c r="I793" s="8">
        <v>7.6</v>
      </c>
    </row>
    <row r="794" spans="1:9">
      <c r="A794" s="8" t="s">
        <v>856</v>
      </c>
      <c r="B794" s="8" t="str">
        <f>VLOOKUP(A794,地区!$B$1:$C$43,2,0)</f>
        <v>华东地区</v>
      </c>
      <c r="C794" s="8" t="s">
        <v>45</v>
      </c>
      <c r="D794" s="8" t="s">
        <v>878</v>
      </c>
      <c r="E794" s="8">
        <v>102</v>
      </c>
      <c r="F794" s="8">
        <v>75</v>
      </c>
      <c r="G794" s="8">
        <v>7.3</v>
      </c>
      <c r="H794" s="8">
        <v>7.9</v>
      </c>
      <c r="I794" s="8">
        <v>7.7</v>
      </c>
    </row>
    <row r="795" spans="1:9">
      <c r="A795" s="8" t="s">
        <v>856</v>
      </c>
      <c r="B795" s="8" t="str">
        <f>VLOOKUP(A795,地区!$B$1:$C$43,2,0)</f>
        <v>华东地区</v>
      </c>
      <c r="C795" s="8" t="s">
        <v>52</v>
      </c>
      <c r="D795" s="8" t="s">
        <v>879</v>
      </c>
      <c r="E795" s="8">
        <v>348</v>
      </c>
      <c r="F795" s="8">
        <v>40</v>
      </c>
      <c r="G795" s="8">
        <v>8</v>
      </c>
      <c r="H795" s="8">
        <v>8</v>
      </c>
      <c r="I795" s="8">
        <v>7.9</v>
      </c>
    </row>
    <row r="796" spans="1:9">
      <c r="A796" s="8" t="s">
        <v>856</v>
      </c>
      <c r="B796" s="8" t="str">
        <f>VLOOKUP(A796,地区!$B$1:$C$43,2,0)</f>
        <v>华东地区</v>
      </c>
      <c r="C796" s="8" t="s">
        <v>52</v>
      </c>
      <c r="D796" s="8" t="s">
        <v>880</v>
      </c>
      <c r="E796" s="8">
        <v>96</v>
      </c>
      <c r="F796" s="8">
        <v>19</v>
      </c>
      <c r="G796" s="8">
        <v>7.5</v>
      </c>
      <c r="H796" s="8">
        <v>7.4</v>
      </c>
      <c r="I796" s="8">
        <v>7.4</v>
      </c>
    </row>
    <row r="797" spans="1:9">
      <c r="A797" s="8" t="s">
        <v>856</v>
      </c>
      <c r="B797" s="8" t="str">
        <f>VLOOKUP(A797,地区!$B$1:$C$43,2,0)</f>
        <v>华东地区</v>
      </c>
      <c r="C797" s="8" t="s">
        <v>52</v>
      </c>
      <c r="D797" s="8" t="s">
        <v>881</v>
      </c>
      <c r="E797" s="8">
        <v>2965</v>
      </c>
      <c r="F797" s="8">
        <v>47</v>
      </c>
      <c r="G797" s="8">
        <v>8.3</v>
      </c>
      <c r="H797" s="8">
        <v>8.1</v>
      </c>
      <c r="I797" s="8">
        <v>7.8</v>
      </c>
    </row>
    <row r="798" spans="1:9">
      <c r="A798" s="8" t="s">
        <v>856</v>
      </c>
      <c r="B798" s="8" t="str">
        <f>VLOOKUP(A798,地区!$B$1:$C$43,2,0)</f>
        <v>华东地区</v>
      </c>
      <c r="C798" s="8" t="s">
        <v>52</v>
      </c>
      <c r="D798" s="8" t="s">
        <v>882</v>
      </c>
      <c r="E798" s="8">
        <v>33</v>
      </c>
      <c r="F798" s="8">
        <v>13</v>
      </c>
      <c r="G798" s="8">
        <v>6.8</v>
      </c>
      <c r="H798" s="8">
        <v>6.8</v>
      </c>
      <c r="I798" s="8">
        <v>6.5</v>
      </c>
    </row>
    <row r="799" spans="1:9">
      <c r="A799" s="8" t="s">
        <v>883</v>
      </c>
      <c r="B799" s="8" t="str">
        <f>VLOOKUP(A799,地区!$B$1:$C$43,2,0)</f>
        <v>华北地区</v>
      </c>
      <c r="C799" s="8" t="s">
        <v>397</v>
      </c>
      <c r="D799" s="8" t="s">
        <v>884</v>
      </c>
      <c r="E799" s="8">
        <v>4</v>
      </c>
      <c r="F799" s="8">
        <v>30</v>
      </c>
      <c r="G799" s="8">
        <v>7.1</v>
      </c>
      <c r="H799" s="8">
        <v>7.3</v>
      </c>
      <c r="I799" s="8">
        <v>7.5</v>
      </c>
    </row>
    <row r="800" spans="1:9">
      <c r="A800" s="8" t="s">
        <v>883</v>
      </c>
      <c r="B800" s="8" t="str">
        <f>VLOOKUP(A800,地区!$B$1:$C$43,2,0)</f>
        <v>华北地区</v>
      </c>
      <c r="C800" s="8" t="s">
        <v>52</v>
      </c>
      <c r="D800" s="8" t="s">
        <v>885</v>
      </c>
      <c r="E800" s="8">
        <v>38</v>
      </c>
      <c r="F800" s="8">
        <v>12</v>
      </c>
      <c r="G800" s="8">
        <v>7.1</v>
      </c>
      <c r="H800" s="8">
        <v>7.2</v>
      </c>
      <c r="I800" s="8">
        <v>7</v>
      </c>
    </row>
    <row r="801" spans="1:9">
      <c r="A801" s="8" t="s">
        <v>883</v>
      </c>
      <c r="B801" s="8" t="str">
        <f>VLOOKUP(A801,地区!$B$1:$C$43,2,0)</f>
        <v>华北地区</v>
      </c>
      <c r="C801" s="8" t="s">
        <v>751</v>
      </c>
      <c r="D801" s="8" t="s">
        <v>886</v>
      </c>
      <c r="E801" s="8">
        <v>6</v>
      </c>
      <c r="F801" s="8">
        <v>30</v>
      </c>
      <c r="G801" s="8">
        <v>7.1</v>
      </c>
      <c r="H801" s="8">
        <v>7.2</v>
      </c>
      <c r="I801" s="8">
        <v>7.2</v>
      </c>
    </row>
    <row r="802" spans="1:9">
      <c r="A802" s="8" t="s">
        <v>883</v>
      </c>
      <c r="B802" s="8" t="str">
        <f>VLOOKUP(A802,地区!$B$1:$C$43,2,0)</f>
        <v>华北地区</v>
      </c>
      <c r="C802" s="8" t="s">
        <v>15</v>
      </c>
      <c r="D802" s="8" t="s">
        <v>887</v>
      </c>
      <c r="E802" s="8">
        <v>111</v>
      </c>
      <c r="F802" s="8">
        <v>55</v>
      </c>
      <c r="G802" s="8">
        <v>7.2</v>
      </c>
      <c r="H802" s="8">
        <v>7.2</v>
      </c>
      <c r="I802" s="8">
        <v>7</v>
      </c>
    </row>
    <row r="803" spans="1:9">
      <c r="A803" s="8" t="s">
        <v>883</v>
      </c>
      <c r="B803" s="8" t="str">
        <f>VLOOKUP(A803,地区!$B$1:$C$43,2,0)</f>
        <v>华北地区</v>
      </c>
      <c r="C803" s="8" t="s">
        <v>59</v>
      </c>
      <c r="D803" s="8" t="s">
        <v>888</v>
      </c>
      <c r="E803" s="8">
        <v>7</v>
      </c>
      <c r="F803" s="8">
        <v>62</v>
      </c>
      <c r="G803" s="8">
        <v>7.6</v>
      </c>
      <c r="H803" s="8">
        <v>7.6</v>
      </c>
      <c r="I803" s="8">
        <v>7.6</v>
      </c>
    </row>
    <row r="804" spans="1:9">
      <c r="A804" s="8" t="s">
        <v>883</v>
      </c>
      <c r="B804" s="8" t="str">
        <f>VLOOKUP(A804,地区!$B$1:$C$43,2,0)</f>
        <v>华北地区</v>
      </c>
      <c r="C804" s="8" t="s">
        <v>72</v>
      </c>
      <c r="D804" s="8" t="s">
        <v>889</v>
      </c>
      <c r="E804" s="8">
        <v>15</v>
      </c>
      <c r="F804" s="8">
        <v>26</v>
      </c>
      <c r="G804" s="8">
        <v>7.5</v>
      </c>
      <c r="H804" s="8">
        <v>7.5</v>
      </c>
      <c r="I804" s="8">
        <v>7.5</v>
      </c>
    </row>
    <row r="805" spans="1:9">
      <c r="A805" s="8" t="s">
        <v>883</v>
      </c>
      <c r="B805" s="8" t="str">
        <f>VLOOKUP(A805,地区!$B$1:$C$43,2,0)</f>
        <v>华北地区</v>
      </c>
      <c r="C805" s="8" t="s">
        <v>72</v>
      </c>
      <c r="D805" s="8" t="s">
        <v>890</v>
      </c>
      <c r="E805" s="8">
        <v>13</v>
      </c>
      <c r="F805" s="8">
        <v>6</v>
      </c>
      <c r="G805" s="8">
        <v>7.9</v>
      </c>
      <c r="H805" s="8">
        <v>7.6</v>
      </c>
      <c r="I805" s="8">
        <v>7.8</v>
      </c>
    </row>
    <row r="806" spans="1:9">
      <c r="A806" s="8" t="s">
        <v>883</v>
      </c>
      <c r="B806" s="8" t="str">
        <f>VLOOKUP(A806,地区!$B$1:$C$43,2,0)</f>
        <v>华北地区</v>
      </c>
      <c r="C806" s="8" t="s">
        <v>59</v>
      </c>
      <c r="D806" s="8" t="s">
        <v>891</v>
      </c>
      <c r="E806" s="8">
        <v>48</v>
      </c>
      <c r="F806" s="8">
        <v>53</v>
      </c>
      <c r="G806" s="8">
        <v>7.3</v>
      </c>
      <c r="H806" s="8">
        <v>7.3</v>
      </c>
      <c r="I806" s="8">
        <v>7.2</v>
      </c>
    </row>
    <row r="807" spans="1:9">
      <c r="A807" s="8" t="s">
        <v>883</v>
      </c>
      <c r="B807" s="8" t="str">
        <f>VLOOKUP(A807,地区!$B$1:$C$43,2,0)</f>
        <v>华北地区</v>
      </c>
      <c r="C807" s="8" t="s">
        <v>59</v>
      </c>
      <c r="D807" s="8" t="s">
        <v>892</v>
      </c>
      <c r="E807" s="8">
        <v>9</v>
      </c>
      <c r="F807" s="8">
        <v>45</v>
      </c>
      <c r="G807" s="8">
        <v>7</v>
      </c>
      <c r="H807" s="8">
        <v>6.9</v>
      </c>
      <c r="I807" s="8">
        <v>6.9</v>
      </c>
    </row>
    <row r="808" spans="1:9">
      <c r="A808" s="8" t="s">
        <v>883</v>
      </c>
      <c r="B808" s="8" t="str">
        <f>VLOOKUP(A808,地区!$B$1:$C$43,2,0)</f>
        <v>华北地区</v>
      </c>
      <c r="C808" s="8" t="s">
        <v>72</v>
      </c>
      <c r="D808" s="8" t="s">
        <v>893</v>
      </c>
      <c r="E808" s="8">
        <v>41</v>
      </c>
      <c r="F808" s="8">
        <v>18</v>
      </c>
      <c r="G808" s="8">
        <v>8.3</v>
      </c>
      <c r="H808" s="8">
        <v>8.4</v>
      </c>
      <c r="I808" s="8">
        <v>8.4</v>
      </c>
    </row>
    <row r="809" spans="1:9">
      <c r="A809" s="8" t="s">
        <v>883</v>
      </c>
      <c r="B809" s="8" t="str">
        <f>VLOOKUP(A809,地区!$B$1:$C$43,2,0)</f>
        <v>华北地区</v>
      </c>
      <c r="C809" s="8" t="s">
        <v>59</v>
      </c>
      <c r="D809" s="8" t="s">
        <v>894</v>
      </c>
      <c r="E809" s="8">
        <v>27</v>
      </c>
      <c r="F809" s="8">
        <v>24</v>
      </c>
      <c r="G809" s="8">
        <v>7.2</v>
      </c>
      <c r="H809" s="8">
        <v>7.4</v>
      </c>
      <c r="I809" s="8">
        <v>6.8</v>
      </c>
    </row>
    <row r="810" spans="1:9">
      <c r="A810" s="8" t="s">
        <v>883</v>
      </c>
      <c r="B810" s="8" t="str">
        <f>VLOOKUP(A810,地区!$B$1:$C$43,2,0)</f>
        <v>华北地区</v>
      </c>
      <c r="C810" s="8" t="s">
        <v>72</v>
      </c>
      <c r="D810" s="8" t="s">
        <v>895</v>
      </c>
      <c r="E810" s="8">
        <v>50</v>
      </c>
      <c r="F810" s="8">
        <v>29</v>
      </c>
      <c r="G810" s="8">
        <v>7.3</v>
      </c>
      <c r="H810" s="8">
        <v>7.3</v>
      </c>
      <c r="I810" s="8">
        <v>7.2</v>
      </c>
    </row>
    <row r="811" spans="1:9">
      <c r="A811" s="8" t="s">
        <v>883</v>
      </c>
      <c r="B811" s="8" t="str">
        <f>VLOOKUP(A811,地区!$B$1:$C$43,2,0)</f>
        <v>华北地区</v>
      </c>
      <c r="C811" s="8" t="s">
        <v>233</v>
      </c>
      <c r="D811" s="8" t="s">
        <v>896</v>
      </c>
      <c r="E811" s="8">
        <v>44</v>
      </c>
      <c r="F811" s="8">
        <v>51</v>
      </c>
      <c r="G811" s="8">
        <v>7.1</v>
      </c>
      <c r="H811" s="8">
        <v>7.5</v>
      </c>
      <c r="I811" s="8">
        <v>7.5</v>
      </c>
    </row>
    <row r="812" spans="1:9">
      <c r="A812" s="8" t="s">
        <v>883</v>
      </c>
      <c r="B812" s="8" t="str">
        <f>VLOOKUP(A812,地区!$B$1:$C$43,2,0)</f>
        <v>华北地区</v>
      </c>
      <c r="C812" s="8" t="s">
        <v>72</v>
      </c>
      <c r="D812" s="8" t="s">
        <v>897</v>
      </c>
      <c r="E812" s="8">
        <v>144</v>
      </c>
      <c r="F812" s="8">
        <v>15</v>
      </c>
      <c r="G812" s="8">
        <v>7.6</v>
      </c>
      <c r="H812" s="8">
        <v>7.5</v>
      </c>
      <c r="I812" s="8">
        <v>7.5</v>
      </c>
    </row>
    <row r="813" spans="1:9">
      <c r="A813" s="8" t="s">
        <v>883</v>
      </c>
      <c r="B813" s="8" t="str">
        <f>VLOOKUP(A813,地区!$B$1:$C$43,2,0)</f>
        <v>华北地区</v>
      </c>
      <c r="C813" s="8" t="s">
        <v>79</v>
      </c>
      <c r="D813" s="8" t="s">
        <v>898</v>
      </c>
      <c r="E813" s="8">
        <v>291</v>
      </c>
      <c r="F813" s="8">
        <v>61</v>
      </c>
      <c r="G813" s="8">
        <v>8</v>
      </c>
      <c r="H813" s="8">
        <v>8.5</v>
      </c>
      <c r="I813" s="8">
        <v>8.1</v>
      </c>
    </row>
    <row r="814" spans="1:9">
      <c r="A814" s="8" t="s">
        <v>883</v>
      </c>
      <c r="B814" s="8" t="str">
        <f>VLOOKUP(A814,地区!$B$1:$C$43,2,0)</f>
        <v>华北地区</v>
      </c>
      <c r="C814" s="8" t="s">
        <v>85</v>
      </c>
      <c r="D814" s="8" t="s">
        <v>899</v>
      </c>
      <c r="E814" s="8">
        <v>7</v>
      </c>
      <c r="F814" s="8">
        <v>11</v>
      </c>
      <c r="G814" s="8">
        <v>7.6</v>
      </c>
      <c r="H814" s="8">
        <v>7.6</v>
      </c>
      <c r="I814" s="8">
        <v>7.6</v>
      </c>
    </row>
    <row r="815" spans="1:9">
      <c r="A815" s="8" t="s">
        <v>883</v>
      </c>
      <c r="B815" s="8" t="str">
        <f>VLOOKUP(A815,地区!$B$1:$C$43,2,0)</f>
        <v>华北地区</v>
      </c>
      <c r="C815" s="8" t="s">
        <v>85</v>
      </c>
      <c r="D815" s="8" t="s">
        <v>900</v>
      </c>
      <c r="E815" s="8">
        <v>24</v>
      </c>
      <c r="F815" s="8">
        <v>13</v>
      </c>
      <c r="G815" s="8">
        <v>7.3</v>
      </c>
      <c r="H815" s="8">
        <v>7.3</v>
      </c>
      <c r="I815" s="8">
        <v>7.4</v>
      </c>
    </row>
    <row r="816" spans="1:9">
      <c r="A816" s="8" t="s">
        <v>883</v>
      </c>
      <c r="B816" s="8" t="str">
        <f>VLOOKUP(A816,地区!$B$1:$C$43,2,0)</f>
        <v>华北地区</v>
      </c>
      <c r="C816" s="8" t="s">
        <v>85</v>
      </c>
      <c r="D816" s="8" t="s">
        <v>901</v>
      </c>
      <c r="E816" s="8">
        <v>4</v>
      </c>
      <c r="F816" s="8">
        <v>20</v>
      </c>
      <c r="G816" s="8">
        <v>7.2</v>
      </c>
      <c r="H816" s="8">
        <v>7.2</v>
      </c>
      <c r="I816" s="8">
        <v>7.2</v>
      </c>
    </row>
    <row r="817" spans="1:9">
      <c r="A817" s="8" t="s">
        <v>883</v>
      </c>
      <c r="B817" s="8" t="str">
        <f>VLOOKUP(A817,地区!$B$1:$C$43,2,0)</f>
        <v>华北地区</v>
      </c>
      <c r="C817" s="8" t="s">
        <v>85</v>
      </c>
      <c r="D817" s="8" t="s">
        <v>902</v>
      </c>
      <c r="E817" s="8">
        <v>5</v>
      </c>
      <c r="F817" s="8">
        <v>21</v>
      </c>
      <c r="G817" s="8">
        <v>7.1</v>
      </c>
      <c r="H817" s="8">
        <v>7.1</v>
      </c>
      <c r="I817" s="8">
        <v>7</v>
      </c>
    </row>
    <row r="818" spans="1:9">
      <c r="A818" s="8" t="s">
        <v>883</v>
      </c>
      <c r="B818" s="8" t="str">
        <f>VLOOKUP(A818,地区!$B$1:$C$43,2,0)</f>
        <v>华北地区</v>
      </c>
      <c r="C818" s="8" t="s">
        <v>85</v>
      </c>
      <c r="D818" s="8" t="s">
        <v>903</v>
      </c>
      <c r="E818" s="8">
        <v>3</v>
      </c>
      <c r="F818" s="8">
        <v>24</v>
      </c>
      <c r="G818" s="8">
        <v>7.1</v>
      </c>
      <c r="H818" s="8">
        <v>7.2</v>
      </c>
      <c r="I818" s="8">
        <v>7.4</v>
      </c>
    </row>
    <row r="819" spans="1:9">
      <c r="A819" s="8" t="s">
        <v>883</v>
      </c>
      <c r="B819" s="8" t="str">
        <f>VLOOKUP(A819,地区!$B$1:$C$43,2,0)</f>
        <v>华北地区</v>
      </c>
      <c r="C819" s="8" t="s">
        <v>271</v>
      </c>
      <c r="D819" s="8" t="s">
        <v>904</v>
      </c>
      <c r="E819" s="8">
        <v>16</v>
      </c>
      <c r="F819" s="8">
        <v>40</v>
      </c>
      <c r="G819" s="8">
        <v>7.1</v>
      </c>
      <c r="H819" s="8">
        <v>7.1</v>
      </c>
      <c r="I819" s="8">
        <v>7</v>
      </c>
    </row>
    <row r="820" spans="1:9">
      <c r="A820" s="8" t="s">
        <v>883</v>
      </c>
      <c r="B820" s="8" t="str">
        <f>VLOOKUP(A820,地区!$B$1:$C$43,2,0)</f>
        <v>华北地区</v>
      </c>
      <c r="C820" s="8" t="s">
        <v>271</v>
      </c>
      <c r="D820" s="8" t="s">
        <v>905</v>
      </c>
      <c r="E820" s="8">
        <v>181</v>
      </c>
      <c r="F820" s="8">
        <v>55</v>
      </c>
      <c r="G820" s="8">
        <v>7.5</v>
      </c>
      <c r="H820" s="8">
        <v>7.2</v>
      </c>
      <c r="I820" s="8">
        <v>7.2</v>
      </c>
    </row>
    <row r="821" spans="1:9">
      <c r="A821" s="8" t="s">
        <v>883</v>
      </c>
      <c r="B821" s="8" t="str">
        <f>VLOOKUP(A821,地区!$B$1:$C$43,2,0)</f>
        <v>华北地区</v>
      </c>
      <c r="C821" s="8" t="s">
        <v>104</v>
      </c>
      <c r="D821" s="8" t="s">
        <v>906</v>
      </c>
      <c r="E821" s="8">
        <v>5</v>
      </c>
      <c r="F821" s="8">
        <v>67</v>
      </c>
      <c r="G821" s="8">
        <v>7.5</v>
      </c>
      <c r="H821" s="8">
        <v>7.2</v>
      </c>
      <c r="I821" s="8">
        <v>7.2</v>
      </c>
    </row>
    <row r="822" spans="1:9">
      <c r="A822" s="8" t="s">
        <v>883</v>
      </c>
      <c r="B822" s="8" t="str">
        <f>VLOOKUP(A822,地区!$B$1:$C$43,2,0)</f>
        <v>华北地区</v>
      </c>
      <c r="C822" s="8" t="s">
        <v>104</v>
      </c>
      <c r="D822" s="8" t="s">
        <v>907</v>
      </c>
      <c r="E822" s="8">
        <v>3</v>
      </c>
      <c r="F822" s="8">
        <v>35</v>
      </c>
      <c r="G822" s="8">
        <v>7.2</v>
      </c>
      <c r="H822" s="8">
        <v>7.2</v>
      </c>
      <c r="I822" s="8">
        <v>7.2</v>
      </c>
    </row>
    <row r="823" spans="1:9">
      <c r="A823" s="8" t="s">
        <v>883</v>
      </c>
      <c r="B823" s="8" t="str">
        <f>VLOOKUP(A823,地区!$B$1:$C$43,2,0)</f>
        <v>华北地区</v>
      </c>
      <c r="C823" s="8" t="s">
        <v>90</v>
      </c>
      <c r="D823" s="8" t="s">
        <v>908</v>
      </c>
      <c r="E823" s="8">
        <v>51</v>
      </c>
      <c r="F823" s="8">
        <v>29</v>
      </c>
      <c r="G823" s="8">
        <v>7.4</v>
      </c>
      <c r="H823" s="8">
        <v>7.9</v>
      </c>
      <c r="I823" s="8">
        <v>7.4</v>
      </c>
    </row>
    <row r="824" spans="1:9">
      <c r="A824" s="8" t="s">
        <v>883</v>
      </c>
      <c r="B824" s="8" t="str">
        <f>VLOOKUP(A824,地区!$B$1:$C$43,2,0)</f>
        <v>华北地区</v>
      </c>
      <c r="C824" s="8" t="s">
        <v>90</v>
      </c>
      <c r="D824" s="8" t="s">
        <v>909</v>
      </c>
      <c r="E824" s="8">
        <v>2</v>
      </c>
      <c r="F824" s="8">
        <v>40</v>
      </c>
      <c r="G824" s="8">
        <v>7</v>
      </c>
      <c r="H824" s="8">
        <v>7</v>
      </c>
      <c r="I824" s="8">
        <v>7</v>
      </c>
    </row>
    <row r="825" spans="1:9">
      <c r="A825" s="8" t="s">
        <v>910</v>
      </c>
      <c r="B825" s="8" t="str">
        <f>VLOOKUP(A825,地区!$B$1:$C$43,2,0)</f>
        <v>华北地区</v>
      </c>
      <c r="C825" s="8" t="s">
        <v>104</v>
      </c>
      <c r="D825" s="8" t="s">
        <v>911</v>
      </c>
      <c r="E825" s="8">
        <v>18</v>
      </c>
      <c r="F825" s="8">
        <v>41</v>
      </c>
      <c r="G825" s="8">
        <v>7.7</v>
      </c>
      <c r="H825" s="8">
        <v>8.1</v>
      </c>
      <c r="I825" s="8">
        <v>7.6</v>
      </c>
    </row>
    <row r="826" spans="1:9">
      <c r="A826" s="8" t="s">
        <v>910</v>
      </c>
      <c r="B826" s="8" t="str">
        <f>VLOOKUP(A826,地区!$B$1:$C$43,2,0)</f>
        <v>华北地区</v>
      </c>
      <c r="C826" s="8" t="s">
        <v>104</v>
      </c>
      <c r="D826" s="8" t="s">
        <v>912</v>
      </c>
      <c r="E826" s="8">
        <v>3</v>
      </c>
      <c r="F826" s="8">
        <v>73</v>
      </c>
      <c r="G826" s="8">
        <v>7.2</v>
      </c>
      <c r="H826" s="8">
        <v>7.4</v>
      </c>
      <c r="I826" s="8">
        <v>7.4</v>
      </c>
    </row>
    <row r="827" spans="1:9">
      <c r="A827" s="8" t="s">
        <v>910</v>
      </c>
      <c r="B827" s="8" t="str">
        <f>VLOOKUP(A827,地区!$B$1:$C$43,2,0)</f>
        <v>华北地区</v>
      </c>
      <c r="C827" s="8" t="s">
        <v>124</v>
      </c>
      <c r="D827" s="8" t="s">
        <v>913</v>
      </c>
      <c r="E827" s="8">
        <v>196</v>
      </c>
      <c r="F827" s="8">
        <v>115</v>
      </c>
      <c r="G827" s="8">
        <v>6.7</v>
      </c>
      <c r="H827" s="8">
        <v>7.2</v>
      </c>
      <c r="I827" s="8">
        <v>7.3</v>
      </c>
    </row>
    <row r="828" spans="1:9">
      <c r="A828" s="8" t="s">
        <v>910</v>
      </c>
      <c r="B828" s="8" t="str">
        <f>VLOOKUP(A828,地区!$B$1:$C$43,2,0)</f>
        <v>华北地区</v>
      </c>
      <c r="C828" s="8" t="s">
        <v>85</v>
      </c>
      <c r="D828" s="8" t="s">
        <v>914</v>
      </c>
      <c r="E828" s="8">
        <v>363</v>
      </c>
      <c r="F828" s="8">
        <v>11</v>
      </c>
      <c r="G828" s="8">
        <v>8.5</v>
      </c>
      <c r="H828" s="8">
        <v>8.7</v>
      </c>
      <c r="I828" s="8">
        <v>8.3</v>
      </c>
    </row>
    <row r="829" spans="1:9">
      <c r="A829" s="8" t="s">
        <v>910</v>
      </c>
      <c r="B829" s="8" t="str">
        <f>VLOOKUP(A829,地区!$B$1:$C$43,2,0)</f>
        <v>华北地区</v>
      </c>
      <c r="C829" s="8" t="s">
        <v>85</v>
      </c>
      <c r="D829" s="8" t="s">
        <v>915</v>
      </c>
      <c r="E829" s="8">
        <v>591</v>
      </c>
      <c r="F829" s="8">
        <v>44</v>
      </c>
      <c r="G829" s="8">
        <v>8.7</v>
      </c>
      <c r="H829" s="8">
        <v>8.7</v>
      </c>
      <c r="I829" s="8">
        <v>8.4</v>
      </c>
    </row>
    <row r="830" spans="1:9">
      <c r="A830" s="8" t="s">
        <v>910</v>
      </c>
      <c r="B830" s="8" t="str">
        <f>VLOOKUP(A830,地区!$B$1:$C$43,2,0)</f>
        <v>华北地区</v>
      </c>
      <c r="C830" s="8" t="s">
        <v>85</v>
      </c>
      <c r="D830" s="8" t="s">
        <v>916</v>
      </c>
      <c r="E830" s="8">
        <v>39</v>
      </c>
      <c r="F830" s="8">
        <v>29</v>
      </c>
      <c r="G830" s="8">
        <v>8.3</v>
      </c>
      <c r="H830" s="8">
        <v>8.2</v>
      </c>
      <c r="I830" s="8">
        <v>7.9</v>
      </c>
    </row>
    <row r="831" spans="1:9">
      <c r="A831" s="8" t="s">
        <v>910</v>
      </c>
      <c r="B831" s="8" t="str">
        <f>VLOOKUP(A831,地区!$B$1:$C$43,2,0)</f>
        <v>华北地区</v>
      </c>
      <c r="C831" s="8" t="s">
        <v>85</v>
      </c>
      <c r="D831" s="8" t="s">
        <v>917</v>
      </c>
      <c r="E831" s="8">
        <v>67</v>
      </c>
      <c r="F831" s="8">
        <v>202</v>
      </c>
      <c r="G831" s="8">
        <v>9.1</v>
      </c>
      <c r="H831" s="8">
        <v>9.2</v>
      </c>
      <c r="I831" s="8">
        <v>9.2</v>
      </c>
    </row>
    <row r="832" spans="1:9">
      <c r="A832" s="8" t="s">
        <v>910</v>
      </c>
      <c r="B832" s="8" t="str">
        <f>VLOOKUP(A832,地区!$B$1:$C$43,2,0)</f>
        <v>华北地区</v>
      </c>
      <c r="C832" s="8" t="s">
        <v>85</v>
      </c>
      <c r="D832" s="8" t="s">
        <v>918</v>
      </c>
      <c r="E832" s="8">
        <v>133</v>
      </c>
      <c r="F832" s="8">
        <v>40</v>
      </c>
      <c r="G832" s="8">
        <v>8.8</v>
      </c>
      <c r="H832" s="8">
        <v>8.9</v>
      </c>
      <c r="I832" s="8">
        <v>8.7</v>
      </c>
    </row>
    <row r="833" spans="1:9">
      <c r="A833" s="8" t="s">
        <v>910</v>
      </c>
      <c r="B833" s="8" t="str">
        <f>VLOOKUP(A833,地区!$B$1:$C$43,2,0)</f>
        <v>华北地区</v>
      </c>
      <c r="C833" s="8" t="s">
        <v>85</v>
      </c>
      <c r="D833" s="8" t="s">
        <v>919</v>
      </c>
      <c r="E833" s="8">
        <v>569</v>
      </c>
      <c r="F833" s="8">
        <v>14</v>
      </c>
      <c r="G833" s="8">
        <v>8.7</v>
      </c>
      <c r="H833" s="8">
        <v>8</v>
      </c>
      <c r="I833" s="8">
        <v>8.5</v>
      </c>
    </row>
    <row r="834" spans="1:9">
      <c r="A834" s="8" t="s">
        <v>910</v>
      </c>
      <c r="B834" s="8" t="str">
        <f>VLOOKUP(A834,地区!$B$1:$C$43,2,0)</f>
        <v>华北地区</v>
      </c>
      <c r="C834" s="8" t="s">
        <v>920</v>
      </c>
      <c r="D834" s="8" t="s">
        <v>921</v>
      </c>
      <c r="E834" s="8">
        <v>13</v>
      </c>
      <c r="F834" s="8">
        <v>39</v>
      </c>
      <c r="G834" s="8">
        <v>6.8</v>
      </c>
      <c r="H834" s="8">
        <v>6.7</v>
      </c>
      <c r="I834" s="8">
        <v>6.6</v>
      </c>
    </row>
    <row r="835" spans="1:9">
      <c r="A835" s="8" t="s">
        <v>910</v>
      </c>
      <c r="B835" s="8" t="str">
        <f>VLOOKUP(A835,地区!$B$1:$C$43,2,0)</f>
        <v>华北地区</v>
      </c>
      <c r="C835" s="8" t="s">
        <v>33</v>
      </c>
      <c r="D835" s="8" t="s">
        <v>922</v>
      </c>
      <c r="E835" s="8">
        <v>42</v>
      </c>
      <c r="F835" s="8">
        <v>27</v>
      </c>
      <c r="G835" s="8">
        <v>8.5</v>
      </c>
      <c r="H835" s="8">
        <v>8.9</v>
      </c>
      <c r="I835" s="8">
        <v>8.9</v>
      </c>
    </row>
    <row r="836" spans="1:9">
      <c r="A836" s="8" t="s">
        <v>910</v>
      </c>
      <c r="B836" s="8" t="str">
        <f>VLOOKUP(A836,地区!$B$1:$C$43,2,0)</f>
        <v>华北地区</v>
      </c>
      <c r="C836" s="8" t="s">
        <v>33</v>
      </c>
      <c r="D836" s="8" t="s">
        <v>923</v>
      </c>
      <c r="E836" s="8">
        <v>30</v>
      </c>
      <c r="F836" s="8">
        <v>35</v>
      </c>
      <c r="G836" s="8">
        <v>7.3</v>
      </c>
      <c r="H836" s="8">
        <v>7.3</v>
      </c>
      <c r="I836" s="8">
        <v>7.3</v>
      </c>
    </row>
    <row r="837" spans="1:9">
      <c r="A837" s="8" t="s">
        <v>910</v>
      </c>
      <c r="B837" s="8" t="str">
        <f>VLOOKUP(A837,地区!$B$1:$C$43,2,0)</f>
        <v>华北地区</v>
      </c>
      <c r="C837" s="8" t="s">
        <v>33</v>
      </c>
      <c r="D837" s="8" t="s">
        <v>924</v>
      </c>
      <c r="E837" s="8">
        <v>4</v>
      </c>
      <c r="F837" s="8">
        <v>40</v>
      </c>
      <c r="G837" s="8">
        <v>7.2</v>
      </c>
      <c r="H837" s="8">
        <v>7.7</v>
      </c>
      <c r="I837" s="8">
        <v>7.6</v>
      </c>
    </row>
    <row r="838" spans="1:9">
      <c r="A838" s="8" t="s">
        <v>910</v>
      </c>
      <c r="B838" s="8" t="str">
        <f>VLOOKUP(A838,地区!$B$1:$C$43,2,0)</f>
        <v>华北地区</v>
      </c>
      <c r="C838" s="8" t="s">
        <v>33</v>
      </c>
      <c r="D838" s="8" t="s">
        <v>925</v>
      </c>
      <c r="E838" s="8">
        <v>6</v>
      </c>
      <c r="F838" s="8">
        <v>27</v>
      </c>
      <c r="G838" s="8">
        <v>7.4</v>
      </c>
      <c r="H838" s="8">
        <v>7.4</v>
      </c>
      <c r="I838" s="8">
        <v>7.5</v>
      </c>
    </row>
    <row r="839" spans="1:9">
      <c r="A839" s="8" t="s">
        <v>910</v>
      </c>
      <c r="B839" s="8" t="str">
        <f>VLOOKUP(A839,地区!$B$1:$C$43,2,0)</f>
        <v>华北地区</v>
      </c>
      <c r="C839" s="8" t="s">
        <v>33</v>
      </c>
      <c r="D839" s="8" t="s">
        <v>926</v>
      </c>
      <c r="E839" s="8">
        <v>14</v>
      </c>
      <c r="F839" s="8">
        <v>26</v>
      </c>
      <c r="G839" s="8">
        <v>7.3</v>
      </c>
      <c r="H839" s="8">
        <v>7.3</v>
      </c>
      <c r="I839" s="8">
        <v>7.3</v>
      </c>
    </row>
    <row r="840" spans="1:9">
      <c r="A840" s="8" t="s">
        <v>910</v>
      </c>
      <c r="B840" s="8" t="str">
        <f>VLOOKUP(A840,地区!$B$1:$C$43,2,0)</f>
        <v>华北地区</v>
      </c>
      <c r="C840" s="8" t="s">
        <v>59</v>
      </c>
      <c r="D840" s="8" t="s">
        <v>927</v>
      </c>
      <c r="E840" s="8">
        <v>7691</v>
      </c>
      <c r="F840" s="8">
        <v>81</v>
      </c>
      <c r="G840" s="8">
        <v>9.2</v>
      </c>
      <c r="H840" s="8">
        <v>8.8</v>
      </c>
      <c r="I840" s="8">
        <v>9</v>
      </c>
    </row>
    <row r="841" spans="1:9">
      <c r="A841" s="8" t="s">
        <v>910</v>
      </c>
      <c r="B841" s="8" t="str">
        <f>VLOOKUP(A841,地区!$B$1:$C$43,2,0)</f>
        <v>华北地区</v>
      </c>
      <c r="C841" s="8" t="s">
        <v>59</v>
      </c>
      <c r="D841" s="8" t="s">
        <v>928</v>
      </c>
      <c r="E841" s="8">
        <v>502</v>
      </c>
      <c r="F841" s="8">
        <v>83</v>
      </c>
      <c r="G841" s="8">
        <v>9.1</v>
      </c>
      <c r="H841" s="8">
        <v>9.2</v>
      </c>
      <c r="I841" s="8">
        <v>9.1</v>
      </c>
    </row>
    <row r="842" spans="1:9">
      <c r="A842" s="8" t="s">
        <v>910</v>
      </c>
      <c r="B842" s="8" t="str">
        <f>VLOOKUP(A842,地区!$B$1:$C$43,2,0)</f>
        <v>华北地区</v>
      </c>
      <c r="C842" s="8" t="s">
        <v>59</v>
      </c>
      <c r="D842" s="8" t="s">
        <v>929</v>
      </c>
      <c r="E842" s="8">
        <v>46</v>
      </c>
      <c r="F842" s="8">
        <v>86</v>
      </c>
      <c r="G842" s="8">
        <v>7.7</v>
      </c>
      <c r="H842" s="8">
        <v>7.6</v>
      </c>
      <c r="I842" s="8">
        <v>7.6</v>
      </c>
    </row>
    <row r="843" spans="1:9">
      <c r="A843" s="8" t="s">
        <v>910</v>
      </c>
      <c r="B843" s="8" t="str">
        <f>VLOOKUP(A843,地区!$B$1:$C$43,2,0)</f>
        <v>华北地区</v>
      </c>
      <c r="C843" s="8" t="s">
        <v>59</v>
      </c>
      <c r="D843" s="8" t="s">
        <v>930</v>
      </c>
      <c r="E843" s="8">
        <v>375</v>
      </c>
      <c r="F843" s="8">
        <v>49</v>
      </c>
      <c r="G843" s="8">
        <v>7.4</v>
      </c>
      <c r="H843" s="8">
        <v>7.6</v>
      </c>
      <c r="I843" s="8">
        <v>7.7</v>
      </c>
    </row>
    <row r="844" spans="1:9">
      <c r="A844" s="8" t="s">
        <v>910</v>
      </c>
      <c r="B844" s="8" t="str">
        <f>VLOOKUP(A844,地区!$B$1:$C$43,2,0)</f>
        <v>华北地区</v>
      </c>
      <c r="C844" s="8" t="s">
        <v>59</v>
      </c>
      <c r="D844" s="8" t="s">
        <v>931</v>
      </c>
      <c r="E844" s="8">
        <v>65</v>
      </c>
      <c r="F844" s="8">
        <v>60</v>
      </c>
      <c r="G844" s="8">
        <v>8.9</v>
      </c>
      <c r="H844" s="8">
        <v>8.6</v>
      </c>
      <c r="I844" s="8">
        <v>9</v>
      </c>
    </row>
    <row r="845" spans="1:9">
      <c r="A845" s="8" t="s">
        <v>910</v>
      </c>
      <c r="B845" s="8" t="str">
        <f>VLOOKUP(A845,地区!$B$1:$C$43,2,0)</f>
        <v>华北地区</v>
      </c>
      <c r="C845" s="8" t="s">
        <v>90</v>
      </c>
      <c r="D845" s="8" t="s">
        <v>932</v>
      </c>
      <c r="E845" s="8">
        <v>658</v>
      </c>
      <c r="F845" s="8">
        <v>174</v>
      </c>
      <c r="G845" s="8">
        <v>8</v>
      </c>
      <c r="H845" s="8">
        <v>8.7</v>
      </c>
      <c r="I845" s="8">
        <v>7.9</v>
      </c>
    </row>
    <row r="846" spans="1:9">
      <c r="A846" s="8" t="s">
        <v>910</v>
      </c>
      <c r="B846" s="8" t="str">
        <f>VLOOKUP(A846,地区!$B$1:$C$43,2,0)</f>
        <v>华北地区</v>
      </c>
      <c r="C846" s="8" t="s">
        <v>90</v>
      </c>
      <c r="D846" s="8" t="s">
        <v>933</v>
      </c>
      <c r="E846" s="8">
        <v>111</v>
      </c>
      <c r="F846" s="8">
        <v>86</v>
      </c>
      <c r="G846" s="8">
        <v>9.2</v>
      </c>
      <c r="H846" s="8">
        <v>9.3</v>
      </c>
      <c r="I846" s="8">
        <v>9.2</v>
      </c>
    </row>
    <row r="847" spans="1:9">
      <c r="A847" s="8" t="s">
        <v>910</v>
      </c>
      <c r="B847" s="8" t="str">
        <f>VLOOKUP(A847,地区!$B$1:$C$43,2,0)</f>
        <v>华北地区</v>
      </c>
      <c r="C847" s="8" t="s">
        <v>90</v>
      </c>
      <c r="D847" s="8" t="s">
        <v>934</v>
      </c>
      <c r="E847" s="8">
        <v>4</v>
      </c>
      <c r="F847" s="8">
        <v>20</v>
      </c>
      <c r="G847" s="8">
        <v>7.2</v>
      </c>
      <c r="H847" s="8">
        <v>6.9</v>
      </c>
      <c r="I847" s="8">
        <v>7.1</v>
      </c>
    </row>
    <row r="848" spans="1:9">
      <c r="A848" s="8" t="s">
        <v>910</v>
      </c>
      <c r="B848" s="8" t="str">
        <f>VLOOKUP(A848,地区!$B$1:$C$43,2,0)</f>
        <v>华北地区</v>
      </c>
      <c r="C848" s="8" t="s">
        <v>90</v>
      </c>
      <c r="D848" s="8" t="s">
        <v>935</v>
      </c>
      <c r="E848" s="8">
        <v>20</v>
      </c>
      <c r="F848" s="8">
        <v>40</v>
      </c>
      <c r="G848" s="8">
        <v>7.2</v>
      </c>
      <c r="H848" s="8">
        <v>7.3</v>
      </c>
      <c r="I848" s="8">
        <v>7.1</v>
      </c>
    </row>
    <row r="849" spans="1:9">
      <c r="A849" s="8" t="s">
        <v>910</v>
      </c>
      <c r="B849" s="8" t="str">
        <f>VLOOKUP(A849,地区!$B$1:$C$43,2,0)</f>
        <v>华北地区</v>
      </c>
      <c r="C849" s="8" t="s">
        <v>90</v>
      </c>
      <c r="D849" s="8" t="s">
        <v>936</v>
      </c>
      <c r="E849" s="8">
        <v>56</v>
      </c>
      <c r="F849" s="8">
        <v>42</v>
      </c>
      <c r="G849" s="8">
        <v>7.8</v>
      </c>
      <c r="H849" s="8">
        <v>7.8</v>
      </c>
      <c r="I849" s="8">
        <v>7.6</v>
      </c>
    </row>
    <row r="850" spans="1:9">
      <c r="A850" s="8" t="s">
        <v>910</v>
      </c>
      <c r="B850" s="8" t="str">
        <f>VLOOKUP(A850,地区!$B$1:$C$43,2,0)</f>
        <v>华北地区</v>
      </c>
      <c r="C850" s="8" t="s">
        <v>155</v>
      </c>
      <c r="D850" s="8" t="s">
        <v>937</v>
      </c>
      <c r="E850" s="8">
        <v>145</v>
      </c>
      <c r="F850" s="8">
        <v>45</v>
      </c>
      <c r="G850" s="8">
        <v>8.6</v>
      </c>
      <c r="H850" s="8">
        <v>9.2</v>
      </c>
      <c r="I850" s="8">
        <v>9.2</v>
      </c>
    </row>
    <row r="851" spans="1:9">
      <c r="A851" s="8" t="s">
        <v>910</v>
      </c>
      <c r="B851" s="8" t="str">
        <f>VLOOKUP(A851,地区!$B$1:$C$43,2,0)</f>
        <v>华北地区</v>
      </c>
      <c r="C851" s="8" t="s">
        <v>155</v>
      </c>
      <c r="D851" s="8" t="s">
        <v>938</v>
      </c>
      <c r="E851" s="8">
        <v>141</v>
      </c>
      <c r="F851" s="8">
        <v>62</v>
      </c>
      <c r="G851" s="8">
        <v>9</v>
      </c>
      <c r="H851" s="8">
        <v>8.8</v>
      </c>
      <c r="I851" s="8">
        <v>9</v>
      </c>
    </row>
    <row r="852" spans="1:9">
      <c r="A852" s="8" t="s">
        <v>910</v>
      </c>
      <c r="B852" s="8" t="str">
        <f>VLOOKUP(A852,地区!$B$1:$C$43,2,0)</f>
        <v>华北地区</v>
      </c>
      <c r="C852" s="8" t="s">
        <v>155</v>
      </c>
      <c r="D852" s="8" t="s">
        <v>939</v>
      </c>
      <c r="E852" s="8">
        <v>9</v>
      </c>
      <c r="F852" s="8">
        <v>101</v>
      </c>
      <c r="G852" s="8">
        <v>7.8</v>
      </c>
      <c r="H852" s="8">
        <v>7.8</v>
      </c>
      <c r="I852" s="8">
        <v>7.9</v>
      </c>
    </row>
    <row r="853" spans="1:9">
      <c r="A853" s="8" t="s">
        <v>910</v>
      </c>
      <c r="B853" s="8" t="str">
        <f>VLOOKUP(A853,地区!$B$1:$C$43,2,0)</f>
        <v>华北地区</v>
      </c>
      <c r="C853" s="8" t="s">
        <v>155</v>
      </c>
      <c r="D853" s="8" t="s">
        <v>940</v>
      </c>
      <c r="E853" s="8">
        <v>255</v>
      </c>
      <c r="F853" s="8">
        <v>45</v>
      </c>
      <c r="G853" s="8">
        <v>7.8</v>
      </c>
      <c r="H853" s="8">
        <v>8.2</v>
      </c>
      <c r="I853" s="8">
        <v>8.6</v>
      </c>
    </row>
    <row r="854" spans="1:9">
      <c r="A854" s="8" t="s">
        <v>910</v>
      </c>
      <c r="B854" s="8" t="str">
        <f>VLOOKUP(A854,地区!$B$1:$C$43,2,0)</f>
        <v>华北地区</v>
      </c>
      <c r="C854" s="8" t="s">
        <v>155</v>
      </c>
      <c r="D854" s="8" t="s">
        <v>941</v>
      </c>
      <c r="E854" s="8">
        <v>11</v>
      </c>
      <c r="F854" s="8">
        <v>11</v>
      </c>
      <c r="G854" s="8">
        <v>7.6</v>
      </c>
      <c r="H854" s="8">
        <v>7.6</v>
      </c>
      <c r="I854" s="8">
        <v>7.6</v>
      </c>
    </row>
    <row r="855" spans="1:9">
      <c r="A855" s="8" t="s">
        <v>910</v>
      </c>
      <c r="B855" s="8" t="str">
        <f>VLOOKUP(A855,地区!$B$1:$C$43,2,0)</f>
        <v>华北地区</v>
      </c>
      <c r="C855" s="8" t="s">
        <v>155</v>
      </c>
      <c r="D855" s="8" t="s">
        <v>942</v>
      </c>
      <c r="E855" s="8">
        <v>35</v>
      </c>
      <c r="F855" s="8">
        <v>142</v>
      </c>
      <c r="G855" s="8">
        <v>7.4</v>
      </c>
      <c r="H855" s="8">
        <v>7.2</v>
      </c>
      <c r="I855" s="8">
        <v>7.6</v>
      </c>
    </row>
    <row r="856" spans="1:9">
      <c r="A856" s="8" t="s">
        <v>943</v>
      </c>
      <c r="B856" s="8" t="str">
        <f>VLOOKUP(A856,地区!$B$1:$C$43,2,0)</f>
        <v>西北地区</v>
      </c>
      <c r="C856" s="8" t="s">
        <v>10</v>
      </c>
      <c r="D856" s="8" t="s">
        <v>944</v>
      </c>
      <c r="E856" s="8">
        <v>29</v>
      </c>
      <c r="F856" s="8">
        <v>67</v>
      </c>
      <c r="G856" s="8">
        <v>7.3</v>
      </c>
      <c r="H856" s="8">
        <v>7.1</v>
      </c>
      <c r="I856" s="8">
        <v>7.1</v>
      </c>
    </row>
    <row r="857" spans="1:9">
      <c r="A857" s="8" t="s">
        <v>943</v>
      </c>
      <c r="B857" s="8" t="str">
        <f>VLOOKUP(A857,地区!$B$1:$C$43,2,0)</f>
        <v>西北地区</v>
      </c>
      <c r="C857" s="8" t="s">
        <v>45</v>
      </c>
      <c r="D857" s="8" t="s">
        <v>945</v>
      </c>
      <c r="E857" s="8">
        <v>109</v>
      </c>
      <c r="F857" s="8">
        <v>53</v>
      </c>
      <c r="G857" s="8">
        <v>7.4</v>
      </c>
      <c r="H857" s="8">
        <v>7.2</v>
      </c>
      <c r="I857" s="8">
        <v>7.3</v>
      </c>
    </row>
    <row r="858" spans="1:9">
      <c r="A858" s="8" t="s">
        <v>943</v>
      </c>
      <c r="B858" s="8" t="str">
        <f>VLOOKUP(A858,地区!$B$1:$C$43,2,0)</f>
        <v>西北地区</v>
      </c>
      <c r="C858" s="8" t="s">
        <v>45</v>
      </c>
      <c r="D858" s="8" t="s">
        <v>946</v>
      </c>
      <c r="E858" s="8">
        <v>168</v>
      </c>
      <c r="F858" s="8">
        <v>46</v>
      </c>
      <c r="G858" s="8">
        <v>7.5</v>
      </c>
      <c r="H858" s="8">
        <v>7.2</v>
      </c>
      <c r="I858" s="8">
        <v>7.1</v>
      </c>
    </row>
    <row r="859" spans="1:9">
      <c r="A859" s="8" t="s">
        <v>943</v>
      </c>
      <c r="B859" s="8" t="str">
        <f>VLOOKUP(A859,地区!$B$1:$C$43,2,0)</f>
        <v>西北地区</v>
      </c>
      <c r="C859" s="8" t="s">
        <v>329</v>
      </c>
      <c r="D859" s="8" t="s">
        <v>947</v>
      </c>
      <c r="E859" s="8">
        <v>20</v>
      </c>
      <c r="F859" s="8">
        <v>27</v>
      </c>
      <c r="G859" s="8">
        <v>7.4</v>
      </c>
      <c r="H859" s="8">
        <v>7.4</v>
      </c>
      <c r="I859" s="8">
        <v>7.3</v>
      </c>
    </row>
    <row r="860" spans="1:9">
      <c r="A860" s="8" t="s">
        <v>943</v>
      </c>
      <c r="B860" s="8" t="str">
        <f>VLOOKUP(A860,地区!$B$1:$C$43,2,0)</f>
        <v>西北地区</v>
      </c>
      <c r="C860" s="8" t="s">
        <v>412</v>
      </c>
      <c r="D860" s="8" t="s">
        <v>948</v>
      </c>
      <c r="E860" s="8">
        <v>33</v>
      </c>
      <c r="F860" s="8">
        <v>17</v>
      </c>
      <c r="G860" s="8">
        <v>7.3</v>
      </c>
      <c r="H860" s="8">
        <v>7.3</v>
      </c>
      <c r="I860" s="8">
        <v>7.2</v>
      </c>
    </row>
    <row r="861" spans="1:9">
      <c r="A861" s="8" t="s">
        <v>943</v>
      </c>
      <c r="B861" s="8" t="str">
        <f>VLOOKUP(A861,地区!$B$1:$C$43,2,0)</f>
        <v>西北地区</v>
      </c>
      <c r="C861" s="8" t="s">
        <v>59</v>
      </c>
      <c r="D861" s="8" t="s">
        <v>949</v>
      </c>
      <c r="E861" s="8">
        <v>20</v>
      </c>
      <c r="F861" s="8">
        <v>52</v>
      </c>
      <c r="G861" s="8">
        <v>7.7</v>
      </c>
      <c r="H861" s="8">
        <v>7.8</v>
      </c>
      <c r="I861" s="8">
        <v>7.5</v>
      </c>
    </row>
    <row r="862" spans="1:9">
      <c r="A862" s="8" t="s">
        <v>943</v>
      </c>
      <c r="B862" s="8" t="str">
        <f>VLOOKUP(A862,地区!$B$1:$C$43,2,0)</f>
        <v>西北地区</v>
      </c>
      <c r="C862" s="8" t="s">
        <v>59</v>
      </c>
      <c r="D862" s="8" t="s">
        <v>950</v>
      </c>
      <c r="E862" s="8">
        <v>13</v>
      </c>
      <c r="F862" s="8">
        <v>25</v>
      </c>
      <c r="G862" s="8">
        <v>7.3</v>
      </c>
      <c r="H862" s="8">
        <v>7.3</v>
      </c>
      <c r="I862" s="8">
        <v>7.1</v>
      </c>
    </row>
    <row r="863" spans="1:9">
      <c r="A863" s="8" t="s">
        <v>943</v>
      </c>
      <c r="B863" s="8" t="str">
        <f>VLOOKUP(A863,地区!$B$1:$C$43,2,0)</f>
        <v>西北地区</v>
      </c>
      <c r="C863" s="8" t="s">
        <v>59</v>
      </c>
      <c r="D863" s="8" t="s">
        <v>951</v>
      </c>
      <c r="E863" s="8">
        <v>98</v>
      </c>
      <c r="F863" s="8">
        <v>64</v>
      </c>
      <c r="G863" s="8">
        <v>6.8</v>
      </c>
      <c r="H863" s="8">
        <v>6.6</v>
      </c>
      <c r="I863" s="8">
        <v>6.6</v>
      </c>
    </row>
    <row r="864" spans="1:9">
      <c r="A864" s="8" t="s">
        <v>943</v>
      </c>
      <c r="B864" s="8" t="str">
        <f>VLOOKUP(A864,地区!$B$1:$C$43,2,0)</f>
        <v>西北地区</v>
      </c>
      <c r="C864" s="8" t="s">
        <v>59</v>
      </c>
      <c r="D864" s="8" t="s">
        <v>952</v>
      </c>
      <c r="E864" s="8">
        <v>6</v>
      </c>
      <c r="F864" s="8">
        <v>31</v>
      </c>
      <c r="G864" s="8">
        <v>7.1</v>
      </c>
      <c r="H864" s="8">
        <v>7.1</v>
      </c>
      <c r="I864" s="8">
        <v>7.1</v>
      </c>
    </row>
    <row r="865" spans="1:9">
      <c r="A865" s="8" t="s">
        <v>943</v>
      </c>
      <c r="B865" s="8" t="str">
        <f>VLOOKUP(A865,地区!$B$1:$C$43,2,0)</f>
        <v>西北地区</v>
      </c>
      <c r="C865" s="8" t="s">
        <v>445</v>
      </c>
      <c r="D865" s="8" t="s">
        <v>953</v>
      </c>
      <c r="E865" s="8">
        <v>59</v>
      </c>
      <c r="F865" s="8">
        <v>22</v>
      </c>
      <c r="G865" s="8">
        <v>7.4</v>
      </c>
      <c r="H865" s="8">
        <v>7.3</v>
      </c>
      <c r="I865" s="8">
        <v>7.3</v>
      </c>
    </row>
    <row r="866" spans="1:9">
      <c r="A866" s="8" t="s">
        <v>943</v>
      </c>
      <c r="B866" s="8" t="str">
        <f>VLOOKUP(A866,地区!$B$1:$C$43,2,0)</f>
        <v>西北地区</v>
      </c>
      <c r="C866" s="8" t="s">
        <v>445</v>
      </c>
      <c r="D866" s="8" t="s">
        <v>954</v>
      </c>
      <c r="E866" s="8">
        <v>26</v>
      </c>
      <c r="F866" s="8">
        <v>14</v>
      </c>
      <c r="G866" s="8">
        <v>7.3</v>
      </c>
      <c r="H866" s="8">
        <v>7.4</v>
      </c>
      <c r="I866" s="8">
        <v>7.5</v>
      </c>
    </row>
    <row r="867" spans="1:9">
      <c r="A867" s="8" t="s">
        <v>943</v>
      </c>
      <c r="B867" s="8" t="str">
        <f>VLOOKUP(A867,地区!$B$1:$C$43,2,0)</f>
        <v>西北地区</v>
      </c>
      <c r="C867" s="8" t="s">
        <v>445</v>
      </c>
      <c r="D867" s="8" t="s">
        <v>955</v>
      </c>
      <c r="E867" s="8">
        <v>2</v>
      </c>
      <c r="F867" s="8">
        <v>14</v>
      </c>
      <c r="G867" s="8">
        <v>6.9</v>
      </c>
      <c r="H867" s="8">
        <v>6.9</v>
      </c>
      <c r="I867" s="8">
        <v>6.9</v>
      </c>
    </row>
    <row r="868" spans="1:9">
      <c r="A868" s="8" t="s">
        <v>943</v>
      </c>
      <c r="B868" s="8" t="str">
        <f>VLOOKUP(A868,地区!$B$1:$C$43,2,0)</f>
        <v>西北地区</v>
      </c>
      <c r="C868" s="8" t="s">
        <v>445</v>
      </c>
      <c r="D868" s="8" t="s">
        <v>956</v>
      </c>
      <c r="E868" s="8">
        <v>3</v>
      </c>
      <c r="F868" s="8">
        <v>20</v>
      </c>
      <c r="G868" s="8">
        <v>7.2</v>
      </c>
      <c r="H868" s="8">
        <v>7.2</v>
      </c>
      <c r="I868" s="8">
        <v>7.2</v>
      </c>
    </row>
    <row r="869" spans="1:9">
      <c r="A869" s="8" t="s">
        <v>943</v>
      </c>
      <c r="B869" s="8" t="str">
        <f>VLOOKUP(A869,地区!$B$1:$C$43,2,0)</f>
        <v>西北地区</v>
      </c>
      <c r="C869" s="8" t="s">
        <v>445</v>
      </c>
      <c r="D869" s="8" t="s">
        <v>957</v>
      </c>
      <c r="E869" s="8">
        <v>2</v>
      </c>
      <c r="F869" s="8">
        <v>30</v>
      </c>
      <c r="G869" s="8">
        <v>7</v>
      </c>
      <c r="H869" s="8">
        <v>7</v>
      </c>
      <c r="I869" s="8">
        <v>7</v>
      </c>
    </row>
    <row r="870" spans="1:9">
      <c r="A870" s="8" t="s">
        <v>943</v>
      </c>
      <c r="B870" s="8" t="str">
        <f>VLOOKUP(A870,地区!$B$1:$C$43,2,0)</f>
        <v>西北地区</v>
      </c>
      <c r="C870" s="8" t="s">
        <v>445</v>
      </c>
      <c r="D870" s="8" t="s">
        <v>958</v>
      </c>
      <c r="E870" s="8">
        <v>3</v>
      </c>
      <c r="F870" s="8">
        <v>45</v>
      </c>
      <c r="G870" s="8">
        <v>7</v>
      </c>
      <c r="H870" s="8">
        <v>7</v>
      </c>
      <c r="I870" s="8">
        <v>7</v>
      </c>
    </row>
    <row r="871" spans="1:9">
      <c r="A871" s="8" t="s">
        <v>943</v>
      </c>
      <c r="B871" s="8" t="str">
        <f>VLOOKUP(A871,地区!$B$1:$C$43,2,0)</f>
        <v>西北地区</v>
      </c>
      <c r="C871" s="8" t="s">
        <v>445</v>
      </c>
      <c r="D871" s="8" t="s">
        <v>959</v>
      </c>
      <c r="E871" s="8">
        <v>1</v>
      </c>
      <c r="F871" s="8">
        <v>12</v>
      </c>
      <c r="G871" s="8">
        <v>6.9</v>
      </c>
      <c r="H871" s="8">
        <v>6.9</v>
      </c>
      <c r="I871" s="8">
        <v>6.9</v>
      </c>
    </row>
    <row r="872" spans="1:9">
      <c r="A872" s="8" t="s">
        <v>943</v>
      </c>
      <c r="B872" s="8" t="str">
        <f>VLOOKUP(A872,地区!$B$1:$C$43,2,0)</f>
        <v>西北地区</v>
      </c>
      <c r="C872" s="8" t="s">
        <v>211</v>
      </c>
      <c r="D872" s="8" t="s">
        <v>960</v>
      </c>
      <c r="E872" s="8">
        <v>20</v>
      </c>
      <c r="F872" s="8">
        <v>14</v>
      </c>
      <c r="G872" s="8">
        <v>6.8</v>
      </c>
      <c r="H872" s="8">
        <v>6.8</v>
      </c>
      <c r="I872" s="8">
        <v>6.8</v>
      </c>
    </row>
    <row r="873" spans="1:9">
      <c r="A873" s="8" t="s">
        <v>943</v>
      </c>
      <c r="B873" s="8" t="str">
        <f>VLOOKUP(A873,地区!$B$1:$C$43,2,0)</f>
        <v>西北地区</v>
      </c>
      <c r="C873" s="8" t="s">
        <v>211</v>
      </c>
      <c r="D873" s="8" t="s">
        <v>961</v>
      </c>
      <c r="E873" s="8">
        <v>27</v>
      </c>
      <c r="F873" s="8">
        <v>25</v>
      </c>
      <c r="G873" s="8">
        <v>6.9</v>
      </c>
      <c r="H873" s="8">
        <v>7</v>
      </c>
      <c r="I873" s="8">
        <v>6.9</v>
      </c>
    </row>
    <row r="874" spans="1:9">
      <c r="A874" s="8" t="s">
        <v>943</v>
      </c>
      <c r="B874" s="8" t="str">
        <f>VLOOKUP(A874,地区!$B$1:$C$43,2,0)</f>
        <v>西北地区</v>
      </c>
      <c r="C874" s="8" t="s">
        <v>211</v>
      </c>
      <c r="D874" s="8" t="s">
        <v>962</v>
      </c>
      <c r="E874" s="8">
        <v>53</v>
      </c>
      <c r="F874" s="8">
        <v>14</v>
      </c>
      <c r="G874" s="8">
        <v>7.7</v>
      </c>
      <c r="H874" s="8">
        <v>7.6</v>
      </c>
      <c r="I874" s="8">
        <v>7.6</v>
      </c>
    </row>
    <row r="875" spans="1:9">
      <c r="A875" s="8" t="s">
        <v>943</v>
      </c>
      <c r="B875" s="8" t="str">
        <f>VLOOKUP(A875,地区!$B$1:$C$43,2,0)</f>
        <v>西北地区</v>
      </c>
      <c r="C875" s="8" t="s">
        <v>211</v>
      </c>
      <c r="D875" s="8" t="s">
        <v>963</v>
      </c>
      <c r="E875" s="8">
        <v>3</v>
      </c>
      <c r="F875" s="8">
        <v>20</v>
      </c>
      <c r="G875" s="8">
        <v>7.4</v>
      </c>
      <c r="H875" s="8">
        <v>7.4</v>
      </c>
      <c r="I875" s="8">
        <v>7.4</v>
      </c>
    </row>
    <row r="876" spans="1:9">
      <c r="A876" s="8" t="s">
        <v>943</v>
      </c>
      <c r="B876" s="8" t="str">
        <f>VLOOKUP(A876,地区!$B$1:$C$43,2,0)</f>
        <v>西北地区</v>
      </c>
      <c r="C876" s="8" t="s">
        <v>233</v>
      </c>
      <c r="D876" s="8" t="s">
        <v>964</v>
      </c>
      <c r="E876" s="8">
        <v>12</v>
      </c>
      <c r="F876" s="8">
        <v>25</v>
      </c>
      <c r="G876" s="8">
        <v>7.1</v>
      </c>
      <c r="H876" s="8">
        <v>7</v>
      </c>
      <c r="I876" s="8">
        <v>7</v>
      </c>
    </row>
    <row r="877" spans="1:9">
      <c r="A877" s="8" t="s">
        <v>943</v>
      </c>
      <c r="B877" s="8" t="str">
        <f>VLOOKUP(A877,地区!$B$1:$C$43,2,0)</f>
        <v>西北地区</v>
      </c>
      <c r="C877" s="8" t="s">
        <v>79</v>
      </c>
      <c r="D877" s="8" t="s">
        <v>965</v>
      </c>
      <c r="E877" s="8">
        <v>57</v>
      </c>
      <c r="F877" s="8">
        <v>55</v>
      </c>
      <c r="G877" s="8">
        <v>7.9</v>
      </c>
      <c r="H877" s="8">
        <v>8.1</v>
      </c>
      <c r="I877" s="8">
        <v>8.4</v>
      </c>
    </row>
    <row r="878" spans="1:9">
      <c r="A878" s="8" t="s">
        <v>943</v>
      </c>
      <c r="B878" s="8" t="str">
        <f>VLOOKUP(A878,地区!$B$1:$C$43,2,0)</f>
        <v>西北地区</v>
      </c>
      <c r="C878" s="8" t="s">
        <v>79</v>
      </c>
      <c r="D878" s="8" t="s">
        <v>966</v>
      </c>
      <c r="E878" s="8">
        <v>10</v>
      </c>
      <c r="F878" s="8">
        <v>20</v>
      </c>
      <c r="G878" s="8">
        <v>7.4</v>
      </c>
      <c r="H878" s="8">
        <v>7</v>
      </c>
      <c r="I878" s="8">
        <v>7.4</v>
      </c>
    </row>
    <row r="879" spans="1:9">
      <c r="A879" s="8" t="s">
        <v>943</v>
      </c>
      <c r="B879" s="8" t="str">
        <f>VLOOKUP(A879,地区!$B$1:$C$43,2,0)</f>
        <v>西北地区</v>
      </c>
      <c r="C879" s="8" t="s">
        <v>104</v>
      </c>
      <c r="D879" s="8" t="s">
        <v>967</v>
      </c>
      <c r="E879" s="8">
        <v>121</v>
      </c>
      <c r="F879" s="8">
        <v>89</v>
      </c>
      <c r="G879" s="8">
        <v>7.5</v>
      </c>
      <c r="H879" s="8">
        <v>7.6</v>
      </c>
      <c r="I879" s="8">
        <v>7.5</v>
      </c>
    </row>
    <row r="880" spans="1:9">
      <c r="A880" s="8" t="s">
        <v>943</v>
      </c>
      <c r="B880" s="8" t="str">
        <f>VLOOKUP(A880,地区!$B$1:$C$43,2,0)</f>
        <v>西北地区</v>
      </c>
      <c r="C880" s="8" t="s">
        <v>104</v>
      </c>
      <c r="D880" s="8" t="s">
        <v>968</v>
      </c>
      <c r="E880" s="8">
        <v>6</v>
      </c>
      <c r="F880" s="8">
        <v>20</v>
      </c>
      <c r="G880" s="8">
        <v>7.1</v>
      </c>
      <c r="H880" s="8">
        <v>7.1</v>
      </c>
      <c r="I880" s="8">
        <v>7</v>
      </c>
    </row>
    <row r="881" spans="1:9">
      <c r="A881" s="8" t="s">
        <v>943</v>
      </c>
      <c r="B881" s="8" t="str">
        <f>VLOOKUP(A881,地区!$B$1:$C$43,2,0)</f>
        <v>西北地区</v>
      </c>
      <c r="C881" s="8" t="s">
        <v>104</v>
      </c>
      <c r="D881" s="8" t="s">
        <v>969</v>
      </c>
      <c r="E881" s="8">
        <v>10</v>
      </c>
      <c r="F881" s="8">
        <v>73</v>
      </c>
      <c r="G881" s="8">
        <v>6.7</v>
      </c>
      <c r="H881" s="8">
        <v>7.1</v>
      </c>
      <c r="I881" s="8">
        <v>6.7</v>
      </c>
    </row>
    <row r="882" spans="1:9">
      <c r="A882" s="8" t="s">
        <v>943</v>
      </c>
      <c r="B882" s="8" t="str">
        <f>VLOOKUP(A882,地区!$B$1:$C$43,2,0)</f>
        <v>西北地区</v>
      </c>
      <c r="C882" s="8" t="s">
        <v>124</v>
      </c>
      <c r="D882" s="8" t="s">
        <v>970</v>
      </c>
      <c r="E882" s="8">
        <v>390</v>
      </c>
      <c r="F882" s="8">
        <v>68</v>
      </c>
      <c r="G882" s="8">
        <v>8</v>
      </c>
      <c r="H882" s="8">
        <v>8.2</v>
      </c>
      <c r="I882" s="8">
        <v>8</v>
      </c>
    </row>
    <row r="883" spans="1:9">
      <c r="A883" s="8" t="s">
        <v>943</v>
      </c>
      <c r="B883" s="8" t="str">
        <f>VLOOKUP(A883,地区!$B$1:$C$43,2,0)</f>
        <v>西北地区</v>
      </c>
      <c r="C883" s="8" t="s">
        <v>124</v>
      </c>
      <c r="D883" s="8" t="s">
        <v>971</v>
      </c>
      <c r="E883" s="8">
        <v>97</v>
      </c>
      <c r="F883" s="8">
        <v>86</v>
      </c>
      <c r="G883" s="8">
        <v>7.2</v>
      </c>
      <c r="H883" s="8">
        <v>7.2</v>
      </c>
      <c r="I883" s="8">
        <v>7.3</v>
      </c>
    </row>
    <row r="884" spans="1:9">
      <c r="A884" s="8" t="s">
        <v>943</v>
      </c>
      <c r="B884" s="8" t="str">
        <f>VLOOKUP(A884,地区!$B$1:$C$43,2,0)</f>
        <v>西北地区</v>
      </c>
      <c r="C884" s="8" t="s">
        <v>124</v>
      </c>
      <c r="D884" s="8" t="s">
        <v>972</v>
      </c>
      <c r="E884" s="8">
        <v>34</v>
      </c>
      <c r="F884" s="8">
        <v>53</v>
      </c>
      <c r="G884" s="8">
        <v>6.9</v>
      </c>
      <c r="H884" s="8">
        <v>6.7</v>
      </c>
      <c r="I884" s="8">
        <v>6.8</v>
      </c>
    </row>
    <row r="885" spans="1:9">
      <c r="A885" s="8" t="s">
        <v>943</v>
      </c>
      <c r="B885" s="8" t="str">
        <f>VLOOKUP(A885,地区!$B$1:$C$43,2,0)</f>
        <v>西北地区</v>
      </c>
      <c r="C885" s="8" t="s">
        <v>90</v>
      </c>
      <c r="D885" s="8" t="s">
        <v>973</v>
      </c>
      <c r="E885" s="8">
        <v>268</v>
      </c>
      <c r="F885" s="8">
        <v>174</v>
      </c>
      <c r="G885" s="8">
        <v>7.6</v>
      </c>
      <c r="H885" s="8">
        <v>8.7</v>
      </c>
      <c r="I885" s="8">
        <v>8.4</v>
      </c>
    </row>
    <row r="886" spans="1:9">
      <c r="A886" s="8" t="s">
        <v>943</v>
      </c>
      <c r="B886" s="8" t="str">
        <f>VLOOKUP(A886,地区!$B$1:$C$43,2,0)</f>
        <v>西北地区</v>
      </c>
      <c r="C886" s="8" t="s">
        <v>90</v>
      </c>
      <c r="D886" s="8" t="s">
        <v>974</v>
      </c>
      <c r="E886" s="8">
        <v>48</v>
      </c>
      <c r="F886" s="8">
        <v>53</v>
      </c>
      <c r="G886" s="8">
        <v>7.2</v>
      </c>
      <c r="H886" s="8">
        <v>7.1</v>
      </c>
      <c r="I886" s="8">
        <v>7</v>
      </c>
    </row>
    <row r="887" spans="1:9">
      <c r="A887" s="8" t="s">
        <v>943</v>
      </c>
      <c r="B887" s="8" t="str">
        <f>VLOOKUP(A887,地区!$B$1:$C$43,2,0)</f>
        <v>西北地区</v>
      </c>
      <c r="C887" s="8" t="s">
        <v>90</v>
      </c>
      <c r="D887" s="8" t="s">
        <v>975</v>
      </c>
      <c r="E887" s="8">
        <v>68</v>
      </c>
      <c r="F887" s="8">
        <v>49</v>
      </c>
      <c r="G887" s="8">
        <v>7.4</v>
      </c>
      <c r="H887" s="8">
        <v>7.3</v>
      </c>
      <c r="I887" s="8">
        <v>7.3</v>
      </c>
    </row>
    <row r="888" spans="1:9">
      <c r="A888" s="8" t="s">
        <v>943</v>
      </c>
      <c r="B888" s="8" t="str">
        <f>VLOOKUP(A888,地区!$B$1:$C$43,2,0)</f>
        <v>西北地区</v>
      </c>
      <c r="C888" s="8" t="s">
        <v>90</v>
      </c>
      <c r="D888" s="8" t="s">
        <v>976</v>
      </c>
      <c r="E888" s="8">
        <v>12</v>
      </c>
      <c r="F888" s="8">
        <v>54</v>
      </c>
      <c r="G888" s="8">
        <v>7</v>
      </c>
      <c r="H888" s="8">
        <v>6.9</v>
      </c>
      <c r="I888" s="8">
        <v>6.9</v>
      </c>
    </row>
    <row r="889" spans="1:9">
      <c r="A889" s="8" t="s">
        <v>943</v>
      </c>
      <c r="B889" s="8" t="str">
        <f>VLOOKUP(A889,地区!$B$1:$C$43,2,0)</f>
        <v>西北地区</v>
      </c>
      <c r="C889" s="8" t="s">
        <v>33</v>
      </c>
      <c r="D889" s="8" t="s">
        <v>977</v>
      </c>
      <c r="E889" s="8">
        <v>5</v>
      </c>
      <c r="F889" s="8">
        <v>14</v>
      </c>
      <c r="G889" s="8">
        <v>7</v>
      </c>
      <c r="H889" s="8">
        <v>7</v>
      </c>
      <c r="I889" s="8">
        <v>7</v>
      </c>
    </row>
    <row r="890" spans="1:9">
      <c r="A890" s="8" t="s">
        <v>943</v>
      </c>
      <c r="B890" s="8" t="str">
        <f>VLOOKUP(A890,地区!$B$1:$C$43,2,0)</f>
        <v>西北地区</v>
      </c>
      <c r="C890" s="8" t="s">
        <v>40</v>
      </c>
      <c r="D890" s="8" t="s">
        <v>978</v>
      </c>
      <c r="E890" s="8">
        <v>4</v>
      </c>
      <c r="F890" s="8">
        <v>30</v>
      </c>
      <c r="G890" s="8">
        <v>7.5</v>
      </c>
      <c r="H890" s="8">
        <v>7.3</v>
      </c>
      <c r="I890" s="8">
        <v>7.5</v>
      </c>
    </row>
    <row r="891" spans="1:9">
      <c r="A891" s="8" t="s">
        <v>943</v>
      </c>
      <c r="B891" s="8" t="str">
        <f>VLOOKUP(A891,地区!$B$1:$C$43,2,0)</f>
        <v>西北地区</v>
      </c>
      <c r="C891" s="8" t="s">
        <v>40</v>
      </c>
      <c r="D891" s="8" t="s">
        <v>979</v>
      </c>
      <c r="E891" s="8">
        <v>2</v>
      </c>
      <c r="F891" s="8">
        <v>20</v>
      </c>
      <c r="G891" s="8">
        <v>6.9</v>
      </c>
      <c r="H891" s="8">
        <v>6.9</v>
      </c>
      <c r="I891" s="8">
        <v>7</v>
      </c>
    </row>
    <row r="892" spans="1:9">
      <c r="A892" s="8" t="s">
        <v>943</v>
      </c>
      <c r="B892" s="8" t="str">
        <f>VLOOKUP(A892,地区!$B$1:$C$43,2,0)</f>
        <v>西北地区</v>
      </c>
      <c r="C892" s="8" t="s">
        <v>85</v>
      </c>
      <c r="D892" s="8" t="s">
        <v>980</v>
      </c>
      <c r="E892" s="8">
        <v>3</v>
      </c>
      <c r="F892" s="8">
        <v>12</v>
      </c>
      <c r="G892" s="8">
        <v>7.2</v>
      </c>
      <c r="H892" s="8">
        <v>7</v>
      </c>
      <c r="I892" s="8">
        <v>7</v>
      </c>
    </row>
    <row r="893" spans="1:9">
      <c r="A893" s="8" t="s">
        <v>943</v>
      </c>
      <c r="B893" s="8" t="str">
        <f>VLOOKUP(A893,地区!$B$1:$C$43,2,0)</f>
        <v>西北地区</v>
      </c>
      <c r="C893" s="8" t="s">
        <v>85</v>
      </c>
      <c r="D893" s="8" t="s">
        <v>981</v>
      </c>
      <c r="E893" s="8">
        <v>2</v>
      </c>
      <c r="F893" s="8">
        <v>100</v>
      </c>
      <c r="G893" s="8">
        <v>6.9</v>
      </c>
      <c r="H893" s="8">
        <v>6.9</v>
      </c>
      <c r="I893" s="8">
        <v>6.9</v>
      </c>
    </row>
    <row r="894" spans="1:9">
      <c r="A894" s="8" t="s">
        <v>982</v>
      </c>
      <c r="B894" s="8" t="str">
        <f>VLOOKUP(A894,地区!$B$1:$C$43,2,0)</f>
        <v>华东地区</v>
      </c>
      <c r="C894" s="8" t="s">
        <v>145</v>
      </c>
      <c r="D894" s="8" t="s">
        <v>983</v>
      </c>
      <c r="E894" s="8">
        <v>35</v>
      </c>
      <c r="F894" s="8">
        <v>148</v>
      </c>
      <c r="G894" s="8">
        <v>7.7</v>
      </c>
      <c r="H894" s="8">
        <v>7.4</v>
      </c>
      <c r="I894" s="8">
        <v>7.4</v>
      </c>
    </row>
    <row r="895" spans="1:9">
      <c r="A895" s="8" t="s">
        <v>982</v>
      </c>
      <c r="B895" s="8" t="str">
        <f>VLOOKUP(A895,地区!$B$1:$C$43,2,0)</f>
        <v>华东地区</v>
      </c>
      <c r="C895" s="8" t="s">
        <v>145</v>
      </c>
      <c r="D895" s="8" t="s">
        <v>984</v>
      </c>
      <c r="E895" s="8">
        <v>4</v>
      </c>
      <c r="F895" s="8">
        <v>22</v>
      </c>
      <c r="G895" s="8">
        <v>7.3</v>
      </c>
      <c r="H895" s="8">
        <v>7</v>
      </c>
      <c r="I895" s="8">
        <v>7.2</v>
      </c>
    </row>
    <row r="896" spans="1:9">
      <c r="A896" s="8" t="s">
        <v>982</v>
      </c>
      <c r="B896" s="8" t="str">
        <f>VLOOKUP(A896,地区!$B$1:$C$43,2,0)</f>
        <v>华东地区</v>
      </c>
      <c r="C896" s="8" t="s">
        <v>145</v>
      </c>
      <c r="D896" s="8" t="s">
        <v>985</v>
      </c>
      <c r="E896" s="8">
        <v>16</v>
      </c>
      <c r="F896" s="8">
        <v>126</v>
      </c>
      <c r="G896" s="8">
        <v>7.5</v>
      </c>
      <c r="H896" s="8">
        <v>7.6</v>
      </c>
      <c r="I896" s="8">
        <v>7.5</v>
      </c>
    </row>
    <row r="897" spans="1:9">
      <c r="A897" s="8" t="s">
        <v>982</v>
      </c>
      <c r="B897" s="8" t="str">
        <f>VLOOKUP(A897,地区!$B$1:$C$43,2,0)</f>
        <v>华东地区</v>
      </c>
      <c r="C897" s="8" t="s">
        <v>329</v>
      </c>
      <c r="D897" s="8" t="s">
        <v>504</v>
      </c>
      <c r="E897" s="8">
        <v>3</v>
      </c>
      <c r="F897" s="8">
        <v>44</v>
      </c>
      <c r="G897" s="8">
        <v>7.2</v>
      </c>
      <c r="H897" s="8">
        <v>7.2</v>
      </c>
      <c r="I897" s="8">
        <v>7.2</v>
      </c>
    </row>
    <row r="898" spans="1:9">
      <c r="A898" s="8" t="s">
        <v>982</v>
      </c>
      <c r="B898" s="8" t="str">
        <f>VLOOKUP(A898,地区!$B$1:$C$43,2,0)</f>
        <v>华东地区</v>
      </c>
      <c r="C898" s="8" t="s">
        <v>870</v>
      </c>
      <c r="D898" s="8" t="s">
        <v>986</v>
      </c>
      <c r="E898" s="8">
        <v>4</v>
      </c>
      <c r="F898" s="8">
        <v>15</v>
      </c>
      <c r="G898" s="8">
        <v>7</v>
      </c>
      <c r="H898" s="8">
        <v>7</v>
      </c>
      <c r="I898" s="8">
        <v>7</v>
      </c>
    </row>
    <row r="899" spans="1:9">
      <c r="A899" s="8" t="s">
        <v>982</v>
      </c>
      <c r="B899" s="8" t="str">
        <f>VLOOKUP(A899,地区!$B$1:$C$43,2,0)</f>
        <v>华东地区</v>
      </c>
      <c r="C899" s="8" t="s">
        <v>10</v>
      </c>
      <c r="D899" s="8" t="s">
        <v>987</v>
      </c>
      <c r="E899" s="8">
        <v>29</v>
      </c>
      <c r="F899" s="8">
        <v>68</v>
      </c>
      <c r="G899" s="8">
        <v>7.2</v>
      </c>
      <c r="H899" s="8">
        <v>7.1</v>
      </c>
      <c r="I899" s="8">
        <v>7.2</v>
      </c>
    </row>
    <row r="900" spans="1:9">
      <c r="A900" s="8" t="s">
        <v>982</v>
      </c>
      <c r="B900" s="8" t="str">
        <f>VLOOKUP(A900,地区!$B$1:$C$43,2,0)</f>
        <v>华东地区</v>
      </c>
      <c r="C900" s="8" t="s">
        <v>10</v>
      </c>
      <c r="D900" s="8" t="s">
        <v>988</v>
      </c>
      <c r="E900" s="8">
        <v>4</v>
      </c>
      <c r="F900" s="8">
        <v>35</v>
      </c>
      <c r="G900" s="8">
        <v>6.8</v>
      </c>
      <c r="H900" s="8">
        <v>6.8</v>
      </c>
      <c r="I900" s="8">
        <v>6.9</v>
      </c>
    </row>
    <row r="901" spans="1:9">
      <c r="A901" s="8" t="s">
        <v>982</v>
      </c>
      <c r="B901" s="8" t="str">
        <f>VLOOKUP(A901,地区!$B$1:$C$43,2,0)</f>
        <v>华东地区</v>
      </c>
      <c r="C901" s="8" t="s">
        <v>15</v>
      </c>
      <c r="D901" s="8" t="s">
        <v>989</v>
      </c>
      <c r="E901" s="8">
        <v>25</v>
      </c>
      <c r="F901" s="8">
        <v>271</v>
      </c>
      <c r="G901" s="8">
        <v>7.3</v>
      </c>
      <c r="H901" s="8">
        <v>7.4</v>
      </c>
      <c r="I901" s="8">
        <v>7.4</v>
      </c>
    </row>
    <row r="902" spans="1:9">
      <c r="A902" s="8" t="s">
        <v>982</v>
      </c>
      <c r="B902" s="8" t="str">
        <f>VLOOKUP(A902,地区!$B$1:$C$43,2,0)</f>
        <v>华东地区</v>
      </c>
      <c r="C902" s="8" t="s">
        <v>52</v>
      </c>
      <c r="D902" s="8" t="s">
        <v>990</v>
      </c>
      <c r="E902" s="8">
        <v>54</v>
      </c>
      <c r="F902" s="8">
        <v>15</v>
      </c>
      <c r="G902" s="8">
        <v>6.9</v>
      </c>
      <c r="H902" s="8">
        <v>7.1</v>
      </c>
      <c r="I902" s="8">
        <v>6.9</v>
      </c>
    </row>
    <row r="903" spans="1:9">
      <c r="A903" s="8" t="s">
        <v>982</v>
      </c>
      <c r="B903" s="8" t="str">
        <f>VLOOKUP(A903,地区!$B$1:$C$43,2,0)</f>
        <v>华东地区</v>
      </c>
      <c r="C903" s="8" t="s">
        <v>52</v>
      </c>
      <c r="D903" s="8" t="s">
        <v>991</v>
      </c>
      <c r="E903" s="8">
        <v>11</v>
      </c>
      <c r="F903" s="8">
        <v>21</v>
      </c>
      <c r="G903" s="8">
        <v>7.2</v>
      </c>
      <c r="H903" s="8">
        <v>7.2</v>
      </c>
      <c r="I903" s="8">
        <v>7.3</v>
      </c>
    </row>
    <row r="904" spans="1:9">
      <c r="A904" s="8" t="s">
        <v>982</v>
      </c>
      <c r="B904" s="8" t="str">
        <f>VLOOKUP(A904,地区!$B$1:$C$43,2,0)</f>
        <v>华东地区</v>
      </c>
      <c r="C904" s="8" t="s">
        <v>52</v>
      </c>
      <c r="D904" s="8" t="s">
        <v>992</v>
      </c>
      <c r="E904" s="8">
        <v>10</v>
      </c>
      <c r="F904" s="8">
        <v>16</v>
      </c>
      <c r="G904" s="8">
        <v>7.5</v>
      </c>
      <c r="H904" s="8">
        <v>7.6</v>
      </c>
      <c r="I904" s="8">
        <v>7.6</v>
      </c>
    </row>
    <row r="905" spans="1:9">
      <c r="A905" s="8" t="s">
        <v>982</v>
      </c>
      <c r="B905" s="8" t="str">
        <f>VLOOKUP(A905,地区!$B$1:$C$43,2,0)</f>
        <v>华东地区</v>
      </c>
      <c r="C905" s="8" t="s">
        <v>52</v>
      </c>
      <c r="D905" s="8" t="s">
        <v>993</v>
      </c>
      <c r="E905" s="8">
        <v>1141</v>
      </c>
      <c r="F905" s="8">
        <v>30</v>
      </c>
      <c r="G905" s="8">
        <v>7.7</v>
      </c>
      <c r="H905" s="8">
        <v>8.1</v>
      </c>
      <c r="I905" s="8">
        <v>8</v>
      </c>
    </row>
    <row r="906" spans="1:9">
      <c r="A906" s="8" t="s">
        <v>982</v>
      </c>
      <c r="B906" s="8" t="str">
        <f>VLOOKUP(A906,地区!$B$1:$C$43,2,0)</f>
        <v>华东地区</v>
      </c>
      <c r="C906" s="8" t="s">
        <v>52</v>
      </c>
      <c r="D906" s="8" t="s">
        <v>994</v>
      </c>
      <c r="E906" s="8">
        <v>1</v>
      </c>
      <c r="F906" s="8">
        <v>10</v>
      </c>
      <c r="G906" s="8">
        <v>7</v>
      </c>
      <c r="H906" s="8">
        <v>7</v>
      </c>
      <c r="I906" s="8">
        <v>7</v>
      </c>
    </row>
    <row r="907" spans="1:9">
      <c r="A907" s="8" t="s">
        <v>982</v>
      </c>
      <c r="B907" s="8" t="str">
        <f>VLOOKUP(A907,地区!$B$1:$C$43,2,0)</f>
        <v>华东地区</v>
      </c>
      <c r="C907" s="8" t="s">
        <v>52</v>
      </c>
      <c r="D907" s="8" t="s">
        <v>995</v>
      </c>
      <c r="E907" s="8">
        <v>1</v>
      </c>
      <c r="F907" s="8">
        <v>15</v>
      </c>
      <c r="G907" s="8">
        <v>7</v>
      </c>
      <c r="H907" s="8">
        <v>7</v>
      </c>
      <c r="I907" s="8">
        <v>7</v>
      </c>
    </row>
    <row r="908" spans="1:9">
      <c r="A908" s="8" t="s">
        <v>982</v>
      </c>
      <c r="B908" s="8" t="str">
        <f>VLOOKUP(A908,地区!$B$1:$C$43,2,0)</f>
        <v>华东地区</v>
      </c>
      <c r="C908" s="8" t="s">
        <v>59</v>
      </c>
      <c r="D908" s="8" t="s">
        <v>996</v>
      </c>
      <c r="E908" s="8">
        <v>830</v>
      </c>
      <c r="F908" s="8">
        <v>101</v>
      </c>
      <c r="G908" s="8">
        <v>8.5</v>
      </c>
      <c r="H908" s="8">
        <v>8.7</v>
      </c>
      <c r="I908" s="8">
        <v>8.4</v>
      </c>
    </row>
    <row r="909" spans="1:9">
      <c r="A909" s="8" t="s">
        <v>982</v>
      </c>
      <c r="B909" s="8" t="str">
        <f>VLOOKUP(A909,地区!$B$1:$C$43,2,0)</f>
        <v>华东地区</v>
      </c>
      <c r="C909" s="8" t="s">
        <v>59</v>
      </c>
      <c r="D909" s="8" t="s">
        <v>997</v>
      </c>
      <c r="E909" s="8">
        <v>437</v>
      </c>
      <c r="F909" s="8">
        <v>75</v>
      </c>
      <c r="G909" s="8">
        <v>8.4</v>
      </c>
      <c r="H909" s="8">
        <v>8.2</v>
      </c>
      <c r="I909" s="8">
        <v>7.8</v>
      </c>
    </row>
    <row r="910" spans="1:9">
      <c r="A910" s="8" t="s">
        <v>982</v>
      </c>
      <c r="B910" s="8" t="str">
        <f>VLOOKUP(A910,地区!$B$1:$C$43,2,0)</f>
        <v>华东地区</v>
      </c>
      <c r="C910" s="8" t="s">
        <v>59</v>
      </c>
      <c r="D910" s="8" t="s">
        <v>998</v>
      </c>
      <c r="E910" s="8">
        <v>129</v>
      </c>
      <c r="F910" s="8">
        <v>53</v>
      </c>
      <c r="G910" s="8">
        <v>7.3</v>
      </c>
      <c r="H910" s="8">
        <v>7.6</v>
      </c>
      <c r="I910" s="8">
        <v>7.3</v>
      </c>
    </row>
    <row r="911" spans="1:9">
      <c r="A911" s="8" t="s">
        <v>982</v>
      </c>
      <c r="B911" s="8" t="str">
        <f>VLOOKUP(A911,地区!$B$1:$C$43,2,0)</f>
        <v>华东地区</v>
      </c>
      <c r="C911" s="8" t="s">
        <v>59</v>
      </c>
      <c r="D911" s="8" t="s">
        <v>999</v>
      </c>
      <c r="E911" s="8">
        <v>6</v>
      </c>
      <c r="F911" s="8">
        <v>45</v>
      </c>
      <c r="G911" s="8">
        <v>7.2</v>
      </c>
      <c r="H911" s="8">
        <v>7.1</v>
      </c>
      <c r="I911" s="8">
        <v>7.1</v>
      </c>
    </row>
    <row r="912" spans="1:9">
      <c r="A912" s="8" t="s">
        <v>982</v>
      </c>
      <c r="B912" s="8" t="str">
        <f>VLOOKUP(A912,地区!$B$1:$C$43,2,0)</f>
        <v>华东地区</v>
      </c>
      <c r="C912" s="8" t="s">
        <v>59</v>
      </c>
      <c r="D912" s="8" t="s">
        <v>1000</v>
      </c>
      <c r="E912" s="8">
        <v>5</v>
      </c>
      <c r="F912" s="8">
        <v>42</v>
      </c>
      <c r="G912" s="8">
        <v>7.6</v>
      </c>
      <c r="H912" s="8">
        <v>7</v>
      </c>
      <c r="I912" s="8">
        <v>7.6</v>
      </c>
    </row>
    <row r="913" spans="1:9">
      <c r="A913" s="8" t="s">
        <v>982</v>
      </c>
      <c r="B913" s="8" t="str">
        <f>VLOOKUP(A913,地区!$B$1:$C$43,2,0)</f>
        <v>华东地区</v>
      </c>
      <c r="C913" s="8" t="s">
        <v>59</v>
      </c>
      <c r="D913" s="8" t="s">
        <v>1001</v>
      </c>
      <c r="E913" s="8">
        <v>3</v>
      </c>
      <c r="F913" s="8">
        <v>50</v>
      </c>
      <c r="G913" s="8">
        <v>7.2</v>
      </c>
      <c r="H913" s="8">
        <v>7.4</v>
      </c>
      <c r="I913" s="8">
        <v>7.5</v>
      </c>
    </row>
    <row r="914" spans="1:9">
      <c r="A914" s="8" t="s">
        <v>982</v>
      </c>
      <c r="B914" s="8" t="str">
        <f>VLOOKUP(A914,地区!$B$1:$C$43,2,0)</f>
        <v>华东地区</v>
      </c>
      <c r="C914" s="8" t="s">
        <v>155</v>
      </c>
      <c r="D914" s="8" t="s">
        <v>1002</v>
      </c>
      <c r="E914" s="8">
        <v>1</v>
      </c>
      <c r="F914" s="8">
        <v>15</v>
      </c>
      <c r="G914" s="8">
        <v>7</v>
      </c>
      <c r="H914" s="8">
        <v>7</v>
      </c>
      <c r="I914" s="8">
        <v>7</v>
      </c>
    </row>
    <row r="915" spans="1:9">
      <c r="A915" s="8" t="s">
        <v>982</v>
      </c>
      <c r="B915" s="8" t="str">
        <f>VLOOKUP(A915,地区!$B$1:$C$43,2,0)</f>
        <v>华东地区</v>
      </c>
      <c r="C915" s="8" t="s">
        <v>155</v>
      </c>
      <c r="D915" s="8" t="s">
        <v>1003</v>
      </c>
      <c r="E915" s="8">
        <v>434</v>
      </c>
      <c r="F915" s="8">
        <v>16</v>
      </c>
      <c r="G915" s="8">
        <v>8.4</v>
      </c>
      <c r="H915" s="8">
        <v>8.3</v>
      </c>
      <c r="I915" s="8">
        <v>8.2</v>
      </c>
    </row>
    <row r="916" spans="1:9">
      <c r="A916" s="8" t="s">
        <v>982</v>
      </c>
      <c r="B916" s="8" t="str">
        <f>VLOOKUP(A916,地区!$B$1:$C$43,2,0)</f>
        <v>华东地区</v>
      </c>
      <c r="C916" s="8" t="s">
        <v>79</v>
      </c>
      <c r="D916" s="8" t="s">
        <v>1004</v>
      </c>
      <c r="E916" s="8">
        <v>34</v>
      </c>
      <c r="F916" s="8">
        <v>18</v>
      </c>
      <c r="G916" s="8">
        <v>7.4</v>
      </c>
      <c r="H916" s="8">
        <v>7.3</v>
      </c>
      <c r="I916" s="8">
        <v>7.4</v>
      </c>
    </row>
    <row r="917" spans="1:9">
      <c r="A917" s="8" t="s">
        <v>982</v>
      </c>
      <c r="B917" s="8" t="str">
        <f>VLOOKUP(A917,地区!$B$1:$C$43,2,0)</f>
        <v>华东地区</v>
      </c>
      <c r="C917" s="8" t="s">
        <v>79</v>
      </c>
      <c r="D917" s="8" t="s">
        <v>1005</v>
      </c>
      <c r="E917" s="8">
        <v>5</v>
      </c>
      <c r="F917" s="8">
        <v>73</v>
      </c>
      <c r="G917" s="8">
        <v>7.2</v>
      </c>
      <c r="H917" s="8">
        <v>7.2</v>
      </c>
      <c r="I917" s="8">
        <v>7.2</v>
      </c>
    </row>
    <row r="918" spans="1:9">
      <c r="A918" s="8" t="s">
        <v>982</v>
      </c>
      <c r="B918" s="8" t="str">
        <f>VLOOKUP(A918,地区!$B$1:$C$43,2,0)</f>
        <v>华东地区</v>
      </c>
      <c r="C918" s="8" t="s">
        <v>104</v>
      </c>
      <c r="D918" s="8" t="s">
        <v>1006</v>
      </c>
      <c r="E918" s="8">
        <v>3078</v>
      </c>
      <c r="F918" s="8">
        <v>85</v>
      </c>
      <c r="G918" s="8">
        <v>8.3</v>
      </c>
      <c r="H918" s="8">
        <v>8.6</v>
      </c>
      <c r="I918" s="8">
        <v>8.5</v>
      </c>
    </row>
    <row r="919" spans="1:9">
      <c r="A919" s="8" t="s">
        <v>982</v>
      </c>
      <c r="B919" s="8" t="str">
        <f>VLOOKUP(A919,地区!$B$1:$C$43,2,0)</f>
        <v>华东地区</v>
      </c>
      <c r="C919" s="8" t="s">
        <v>104</v>
      </c>
      <c r="D919" s="8" t="s">
        <v>1007</v>
      </c>
      <c r="E919" s="8">
        <v>66</v>
      </c>
      <c r="F919" s="8">
        <v>86</v>
      </c>
      <c r="G919" s="8">
        <v>7.7</v>
      </c>
      <c r="H919" s="8">
        <v>7.6</v>
      </c>
      <c r="I919" s="8">
        <v>7.5</v>
      </c>
    </row>
    <row r="920" spans="1:9">
      <c r="A920" s="8" t="s">
        <v>982</v>
      </c>
      <c r="B920" s="8" t="str">
        <f>VLOOKUP(A920,地区!$B$1:$C$43,2,0)</f>
        <v>华东地区</v>
      </c>
      <c r="C920" s="8" t="s">
        <v>104</v>
      </c>
      <c r="D920" s="8" t="s">
        <v>1008</v>
      </c>
      <c r="E920" s="8">
        <v>14</v>
      </c>
      <c r="F920" s="8">
        <v>13</v>
      </c>
      <c r="G920" s="8">
        <v>7.2</v>
      </c>
      <c r="H920" s="8">
        <v>7.2</v>
      </c>
      <c r="I920" s="8">
        <v>7.3</v>
      </c>
    </row>
    <row r="921" spans="1:9">
      <c r="A921" s="8" t="s">
        <v>982</v>
      </c>
      <c r="B921" s="8" t="str">
        <f>VLOOKUP(A921,地区!$B$1:$C$43,2,0)</f>
        <v>华东地区</v>
      </c>
      <c r="C921" s="8" t="s">
        <v>104</v>
      </c>
      <c r="D921" s="8" t="s">
        <v>1009</v>
      </c>
      <c r="E921" s="8">
        <v>48</v>
      </c>
      <c r="F921" s="8">
        <v>49</v>
      </c>
      <c r="G921" s="8">
        <v>7.4</v>
      </c>
      <c r="H921" s="8">
        <v>7.6</v>
      </c>
      <c r="I921" s="8">
        <v>7.4</v>
      </c>
    </row>
    <row r="922" spans="1:9">
      <c r="A922" s="8" t="s">
        <v>982</v>
      </c>
      <c r="B922" s="8" t="str">
        <f>VLOOKUP(A922,地区!$B$1:$C$43,2,0)</f>
        <v>华东地区</v>
      </c>
      <c r="C922" s="8" t="s">
        <v>104</v>
      </c>
      <c r="D922" s="8" t="s">
        <v>1010</v>
      </c>
      <c r="E922" s="8">
        <v>19</v>
      </c>
      <c r="F922" s="8">
        <v>46</v>
      </c>
      <c r="G922" s="8">
        <v>7.5</v>
      </c>
      <c r="H922" s="8">
        <v>7.6</v>
      </c>
      <c r="I922" s="8">
        <v>7.3</v>
      </c>
    </row>
    <row r="923" spans="1:9">
      <c r="A923" s="8" t="s">
        <v>982</v>
      </c>
      <c r="B923" s="8" t="str">
        <f>VLOOKUP(A923,地区!$B$1:$C$43,2,0)</f>
        <v>华东地区</v>
      </c>
      <c r="C923" s="8" t="s">
        <v>1011</v>
      </c>
      <c r="D923" s="8" t="s">
        <v>1012</v>
      </c>
      <c r="E923" s="8">
        <v>63</v>
      </c>
      <c r="F923" s="8">
        <v>62</v>
      </c>
      <c r="G923" s="8">
        <v>7.9</v>
      </c>
      <c r="H923" s="8">
        <v>8.1</v>
      </c>
      <c r="I923" s="8">
        <v>8.6</v>
      </c>
    </row>
    <row r="924" spans="1:9">
      <c r="A924" s="8" t="s">
        <v>982</v>
      </c>
      <c r="B924" s="8" t="str">
        <f>VLOOKUP(A924,地区!$B$1:$C$43,2,0)</f>
        <v>华东地区</v>
      </c>
      <c r="C924" s="8" t="s">
        <v>1011</v>
      </c>
      <c r="D924" s="8" t="s">
        <v>1013</v>
      </c>
      <c r="E924" s="8">
        <v>42</v>
      </c>
      <c r="F924" s="8">
        <v>97</v>
      </c>
      <c r="G924" s="8">
        <v>8.7</v>
      </c>
      <c r="H924" s="8">
        <v>8.7</v>
      </c>
      <c r="I924" s="8">
        <v>8.5</v>
      </c>
    </row>
    <row r="925" spans="1:9">
      <c r="A925" s="8" t="s">
        <v>982</v>
      </c>
      <c r="B925" s="8" t="str">
        <f>VLOOKUP(A925,地区!$B$1:$C$43,2,0)</f>
        <v>华东地区</v>
      </c>
      <c r="C925" s="8" t="s">
        <v>1011</v>
      </c>
      <c r="D925" s="8" t="s">
        <v>1014</v>
      </c>
      <c r="E925" s="8">
        <v>158</v>
      </c>
      <c r="F925" s="8">
        <v>104</v>
      </c>
      <c r="G925" s="8">
        <v>8.4</v>
      </c>
      <c r="H925" s="8">
        <v>8.5</v>
      </c>
      <c r="I925" s="8">
        <v>8.8</v>
      </c>
    </row>
    <row r="926" spans="1:9">
      <c r="A926" s="8" t="s">
        <v>982</v>
      </c>
      <c r="B926" s="8" t="str">
        <f>VLOOKUP(A926,地区!$B$1:$C$43,2,0)</f>
        <v>华东地区</v>
      </c>
      <c r="C926" s="8" t="s">
        <v>1011</v>
      </c>
      <c r="D926" s="8" t="s">
        <v>1015</v>
      </c>
      <c r="E926" s="8">
        <v>223</v>
      </c>
      <c r="F926" s="8">
        <v>81</v>
      </c>
      <c r="G926" s="8">
        <v>8.1</v>
      </c>
      <c r="H926" s="8">
        <v>7.7</v>
      </c>
      <c r="I926" s="8">
        <v>8</v>
      </c>
    </row>
    <row r="927" spans="1:9">
      <c r="A927" s="8" t="s">
        <v>982</v>
      </c>
      <c r="B927" s="8" t="str">
        <f>VLOOKUP(A927,地区!$B$1:$C$43,2,0)</f>
        <v>华东地区</v>
      </c>
      <c r="C927" s="8" t="s">
        <v>1011</v>
      </c>
      <c r="D927" s="8" t="s">
        <v>1016</v>
      </c>
      <c r="E927" s="8">
        <v>36</v>
      </c>
      <c r="F927" s="8">
        <v>150</v>
      </c>
      <c r="G927" s="8">
        <v>7.2</v>
      </c>
      <c r="H927" s="8">
        <v>7.8</v>
      </c>
      <c r="I927" s="8">
        <v>7.4</v>
      </c>
    </row>
    <row r="928" spans="1:9">
      <c r="A928" s="8" t="s">
        <v>982</v>
      </c>
      <c r="B928" s="8" t="str">
        <f>VLOOKUP(A928,地区!$B$1:$C$43,2,0)</f>
        <v>华东地区</v>
      </c>
      <c r="C928" s="8" t="s">
        <v>1011</v>
      </c>
      <c r="D928" s="8" t="s">
        <v>1017</v>
      </c>
      <c r="E928" s="8">
        <v>6</v>
      </c>
      <c r="F928" s="8">
        <v>42</v>
      </c>
      <c r="G928" s="8">
        <v>7.4</v>
      </c>
      <c r="H928" s="8">
        <v>7.2</v>
      </c>
      <c r="I928" s="8">
        <v>7.3</v>
      </c>
    </row>
    <row r="929" spans="1:9">
      <c r="A929" s="8" t="s">
        <v>1018</v>
      </c>
      <c r="B929" s="8" t="str">
        <f>VLOOKUP(A929,地区!$B$1:$C$43,2,0)</f>
        <v>华中地区</v>
      </c>
      <c r="C929" s="8" t="s">
        <v>45</v>
      </c>
      <c r="D929" s="8" t="s">
        <v>1019</v>
      </c>
      <c r="E929" s="8">
        <v>58</v>
      </c>
      <c r="F929" s="8">
        <v>57</v>
      </c>
      <c r="G929" s="8">
        <v>7.6</v>
      </c>
      <c r="H929" s="8">
        <v>7.9</v>
      </c>
      <c r="I929" s="8">
        <v>8</v>
      </c>
    </row>
    <row r="930" spans="1:9">
      <c r="A930" s="8" t="s">
        <v>1018</v>
      </c>
      <c r="B930" s="8" t="str">
        <f>VLOOKUP(A930,地区!$B$1:$C$43,2,0)</f>
        <v>华中地区</v>
      </c>
      <c r="C930" s="8" t="s">
        <v>45</v>
      </c>
      <c r="D930" s="8" t="s">
        <v>1020</v>
      </c>
      <c r="E930" s="8">
        <v>66</v>
      </c>
      <c r="F930" s="8">
        <v>57</v>
      </c>
      <c r="G930" s="8">
        <v>7.6</v>
      </c>
      <c r="H930" s="8">
        <v>7.7</v>
      </c>
      <c r="I930" s="8">
        <v>7.6</v>
      </c>
    </row>
    <row r="931" spans="1:9">
      <c r="A931" s="8" t="s">
        <v>1018</v>
      </c>
      <c r="B931" s="8" t="str">
        <f>VLOOKUP(A931,地区!$B$1:$C$43,2,0)</f>
        <v>华中地区</v>
      </c>
      <c r="C931" s="8" t="s">
        <v>45</v>
      </c>
      <c r="D931" s="8" t="s">
        <v>1021</v>
      </c>
      <c r="E931" s="8">
        <v>50</v>
      </c>
      <c r="F931" s="8">
        <v>48</v>
      </c>
      <c r="G931" s="8">
        <v>7.3</v>
      </c>
      <c r="H931" s="8">
        <v>7.2</v>
      </c>
      <c r="I931" s="8">
        <v>7.2</v>
      </c>
    </row>
    <row r="932" spans="1:9">
      <c r="A932" s="8" t="s">
        <v>1018</v>
      </c>
      <c r="B932" s="8" t="str">
        <f>VLOOKUP(A932,地区!$B$1:$C$43,2,0)</f>
        <v>华中地区</v>
      </c>
      <c r="C932" s="8" t="s">
        <v>24</v>
      </c>
      <c r="D932" s="8" t="s">
        <v>1022</v>
      </c>
      <c r="E932" s="8">
        <v>85</v>
      </c>
      <c r="F932" s="8">
        <v>21</v>
      </c>
      <c r="G932" s="8">
        <v>7.6</v>
      </c>
      <c r="H932" s="8">
        <v>7.6</v>
      </c>
      <c r="I932" s="8">
        <v>7.7</v>
      </c>
    </row>
    <row r="933" spans="1:9">
      <c r="A933" s="8" t="s">
        <v>1018</v>
      </c>
      <c r="B933" s="8" t="str">
        <f>VLOOKUP(A933,地区!$B$1:$C$43,2,0)</f>
        <v>华中地区</v>
      </c>
      <c r="C933" s="8" t="s">
        <v>24</v>
      </c>
      <c r="D933" s="8" t="s">
        <v>1023</v>
      </c>
      <c r="E933" s="8">
        <v>161</v>
      </c>
      <c r="F933" s="8">
        <v>30</v>
      </c>
      <c r="G933" s="8">
        <v>7.1</v>
      </c>
      <c r="H933" s="8">
        <v>7.6</v>
      </c>
      <c r="I933" s="8">
        <v>7.3</v>
      </c>
    </row>
    <row r="934" spans="1:9">
      <c r="A934" s="8" t="s">
        <v>1018</v>
      </c>
      <c r="B934" s="8" t="str">
        <f>VLOOKUP(A934,地区!$B$1:$C$43,2,0)</f>
        <v>华中地区</v>
      </c>
      <c r="C934" s="8" t="s">
        <v>24</v>
      </c>
      <c r="D934" s="8" t="s">
        <v>1024</v>
      </c>
      <c r="E934" s="8">
        <v>39</v>
      </c>
      <c r="F934" s="8">
        <v>9</v>
      </c>
      <c r="G934" s="8">
        <v>7.1</v>
      </c>
      <c r="H934" s="8">
        <v>6.7</v>
      </c>
      <c r="I934" s="8">
        <v>6.8</v>
      </c>
    </row>
    <row r="935" spans="1:9">
      <c r="A935" s="8" t="s">
        <v>1018</v>
      </c>
      <c r="B935" s="8" t="str">
        <f>VLOOKUP(A935,地区!$B$1:$C$43,2,0)</f>
        <v>华中地区</v>
      </c>
      <c r="C935" s="8" t="s">
        <v>24</v>
      </c>
      <c r="D935" s="8" t="s">
        <v>1025</v>
      </c>
      <c r="E935" s="8">
        <v>5</v>
      </c>
      <c r="F935" s="8">
        <v>12</v>
      </c>
      <c r="G935" s="8">
        <v>7.1</v>
      </c>
      <c r="H935" s="8">
        <v>7</v>
      </c>
      <c r="I935" s="8">
        <v>7</v>
      </c>
    </row>
    <row r="936" spans="1:9">
      <c r="A936" s="8" t="s">
        <v>1018</v>
      </c>
      <c r="B936" s="8" t="str">
        <f>VLOOKUP(A936,地区!$B$1:$C$43,2,0)</f>
        <v>华中地区</v>
      </c>
      <c r="C936" s="8" t="s">
        <v>33</v>
      </c>
      <c r="D936" s="8" t="s">
        <v>1026</v>
      </c>
      <c r="E936" s="8">
        <v>31</v>
      </c>
      <c r="F936" s="8">
        <v>13</v>
      </c>
      <c r="G936" s="8">
        <v>7.3</v>
      </c>
      <c r="H936" s="8">
        <v>7.4</v>
      </c>
      <c r="I936" s="8">
        <v>7.4</v>
      </c>
    </row>
    <row r="937" spans="1:9">
      <c r="A937" s="8" t="s">
        <v>1018</v>
      </c>
      <c r="B937" s="8" t="str">
        <f>VLOOKUP(A937,地区!$B$1:$C$43,2,0)</f>
        <v>华中地区</v>
      </c>
      <c r="C937" s="8" t="s">
        <v>33</v>
      </c>
      <c r="D937" s="8" t="s">
        <v>1027</v>
      </c>
      <c r="E937" s="8">
        <v>25</v>
      </c>
      <c r="F937" s="8">
        <v>26</v>
      </c>
      <c r="G937" s="8">
        <v>7.3</v>
      </c>
      <c r="H937" s="8">
        <v>7.2</v>
      </c>
      <c r="I937" s="8">
        <v>7.2</v>
      </c>
    </row>
    <row r="938" spans="1:9">
      <c r="A938" s="8" t="s">
        <v>1018</v>
      </c>
      <c r="B938" s="8" t="str">
        <f>VLOOKUP(A938,地区!$B$1:$C$43,2,0)</f>
        <v>华中地区</v>
      </c>
      <c r="C938" s="8" t="s">
        <v>33</v>
      </c>
      <c r="D938" s="8" t="s">
        <v>1028</v>
      </c>
      <c r="E938" s="8">
        <v>13</v>
      </c>
      <c r="F938" s="8">
        <v>22</v>
      </c>
      <c r="G938" s="8">
        <v>7.1</v>
      </c>
      <c r="H938" s="8">
        <v>7.2</v>
      </c>
      <c r="I938" s="8">
        <v>7.1</v>
      </c>
    </row>
    <row r="939" spans="1:9">
      <c r="A939" s="8" t="s">
        <v>1018</v>
      </c>
      <c r="B939" s="8" t="str">
        <f>VLOOKUP(A939,地区!$B$1:$C$43,2,0)</f>
        <v>华中地区</v>
      </c>
      <c r="C939" s="8" t="s">
        <v>271</v>
      </c>
      <c r="D939" s="8" t="s">
        <v>1029</v>
      </c>
      <c r="E939" s="8">
        <v>17</v>
      </c>
      <c r="F939" s="8">
        <v>55</v>
      </c>
      <c r="G939" s="8">
        <v>7.3</v>
      </c>
      <c r="H939" s="8">
        <v>7.3</v>
      </c>
      <c r="I939" s="8">
        <v>7.2</v>
      </c>
    </row>
    <row r="940" spans="1:9">
      <c r="A940" s="8" t="s">
        <v>1018</v>
      </c>
      <c r="B940" s="8" t="str">
        <f>VLOOKUP(A940,地区!$B$1:$C$43,2,0)</f>
        <v>华中地区</v>
      </c>
      <c r="C940" s="8" t="s">
        <v>271</v>
      </c>
      <c r="D940" s="8" t="s">
        <v>1030</v>
      </c>
      <c r="E940" s="8">
        <v>60</v>
      </c>
      <c r="F940" s="8">
        <v>58</v>
      </c>
      <c r="G940" s="8">
        <v>6.6</v>
      </c>
      <c r="H940" s="8">
        <v>6.8</v>
      </c>
      <c r="I940" s="8">
        <v>6.4</v>
      </c>
    </row>
    <row r="941" spans="1:9">
      <c r="A941" s="8" t="s">
        <v>1018</v>
      </c>
      <c r="B941" s="8" t="str">
        <f>VLOOKUP(A941,地区!$B$1:$C$43,2,0)</f>
        <v>华中地区</v>
      </c>
      <c r="C941" s="8" t="s">
        <v>271</v>
      </c>
      <c r="D941" s="8" t="s">
        <v>1031</v>
      </c>
      <c r="E941" s="8">
        <v>35</v>
      </c>
      <c r="F941" s="8">
        <v>94</v>
      </c>
      <c r="G941" s="8">
        <v>7.3</v>
      </c>
      <c r="H941" s="8">
        <v>7</v>
      </c>
      <c r="I941" s="8">
        <v>7.3</v>
      </c>
    </row>
    <row r="942" spans="1:9">
      <c r="A942" s="8" t="s">
        <v>1018</v>
      </c>
      <c r="B942" s="8" t="str">
        <f>VLOOKUP(A942,地区!$B$1:$C$43,2,0)</f>
        <v>华中地区</v>
      </c>
      <c r="C942" s="8" t="s">
        <v>271</v>
      </c>
      <c r="D942" s="8" t="s">
        <v>1032</v>
      </c>
      <c r="E942" s="8">
        <v>1</v>
      </c>
      <c r="F942" s="8">
        <v>60</v>
      </c>
      <c r="G942" s="8">
        <v>7.2</v>
      </c>
      <c r="H942" s="8">
        <v>7.2</v>
      </c>
      <c r="I942" s="8">
        <v>7.2</v>
      </c>
    </row>
    <row r="943" spans="1:9">
      <c r="A943" s="8" t="s">
        <v>1018</v>
      </c>
      <c r="B943" s="8" t="str">
        <f>VLOOKUP(A943,地区!$B$1:$C$43,2,0)</f>
        <v>华中地区</v>
      </c>
      <c r="C943" s="8" t="s">
        <v>271</v>
      </c>
      <c r="D943" s="8" t="s">
        <v>1033</v>
      </c>
      <c r="E943" s="8">
        <v>21</v>
      </c>
      <c r="F943" s="8">
        <v>24</v>
      </c>
      <c r="G943" s="8">
        <v>7</v>
      </c>
      <c r="H943" s="8">
        <v>7.1</v>
      </c>
      <c r="I943" s="8">
        <v>7.2</v>
      </c>
    </row>
    <row r="944" spans="1:9">
      <c r="A944" s="8" t="s">
        <v>1018</v>
      </c>
      <c r="B944" s="8" t="str">
        <f>VLOOKUP(A944,地区!$B$1:$C$43,2,0)</f>
        <v>华中地区</v>
      </c>
      <c r="C944" s="8" t="s">
        <v>271</v>
      </c>
      <c r="D944" s="8" t="s">
        <v>1034</v>
      </c>
      <c r="E944" s="8">
        <v>74</v>
      </c>
      <c r="F944" s="8">
        <v>51</v>
      </c>
      <c r="G944" s="8">
        <v>6.8</v>
      </c>
      <c r="H944" s="8">
        <v>6.8</v>
      </c>
      <c r="I944" s="8">
        <v>6.9</v>
      </c>
    </row>
    <row r="945" spans="1:9">
      <c r="A945" s="8" t="s">
        <v>1018</v>
      </c>
      <c r="B945" s="8" t="str">
        <f>VLOOKUP(A945,地区!$B$1:$C$43,2,0)</f>
        <v>华中地区</v>
      </c>
      <c r="C945" s="8" t="s">
        <v>271</v>
      </c>
      <c r="D945" s="8" t="s">
        <v>1035</v>
      </c>
      <c r="E945" s="8">
        <v>12</v>
      </c>
      <c r="F945" s="8">
        <v>49</v>
      </c>
      <c r="G945" s="8">
        <v>6.7</v>
      </c>
      <c r="H945" s="8">
        <v>6.7</v>
      </c>
      <c r="I945" s="8">
        <v>6.8</v>
      </c>
    </row>
    <row r="946" spans="1:9">
      <c r="A946" s="8" t="s">
        <v>1018</v>
      </c>
      <c r="B946" s="8" t="str">
        <f>VLOOKUP(A946,地区!$B$1:$C$43,2,0)</f>
        <v>华中地区</v>
      </c>
      <c r="C946" s="8" t="s">
        <v>15</v>
      </c>
      <c r="D946" s="8" t="s">
        <v>1036</v>
      </c>
      <c r="E946" s="8">
        <v>7</v>
      </c>
      <c r="F946" s="8">
        <v>34</v>
      </c>
      <c r="G946" s="8">
        <v>6.7</v>
      </c>
      <c r="H946" s="8">
        <v>6.7</v>
      </c>
      <c r="I946" s="8">
        <v>6.7</v>
      </c>
    </row>
    <row r="947" spans="1:9">
      <c r="A947" s="8" t="s">
        <v>1018</v>
      </c>
      <c r="B947" s="8" t="str">
        <f>VLOOKUP(A947,地区!$B$1:$C$43,2,0)</f>
        <v>华中地区</v>
      </c>
      <c r="C947" s="8" t="s">
        <v>15</v>
      </c>
      <c r="D947" s="8" t="s">
        <v>1037</v>
      </c>
      <c r="E947" s="8">
        <v>87</v>
      </c>
      <c r="F947" s="8">
        <v>52</v>
      </c>
      <c r="G947" s="8">
        <v>7.4</v>
      </c>
      <c r="H947" s="8">
        <v>7.3</v>
      </c>
      <c r="I947" s="8">
        <v>7.3</v>
      </c>
    </row>
    <row r="948" spans="1:9">
      <c r="A948" s="8" t="s">
        <v>1018</v>
      </c>
      <c r="B948" s="8" t="str">
        <f>VLOOKUP(A948,地区!$B$1:$C$43,2,0)</f>
        <v>华中地区</v>
      </c>
      <c r="C948" s="8" t="s">
        <v>59</v>
      </c>
      <c r="D948" s="8" t="s">
        <v>1038</v>
      </c>
      <c r="E948" s="8">
        <v>295</v>
      </c>
      <c r="F948" s="8">
        <v>74</v>
      </c>
      <c r="G948" s="8">
        <v>8</v>
      </c>
      <c r="H948" s="8">
        <v>8.8</v>
      </c>
      <c r="I948" s="8">
        <v>8.5</v>
      </c>
    </row>
    <row r="949" spans="1:9">
      <c r="A949" s="8" t="s">
        <v>1018</v>
      </c>
      <c r="B949" s="8" t="str">
        <f>VLOOKUP(A949,地区!$B$1:$C$43,2,0)</f>
        <v>华中地区</v>
      </c>
      <c r="C949" s="8" t="s">
        <v>59</v>
      </c>
      <c r="D949" s="8" t="s">
        <v>1039</v>
      </c>
      <c r="E949" s="8">
        <v>84</v>
      </c>
      <c r="F949" s="8">
        <v>68</v>
      </c>
      <c r="G949" s="8">
        <v>8.5</v>
      </c>
      <c r="H949" s="8">
        <v>8.4</v>
      </c>
      <c r="I949" s="8">
        <v>8.4</v>
      </c>
    </row>
    <row r="950" spans="1:9">
      <c r="A950" s="8" t="s">
        <v>1018</v>
      </c>
      <c r="B950" s="8" t="str">
        <f>VLOOKUP(A950,地区!$B$1:$C$43,2,0)</f>
        <v>华中地区</v>
      </c>
      <c r="C950" s="8" t="s">
        <v>59</v>
      </c>
      <c r="D950" s="8" t="s">
        <v>1040</v>
      </c>
      <c r="E950" s="8">
        <v>232</v>
      </c>
      <c r="F950" s="8">
        <v>75</v>
      </c>
      <c r="G950" s="8">
        <v>8</v>
      </c>
      <c r="H950" s="8">
        <v>7.9</v>
      </c>
      <c r="I950" s="8">
        <v>8</v>
      </c>
    </row>
    <row r="951" spans="1:9">
      <c r="A951" s="8" t="s">
        <v>1018</v>
      </c>
      <c r="B951" s="8" t="str">
        <f>VLOOKUP(A951,地区!$B$1:$C$43,2,0)</f>
        <v>华中地区</v>
      </c>
      <c r="C951" s="8" t="s">
        <v>59</v>
      </c>
      <c r="D951" s="8" t="s">
        <v>1041</v>
      </c>
      <c r="E951" s="8">
        <v>275</v>
      </c>
      <c r="F951" s="8">
        <v>208</v>
      </c>
      <c r="G951" s="8">
        <v>7.9</v>
      </c>
      <c r="H951" s="8">
        <v>7.6</v>
      </c>
      <c r="I951" s="8">
        <v>7.9</v>
      </c>
    </row>
    <row r="952" spans="1:9">
      <c r="A952" s="8" t="s">
        <v>1018</v>
      </c>
      <c r="B952" s="8" t="str">
        <f>VLOOKUP(A952,地区!$B$1:$C$43,2,0)</f>
        <v>华中地区</v>
      </c>
      <c r="C952" s="8" t="s">
        <v>59</v>
      </c>
      <c r="D952" s="8" t="s">
        <v>1042</v>
      </c>
      <c r="E952" s="8">
        <v>1370</v>
      </c>
      <c r="F952" s="8">
        <v>60</v>
      </c>
      <c r="G952" s="8">
        <v>8.9</v>
      </c>
      <c r="H952" s="8">
        <v>8.5</v>
      </c>
      <c r="I952" s="8">
        <v>8.7</v>
      </c>
    </row>
    <row r="953" spans="1:9">
      <c r="A953" s="8" t="s">
        <v>1018</v>
      </c>
      <c r="B953" s="8" t="str">
        <f>VLOOKUP(A953,地区!$B$1:$C$43,2,0)</f>
        <v>华中地区</v>
      </c>
      <c r="C953" s="8" t="s">
        <v>59</v>
      </c>
      <c r="D953" s="8" t="s">
        <v>1043</v>
      </c>
      <c r="E953" s="8">
        <v>143</v>
      </c>
      <c r="F953" s="8">
        <v>102</v>
      </c>
      <c r="G953" s="8">
        <v>8</v>
      </c>
      <c r="H953" s="8">
        <v>7.8</v>
      </c>
      <c r="I953" s="8">
        <v>7.9</v>
      </c>
    </row>
    <row r="954" spans="1:9">
      <c r="A954" s="8" t="s">
        <v>1018</v>
      </c>
      <c r="B954" s="8" t="str">
        <f>VLOOKUP(A954,地区!$B$1:$C$43,2,0)</f>
        <v>华中地区</v>
      </c>
      <c r="C954" s="8" t="s">
        <v>59</v>
      </c>
      <c r="D954" s="8" t="s">
        <v>1044</v>
      </c>
      <c r="E954" s="8">
        <v>606</v>
      </c>
      <c r="F954" s="8">
        <v>53</v>
      </c>
      <c r="G954" s="8">
        <v>8.5</v>
      </c>
      <c r="H954" s="8">
        <v>7.7</v>
      </c>
      <c r="I954" s="8">
        <v>8.1</v>
      </c>
    </row>
    <row r="955" spans="1:9">
      <c r="A955" s="8" t="s">
        <v>1018</v>
      </c>
      <c r="B955" s="8" t="str">
        <f>VLOOKUP(A955,地区!$B$1:$C$43,2,0)</f>
        <v>华中地区</v>
      </c>
      <c r="C955" s="8" t="s">
        <v>59</v>
      </c>
      <c r="D955" s="8" t="s">
        <v>1045</v>
      </c>
      <c r="E955" s="8">
        <v>164</v>
      </c>
      <c r="F955" s="8">
        <v>95</v>
      </c>
      <c r="G955" s="8">
        <v>8.3</v>
      </c>
      <c r="H955" s="8">
        <v>8.6</v>
      </c>
      <c r="I955" s="8">
        <v>8.4</v>
      </c>
    </row>
    <row r="956" spans="1:9">
      <c r="A956" s="8" t="s">
        <v>1018</v>
      </c>
      <c r="B956" s="8" t="str">
        <f>VLOOKUP(A956,地区!$B$1:$C$43,2,0)</f>
        <v>华中地区</v>
      </c>
      <c r="C956" s="8" t="s">
        <v>59</v>
      </c>
      <c r="D956" s="8" t="s">
        <v>1046</v>
      </c>
      <c r="E956" s="8">
        <v>1661</v>
      </c>
      <c r="F956" s="8">
        <v>62</v>
      </c>
      <c r="G956" s="8">
        <v>7.3</v>
      </c>
      <c r="H956" s="8">
        <v>7.4</v>
      </c>
      <c r="I956" s="8">
        <v>7.1</v>
      </c>
    </row>
    <row r="957" spans="1:9">
      <c r="A957" s="8" t="s">
        <v>1018</v>
      </c>
      <c r="B957" s="8" t="str">
        <f>VLOOKUP(A957,地区!$B$1:$C$43,2,0)</f>
        <v>华中地区</v>
      </c>
      <c r="C957" s="8" t="s">
        <v>59</v>
      </c>
      <c r="D957" s="8" t="s">
        <v>1047</v>
      </c>
      <c r="E957" s="8">
        <v>158</v>
      </c>
      <c r="F957" s="8">
        <v>88</v>
      </c>
      <c r="G957" s="8">
        <v>7.3</v>
      </c>
      <c r="H957" s="8">
        <v>7.3</v>
      </c>
      <c r="I957" s="8">
        <v>7.1</v>
      </c>
    </row>
    <row r="958" spans="1:9">
      <c r="A958" s="8" t="s">
        <v>1018</v>
      </c>
      <c r="B958" s="8" t="str">
        <f>VLOOKUP(A958,地区!$B$1:$C$43,2,0)</f>
        <v>华中地区</v>
      </c>
      <c r="C958" s="8" t="s">
        <v>59</v>
      </c>
      <c r="D958" s="8" t="s">
        <v>1048</v>
      </c>
      <c r="E958" s="8">
        <v>2375</v>
      </c>
      <c r="F958" s="8">
        <v>45</v>
      </c>
      <c r="G958" s="8">
        <v>7.5</v>
      </c>
      <c r="H958" s="8">
        <v>7.4</v>
      </c>
      <c r="I958" s="8">
        <v>7.4</v>
      </c>
    </row>
    <row r="959" spans="1:9">
      <c r="A959" s="8" t="s">
        <v>1018</v>
      </c>
      <c r="B959" s="8" t="str">
        <f>VLOOKUP(A959,地区!$B$1:$C$43,2,0)</f>
        <v>华中地区</v>
      </c>
      <c r="C959" s="8" t="s">
        <v>59</v>
      </c>
      <c r="D959" s="8" t="s">
        <v>1049</v>
      </c>
      <c r="E959" s="8">
        <v>21</v>
      </c>
      <c r="F959" s="8">
        <v>66</v>
      </c>
      <c r="G959" s="8">
        <v>7.1</v>
      </c>
      <c r="H959" s="8">
        <v>7.4</v>
      </c>
      <c r="I959" s="8">
        <v>7.4</v>
      </c>
    </row>
    <row r="960" spans="1:9">
      <c r="A960" s="8" t="s">
        <v>1018</v>
      </c>
      <c r="B960" s="8" t="str">
        <f>VLOOKUP(A960,地区!$B$1:$C$43,2,0)</f>
        <v>华中地区</v>
      </c>
      <c r="C960" s="8" t="s">
        <v>55</v>
      </c>
      <c r="D960" s="8" t="s">
        <v>1050</v>
      </c>
      <c r="E960" s="8">
        <v>62</v>
      </c>
      <c r="F960" s="8">
        <v>78</v>
      </c>
      <c r="G960" s="8">
        <v>7.6</v>
      </c>
      <c r="H960" s="8">
        <v>7.4</v>
      </c>
      <c r="I960" s="8">
        <v>7.5</v>
      </c>
    </row>
    <row r="961" spans="1:9">
      <c r="A961" s="8" t="s">
        <v>1018</v>
      </c>
      <c r="B961" s="8" t="str">
        <f>VLOOKUP(A961,地区!$B$1:$C$43,2,0)</f>
        <v>华中地区</v>
      </c>
      <c r="C961" s="8" t="s">
        <v>55</v>
      </c>
      <c r="D961" s="8" t="s">
        <v>1051</v>
      </c>
      <c r="E961" s="8">
        <v>31</v>
      </c>
      <c r="F961" s="8">
        <v>30</v>
      </c>
      <c r="G961" s="8">
        <v>7.1</v>
      </c>
      <c r="H961" s="8">
        <v>6.9</v>
      </c>
      <c r="I961" s="8">
        <v>7.1</v>
      </c>
    </row>
    <row r="962" spans="1:9">
      <c r="A962" s="8" t="s">
        <v>1018</v>
      </c>
      <c r="B962" s="8" t="str">
        <f>VLOOKUP(A962,地区!$B$1:$C$43,2,0)</f>
        <v>华中地区</v>
      </c>
      <c r="C962" s="8" t="s">
        <v>55</v>
      </c>
      <c r="D962" s="8" t="s">
        <v>1052</v>
      </c>
      <c r="E962" s="8">
        <v>3</v>
      </c>
      <c r="F962" s="8">
        <v>40</v>
      </c>
      <c r="G962" s="8">
        <v>7.1</v>
      </c>
      <c r="H962" s="8">
        <v>7.1</v>
      </c>
      <c r="I962" s="8">
        <v>6.9</v>
      </c>
    </row>
    <row r="963" spans="1:9">
      <c r="A963" s="8" t="s">
        <v>1018</v>
      </c>
      <c r="B963" s="8" t="str">
        <f>VLOOKUP(A963,地区!$B$1:$C$43,2,0)</f>
        <v>华中地区</v>
      </c>
      <c r="C963" s="8" t="s">
        <v>55</v>
      </c>
      <c r="D963" s="8" t="s">
        <v>1053</v>
      </c>
      <c r="E963" s="8">
        <v>16</v>
      </c>
      <c r="F963" s="8">
        <v>42</v>
      </c>
      <c r="G963" s="8">
        <v>7.5</v>
      </c>
      <c r="H963" s="8">
        <v>7.5</v>
      </c>
      <c r="I963" s="8">
        <v>7.5</v>
      </c>
    </row>
    <row r="964" spans="1:9">
      <c r="A964" s="8" t="s">
        <v>1018</v>
      </c>
      <c r="B964" s="8" t="str">
        <f>VLOOKUP(A964,地区!$B$1:$C$43,2,0)</f>
        <v>华中地区</v>
      </c>
      <c r="C964" s="8" t="s">
        <v>233</v>
      </c>
      <c r="D964" s="8" t="s">
        <v>1054</v>
      </c>
      <c r="E964" s="8">
        <v>492</v>
      </c>
      <c r="F964" s="8">
        <v>64</v>
      </c>
      <c r="G964" s="8">
        <v>8.4</v>
      </c>
      <c r="H964" s="8">
        <v>8.2</v>
      </c>
      <c r="I964" s="8">
        <v>8.2</v>
      </c>
    </row>
    <row r="965" spans="1:9">
      <c r="A965" s="8" t="s">
        <v>1018</v>
      </c>
      <c r="B965" s="8" t="str">
        <f>VLOOKUP(A965,地区!$B$1:$C$43,2,0)</f>
        <v>华中地区</v>
      </c>
      <c r="C965" s="8" t="s">
        <v>233</v>
      </c>
      <c r="D965" s="8" t="s">
        <v>1055</v>
      </c>
      <c r="E965" s="8">
        <v>39</v>
      </c>
      <c r="F965" s="8">
        <v>41</v>
      </c>
      <c r="G965" s="8">
        <v>8.6</v>
      </c>
      <c r="H965" s="8">
        <v>7.8</v>
      </c>
      <c r="I965" s="8">
        <v>8.4</v>
      </c>
    </row>
    <row r="966" spans="1:9">
      <c r="A966" s="8" t="s">
        <v>1018</v>
      </c>
      <c r="B966" s="8" t="str">
        <f>VLOOKUP(A966,地区!$B$1:$C$43,2,0)</f>
        <v>华中地区</v>
      </c>
      <c r="C966" s="8" t="s">
        <v>233</v>
      </c>
      <c r="D966" s="8" t="s">
        <v>1056</v>
      </c>
      <c r="E966" s="8">
        <v>980</v>
      </c>
      <c r="F966" s="8">
        <v>65</v>
      </c>
      <c r="G966" s="8">
        <v>8.2</v>
      </c>
      <c r="H966" s="8">
        <v>8.7</v>
      </c>
      <c r="I966" s="8">
        <v>8.4</v>
      </c>
    </row>
    <row r="967" spans="1:9">
      <c r="A967" s="8" t="s">
        <v>1018</v>
      </c>
      <c r="B967" s="8" t="str">
        <f>VLOOKUP(A967,地区!$B$1:$C$43,2,0)</f>
        <v>华中地区</v>
      </c>
      <c r="C967" s="8" t="s">
        <v>233</v>
      </c>
      <c r="D967" s="8" t="s">
        <v>1057</v>
      </c>
      <c r="E967" s="8">
        <v>525</v>
      </c>
      <c r="F967" s="8">
        <v>68</v>
      </c>
      <c r="G967" s="8">
        <v>7.3</v>
      </c>
      <c r="H967" s="8">
        <v>7.6</v>
      </c>
      <c r="I967" s="8">
        <v>7.3</v>
      </c>
    </row>
    <row r="968" spans="1:9">
      <c r="A968" s="8" t="s">
        <v>1018</v>
      </c>
      <c r="B968" s="8" t="str">
        <f>VLOOKUP(A968,地区!$B$1:$C$43,2,0)</f>
        <v>华中地区</v>
      </c>
      <c r="C968" s="8" t="s">
        <v>233</v>
      </c>
      <c r="D968" s="8" t="s">
        <v>1058</v>
      </c>
      <c r="E968" s="8">
        <v>10</v>
      </c>
      <c r="F968" s="8">
        <v>62</v>
      </c>
      <c r="G968" s="8">
        <v>7.1</v>
      </c>
      <c r="H968" s="8">
        <v>7.3</v>
      </c>
      <c r="I968" s="8">
        <v>7.2</v>
      </c>
    </row>
    <row r="969" spans="1:9">
      <c r="A969" s="8" t="s">
        <v>1018</v>
      </c>
      <c r="B969" s="8" t="str">
        <f>VLOOKUP(A969,地区!$B$1:$C$43,2,0)</f>
        <v>华中地区</v>
      </c>
      <c r="C969" s="8" t="s">
        <v>233</v>
      </c>
      <c r="D969" s="8" t="s">
        <v>1059</v>
      </c>
      <c r="E969" s="8">
        <v>12</v>
      </c>
      <c r="F969" s="8">
        <v>59</v>
      </c>
      <c r="G969" s="8">
        <v>7.3</v>
      </c>
      <c r="H969" s="8">
        <v>6.9</v>
      </c>
      <c r="I969" s="8">
        <v>6.9</v>
      </c>
    </row>
    <row r="970" spans="1:9">
      <c r="A970" s="8" t="s">
        <v>1018</v>
      </c>
      <c r="B970" s="8" t="str">
        <f>VLOOKUP(A970,地区!$B$1:$C$43,2,0)</f>
        <v>华中地区</v>
      </c>
      <c r="C970" s="8" t="s">
        <v>155</v>
      </c>
      <c r="D970" s="8" t="s">
        <v>1060</v>
      </c>
      <c r="E970" s="8">
        <v>30</v>
      </c>
      <c r="F970" s="8">
        <v>118</v>
      </c>
      <c r="G970" s="8">
        <v>7.2</v>
      </c>
      <c r="H970" s="8">
        <v>7.5</v>
      </c>
      <c r="I970" s="8">
        <v>7.5</v>
      </c>
    </row>
    <row r="971" spans="1:9">
      <c r="A971" s="8" t="s">
        <v>1018</v>
      </c>
      <c r="B971" s="8" t="str">
        <f>VLOOKUP(A971,地区!$B$1:$C$43,2,0)</f>
        <v>华中地区</v>
      </c>
      <c r="C971" s="8" t="s">
        <v>155</v>
      </c>
      <c r="D971" s="8" t="s">
        <v>1061</v>
      </c>
      <c r="E971" s="8">
        <v>1083</v>
      </c>
      <c r="F971" s="8">
        <v>60</v>
      </c>
      <c r="G971" s="8">
        <v>8.4</v>
      </c>
      <c r="H971" s="8">
        <v>8.3</v>
      </c>
      <c r="I971" s="8">
        <v>8.1</v>
      </c>
    </row>
    <row r="972" spans="1:9">
      <c r="A972" s="8" t="s">
        <v>1018</v>
      </c>
      <c r="B972" s="8" t="str">
        <f>VLOOKUP(A972,地区!$B$1:$C$43,2,0)</f>
        <v>华中地区</v>
      </c>
      <c r="C972" s="8" t="s">
        <v>155</v>
      </c>
      <c r="D972" s="8" t="s">
        <v>1062</v>
      </c>
      <c r="E972" s="8">
        <v>1128</v>
      </c>
      <c r="F972" s="8">
        <v>67</v>
      </c>
      <c r="G972" s="8">
        <v>7.7</v>
      </c>
      <c r="H972" s="8">
        <v>8.1</v>
      </c>
      <c r="I972" s="8">
        <v>8.3</v>
      </c>
    </row>
    <row r="973" spans="1:9">
      <c r="A973" s="8" t="s">
        <v>1018</v>
      </c>
      <c r="B973" s="8" t="str">
        <f>VLOOKUP(A973,地区!$B$1:$C$43,2,0)</f>
        <v>华中地区</v>
      </c>
      <c r="C973" s="8" t="s">
        <v>155</v>
      </c>
      <c r="D973" s="8" t="s">
        <v>1063</v>
      </c>
      <c r="E973" s="8">
        <v>15</v>
      </c>
      <c r="F973" s="8">
        <v>65</v>
      </c>
      <c r="G973" s="8">
        <v>6.7</v>
      </c>
      <c r="H973" s="8">
        <v>6.8</v>
      </c>
      <c r="I973" s="8">
        <v>6.8</v>
      </c>
    </row>
    <row r="974" spans="1:9">
      <c r="A974" s="8" t="s">
        <v>1018</v>
      </c>
      <c r="B974" s="8" t="str">
        <f>VLOOKUP(A974,地区!$B$1:$C$43,2,0)</f>
        <v>华中地区</v>
      </c>
      <c r="C974" s="8" t="s">
        <v>155</v>
      </c>
      <c r="D974" s="8" t="s">
        <v>1064</v>
      </c>
      <c r="E974" s="8">
        <v>21</v>
      </c>
      <c r="F974" s="8">
        <v>22</v>
      </c>
      <c r="G974" s="8">
        <v>6.8</v>
      </c>
      <c r="H974" s="8">
        <v>6.9</v>
      </c>
      <c r="I974" s="8">
        <v>6.9</v>
      </c>
    </row>
    <row r="975" spans="1:9">
      <c r="A975" s="8" t="s">
        <v>1018</v>
      </c>
      <c r="B975" s="8" t="str">
        <f>VLOOKUP(A975,地区!$B$1:$C$43,2,0)</f>
        <v>华中地区</v>
      </c>
      <c r="C975" s="8" t="s">
        <v>155</v>
      </c>
      <c r="D975" s="8" t="s">
        <v>1065</v>
      </c>
      <c r="E975" s="8">
        <v>405</v>
      </c>
      <c r="F975" s="8">
        <v>135</v>
      </c>
      <c r="G975" s="8">
        <v>8.4</v>
      </c>
      <c r="H975" s="8">
        <v>8.6</v>
      </c>
      <c r="I975" s="8">
        <v>8.7</v>
      </c>
    </row>
    <row r="976" spans="1:9">
      <c r="A976" s="8" t="s">
        <v>1018</v>
      </c>
      <c r="B976" s="8" t="str">
        <f>VLOOKUP(A976,地区!$B$1:$C$43,2,0)</f>
        <v>华中地区</v>
      </c>
      <c r="C976" s="8" t="s">
        <v>79</v>
      </c>
      <c r="D976" s="8" t="s">
        <v>1066</v>
      </c>
      <c r="E976" s="8">
        <v>39</v>
      </c>
      <c r="F976" s="8">
        <v>78</v>
      </c>
      <c r="G976" s="8">
        <v>7.6</v>
      </c>
      <c r="H976" s="8">
        <v>7.8</v>
      </c>
      <c r="I976" s="8">
        <v>8</v>
      </c>
    </row>
    <row r="977" spans="1:9">
      <c r="A977" s="8" t="s">
        <v>1018</v>
      </c>
      <c r="B977" s="8" t="str">
        <f>VLOOKUP(A977,地区!$B$1:$C$43,2,0)</f>
        <v>华中地区</v>
      </c>
      <c r="C977" s="8" t="s">
        <v>79</v>
      </c>
      <c r="D977" s="8" t="s">
        <v>1067</v>
      </c>
      <c r="E977" s="8">
        <v>34</v>
      </c>
      <c r="F977" s="8">
        <v>52</v>
      </c>
      <c r="G977" s="8">
        <v>7.6</v>
      </c>
      <c r="H977" s="8">
        <v>8</v>
      </c>
      <c r="I977" s="8">
        <v>7.9</v>
      </c>
    </row>
    <row r="978" spans="1:9">
      <c r="A978" s="8" t="s">
        <v>1018</v>
      </c>
      <c r="B978" s="8" t="str">
        <f>VLOOKUP(A978,地区!$B$1:$C$43,2,0)</f>
        <v>华中地区</v>
      </c>
      <c r="C978" s="8" t="s">
        <v>1068</v>
      </c>
      <c r="D978" s="8" t="s">
        <v>1069</v>
      </c>
      <c r="E978" s="8">
        <v>900</v>
      </c>
      <c r="F978" s="8">
        <v>76</v>
      </c>
      <c r="G978" s="8">
        <v>7.5</v>
      </c>
      <c r="H978" s="8">
        <v>7.8</v>
      </c>
      <c r="I978" s="8">
        <v>7.8</v>
      </c>
    </row>
    <row r="979" spans="1:9">
      <c r="A979" s="8" t="s">
        <v>1018</v>
      </c>
      <c r="B979" s="8" t="str">
        <f>VLOOKUP(A979,地区!$B$1:$C$43,2,0)</f>
        <v>华中地区</v>
      </c>
      <c r="C979" s="8" t="s">
        <v>124</v>
      </c>
      <c r="D979" s="8" t="s">
        <v>1070</v>
      </c>
      <c r="E979" s="8">
        <v>210</v>
      </c>
      <c r="F979" s="8">
        <v>49</v>
      </c>
      <c r="G979" s="8">
        <v>7.4</v>
      </c>
      <c r="H979" s="8">
        <v>7.5</v>
      </c>
      <c r="I979" s="8">
        <v>7.4</v>
      </c>
    </row>
    <row r="980" spans="1:9">
      <c r="A980" s="8" t="s">
        <v>1071</v>
      </c>
      <c r="B980" s="8" t="str">
        <f>VLOOKUP(A980,地区!$B$1:$C$43,2,0)</f>
        <v>西北地区</v>
      </c>
      <c r="C980" s="8" t="s">
        <v>33</v>
      </c>
      <c r="D980" s="8" t="s">
        <v>1072</v>
      </c>
      <c r="E980" s="8">
        <v>47</v>
      </c>
      <c r="F980" s="8">
        <v>35</v>
      </c>
      <c r="G980" s="8">
        <v>7.9</v>
      </c>
      <c r="H980" s="8">
        <v>7.9</v>
      </c>
      <c r="I980" s="8">
        <v>7.9</v>
      </c>
    </row>
    <row r="981" spans="1:9">
      <c r="A981" s="8" t="s">
        <v>1071</v>
      </c>
      <c r="B981" s="8" t="str">
        <f>VLOOKUP(A981,地区!$B$1:$C$43,2,0)</f>
        <v>西北地区</v>
      </c>
      <c r="C981" s="8" t="s">
        <v>33</v>
      </c>
      <c r="D981" s="8" t="s">
        <v>1073</v>
      </c>
      <c r="E981" s="8">
        <v>5</v>
      </c>
      <c r="F981" s="8">
        <v>43</v>
      </c>
      <c r="G981" s="8">
        <v>7.1</v>
      </c>
      <c r="H981" s="8">
        <v>7.1</v>
      </c>
      <c r="I981" s="8">
        <v>7.1</v>
      </c>
    </row>
    <row r="982" spans="1:9">
      <c r="A982" s="8" t="s">
        <v>1071</v>
      </c>
      <c r="B982" s="8" t="str">
        <f>VLOOKUP(A982,地区!$B$1:$C$43,2,0)</f>
        <v>西北地区</v>
      </c>
      <c r="C982" s="8" t="s">
        <v>33</v>
      </c>
      <c r="D982" s="8" t="s">
        <v>1074</v>
      </c>
      <c r="E982" s="8">
        <v>1</v>
      </c>
      <c r="F982" s="8">
        <v>31</v>
      </c>
      <c r="G982" s="8">
        <v>7</v>
      </c>
      <c r="H982" s="8">
        <v>7</v>
      </c>
      <c r="I982" s="8">
        <v>7</v>
      </c>
    </row>
    <row r="983" spans="1:9">
      <c r="A983" s="8" t="s">
        <v>1071</v>
      </c>
      <c r="B983" s="8" t="str">
        <f>VLOOKUP(A983,地区!$B$1:$C$43,2,0)</f>
        <v>西北地区</v>
      </c>
      <c r="C983" s="8" t="s">
        <v>85</v>
      </c>
      <c r="D983" s="8" t="s">
        <v>1075</v>
      </c>
      <c r="E983" s="8">
        <v>101</v>
      </c>
      <c r="F983" s="8">
        <v>35</v>
      </c>
      <c r="G983" s="8">
        <v>8.3</v>
      </c>
      <c r="H983" s="8">
        <v>8.7</v>
      </c>
      <c r="I983" s="8">
        <v>8.2</v>
      </c>
    </row>
    <row r="984" spans="1:9">
      <c r="A984" s="8" t="s">
        <v>1071</v>
      </c>
      <c r="B984" s="8" t="str">
        <f>VLOOKUP(A984,地区!$B$1:$C$43,2,0)</f>
        <v>西北地区</v>
      </c>
      <c r="C984" s="8" t="s">
        <v>85</v>
      </c>
      <c r="D984" s="8" t="s">
        <v>1076</v>
      </c>
      <c r="E984" s="8">
        <v>184</v>
      </c>
      <c r="F984" s="8">
        <v>46</v>
      </c>
      <c r="G984" s="8">
        <v>9</v>
      </c>
      <c r="H984" s="8">
        <v>9.1</v>
      </c>
      <c r="I984" s="8">
        <v>8.5</v>
      </c>
    </row>
    <row r="985" spans="1:9">
      <c r="A985" s="8" t="s">
        <v>1071</v>
      </c>
      <c r="B985" s="8" t="str">
        <f>VLOOKUP(A985,地区!$B$1:$C$43,2,0)</f>
        <v>西北地区</v>
      </c>
      <c r="C985" s="8" t="s">
        <v>85</v>
      </c>
      <c r="D985" s="8" t="s">
        <v>1077</v>
      </c>
      <c r="E985" s="8">
        <v>42</v>
      </c>
      <c r="F985" s="8">
        <v>39</v>
      </c>
      <c r="G985" s="8">
        <v>8.6</v>
      </c>
      <c r="H985" s="8">
        <v>8.8</v>
      </c>
      <c r="I985" s="8">
        <v>8.9</v>
      </c>
    </row>
    <row r="986" spans="1:9">
      <c r="A986" s="8" t="s">
        <v>1071</v>
      </c>
      <c r="B986" s="8" t="str">
        <f>VLOOKUP(A986,地区!$B$1:$C$43,2,0)</f>
        <v>西北地区</v>
      </c>
      <c r="C986" s="8" t="s">
        <v>85</v>
      </c>
      <c r="D986" s="8" t="s">
        <v>1078</v>
      </c>
      <c r="E986" s="8">
        <v>759</v>
      </c>
      <c r="F986" s="8">
        <v>24</v>
      </c>
      <c r="G986" s="8">
        <v>7.6</v>
      </c>
      <c r="H986" s="8">
        <v>7.3</v>
      </c>
      <c r="I986" s="8">
        <v>7.6</v>
      </c>
    </row>
    <row r="987" spans="1:9">
      <c r="A987" s="8" t="s">
        <v>1071</v>
      </c>
      <c r="B987" s="8" t="str">
        <f>VLOOKUP(A987,地区!$B$1:$C$43,2,0)</f>
        <v>西北地区</v>
      </c>
      <c r="C987" s="8" t="s">
        <v>85</v>
      </c>
      <c r="D987" s="8" t="s">
        <v>1079</v>
      </c>
      <c r="E987" s="8">
        <v>36</v>
      </c>
      <c r="F987" s="8">
        <v>30</v>
      </c>
      <c r="G987" s="8">
        <v>7.4</v>
      </c>
      <c r="H987" s="8">
        <v>7.7</v>
      </c>
      <c r="I987" s="8">
        <v>8.1</v>
      </c>
    </row>
    <row r="988" spans="1:9">
      <c r="A988" s="8" t="s">
        <v>1071</v>
      </c>
      <c r="B988" s="8" t="str">
        <f>VLOOKUP(A988,地区!$B$1:$C$43,2,0)</f>
        <v>西北地区</v>
      </c>
      <c r="C988" s="8" t="s">
        <v>85</v>
      </c>
      <c r="D988" s="8" t="s">
        <v>1080</v>
      </c>
      <c r="E988" s="8">
        <v>439</v>
      </c>
      <c r="F988" s="8">
        <v>20</v>
      </c>
      <c r="G988" s="8">
        <v>7.6</v>
      </c>
      <c r="H988" s="8">
        <v>7.9</v>
      </c>
      <c r="I988" s="8">
        <v>7.6</v>
      </c>
    </row>
    <row r="989" spans="1:9">
      <c r="A989" s="8" t="s">
        <v>1071</v>
      </c>
      <c r="B989" s="8" t="str">
        <f>VLOOKUP(A989,地区!$B$1:$C$43,2,0)</f>
        <v>西北地区</v>
      </c>
      <c r="C989" s="8" t="s">
        <v>85</v>
      </c>
      <c r="D989" s="8" t="s">
        <v>1081</v>
      </c>
      <c r="E989" s="8">
        <v>6</v>
      </c>
      <c r="F989" s="8">
        <v>10</v>
      </c>
      <c r="G989" s="8">
        <v>7.5</v>
      </c>
      <c r="H989" s="8">
        <v>7.6</v>
      </c>
      <c r="I989" s="8">
        <v>7.7</v>
      </c>
    </row>
    <row r="990" spans="1:9">
      <c r="A990" s="8" t="s">
        <v>1071</v>
      </c>
      <c r="B990" s="8" t="str">
        <f>VLOOKUP(A990,地区!$B$1:$C$43,2,0)</f>
        <v>西北地区</v>
      </c>
      <c r="C990" s="8" t="s">
        <v>90</v>
      </c>
      <c r="D990" s="8" t="s">
        <v>1082</v>
      </c>
      <c r="E990" s="8">
        <v>7</v>
      </c>
      <c r="F990" s="8">
        <v>30</v>
      </c>
      <c r="G990" s="8">
        <v>7.7</v>
      </c>
      <c r="H990" s="8">
        <v>7.6</v>
      </c>
      <c r="I990" s="8">
        <v>7.6</v>
      </c>
    </row>
    <row r="991" spans="1:9">
      <c r="A991" s="8" t="s">
        <v>1071</v>
      </c>
      <c r="B991" s="8" t="str">
        <f>VLOOKUP(A991,地区!$B$1:$C$43,2,0)</f>
        <v>西北地区</v>
      </c>
      <c r="C991" s="8" t="s">
        <v>90</v>
      </c>
      <c r="D991" s="8" t="s">
        <v>1083</v>
      </c>
      <c r="E991" s="8">
        <v>40</v>
      </c>
      <c r="F991" s="8">
        <v>34</v>
      </c>
      <c r="G991" s="8">
        <v>7.8</v>
      </c>
      <c r="H991" s="8">
        <v>7.7</v>
      </c>
      <c r="I991" s="8">
        <v>7.7</v>
      </c>
    </row>
    <row r="992" spans="1:9">
      <c r="A992" s="8" t="s">
        <v>1071</v>
      </c>
      <c r="B992" s="8" t="str">
        <f>VLOOKUP(A992,地区!$B$1:$C$43,2,0)</f>
        <v>西北地区</v>
      </c>
      <c r="C992" s="8" t="s">
        <v>90</v>
      </c>
      <c r="D992" s="8" t="s">
        <v>1084</v>
      </c>
      <c r="E992" s="8">
        <v>42</v>
      </c>
      <c r="F992" s="8">
        <v>50</v>
      </c>
      <c r="G992" s="8">
        <v>7.1</v>
      </c>
      <c r="H992" s="8">
        <v>6.8</v>
      </c>
      <c r="I992" s="8">
        <v>7</v>
      </c>
    </row>
    <row r="993" spans="1:9">
      <c r="A993" s="8" t="s">
        <v>1071</v>
      </c>
      <c r="B993" s="8" t="str">
        <f>VLOOKUP(A993,地区!$B$1:$C$43,2,0)</f>
        <v>西北地区</v>
      </c>
      <c r="C993" s="8" t="s">
        <v>90</v>
      </c>
      <c r="D993" s="8" t="s">
        <v>1085</v>
      </c>
      <c r="E993" s="8">
        <v>44</v>
      </c>
      <c r="F993" s="8">
        <v>10</v>
      </c>
      <c r="G993" s="8">
        <v>7.3</v>
      </c>
      <c r="H993" s="8">
        <v>7.4</v>
      </c>
      <c r="I993" s="8">
        <v>7.3</v>
      </c>
    </row>
    <row r="994" spans="1:9">
      <c r="A994" s="8" t="s">
        <v>1071</v>
      </c>
      <c r="B994" s="8" t="str">
        <f>VLOOKUP(A994,地区!$B$1:$C$43,2,0)</f>
        <v>西北地区</v>
      </c>
      <c r="C994" s="8" t="s">
        <v>40</v>
      </c>
      <c r="D994" s="8" t="s">
        <v>1086</v>
      </c>
      <c r="E994" s="8">
        <v>33</v>
      </c>
      <c r="F994" s="8">
        <v>25</v>
      </c>
      <c r="G994" s="8">
        <v>7.5</v>
      </c>
      <c r="H994" s="8">
        <v>7.6</v>
      </c>
      <c r="I994" s="8">
        <v>7.5</v>
      </c>
    </row>
    <row r="995" spans="1:9">
      <c r="A995" s="8" t="s">
        <v>1071</v>
      </c>
      <c r="B995" s="8" t="str">
        <f>VLOOKUP(A995,地区!$B$1:$C$43,2,0)</f>
        <v>西北地区</v>
      </c>
      <c r="C995" s="8" t="s">
        <v>52</v>
      </c>
      <c r="D995" s="8" t="s">
        <v>1087</v>
      </c>
      <c r="E995" s="8">
        <v>27</v>
      </c>
      <c r="F995" s="8">
        <v>13</v>
      </c>
      <c r="G995" s="8">
        <v>7.4</v>
      </c>
      <c r="H995" s="8">
        <v>7.3</v>
      </c>
      <c r="I995" s="8">
        <v>7.3</v>
      </c>
    </row>
    <row r="996" spans="1:9">
      <c r="A996" s="8" t="s">
        <v>1071</v>
      </c>
      <c r="B996" s="8" t="str">
        <f>VLOOKUP(A996,地区!$B$1:$C$43,2,0)</f>
        <v>西北地区</v>
      </c>
      <c r="C996" s="8" t="s">
        <v>52</v>
      </c>
      <c r="D996" s="8" t="s">
        <v>1088</v>
      </c>
      <c r="E996" s="8">
        <v>91</v>
      </c>
      <c r="F996" s="8">
        <v>17</v>
      </c>
      <c r="G996" s="8">
        <v>7.6</v>
      </c>
      <c r="H996" s="8">
        <v>7.2</v>
      </c>
      <c r="I996" s="8">
        <v>7.3</v>
      </c>
    </row>
    <row r="997" spans="1:9">
      <c r="A997" s="8" t="s">
        <v>1071</v>
      </c>
      <c r="B997" s="8" t="str">
        <f>VLOOKUP(A997,地区!$B$1:$C$43,2,0)</f>
        <v>西北地区</v>
      </c>
      <c r="C997" s="8" t="s">
        <v>52</v>
      </c>
      <c r="D997" s="8" t="s">
        <v>1089</v>
      </c>
      <c r="E997" s="8">
        <v>4</v>
      </c>
      <c r="F997" s="8">
        <v>15</v>
      </c>
      <c r="G997" s="8">
        <v>7.3</v>
      </c>
      <c r="H997" s="8">
        <v>7.3</v>
      </c>
      <c r="I997" s="8">
        <v>7.3</v>
      </c>
    </row>
    <row r="998" spans="1:9">
      <c r="A998" s="8" t="s">
        <v>1071</v>
      </c>
      <c r="B998" s="8" t="str">
        <f>VLOOKUP(A998,地区!$B$1:$C$43,2,0)</f>
        <v>西北地区</v>
      </c>
      <c r="C998" s="8" t="s">
        <v>52</v>
      </c>
      <c r="D998" s="8" t="s">
        <v>1090</v>
      </c>
      <c r="E998" s="8">
        <v>12</v>
      </c>
      <c r="F998" s="8">
        <v>10</v>
      </c>
      <c r="G998" s="8">
        <v>7</v>
      </c>
      <c r="H998" s="8">
        <v>7</v>
      </c>
      <c r="I998" s="8">
        <v>7.2</v>
      </c>
    </row>
    <row r="999" spans="1:9">
      <c r="A999" s="8" t="s">
        <v>1071</v>
      </c>
      <c r="B999" s="8" t="str">
        <f>VLOOKUP(A999,地区!$B$1:$C$43,2,0)</f>
        <v>西北地区</v>
      </c>
      <c r="C999" s="8" t="s">
        <v>104</v>
      </c>
      <c r="D999" s="8" t="s">
        <v>1091</v>
      </c>
      <c r="E999" s="8">
        <v>37</v>
      </c>
      <c r="F999" s="8">
        <v>63</v>
      </c>
      <c r="G999" s="8">
        <v>7.5</v>
      </c>
      <c r="H999" s="8">
        <v>7.5</v>
      </c>
      <c r="I999" s="8">
        <v>7.5</v>
      </c>
    </row>
    <row r="1000" spans="1:9">
      <c r="A1000" s="8" t="s">
        <v>1071</v>
      </c>
      <c r="B1000" s="8" t="str">
        <f>VLOOKUP(A1000,地区!$B$1:$C$43,2,0)</f>
        <v>西北地区</v>
      </c>
      <c r="C1000" s="8" t="s">
        <v>104</v>
      </c>
      <c r="D1000" s="8" t="s">
        <v>1092</v>
      </c>
      <c r="E1000" s="8">
        <v>454</v>
      </c>
      <c r="F1000" s="8">
        <v>24</v>
      </c>
      <c r="G1000" s="8">
        <v>8.1</v>
      </c>
      <c r="H1000" s="8">
        <v>7.9</v>
      </c>
      <c r="I1000" s="8">
        <v>8</v>
      </c>
    </row>
    <row r="1001" spans="1:9">
      <c r="A1001" s="8" t="s">
        <v>1071</v>
      </c>
      <c r="B1001" s="8" t="str">
        <f>VLOOKUP(A1001,地区!$B$1:$C$43,2,0)</f>
        <v>西北地区</v>
      </c>
      <c r="C1001" s="8" t="s">
        <v>104</v>
      </c>
      <c r="D1001" s="8" t="s">
        <v>1093</v>
      </c>
      <c r="E1001" s="8">
        <v>5</v>
      </c>
      <c r="F1001" s="8">
        <v>50</v>
      </c>
      <c r="G1001" s="8">
        <v>7.2</v>
      </c>
      <c r="H1001" s="8">
        <v>7.2</v>
      </c>
      <c r="I1001" s="8">
        <v>7.2</v>
      </c>
    </row>
    <row r="1002" spans="1:9">
      <c r="A1002" s="8" t="s">
        <v>1071</v>
      </c>
      <c r="B1002" s="8" t="str">
        <f>VLOOKUP(A1002,地区!$B$1:$C$43,2,0)</f>
        <v>西北地区</v>
      </c>
      <c r="C1002" s="8" t="s">
        <v>45</v>
      </c>
      <c r="D1002" s="8" t="s">
        <v>1094</v>
      </c>
      <c r="E1002" s="8">
        <v>115</v>
      </c>
      <c r="F1002" s="8">
        <v>42</v>
      </c>
      <c r="G1002" s="8">
        <v>7.5</v>
      </c>
      <c r="H1002" s="8">
        <v>7</v>
      </c>
      <c r="I1002" s="8">
        <v>7.3</v>
      </c>
    </row>
    <row r="1003" spans="1:9">
      <c r="A1003" s="8" t="s">
        <v>1071</v>
      </c>
      <c r="B1003" s="8" t="str">
        <f>VLOOKUP(A1003,地区!$B$1:$C$43,2,0)</f>
        <v>西北地区</v>
      </c>
      <c r="C1003" s="8" t="s">
        <v>45</v>
      </c>
      <c r="D1003" s="8" t="s">
        <v>1095</v>
      </c>
      <c r="E1003" s="8">
        <v>9</v>
      </c>
      <c r="F1003" s="8">
        <v>12</v>
      </c>
      <c r="G1003" s="8">
        <v>6.9</v>
      </c>
      <c r="H1003" s="8">
        <v>7</v>
      </c>
      <c r="I1003" s="8">
        <v>6.9</v>
      </c>
    </row>
    <row r="1004" spans="1:9">
      <c r="A1004" s="8" t="s">
        <v>1071</v>
      </c>
      <c r="B1004" s="8" t="str">
        <f>VLOOKUP(A1004,地区!$B$1:$C$43,2,0)</f>
        <v>西北地区</v>
      </c>
      <c r="C1004" s="8" t="s">
        <v>45</v>
      </c>
      <c r="D1004" s="8" t="s">
        <v>1096</v>
      </c>
      <c r="E1004" s="8">
        <v>3</v>
      </c>
      <c r="F1004" s="8">
        <v>30</v>
      </c>
      <c r="G1004" s="8">
        <v>7.5</v>
      </c>
      <c r="H1004" s="8">
        <v>7.5</v>
      </c>
      <c r="I1004" s="8">
        <v>7.5</v>
      </c>
    </row>
    <row r="1005" spans="1:9">
      <c r="A1005" s="8" t="s">
        <v>1071</v>
      </c>
      <c r="B1005" s="8" t="str">
        <f>VLOOKUP(A1005,地区!$B$1:$C$43,2,0)</f>
        <v>西北地区</v>
      </c>
      <c r="C1005" s="8" t="s">
        <v>45</v>
      </c>
      <c r="D1005" s="8" t="s">
        <v>1097</v>
      </c>
      <c r="E1005" s="8">
        <v>86</v>
      </c>
      <c r="F1005" s="8">
        <v>62</v>
      </c>
      <c r="G1005" s="8">
        <v>7.3</v>
      </c>
      <c r="H1005" s="8">
        <v>7.5</v>
      </c>
      <c r="I1005" s="8">
        <v>7.3</v>
      </c>
    </row>
    <row r="1006" spans="1:9">
      <c r="A1006" s="8" t="s">
        <v>1071</v>
      </c>
      <c r="B1006" s="8" t="str">
        <f>VLOOKUP(A1006,地区!$B$1:$C$43,2,0)</f>
        <v>西北地区</v>
      </c>
      <c r="C1006" s="8" t="s">
        <v>45</v>
      </c>
      <c r="D1006" s="8" t="s">
        <v>1098</v>
      </c>
      <c r="E1006" s="8">
        <v>35</v>
      </c>
      <c r="F1006" s="8">
        <v>99</v>
      </c>
      <c r="G1006" s="8">
        <v>7</v>
      </c>
      <c r="H1006" s="8">
        <v>6.9</v>
      </c>
      <c r="I1006" s="8">
        <v>7</v>
      </c>
    </row>
    <row r="1007" spans="1:9">
      <c r="A1007" s="8" t="s">
        <v>1071</v>
      </c>
      <c r="B1007" s="8" t="str">
        <f>VLOOKUP(A1007,地区!$B$1:$C$43,2,0)</f>
        <v>西北地区</v>
      </c>
      <c r="C1007" s="8" t="s">
        <v>45</v>
      </c>
      <c r="D1007" s="8" t="s">
        <v>1099</v>
      </c>
      <c r="E1007" s="8">
        <v>55</v>
      </c>
      <c r="F1007" s="8">
        <v>37</v>
      </c>
      <c r="G1007" s="8">
        <v>7.2</v>
      </c>
      <c r="H1007" s="8">
        <v>7.5</v>
      </c>
      <c r="I1007" s="8">
        <v>7.4</v>
      </c>
    </row>
    <row r="1008" spans="1:9">
      <c r="A1008" s="8" t="s">
        <v>1100</v>
      </c>
      <c r="B1008" s="8" t="str">
        <f>VLOOKUP(A1008,地区!$B$1:$C$43,2,0)</f>
        <v>华东地区</v>
      </c>
      <c r="C1008" s="8" t="s">
        <v>155</v>
      </c>
      <c r="D1008" s="8" t="s">
        <v>1101</v>
      </c>
      <c r="E1008" s="8">
        <v>182</v>
      </c>
      <c r="F1008" s="8">
        <v>50</v>
      </c>
      <c r="G1008" s="8">
        <v>7.5</v>
      </c>
      <c r="H1008" s="8">
        <v>7.9</v>
      </c>
      <c r="I1008" s="8">
        <v>7.8</v>
      </c>
    </row>
    <row r="1009" spans="1:9">
      <c r="A1009" s="8" t="s">
        <v>1100</v>
      </c>
      <c r="B1009" s="8" t="str">
        <f>VLOOKUP(A1009,地区!$B$1:$C$43,2,0)</f>
        <v>华东地区</v>
      </c>
      <c r="C1009" s="8" t="s">
        <v>155</v>
      </c>
      <c r="D1009" s="8" t="s">
        <v>1102</v>
      </c>
      <c r="E1009" s="8">
        <v>87</v>
      </c>
      <c r="F1009" s="8">
        <v>114</v>
      </c>
      <c r="G1009" s="8">
        <v>8.6</v>
      </c>
      <c r="H1009" s="8">
        <v>8.7</v>
      </c>
      <c r="I1009" s="8">
        <v>8.7</v>
      </c>
    </row>
    <row r="1010" spans="1:9">
      <c r="A1010" s="8" t="s">
        <v>1100</v>
      </c>
      <c r="B1010" s="8" t="str">
        <f>VLOOKUP(A1010,地区!$B$1:$C$43,2,0)</f>
        <v>华东地区</v>
      </c>
      <c r="C1010" s="8" t="s">
        <v>155</v>
      </c>
      <c r="D1010" s="8" t="s">
        <v>1103</v>
      </c>
      <c r="E1010" s="8">
        <v>45</v>
      </c>
      <c r="F1010" s="8">
        <v>74</v>
      </c>
      <c r="G1010" s="8">
        <v>8.2</v>
      </c>
      <c r="H1010" s="8">
        <v>8.8</v>
      </c>
      <c r="I1010" s="8">
        <v>8.9</v>
      </c>
    </row>
    <row r="1011" spans="1:9">
      <c r="A1011" s="8" t="s">
        <v>1100</v>
      </c>
      <c r="B1011" s="8" t="str">
        <f>VLOOKUP(A1011,地区!$B$1:$C$43,2,0)</f>
        <v>华东地区</v>
      </c>
      <c r="C1011" s="8" t="s">
        <v>79</v>
      </c>
      <c r="D1011" s="8" t="s">
        <v>1104</v>
      </c>
      <c r="E1011" s="8">
        <v>134</v>
      </c>
      <c r="F1011" s="8">
        <v>83</v>
      </c>
      <c r="G1011" s="8">
        <v>7.1</v>
      </c>
      <c r="H1011" s="8">
        <v>7.4</v>
      </c>
      <c r="I1011" s="8">
        <v>7.1</v>
      </c>
    </row>
    <row r="1012" spans="1:9">
      <c r="A1012" s="8" t="s">
        <v>1100</v>
      </c>
      <c r="B1012" s="8" t="str">
        <f>VLOOKUP(A1012,地区!$B$1:$C$43,2,0)</f>
        <v>华东地区</v>
      </c>
      <c r="C1012" s="8" t="s">
        <v>104</v>
      </c>
      <c r="D1012" s="8" t="s">
        <v>1105</v>
      </c>
      <c r="E1012" s="8">
        <v>729</v>
      </c>
      <c r="F1012" s="8">
        <v>82</v>
      </c>
      <c r="G1012" s="8">
        <v>7.5</v>
      </c>
      <c r="H1012" s="8">
        <v>8.3</v>
      </c>
      <c r="I1012" s="8">
        <v>7.4</v>
      </c>
    </row>
    <row r="1013" spans="1:9">
      <c r="A1013" s="8" t="s">
        <v>1100</v>
      </c>
      <c r="B1013" s="8" t="str">
        <f>VLOOKUP(A1013,地区!$B$1:$C$43,2,0)</f>
        <v>华东地区</v>
      </c>
      <c r="C1013" s="8" t="s">
        <v>104</v>
      </c>
      <c r="D1013" s="8" t="s">
        <v>1106</v>
      </c>
      <c r="E1013" s="8">
        <v>248</v>
      </c>
      <c r="F1013" s="8">
        <v>72</v>
      </c>
      <c r="G1013" s="8">
        <v>7.6</v>
      </c>
      <c r="H1013" s="8">
        <v>7.7</v>
      </c>
      <c r="I1013" s="8">
        <v>7.3</v>
      </c>
    </row>
    <row r="1014" spans="1:9">
      <c r="A1014" s="8" t="s">
        <v>1100</v>
      </c>
      <c r="B1014" s="8" t="str">
        <f>VLOOKUP(A1014,地区!$B$1:$C$43,2,0)</f>
        <v>华东地区</v>
      </c>
      <c r="C1014" s="8" t="s">
        <v>104</v>
      </c>
      <c r="D1014" s="8" t="s">
        <v>1107</v>
      </c>
      <c r="E1014" s="8">
        <v>89</v>
      </c>
      <c r="F1014" s="8">
        <v>135</v>
      </c>
      <c r="G1014" s="8">
        <v>7.4</v>
      </c>
      <c r="H1014" s="8">
        <v>8</v>
      </c>
      <c r="I1014" s="8">
        <v>7.7</v>
      </c>
    </row>
    <row r="1015" spans="1:9">
      <c r="A1015" s="8" t="s">
        <v>1100</v>
      </c>
      <c r="B1015" s="8" t="str">
        <f>VLOOKUP(A1015,地区!$B$1:$C$43,2,0)</f>
        <v>华东地区</v>
      </c>
      <c r="C1015" s="8" t="s">
        <v>1068</v>
      </c>
      <c r="D1015" s="8" t="s">
        <v>1108</v>
      </c>
      <c r="E1015" s="8">
        <v>39</v>
      </c>
      <c r="F1015" s="8">
        <v>161</v>
      </c>
      <c r="G1015" s="8">
        <v>7.1</v>
      </c>
      <c r="H1015" s="8">
        <v>7.3</v>
      </c>
      <c r="I1015" s="8">
        <v>7</v>
      </c>
    </row>
    <row r="1016" spans="1:9">
      <c r="A1016" s="8" t="s">
        <v>1100</v>
      </c>
      <c r="B1016" s="8" t="str">
        <f>VLOOKUP(A1016,地区!$B$1:$C$43,2,0)</f>
        <v>华东地区</v>
      </c>
      <c r="C1016" s="8" t="s">
        <v>33</v>
      </c>
      <c r="D1016" s="8" t="s">
        <v>1109</v>
      </c>
      <c r="E1016" s="8">
        <v>110</v>
      </c>
      <c r="F1016" s="8">
        <v>68</v>
      </c>
      <c r="G1016" s="8">
        <v>7.9</v>
      </c>
      <c r="H1016" s="8">
        <v>8.2</v>
      </c>
      <c r="I1016" s="8">
        <v>8.1</v>
      </c>
    </row>
    <row r="1017" spans="1:9">
      <c r="A1017" s="8" t="s">
        <v>1100</v>
      </c>
      <c r="B1017" s="8" t="str">
        <f>VLOOKUP(A1017,地区!$B$1:$C$43,2,0)</f>
        <v>华东地区</v>
      </c>
      <c r="C1017" s="8" t="s">
        <v>33</v>
      </c>
      <c r="D1017" s="8" t="s">
        <v>1110</v>
      </c>
      <c r="E1017" s="8">
        <v>24</v>
      </c>
      <c r="F1017" s="8">
        <v>140</v>
      </c>
      <c r="G1017" s="8">
        <v>7.5</v>
      </c>
      <c r="H1017" s="8">
        <v>7.4</v>
      </c>
      <c r="I1017" s="8">
        <v>7.5</v>
      </c>
    </row>
    <row r="1018" spans="1:9">
      <c r="A1018" s="8" t="s">
        <v>1100</v>
      </c>
      <c r="B1018" s="8" t="str">
        <f>VLOOKUP(A1018,地区!$B$1:$C$43,2,0)</f>
        <v>华东地区</v>
      </c>
      <c r="C1018" s="8" t="s">
        <v>33</v>
      </c>
      <c r="D1018" s="8" t="s">
        <v>1111</v>
      </c>
      <c r="E1018" s="8">
        <v>11</v>
      </c>
      <c r="F1018" s="8">
        <v>18</v>
      </c>
      <c r="G1018" s="8">
        <v>7.1</v>
      </c>
      <c r="H1018" s="8">
        <v>7.1</v>
      </c>
      <c r="I1018" s="8">
        <v>7.2</v>
      </c>
    </row>
    <row r="1019" spans="1:9">
      <c r="A1019" s="8" t="s">
        <v>1100</v>
      </c>
      <c r="B1019" s="8" t="str">
        <f>VLOOKUP(A1019,地区!$B$1:$C$43,2,0)</f>
        <v>华东地区</v>
      </c>
      <c r="C1019" s="8" t="s">
        <v>33</v>
      </c>
      <c r="D1019" s="8" t="s">
        <v>1112</v>
      </c>
      <c r="E1019" s="8">
        <v>7</v>
      </c>
      <c r="F1019" s="8">
        <v>19</v>
      </c>
      <c r="G1019" s="8">
        <v>6.8</v>
      </c>
      <c r="H1019" s="8">
        <v>7</v>
      </c>
      <c r="I1019" s="8">
        <v>7</v>
      </c>
    </row>
    <row r="1020" spans="1:9">
      <c r="A1020" s="8" t="s">
        <v>1100</v>
      </c>
      <c r="B1020" s="8" t="str">
        <f>VLOOKUP(A1020,地区!$B$1:$C$43,2,0)</f>
        <v>华东地区</v>
      </c>
      <c r="C1020" s="8" t="s">
        <v>90</v>
      </c>
      <c r="D1020" s="8" t="s">
        <v>1113</v>
      </c>
      <c r="E1020" s="8">
        <v>4</v>
      </c>
      <c r="F1020" s="8">
        <v>25</v>
      </c>
      <c r="G1020" s="8">
        <v>7.2</v>
      </c>
      <c r="H1020" s="8">
        <v>7.2</v>
      </c>
      <c r="I1020" s="8">
        <v>7.4</v>
      </c>
    </row>
    <row r="1021" spans="1:9">
      <c r="A1021" s="8" t="s">
        <v>1100</v>
      </c>
      <c r="B1021" s="8" t="str">
        <f>VLOOKUP(A1021,地区!$B$1:$C$43,2,0)</f>
        <v>华东地区</v>
      </c>
      <c r="C1021" s="8" t="s">
        <v>10</v>
      </c>
      <c r="D1021" s="8" t="s">
        <v>1114</v>
      </c>
      <c r="E1021" s="8">
        <v>49</v>
      </c>
      <c r="F1021" s="8">
        <v>63</v>
      </c>
      <c r="G1021" s="8">
        <v>7.9</v>
      </c>
      <c r="H1021" s="8">
        <v>8.1</v>
      </c>
      <c r="I1021" s="8">
        <v>7.9</v>
      </c>
    </row>
    <row r="1022" spans="1:9">
      <c r="A1022" s="8" t="s">
        <v>1100</v>
      </c>
      <c r="B1022" s="8" t="str">
        <f>VLOOKUP(A1022,地区!$B$1:$C$43,2,0)</f>
        <v>华东地区</v>
      </c>
      <c r="C1022" s="8" t="s">
        <v>233</v>
      </c>
      <c r="D1022" s="8" t="s">
        <v>1115</v>
      </c>
      <c r="E1022" s="8">
        <v>55</v>
      </c>
      <c r="F1022" s="8">
        <v>9</v>
      </c>
      <c r="G1022" s="8">
        <v>8.3</v>
      </c>
      <c r="H1022" s="8">
        <v>7.5</v>
      </c>
      <c r="I1022" s="8">
        <v>8.1</v>
      </c>
    </row>
    <row r="1023" spans="1:9">
      <c r="A1023" s="8" t="s">
        <v>1100</v>
      </c>
      <c r="B1023" s="8" t="str">
        <f>VLOOKUP(A1023,地区!$B$1:$C$43,2,0)</f>
        <v>华东地区</v>
      </c>
      <c r="C1023" s="8" t="s">
        <v>233</v>
      </c>
      <c r="D1023" s="8" t="s">
        <v>1116</v>
      </c>
      <c r="E1023" s="8">
        <v>28</v>
      </c>
      <c r="F1023" s="8">
        <v>51</v>
      </c>
      <c r="G1023" s="8">
        <v>7.3</v>
      </c>
      <c r="H1023" s="8">
        <v>7.1</v>
      </c>
      <c r="I1023" s="8">
        <v>7</v>
      </c>
    </row>
    <row r="1024" spans="1:9">
      <c r="A1024" s="8" t="s">
        <v>1100</v>
      </c>
      <c r="B1024" s="8" t="str">
        <f>VLOOKUP(A1024,地区!$B$1:$C$43,2,0)</f>
        <v>华东地区</v>
      </c>
      <c r="C1024" s="8" t="s">
        <v>233</v>
      </c>
      <c r="D1024" s="8" t="s">
        <v>1117</v>
      </c>
      <c r="E1024" s="8">
        <v>16</v>
      </c>
      <c r="F1024" s="8">
        <v>65</v>
      </c>
      <c r="G1024" s="8">
        <v>8</v>
      </c>
      <c r="H1024" s="8">
        <v>7.8</v>
      </c>
      <c r="I1024" s="8">
        <v>8.1</v>
      </c>
    </row>
    <row r="1025" spans="1:9">
      <c r="A1025" s="8" t="s">
        <v>1100</v>
      </c>
      <c r="B1025" s="8" t="str">
        <f>VLOOKUP(A1025,地区!$B$1:$C$43,2,0)</f>
        <v>华东地区</v>
      </c>
      <c r="C1025" s="8" t="s">
        <v>85</v>
      </c>
      <c r="D1025" s="8" t="s">
        <v>1118</v>
      </c>
      <c r="E1025" s="8">
        <v>373</v>
      </c>
      <c r="F1025" s="8">
        <v>25</v>
      </c>
      <c r="G1025" s="8">
        <v>8.4</v>
      </c>
      <c r="H1025" s="8">
        <v>8.7</v>
      </c>
      <c r="I1025" s="8">
        <v>8.5</v>
      </c>
    </row>
    <row r="1026" spans="1:9">
      <c r="A1026" s="8" t="s">
        <v>1100</v>
      </c>
      <c r="B1026" s="8" t="str">
        <f>VLOOKUP(A1026,地区!$B$1:$C$43,2,0)</f>
        <v>华东地区</v>
      </c>
      <c r="C1026" s="8" t="s">
        <v>85</v>
      </c>
      <c r="D1026" s="8" t="s">
        <v>1119</v>
      </c>
      <c r="E1026" s="8">
        <v>701</v>
      </c>
      <c r="F1026" s="8">
        <v>24</v>
      </c>
      <c r="G1026" s="8">
        <v>8.2</v>
      </c>
      <c r="H1026" s="8">
        <v>8.4</v>
      </c>
      <c r="I1026" s="8">
        <v>8</v>
      </c>
    </row>
    <row r="1027" spans="1:9">
      <c r="A1027" s="8" t="s">
        <v>1100</v>
      </c>
      <c r="B1027" s="8" t="str">
        <f>VLOOKUP(A1027,地区!$B$1:$C$43,2,0)</f>
        <v>华东地区</v>
      </c>
      <c r="C1027" s="8" t="s">
        <v>72</v>
      </c>
      <c r="D1027" s="8" t="s">
        <v>1120</v>
      </c>
      <c r="E1027" s="8">
        <v>89</v>
      </c>
      <c r="F1027" s="8">
        <v>17</v>
      </c>
      <c r="G1027" s="8">
        <v>8.1</v>
      </c>
      <c r="H1027" s="8">
        <v>7.6</v>
      </c>
      <c r="I1027" s="8">
        <v>7.9</v>
      </c>
    </row>
    <row r="1028" spans="1:9">
      <c r="A1028" s="8" t="s">
        <v>1100</v>
      </c>
      <c r="B1028" s="8" t="str">
        <f>VLOOKUP(A1028,地区!$B$1:$C$43,2,0)</f>
        <v>华东地区</v>
      </c>
      <c r="C1028" s="8" t="s">
        <v>72</v>
      </c>
      <c r="D1028" s="8" t="s">
        <v>1121</v>
      </c>
      <c r="E1028" s="8">
        <v>104</v>
      </c>
      <c r="F1028" s="8">
        <v>30</v>
      </c>
      <c r="G1028" s="8">
        <v>7.8</v>
      </c>
      <c r="H1028" s="8">
        <v>8.2</v>
      </c>
      <c r="I1028" s="8">
        <v>8.1</v>
      </c>
    </row>
    <row r="1029" spans="1:9">
      <c r="A1029" s="8" t="s">
        <v>1100</v>
      </c>
      <c r="B1029" s="8" t="str">
        <f>VLOOKUP(A1029,地区!$B$1:$C$43,2,0)</f>
        <v>华东地区</v>
      </c>
      <c r="C1029" s="8" t="s">
        <v>72</v>
      </c>
      <c r="D1029" s="8" t="s">
        <v>1122</v>
      </c>
      <c r="E1029" s="8">
        <v>29</v>
      </c>
      <c r="F1029" s="8">
        <v>18</v>
      </c>
      <c r="G1029" s="8">
        <v>7.5</v>
      </c>
      <c r="H1029" s="8">
        <v>7.4</v>
      </c>
      <c r="I1029" s="8">
        <v>7.6</v>
      </c>
    </row>
    <row r="1030" spans="1:9">
      <c r="A1030" s="8" t="s">
        <v>1100</v>
      </c>
      <c r="B1030" s="8" t="str">
        <f>VLOOKUP(A1030,地区!$B$1:$C$43,2,0)</f>
        <v>华东地区</v>
      </c>
      <c r="C1030" s="8" t="s">
        <v>72</v>
      </c>
      <c r="D1030" s="8" t="s">
        <v>1123</v>
      </c>
      <c r="E1030" s="8">
        <v>22</v>
      </c>
      <c r="F1030" s="8">
        <v>32</v>
      </c>
      <c r="G1030" s="8">
        <v>6.9</v>
      </c>
      <c r="H1030" s="8">
        <v>7.5</v>
      </c>
      <c r="I1030" s="8">
        <v>7.1</v>
      </c>
    </row>
    <row r="1031" spans="1:9">
      <c r="A1031" s="8" t="s">
        <v>1100</v>
      </c>
      <c r="B1031" s="8" t="str">
        <f>VLOOKUP(A1031,地区!$B$1:$C$43,2,0)</f>
        <v>华东地区</v>
      </c>
      <c r="C1031" s="8" t="s">
        <v>72</v>
      </c>
      <c r="D1031" s="8" t="s">
        <v>1124</v>
      </c>
      <c r="E1031" s="8">
        <v>73</v>
      </c>
      <c r="F1031" s="8">
        <v>22</v>
      </c>
      <c r="G1031" s="8">
        <v>7.3</v>
      </c>
      <c r="H1031" s="8">
        <v>7.3</v>
      </c>
      <c r="I1031" s="8">
        <v>7.3</v>
      </c>
    </row>
    <row r="1032" spans="1:9">
      <c r="A1032" s="8" t="s">
        <v>1100</v>
      </c>
      <c r="B1032" s="8" t="str">
        <f>VLOOKUP(A1032,地区!$B$1:$C$43,2,0)</f>
        <v>华东地区</v>
      </c>
      <c r="C1032" s="8" t="s">
        <v>72</v>
      </c>
      <c r="D1032" s="8" t="s">
        <v>1125</v>
      </c>
      <c r="E1032" s="8">
        <v>56</v>
      </c>
      <c r="F1032" s="8">
        <v>30</v>
      </c>
      <c r="G1032" s="8">
        <v>7.1</v>
      </c>
      <c r="H1032" s="8">
        <v>7.3</v>
      </c>
      <c r="I1032" s="8">
        <v>7.2</v>
      </c>
    </row>
    <row r="1033" spans="1:9">
      <c r="A1033" s="8" t="s">
        <v>1126</v>
      </c>
      <c r="B1033" s="8" t="str">
        <f>VLOOKUP(A1033,地区!$B$1:$C$43,2,0)</f>
        <v>华东地区</v>
      </c>
      <c r="C1033" s="8" t="s">
        <v>714</v>
      </c>
      <c r="D1033" s="8" t="s">
        <v>1127</v>
      </c>
      <c r="E1033" s="8">
        <v>5</v>
      </c>
      <c r="F1033" s="8">
        <v>15</v>
      </c>
      <c r="G1033" s="8">
        <v>7.1</v>
      </c>
      <c r="H1033" s="8">
        <v>7</v>
      </c>
      <c r="I1033" s="8">
        <v>7.1</v>
      </c>
    </row>
    <row r="1034" spans="1:9">
      <c r="A1034" s="8" t="s">
        <v>1126</v>
      </c>
      <c r="B1034" s="8" t="str">
        <f>VLOOKUP(A1034,地区!$B$1:$C$43,2,0)</f>
        <v>华东地区</v>
      </c>
      <c r="C1034" s="8" t="s">
        <v>10</v>
      </c>
      <c r="D1034" s="8" t="s">
        <v>1128</v>
      </c>
      <c r="E1034" s="8">
        <v>10</v>
      </c>
      <c r="F1034" s="8">
        <v>113</v>
      </c>
      <c r="G1034" s="8">
        <v>7.5</v>
      </c>
      <c r="H1034" s="8">
        <v>7.1</v>
      </c>
      <c r="I1034" s="8">
        <v>7</v>
      </c>
    </row>
    <row r="1035" spans="1:9">
      <c r="A1035" s="8" t="s">
        <v>1126</v>
      </c>
      <c r="B1035" s="8" t="str">
        <f>VLOOKUP(A1035,地区!$B$1:$C$43,2,0)</f>
        <v>华东地区</v>
      </c>
      <c r="C1035" s="8" t="s">
        <v>59</v>
      </c>
      <c r="D1035" s="8" t="s">
        <v>1129</v>
      </c>
      <c r="E1035" s="8">
        <v>6</v>
      </c>
      <c r="F1035" s="8">
        <v>21</v>
      </c>
      <c r="G1035" s="8">
        <v>7.2</v>
      </c>
      <c r="H1035" s="8">
        <v>7.2</v>
      </c>
      <c r="I1035" s="8">
        <v>7.2</v>
      </c>
    </row>
    <row r="1036" spans="1:9">
      <c r="A1036" s="8" t="s">
        <v>1126</v>
      </c>
      <c r="B1036" s="8" t="str">
        <f>VLOOKUP(A1036,地区!$B$1:$C$43,2,0)</f>
        <v>华东地区</v>
      </c>
      <c r="C1036" s="8" t="s">
        <v>211</v>
      </c>
      <c r="D1036" s="8" t="s">
        <v>1130</v>
      </c>
      <c r="E1036" s="8">
        <v>18</v>
      </c>
      <c r="F1036" s="8">
        <v>16</v>
      </c>
      <c r="G1036" s="8">
        <v>7</v>
      </c>
      <c r="H1036" s="8">
        <v>6.9</v>
      </c>
      <c r="I1036" s="8">
        <v>6.9</v>
      </c>
    </row>
    <row r="1037" spans="1:9">
      <c r="A1037" s="8" t="s">
        <v>1126</v>
      </c>
      <c r="B1037" s="8" t="str">
        <f>VLOOKUP(A1037,地区!$B$1:$C$43,2,0)</f>
        <v>华东地区</v>
      </c>
      <c r="C1037" s="8" t="s">
        <v>211</v>
      </c>
      <c r="D1037" s="8" t="s">
        <v>1131</v>
      </c>
      <c r="E1037" s="8">
        <v>2</v>
      </c>
      <c r="F1037" s="8">
        <v>10</v>
      </c>
      <c r="G1037" s="8">
        <v>7.3</v>
      </c>
      <c r="H1037" s="8">
        <v>7.3</v>
      </c>
      <c r="I1037" s="8">
        <v>7.2</v>
      </c>
    </row>
    <row r="1038" spans="1:9">
      <c r="A1038" s="8" t="s">
        <v>1126</v>
      </c>
      <c r="B1038" s="8" t="str">
        <f>VLOOKUP(A1038,地区!$B$1:$C$43,2,0)</f>
        <v>华东地区</v>
      </c>
      <c r="C1038" s="8" t="s">
        <v>211</v>
      </c>
      <c r="D1038" s="8" t="s">
        <v>1132</v>
      </c>
      <c r="E1038" s="8">
        <v>13</v>
      </c>
      <c r="F1038" s="8">
        <v>15</v>
      </c>
      <c r="G1038" s="8">
        <v>7.4</v>
      </c>
      <c r="H1038" s="8">
        <v>7.2</v>
      </c>
      <c r="I1038" s="8">
        <v>7.3</v>
      </c>
    </row>
    <row r="1039" spans="1:9">
      <c r="A1039" s="8" t="s">
        <v>1126</v>
      </c>
      <c r="B1039" s="8" t="str">
        <f>VLOOKUP(A1039,地区!$B$1:$C$43,2,0)</f>
        <v>华东地区</v>
      </c>
      <c r="C1039" s="8" t="s">
        <v>211</v>
      </c>
      <c r="D1039" s="8" t="s">
        <v>1133</v>
      </c>
      <c r="E1039" s="8">
        <v>572</v>
      </c>
      <c r="F1039" s="8">
        <v>13</v>
      </c>
      <c r="G1039" s="8">
        <v>7.9</v>
      </c>
      <c r="H1039" s="8">
        <v>8</v>
      </c>
      <c r="I1039" s="8">
        <v>8</v>
      </c>
    </row>
    <row r="1040" spans="1:9">
      <c r="A1040" s="8" t="s">
        <v>1126</v>
      </c>
      <c r="B1040" s="8" t="str">
        <f>VLOOKUP(A1040,地区!$B$1:$C$43,2,0)</f>
        <v>华东地区</v>
      </c>
      <c r="C1040" s="8" t="s">
        <v>211</v>
      </c>
      <c r="D1040" s="8" t="s">
        <v>1134</v>
      </c>
      <c r="E1040" s="8">
        <v>8</v>
      </c>
      <c r="F1040" s="8">
        <v>13</v>
      </c>
      <c r="G1040" s="8">
        <v>7.7</v>
      </c>
      <c r="H1040" s="8">
        <v>7.6</v>
      </c>
      <c r="I1040" s="8">
        <v>7.6</v>
      </c>
    </row>
    <row r="1041" spans="1:9">
      <c r="A1041" s="8" t="s">
        <v>1126</v>
      </c>
      <c r="B1041" s="8" t="str">
        <f>VLOOKUP(A1041,地区!$B$1:$C$43,2,0)</f>
        <v>华东地区</v>
      </c>
      <c r="C1041" s="8" t="s">
        <v>445</v>
      </c>
      <c r="D1041" s="8" t="s">
        <v>1135</v>
      </c>
      <c r="E1041" s="8">
        <v>5</v>
      </c>
      <c r="F1041" s="8">
        <v>10</v>
      </c>
      <c r="G1041" s="8">
        <v>7.3</v>
      </c>
      <c r="H1041" s="8">
        <v>7.3</v>
      </c>
      <c r="I1041" s="8">
        <v>7.3</v>
      </c>
    </row>
    <row r="1042" spans="1:9">
      <c r="A1042" s="8" t="s">
        <v>1126</v>
      </c>
      <c r="B1042" s="8" t="str">
        <f>VLOOKUP(A1042,地区!$B$1:$C$43,2,0)</f>
        <v>华东地区</v>
      </c>
      <c r="C1042" s="8" t="s">
        <v>233</v>
      </c>
      <c r="D1042" s="8" t="s">
        <v>1136</v>
      </c>
      <c r="E1042" s="8">
        <v>112</v>
      </c>
      <c r="F1042" s="8">
        <v>47</v>
      </c>
      <c r="G1042" s="8">
        <v>7.1</v>
      </c>
      <c r="H1042" s="8">
        <v>7.3</v>
      </c>
      <c r="I1042" s="8">
        <v>7.4</v>
      </c>
    </row>
    <row r="1043" spans="1:9">
      <c r="A1043" s="8" t="s">
        <v>1126</v>
      </c>
      <c r="B1043" s="8" t="str">
        <f>VLOOKUP(A1043,地区!$B$1:$C$43,2,0)</f>
        <v>华东地区</v>
      </c>
      <c r="C1043" s="8" t="s">
        <v>79</v>
      </c>
      <c r="D1043" s="8" t="s">
        <v>1137</v>
      </c>
      <c r="E1043" s="8">
        <v>23</v>
      </c>
      <c r="F1043" s="8">
        <v>15</v>
      </c>
      <c r="G1043" s="8">
        <v>7.5</v>
      </c>
      <c r="H1043" s="8">
        <v>7.5</v>
      </c>
      <c r="I1043" s="8">
        <v>7.6</v>
      </c>
    </row>
    <row r="1044" spans="1:9">
      <c r="A1044" s="8" t="s">
        <v>1126</v>
      </c>
      <c r="B1044" s="8" t="str">
        <f>VLOOKUP(A1044,地区!$B$1:$C$43,2,0)</f>
        <v>华东地区</v>
      </c>
      <c r="C1044" s="8" t="s">
        <v>104</v>
      </c>
      <c r="D1044" s="8" t="s">
        <v>1138</v>
      </c>
      <c r="E1044" s="8">
        <v>1</v>
      </c>
      <c r="F1044" s="8">
        <v>30</v>
      </c>
      <c r="G1044" s="8">
        <v>6.9</v>
      </c>
      <c r="H1044" s="8">
        <v>6.8</v>
      </c>
      <c r="I1044" s="8">
        <v>7.1</v>
      </c>
    </row>
    <row r="1045" spans="1:9">
      <c r="A1045" s="8" t="s">
        <v>1126</v>
      </c>
      <c r="B1045" s="8" t="str">
        <f>VLOOKUP(A1045,地区!$B$1:$C$43,2,0)</f>
        <v>华东地区</v>
      </c>
      <c r="C1045" s="8" t="s">
        <v>45</v>
      </c>
      <c r="D1045" s="8" t="s">
        <v>1139</v>
      </c>
      <c r="E1045" s="8">
        <v>1</v>
      </c>
      <c r="F1045" s="8">
        <v>44</v>
      </c>
      <c r="G1045" s="8">
        <v>6.9</v>
      </c>
      <c r="H1045" s="8">
        <v>6.9</v>
      </c>
      <c r="I1045" s="8">
        <v>6.8</v>
      </c>
    </row>
    <row r="1046" spans="1:9">
      <c r="A1046" s="8" t="s">
        <v>1126</v>
      </c>
      <c r="B1046" s="8" t="str">
        <f>VLOOKUP(A1046,地区!$B$1:$C$43,2,0)</f>
        <v>华东地区</v>
      </c>
      <c r="C1046" s="8" t="s">
        <v>45</v>
      </c>
      <c r="D1046" s="8" t="s">
        <v>1140</v>
      </c>
      <c r="E1046" s="8">
        <v>16</v>
      </c>
      <c r="F1046" s="8">
        <v>63</v>
      </c>
      <c r="G1046" s="8">
        <v>7.2</v>
      </c>
      <c r="H1046" s="8">
        <v>7.2</v>
      </c>
      <c r="I1046" s="8">
        <v>7.3</v>
      </c>
    </row>
    <row r="1047" spans="1:9">
      <c r="A1047" s="8" t="s">
        <v>1126</v>
      </c>
      <c r="B1047" s="8" t="str">
        <f>VLOOKUP(A1047,地区!$B$1:$C$43,2,0)</f>
        <v>华东地区</v>
      </c>
      <c r="C1047" s="8" t="s">
        <v>33</v>
      </c>
      <c r="D1047" s="8" t="s">
        <v>1141</v>
      </c>
      <c r="E1047" s="8">
        <v>20</v>
      </c>
      <c r="F1047" s="8">
        <v>37</v>
      </c>
      <c r="G1047" s="8">
        <v>7.4</v>
      </c>
      <c r="H1047" s="8">
        <v>7.7</v>
      </c>
      <c r="I1047" s="8">
        <v>7.1</v>
      </c>
    </row>
    <row r="1048" spans="1:9">
      <c r="A1048" s="8" t="s">
        <v>1126</v>
      </c>
      <c r="B1048" s="8" t="str">
        <f>VLOOKUP(A1048,地区!$B$1:$C$43,2,0)</f>
        <v>华东地区</v>
      </c>
      <c r="C1048" s="8" t="s">
        <v>33</v>
      </c>
      <c r="D1048" s="8" t="s">
        <v>1142</v>
      </c>
      <c r="E1048" s="8">
        <v>69</v>
      </c>
      <c r="F1048" s="8">
        <v>40</v>
      </c>
      <c r="G1048" s="8">
        <v>7.4</v>
      </c>
      <c r="H1048" s="8">
        <v>7.4</v>
      </c>
      <c r="I1048" s="8">
        <v>7.4</v>
      </c>
    </row>
    <row r="1049" spans="1:9">
      <c r="A1049" s="8" t="s">
        <v>1126</v>
      </c>
      <c r="B1049" s="8" t="str">
        <f>VLOOKUP(A1049,地区!$B$1:$C$43,2,0)</f>
        <v>华东地区</v>
      </c>
      <c r="C1049" s="8" t="s">
        <v>412</v>
      </c>
      <c r="D1049" s="8" t="s">
        <v>1143</v>
      </c>
      <c r="E1049" s="8">
        <v>10</v>
      </c>
      <c r="F1049" s="8">
        <v>39</v>
      </c>
      <c r="G1049" s="8">
        <v>7.4</v>
      </c>
      <c r="H1049" s="8">
        <v>7.4</v>
      </c>
      <c r="I1049" s="8">
        <v>7.4</v>
      </c>
    </row>
    <row r="1050" spans="1:9">
      <c r="A1050" s="8" t="s">
        <v>1126</v>
      </c>
      <c r="B1050" s="8" t="str">
        <f>VLOOKUP(A1050,地区!$B$1:$C$43,2,0)</f>
        <v>华东地区</v>
      </c>
      <c r="C1050" s="8" t="s">
        <v>85</v>
      </c>
      <c r="D1050" s="8" t="s">
        <v>1144</v>
      </c>
      <c r="E1050" s="8">
        <v>62</v>
      </c>
      <c r="F1050" s="8">
        <v>31</v>
      </c>
      <c r="G1050" s="8">
        <v>7.9</v>
      </c>
      <c r="H1050" s="8">
        <v>7.7</v>
      </c>
      <c r="I1050" s="8">
        <v>7.9</v>
      </c>
    </row>
    <row r="1051" spans="1:9">
      <c r="A1051" s="8" t="s">
        <v>1126</v>
      </c>
      <c r="B1051" s="8" t="str">
        <f>VLOOKUP(A1051,地区!$B$1:$C$43,2,0)</f>
        <v>华东地区</v>
      </c>
      <c r="C1051" s="8" t="s">
        <v>85</v>
      </c>
      <c r="D1051" s="8" t="s">
        <v>1145</v>
      </c>
      <c r="E1051" s="8">
        <v>8</v>
      </c>
      <c r="F1051" s="8">
        <v>12</v>
      </c>
      <c r="G1051" s="8">
        <v>7.4</v>
      </c>
      <c r="H1051" s="8">
        <v>7.4</v>
      </c>
      <c r="I1051" s="8">
        <v>7.4</v>
      </c>
    </row>
    <row r="1052" spans="1:9">
      <c r="A1052" s="8" t="s">
        <v>1126</v>
      </c>
      <c r="B1052" s="8" t="str">
        <f>VLOOKUP(A1052,地区!$B$1:$C$43,2,0)</f>
        <v>华东地区</v>
      </c>
      <c r="C1052" s="8" t="s">
        <v>85</v>
      </c>
      <c r="D1052" s="8" t="s">
        <v>1146</v>
      </c>
      <c r="E1052" s="8">
        <v>12</v>
      </c>
      <c r="F1052" s="8">
        <v>10</v>
      </c>
      <c r="G1052" s="8">
        <v>7.1</v>
      </c>
      <c r="H1052" s="8">
        <v>7.1</v>
      </c>
      <c r="I1052" s="8">
        <v>7.1</v>
      </c>
    </row>
    <row r="1053" spans="1:9">
      <c r="A1053" s="8" t="s">
        <v>1126</v>
      </c>
      <c r="B1053" s="8" t="str">
        <f>VLOOKUP(A1053,地区!$B$1:$C$43,2,0)</f>
        <v>华东地区</v>
      </c>
      <c r="C1053" s="8" t="s">
        <v>85</v>
      </c>
      <c r="D1053" s="8" t="s">
        <v>1147</v>
      </c>
      <c r="E1053" s="8">
        <v>12</v>
      </c>
      <c r="F1053" s="8">
        <v>18</v>
      </c>
      <c r="G1053" s="8">
        <v>7.2</v>
      </c>
      <c r="H1053" s="8">
        <v>7.2</v>
      </c>
      <c r="I1053" s="8">
        <v>7.3</v>
      </c>
    </row>
    <row r="1054" spans="1:9">
      <c r="A1054" s="8" t="s">
        <v>1148</v>
      </c>
      <c r="B1054" s="8" t="str">
        <f>VLOOKUP(A1054,地区!$B$1:$C$43,2,0)</f>
        <v>华东地区</v>
      </c>
      <c r="C1054" s="8" t="s">
        <v>45</v>
      </c>
      <c r="D1054" s="8" t="s">
        <v>1149</v>
      </c>
      <c r="E1054" s="8">
        <v>14</v>
      </c>
      <c r="F1054" s="8">
        <v>47</v>
      </c>
      <c r="G1054" s="8">
        <v>6.6</v>
      </c>
      <c r="H1054" s="8">
        <v>6.6</v>
      </c>
      <c r="I1054" s="8">
        <v>6.6</v>
      </c>
    </row>
    <row r="1055" spans="1:9">
      <c r="A1055" s="8" t="s">
        <v>1148</v>
      </c>
      <c r="B1055" s="8" t="str">
        <f>VLOOKUP(A1055,地区!$B$1:$C$43,2,0)</f>
        <v>华东地区</v>
      </c>
      <c r="C1055" s="8" t="s">
        <v>45</v>
      </c>
      <c r="D1055" s="8" t="s">
        <v>1150</v>
      </c>
      <c r="E1055" s="8">
        <v>3</v>
      </c>
      <c r="F1055" s="8">
        <v>30</v>
      </c>
      <c r="G1055" s="8">
        <v>7</v>
      </c>
      <c r="H1055" s="8">
        <v>7</v>
      </c>
      <c r="I1055" s="8">
        <v>7.1</v>
      </c>
    </row>
    <row r="1056" spans="1:9">
      <c r="A1056" s="8" t="s">
        <v>1148</v>
      </c>
      <c r="B1056" s="8" t="str">
        <f>VLOOKUP(A1056,地区!$B$1:$C$43,2,0)</f>
        <v>华东地区</v>
      </c>
      <c r="C1056" s="8" t="s">
        <v>45</v>
      </c>
      <c r="D1056" s="8" t="s">
        <v>1151</v>
      </c>
      <c r="E1056" s="8">
        <v>9</v>
      </c>
      <c r="F1056" s="8">
        <v>15</v>
      </c>
      <c r="G1056" s="8">
        <v>7.4</v>
      </c>
      <c r="H1056" s="8">
        <v>6.8</v>
      </c>
      <c r="I1056" s="8">
        <v>7.1</v>
      </c>
    </row>
    <row r="1057" spans="1:9">
      <c r="A1057" s="8" t="s">
        <v>1148</v>
      </c>
      <c r="B1057" s="8" t="str">
        <f>VLOOKUP(A1057,地区!$B$1:$C$43,2,0)</f>
        <v>华东地区</v>
      </c>
      <c r="C1057" s="8" t="s">
        <v>420</v>
      </c>
      <c r="D1057" s="8" t="s">
        <v>1152</v>
      </c>
      <c r="E1057" s="8">
        <v>6</v>
      </c>
      <c r="F1057" s="8">
        <v>58</v>
      </c>
      <c r="G1057" s="8">
        <v>7.4</v>
      </c>
      <c r="H1057" s="8">
        <v>7.5</v>
      </c>
      <c r="I1057" s="8">
        <v>7.5</v>
      </c>
    </row>
    <row r="1058" spans="1:9">
      <c r="A1058" s="8" t="s">
        <v>1148</v>
      </c>
      <c r="B1058" s="8" t="str">
        <f>VLOOKUP(A1058,地区!$B$1:$C$43,2,0)</f>
        <v>华东地区</v>
      </c>
      <c r="C1058" s="8" t="s">
        <v>420</v>
      </c>
      <c r="D1058" s="8" t="s">
        <v>1153</v>
      </c>
      <c r="E1058" s="8">
        <v>82</v>
      </c>
      <c r="F1058" s="8">
        <v>48</v>
      </c>
      <c r="G1058" s="8">
        <v>7.2</v>
      </c>
      <c r="H1058" s="8">
        <v>6.9</v>
      </c>
      <c r="I1058" s="8">
        <v>6.7</v>
      </c>
    </row>
    <row r="1059" spans="1:9">
      <c r="A1059" s="8" t="s">
        <v>1148</v>
      </c>
      <c r="B1059" s="8" t="str">
        <f>VLOOKUP(A1059,地区!$B$1:$C$43,2,0)</f>
        <v>华东地区</v>
      </c>
      <c r="C1059" s="8" t="s">
        <v>145</v>
      </c>
      <c r="D1059" s="8" t="s">
        <v>1154</v>
      </c>
      <c r="E1059" s="8">
        <v>6</v>
      </c>
      <c r="F1059" s="8">
        <v>48</v>
      </c>
      <c r="G1059" s="8">
        <v>7.3</v>
      </c>
      <c r="H1059" s="8">
        <v>7.1</v>
      </c>
      <c r="I1059" s="8">
        <v>7.1</v>
      </c>
    </row>
    <row r="1060" spans="1:9">
      <c r="A1060" s="8" t="s">
        <v>1148</v>
      </c>
      <c r="B1060" s="8" t="str">
        <f>VLOOKUP(A1060,地区!$B$1:$C$43,2,0)</f>
        <v>华东地区</v>
      </c>
      <c r="C1060" s="8" t="s">
        <v>55</v>
      </c>
      <c r="D1060" s="8" t="s">
        <v>1155</v>
      </c>
      <c r="E1060" s="8">
        <v>7</v>
      </c>
      <c r="F1060" s="8">
        <v>141</v>
      </c>
      <c r="G1060" s="8">
        <v>7.3</v>
      </c>
      <c r="H1060" s="8">
        <v>7.5</v>
      </c>
      <c r="I1060" s="8">
        <v>7.4</v>
      </c>
    </row>
    <row r="1061" spans="1:9">
      <c r="A1061" s="8" t="s">
        <v>1148</v>
      </c>
      <c r="B1061" s="8" t="str">
        <f>VLOOKUP(A1061,地区!$B$1:$C$43,2,0)</f>
        <v>华东地区</v>
      </c>
      <c r="C1061" s="8" t="s">
        <v>55</v>
      </c>
      <c r="D1061" s="8" t="s">
        <v>1156</v>
      </c>
      <c r="E1061" s="8">
        <v>1</v>
      </c>
      <c r="F1061" s="8">
        <v>200</v>
      </c>
      <c r="G1061" s="8">
        <v>7</v>
      </c>
      <c r="H1061" s="8">
        <v>7</v>
      </c>
      <c r="I1061" s="8">
        <v>7</v>
      </c>
    </row>
    <row r="1062" spans="1:9">
      <c r="A1062" s="8" t="s">
        <v>1148</v>
      </c>
      <c r="B1062" s="8" t="str">
        <f>VLOOKUP(A1062,地区!$B$1:$C$43,2,0)</f>
        <v>华东地区</v>
      </c>
      <c r="C1062" s="8" t="s">
        <v>59</v>
      </c>
      <c r="D1062" s="8" t="s">
        <v>1157</v>
      </c>
      <c r="E1062" s="8">
        <v>192</v>
      </c>
      <c r="F1062" s="8">
        <v>43</v>
      </c>
      <c r="G1062" s="8">
        <v>7.5</v>
      </c>
      <c r="H1062" s="8">
        <v>7.5</v>
      </c>
      <c r="I1062" s="8">
        <v>7.5</v>
      </c>
    </row>
    <row r="1063" spans="1:9">
      <c r="A1063" s="8" t="s">
        <v>1148</v>
      </c>
      <c r="B1063" s="8" t="str">
        <f>VLOOKUP(A1063,地区!$B$1:$C$43,2,0)</f>
        <v>华东地区</v>
      </c>
      <c r="C1063" s="8" t="s">
        <v>59</v>
      </c>
      <c r="D1063" s="8" t="s">
        <v>1158</v>
      </c>
      <c r="E1063" s="8">
        <v>21</v>
      </c>
      <c r="F1063" s="8">
        <v>45</v>
      </c>
      <c r="G1063" s="8">
        <v>7.2</v>
      </c>
      <c r="H1063" s="8">
        <v>7.2</v>
      </c>
      <c r="I1063" s="8">
        <v>7.2</v>
      </c>
    </row>
    <row r="1064" spans="1:9">
      <c r="A1064" s="8" t="s">
        <v>1148</v>
      </c>
      <c r="B1064" s="8" t="str">
        <f>VLOOKUP(A1064,地区!$B$1:$C$43,2,0)</f>
        <v>华东地区</v>
      </c>
      <c r="C1064" s="8" t="s">
        <v>445</v>
      </c>
      <c r="D1064" s="8" t="s">
        <v>1159</v>
      </c>
      <c r="E1064" s="8">
        <v>11</v>
      </c>
      <c r="F1064" s="8">
        <v>12</v>
      </c>
      <c r="G1064" s="8">
        <v>7.6</v>
      </c>
      <c r="H1064" s="8">
        <v>7.6</v>
      </c>
      <c r="I1064" s="8">
        <v>7.6</v>
      </c>
    </row>
    <row r="1065" spans="1:9">
      <c r="A1065" s="8" t="s">
        <v>1148</v>
      </c>
      <c r="B1065" s="8" t="str">
        <f>VLOOKUP(A1065,地区!$B$1:$C$43,2,0)</f>
        <v>华东地区</v>
      </c>
      <c r="C1065" s="8" t="s">
        <v>445</v>
      </c>
      <c r="D1065" s="8" t="s">
        <v>1160</v>
      </c>
      <c r="E1065" s="8">
        <v>7</v>
      </c>
      <c r="F1065" s="8">
        <v>25</v>
      </c>
      <c r="G1065" s="8">
        <v>7</v>
      </c>
      <c r="H1065" s="8">
        <v>7</v>
      </c>
      <c r="I1065" s="8">
        <v>7</v>
      </c>
    </row>
    <row r="1066" spans="1:9">
      <c r="A1066" s="8" t="s">
        <v>1148</v>
      </c>
      <c r="B1066" s="8" t="str">
        <f>VLOOKUP(A1066,地区!$B$1:$C$43,2,0)</f>
        <v>华东地区</v>
      </c>
      <c r="C1066" s="8" t="s">
        <v>445</v>
      </c>
      <c r="D1066" s="8" t="s">
        <v>1161</v>
      </c>
      <c r="E1066" s="8">
        <v>4</v>
      </c>
      <c r="F1066" s="8">
        <v>10</v>
      </c>
      <c r="G1066" s="8">
        <v>6.9</v>
      </c>
      <c r="H1066" s="8">
        <v>7</v>
      </c>
      <c r="I1066" s="8">
        <v>7</v>
      </c>
    </row>
    <row r="1067" spans="1:9">
      <c r="A1067" s="8" t="s">
        <v>1148</v>
      </c>
      <c r="B1067" s="8" t="str">
        <f>VLOOKUP(A1067,地区!$B$1:$C$43,2,0)</f>
        <v>华东地区</v>
      </c>
      <c r="C1067" s="8" t="s">
        <v>211</v>
      </c>
      <c r="D1067" s="8" t="s">
        <v>1162</v>
      </c>
      <c r="E1067" s="8">
        <v>20</v>
      </c>
      <c r="F1067" s="8">
        <v>10</v>
      </c>
      <c r="G1067" s="8">
        <v>7.6</v>
      </c>
      <c r="H1067" s="8">
        <v>7.6</v>
      </c>
      <c r="I1067" s="8">
        <v>7.7</v>
      </c>
    </row>
    <row r="1068" spans="1:9">
      <c r="A1068" s="8" t="s">
        <v>1148</v>
      </c>
      <c r="B1068" s="8" t="str">
        <f>VLOOKUP(A1068,地区!$B$1:$C$43,2,0)</f>
        <v>华东地区</v>
      </c>
      <c r="C1068" s="8" t="s">
        <v>211</v>
      </c>
      <c r="D1068" s="8" t="s">
        <v>1163</v>
      </c>
      <c r="E1068" s="8">
        <v>34</v>
      </c>
      <c r="F1068" s="8">
        <v>30</v>
      </c>
      <c r="G1068" s="8">
        <v>6.9</v>
      </c>
      <c r="H1068" s="8">
        <v>6.9</v>
      </c>
      <c r="I1068" s="8">
        <v>6.9</v>
      </c>
    </row>
    <row r="1069" spans="1:9">
      <c r="A1069" s="8" t="s">
        <v>1148</v>
      </c>
      <c r="B1069" s="8" t="str">
        <f>VLOOKUP(A1069,地区!$B$1:$C$43,2,0)</f>
        <v>华东地区</v>
      </c>
      <c r="C1069" s="8" t="s">
        <v>211</v>
      </c>
      <c r="D1069" s="8" t="s">
        <v>1164</v>
      </c>
      <c r="E1069" s="8">
        <v>403</v>
      </c>
      <c r="F1069" s="8">
        <v>23</v>
      </c>
      <c r="G1069" s="8">
        <v>7.7</v>
      </c>
      <c r="H1069" s="8">
        <v>7.6</v>
      </c>
      <c r="I1069" s="8">
        <v>7.5</v>
      </c>
    </row>
    <row r="1070" spans="1:9">
      <c r="A1070" s="8" t="s">
        <v>1148</v>
      </c>
      <c r="B1070" s="8" t="str">
        <f>VLOOKUP(A1070,地区!$B$1:$C$43,2,0)</f>
        <v>华东地区</v>
      </c>
      <c r="C1070" s="8" t="s">
        <v>233</v>
      </c>
      <c r="D1070" s="8" t="s">
        <v>1165</v>
      </c>
      <c r="E1070" s="8">
        <v>23</v>
      </c>
      <c r="F1070" s="8">
        <v>36</v>
      </c>
      <c r="G1070" s="8">
        <v>7.4</v>
      </c>
      <c r="H1070" s="8">
        <v>7.4</v>
      </c>
      <c r="I1070" s="8">
        <v>7.4</v>
      </c>
    </row>
    <row r="1071" spans="1:9">
      <c r="A1071" s="8" t="s">
        <v>1148</v>
      </c>
      <c r="B1071" s="8" t="str">
        <f>VLOOKUP(A1071,地区!$B$1:$C$43,2,0)</f>
        <v>华东地区</v>
      </c>
      <c r="C1071" s="8" t="s">
        <v>233</v>
      </c>
      <c r="D1071" s="8" t="s">
        <v>1166</v>
      </c>
      <c r="E1071" s="8">
        <v>1</v>
      </c>
      <c r="F1071" s="8">
        <v>39</v>
      </c>
      <c r="G1071" s="8">
        <v>7.3</v>
      </c>
      <c r="H1071" s="8">
        <v>7.3</v>
      </c>
      <c r="I1071" s="8">
        <v>7.3</v>
      </c>
    </row>
    <row r="1072" spans="1:9">
      <c r="A1072" s="8" t="s">
        <v>1148</v>
      </c>
      <c r="B1072" s="8" t="str">
        <f>VLOOKUP(A1072,地区!$B$1:$C$43,2,0)</f>
        <v>华东地区</v>
      </c>
      <c r="C1072" s="8" t="s">
        <v>211</v>
      </c>
      <c r="D1072" s="8" t="s">
        <v>1167</v>
      </c>
      <c r="E1072" s="8">
        <v>8</v>
      </c>
      <c r="F1072" s="8">
        <v>16</v>
      </c>
      <c r="G1072" s="8">
        <v>7.4</v>
      </c>
      <c r="H1072" s="8">
        <v>7.4</v>
      </c>
      <c r="I1072" s="8">
        <v>7.2</v>
      </c>
    </row>
    <row r="1073" spans="1:9">
      <c r="A1073" s="8" t="s">
        <v>1148</v>
      </c>
      <c r="B1073" s="8" t="str">
        <f>VLOOKUP(A1073,地区!$B$1:$C$43,2,0)</f>
        <v>华东地区</v>
      </c>
      <c r="C1073" s="8" t="s">
        <v>233</v>
      </c>
      <c r="D1073" s="8" t="s">
        <v>1168</v>
      </c>
      <c r="E1073" s="8">
        <v>2</v>
      </c>
      <c r="F1073" s="8">
        <v>32</v>
      </c>
      <c r="G1073" s="8">
        <v>7</v>
      </c>
      <c r="H1073" s="8">
        <v>7</v>
      </c>
      <c r="I1073" s="8">
        <v>7</v>
      </c>
    </row>
    <row r="1074" spans="1:9">
      <c r="A1074" s="8" t="s">
        <v>1148</v>
      </c>
      <c r="B1074" s="8" t="str">
        <f>VLOOKUP(A1074,地区!$B$1:$C$43,2,0)</f>
        <v>华东地区</v>
      </c>
      <c r="C1074" s="8" t="s">
        <v>233</v>
      </c>
      <c r="D1074" s="8" t="s">
        <v>1169</v>
      </c>
      <c r="E1074" s="8">
        <v>1</v>
      </c>
      <c r="F1074" s="8">
        <v>40</v>
      </c>
      <c r="G1074" s="8">
        <v>6.9</v>
      </c>
      <c r="H1074" s="8">
        <v>6.9</v>
      </c>
      <c r="I1074" s="8">
        <v>6.9</v>
      </c>
    </row>
    <row r="1075" spans="1:9">
      <c r="A1075" s="8" t="s">
        <v>1148</v>
      </c>
      <c r="B1075" s="8" t="str">
        <f>VLOOKUP(A1075,地区!$B$1:$C$43,2,0)</f>
        <v>华东地区</v>
      </c>
      <c r="C1075" s="8" t="s">
        <v>233</v>
      </c>
      <c r="D1075" s="8" t="s">
        <v>1170</v>
      </c>
      <c r="E1075" s="8">
        <v>9</v>
      </c>
      <c r="F1075" s="8">
        <v>40</v>
      </c>
      <c r="G1075" s="8">
        <v>7</v>
      </c>
      <c r="H1075" s="8">
        <v>7</v>
      </c>
      <c r="I1075" s="8">
        <v>7</v>
      </c>
    </row>
    <row r="1076" spans="1:9">
      <c r="A1076" s="8" t="s">
        <v>1148</v>
      </c>
      <c r="B1076" s="8" t="str">
        <f>VLOOKUP(A1076,地区!$B$1:$C$43,2,0)</f>
        <v>华东地区</v>
      </c>
      <c r="C1076" s="8" t="s">
        <v>233</v>
      </c>
      <c r="D1076" s="8" t="s">
        <v>1171</v>
      </c>
      <c r="E1076" s="8">
        <v>2</v>
      </c>
      <c r="F1076" s="8">
        <v>30</v>
      </c>
      <c r="G1076" s="8">
        <v>6.9</v>
      </c>
      <c r="H1076" s="8">
        <v>6.9</v>
      </c>
      <c r="I1076" s="8">
        <v>6.9</v>
      </c>
    </row>
    <row r="1077" spans="1:9">
      <c r="A1077" s="8" t="s">
        <v>1148</v>
      </c>
      <c r="B1077" s="8" t="str">
        <f>VLOOKUP(A1077,地区!$B$1:$C$43,2,0)</f>
        <v>华东地区</v>
      </c>
      <c r="C1077" s="8" t="s">
        <v>104</v>
      </c>
      <c r="D1077" s="8" t="s">
        <v>1172</v>
      </c>
      <c r="E1077" s="8">
        <v>66</v>
      </c>
      <c r="F1077" s="8">
        <v>64</v>
      </c>
      <c r="G1077" s="8">
        <v>7.3</v>
      </c>
      <c r="H1077" s="8">
        <v>7.4</v>
      </c>
      <c r="I1077" s="8">
        <v>7.3</v>
      </c>
    </row>
    <row r="1078" spans="1:9">
      <c r="A1078" s="8" t="s">
        <v>1148</v>
      </c>
      <c r="B1078" s="8" t="str">
        <f>VLOOKUP(A1078,地区!$B$1:$C$43,2,0)</f>
        <v>华东地区</v>
      </c>
      <c r="C1078" s="8" t="s">
        <v>104</v>
      </c>
      <c r="D1078" s="8" t="s">
        <v>1173</v>
      </c>
      <c r="E1078" s="8">
        <v>1</v>
      </c>
      <c r="F1078" s="8">
        <v>67</v>
      </c>
      <c r="G1078" s="8">
        <v>6.9</v>
      </c>
      <c r="H1078" s="8">
        <v>6.9</v>
      </c>
      <c r="I1078" s="8">
        <v>6.9</v>
      </c>
    </row>
    <row r="1079" spans="1:9">
      <c r="A1079" s="8" t="s">
        <v>1148</v>
      </c>
      <c r="B1079" s="8" t="str">
        <f>VLOOKUP(A1079,地区!$B$1:$C$43,2,0)</f>
        <v>华东地区</v>
      </c>
      <c r="C1079" s="8" t="s">
        <v>104</v>
      </c>
      <c r="D1079" s="8" t="s">
        <v>1174</v>
      </c>
      <c r="E1079" s="8">
        <v>176</v>
      </c>
      <c r="F1079" s="8">
        <v>104</v>
      </c>
      <c r="G1079" s="8">
        <v>7.6</v>
      </c>
      <c r="H1079" s="8">
        <v>7.9</v>
      </c>
      <c r="I1079" s="8">
        <v>8.1</v>
      </c>
    </row>
    <row r="1080" spans="1:9">
      <c r="A1080" s="8" t="s">
        <v>1148</v>
      </c>
      <c r="B1080" s="8" t="str">
        <f>VLOOKUP(A1080,地区!$B$1:$C$43,2,0)</f>
        <v>华东地区</v>
      </c>
      <c r="C1080" s="8" t="s">
        <v>85</v>
      </c>
      <c r="D1080" s="8" t="s">
        <v>1175</v>
      </c>
      <c r="E1080" s="8">
        <v>4</v>
      </c>
      <c r="F1080" s="8">
        <v>10</v>
      </c>
      <c r="G1080" s="8">
        <v>7.4</v>
      </c>
      <c r="H1080" s="8">
        <v>7.4</v>
      </c>
      <c r="I1080" s="8">
        <v>7.4</v>
      </c>
    </row>
    <row r="1081" spans="1:9">
      <c r="A1081" s="8" t="s">
        <v>1148</v>
      </c>
      <c r="B1081" s="8" t="str">
        <f>VLOOKUP(A1081,地区!$B$1:$C$43,2,0)</f>
        <v>华东地区</v>
      </c>
      <c r="C1081" s="8" t="s">
        <v>85</v>
      </c>
      <c r="D1081" s="8" t="s">
        <v>1176</v>
      </c>
      <c r="E1081" s="8">
        <v>12</v>
      </c>
      <c r="F1081" s="8">
        <v>35</v>
      </c>
      <c r="G1081" s="8">
        <v>7.1</v>
      </c>
      <c r="H1081" s="8">
        <v>7.1</v>
      </c>
      <c r="I1081" s="8">
        <v>7.1</v>
      </c>
    </row>
    <row r="1082" spans="1:9">
      <c r="A1082" s="8" t="s">
        <v>1148</v>
      </c>
      <c r="B1082" s="8" t="str">
        <f>VLOOKUP(A1082,地区!$B$1:$C$43,2,0)</f>
        <v>华东地区</v>
      </c>
      <c r="C1082" s="8" t="s">
        <v>33</v>
      </c>
      <c r="D1082" s="8" t="s">
        <v>1177</v>
      </c>
      <c r="E1082" s="8">
        <v>19</v>
      </c>
      <c r="F1082" s="8">
        <v>54</v>
      </c>
      <c r="G1082" s="8">
        <v>7.1</v>
      </c>
      <c r="H1082" s="8">
        <v>7.4</v>
      </c>
      <c r="I1082" s="8">
        <v>7.3</v>
      </c>
    </row>
    <row r="1083" spans="1:9">
      <c r="A1083" s="8" t="s">
        <v>1148</v>
      </c>
      <c r="B1083" s="8" t="str">
        <f>VLOOKUP(A1083,地区!$B$1:$C$43,2,0)</f>
        <v>华东地区</v>
      </c>
      <c r="C1083" s="8" t="s">
        <v>33</v>
      </c>
      <c r="D1083" s="8" t="s">
        <v>1178</v>
      </c>
      <c r="E1083" s="8">
        <v>5</v>
      </c>
      <c r="F1083" s="8">
        <v>48</v>
      </c>
      <c r="G1083" s="8">
        <v>7</v>
      </c>
      <c r="H1083" s="8">
        <v>7</v>
      </c>
      <c r="I1083" s="8">
        <v>7.1</v>
      </c>
    </row>
    <row r="1084" spans="1:9">
      <c r="A1084" s="8" t="s">
        <v>1148</v>
      </c>
      <c r="B1084" s="8" t="str">
        <f>VLOOKUP(A1084,地区!$B$1:$C$43,2,0)</f>
        <v>华东地区</v>
      </c>
      <c r="C1084" s="8" t="s">
        <v>33</v>
      </c>
      <c r="D1084" s="8" t="s">
        <v>1179</v>
      </c>
      <c r="E1084" s="8">
        <v>46</v>
      </c>
      <c r="F1084" s="8">
        <v>38</v>
      </c>
      <c r="G1084" s="8">
        <v>7.3</v>
      </c>
      <c r="H1084" s="8">
        <v>7.4</v>
      </c>
      <c r="I1084" s="8">
        <v>7.3</v>
      </c>
    </row>
    <row r="1085" spans="1:9">
      <c r="A1085" s="8" t="s">
        <v>1148</v>
      </c>
      <c r="B1085" s="8" t="str">
        <f>VLOOKUP(A1085,地区!$B$1:$C$43,2,0)</f>
        <v>华东地区</v>
      </c>
      <c r="C1085" s="8" t="s">
        <v>90</v>
      </c>
      <c r="D1085" s="8" t="s">
        <v>1180</v>
      </c>
      <c r="E1085" s="8">
        <v>10</v>
      </c>
      <c r="F1085" s="8">
        <v>45</v>
      </c>
      <c r="G1085" s="8">
        <v>6.9</v>
      </c>
      <c r="H1085" s="8">
        <v>7</v>
      </c>
      <c r="I1085" s="8">
        <v>7</v>
      </c>
    </row>
    <row r="1086" spans="1:9">
      <c r="A1086" s="8" t="s">
        <v>1148</v>
      </c>
      <c r="B1086" s="8" t="str">
        <f>VLOOKUP(A1086,地区!$B$1:$C$43,2,0)</f>
        <v>华东地区</v>
      </c>
      <c r="C1086" s="8" t="s">
        <v>79</v>
      </c>
      <c r="D1086" s="8" t="s">
        <v>1181</v>
      </c>
      <c r="E1086" s="8">
        <v>40</v>
      </c>
      <c r="F1086" s="8">
        <v>28</v>
      </c>
      <c r="G1086" s="8">
        <v>8.3</v>
      </c>
      <c r="H1086" s="8">
        <v>8.1</v>
      </c>
      <c r="I1086" s="8">
        <v>8.2</v>
      </c>
    </row>
    <row r="1087" spans="1:9">
      <c r="A1087" s="8" t="s">
        <v>1148</v>
      </c>
      <c r="B1087" s="8" t="str">
        <f>VLOOKUP(A1087,地区!$B$1:$C$43,2,0)</f>
        <v>华东地区</v>
      </c>
      <c r="C1087" s="8" t="s">
        <v>79</v>
      </c>
      <c r="D1087" s="8" t="s">
        <v>1182</v>
      </c>
      <c r="E1087" s="8">
        <v>12</v>
      </c>
      <c r="F1087" s="8">
        <v>23</v>
      </c>
      <c r="G1087" s="8">
        <v>7.2</v>
      </c>
      <c r="H1087" s="8">
        <v>7.1</v>
      </c>
      <c r="I1087" s="8">
        <v>7.2</v>
      </c>
    </row>
    <row r="1088" spans="1:9">
      <c r="A1088" s="8" t="s">
        <v>1183</v>
      </c>
      <c r="B1088" s="8" t="str">
        <f>VLOOKUP(A1088,地区!$B$1:$C$43,2,0)</f>
        <v>华中地区</v>
      </c>
      <c r="C1088" s="8" t="s">
        <v>397</v>
      </c>
      <c r="D1088" s="8" t="s">
        <v>1184</v>
      </c>
      <c r="E1088" s="8">
        <v>1</v>
      </c>
      <c r="F1088" s="8">
        <v>35</v>
      </c>
      <c r="G1088" s="8">
        <v>6.9</v>
      </c>
      <c r="H1088" s="8">
        <v>6.9</v>
      </c>
      <c r="I1088" s="8">
        <v>6.9</v>
      </c>
    </row>
    <row r="1089" spans="1:9">
      <c r="A1089" s="8" t="s">
        <v>1183</v>
      </c>
      <c r="B1089" s="8" t="str">
        <f>VLOOKUP(A1089,地区!$B$1:$C$43,2,0)</f>
        <v>华中地区</v>
      </c>
      <c r="C1089" s="8" t="s">
        <v>714</v>
      </c>
      <c r="D1089" s="8" t="s">
        <v>1185</v>
      </c>
      <c r="E1089" s="8">
        <v>31</v>
      </c>
      <c r="F1089" s="8">
        <v>18</v>
      </c>
      <c r="G1089" s="8">
        <v>7.3</v>
      </c>
      <c r="H1089" s="8">
        <v>7.3</v>
      </c>
      <c r="I1089" s="8">
        <v>7.3</v>
      </c>
    </row>
    <row r="1090" spans="1:9">
      <c r="A1090" s="8" t="s">
        <v>1183</v>
      </c>
      <c r="B1090" s="8" t="str">
        <f>VLOOKUP(A1090,地区!$B$1:$C$43,2,0)</f>
        <v>华中地区</v>
      </c>
      <c r="C1090" s="8" t="s">
        <v>751</v>
      </c>
      <c r="D1090" s="8" t="s">
        <v>1186</v>
      </c>
      <c r="E1090" s="8">
        <v>31</v>
      </c>
      <c r="F1090" s="8">
        <v>19</v>
      </c>
      <c r="G1090" s="8">
        <v>7.3</v>
      </c>
      <c r="H1090" s="8">
        <v>7.3</v>
      </c>
      <c r="I1090" s="8">
        <v>7.3</v>
      </c>
    </row>
    <row r="1091" spans="1:9">
      <c r="A1091" s="8" t="s">
        <v>1183</v>
      </c>
      <c r="B1091" s="8" t="str">
        <f>VLOOKUP(A1091,地区!$B$1:$C$43,2,0)</f>
        <v>华中地区</v>
      </c>
      <c r="C1091" s="8" t="s">
        <v>329</v>
      </c>
      <c r="D1091" s="8" t="s">
        <v>1187</v>
      </c>
      <c r="E1091" s="8">
        <v>346</v>
      </c>
      <c r="F1091" s="8">
        <v>48</v>
      </c>
      <c r="G1091" s="8">
        <v>7.9</v>
      </c>
      <c r="H1091" s="8">
        <v>7.8</v>
      </c>
      <c r="I1091" s="8">
        <v>7.9</v>
      </c>
    </row>
    <row r="1092" spans="1:9">
      <c r="A1092" s="8" t="s">
        <v>1183</v>
      </c>
      <c r="B1092" s="8" t="str">
        <f>VLOOKUP(A1092,地区!$B$1:$C$43,2,0)</f>
        <v>华中地区</v>
      </c>
      <c r="C1092" s="8" t="s">
        <v>1188</v>
      </c>
      <c r="D1092" s="8" t="s">
        <v>1189</v>
      </c>
      <c r="E1092" s="8">
        <v>33</v>
      </c>
      <c r="F1092" s="8">
        <v>68</v>
      </c>
      <c r="G1092" s="8">
        <v>8.7</v>
      </c>
      <c r="H1092" s="8">
        <v>8.4</v>
      </c>
      <c r="I1092" s="8">
        <v>8.5</v>
      </c>
    </row>
    <row r="1093" spans="1:9">
      <c r="A1093" s="8" t="s">
        <v>1183</v>
      </c>
      <c r="B1093" s="8" t="str">
        <f>VLOOKUP(A1093,地区!$B$1:$C$43,2,0)</f>
        <v>华中地区</v>
      </c>
      <c r="C1093" s="8" t="s">
        <v>1188</v>
      </c>
      <c r="D1093" s="8" t="s">
        <v>1190</v>
      </c>
      <c r="E1093" s="8">
        <v>262</v>
      </c>
      <c r="F1093" s="8">
        <v>33</v>
      </c>
      <c r="G1093" s="8">
        <v>7.6</v>
      </c>
      <c r="H1093" s="8">
        <v>7.1</v>
      </c>
      <c r="I1093" s="8">
        <v>7</v>
      </c>
    </row>
    <row r="1094" spans="1:9">
      <c r="A1094" s="8" t="s">
        <v>1183</v>
      </c>
      <c r="B1094" s="8" t="str">
        <f>VLOOKUP(A1094,地区!$B$1:$C$43,2,0)</f>
        <v>华中地区</v>
      </c>
      <c r="C1094" s="8" t="s">
        <v>1188</v>
      </c>
      <c r="D1094" s="8" t="s">
        <v>1191</v>
      </c>
      <c r="E1094" s="8">
        <v>63</v>
      </c>
      <c r="F1094" s="8">
        <v>19</v>
      </c>
      <c r="G1094" s="8">
        <v>7.2</v>
      </c>
      <c r="H1094" s="8">
        <v>7.3</v>
      </c>
      <c r="I1094" s="8">
        <v>7.2</v>
      </c>
    </row>
    <row r="1095" spans="1:9">
      <c r="A1095" s="8" t="s">
        <v>1183</v>
      </c>
      <c r="B1095" s="8" t="str">
        <f>VLOOKUP(A1095,地区!$B$1:$C$43,2,0)</f>
        <v>华中地区</v>
      </c>
      <c r="C1095" s="8" t="s">
        <v>1188</v>
      </c>
      <c r="D1095" s="8" t="s">
        <v>1192</v>
      </c>
      <c r="E1095" s="8">
        <v>17</v>
      </c>
      <c r="F1095" s="8">
        <v>33</v>
      </c>
      <c r="G1095" s="8">
        <v>7.2</v>
      </c>
      <c r="H1095" s="8">
        <v>7.3</v>
      </c>
      <c r="I1095" s="8">
        <v>7.1</v>
      </c>
    </row>
    <row r="1096" spans="1:9">
      <c r="A1096" s="8" t="s">
        <v>1183</v>
      </c>
      <c r="B1096" s="8" t="str">
        <f>VLOOKUP(A1096,地区!$B$1:$C$43,2,0)</f>
        <v>华中地区</v>
      </c>
      <c r="C1096" s="8" t="s">
        <v>1188</v>
      </c>
      <c r="D1096" s="8" t="s">
        <v>1193</v>
      </c>
      <c r="E1096" s="8">
        <v>9</v>
      </c>
      <c r="F1096" s="8">
        <v>20</v>
      </c>
      <c r="G1096" s="8">
        <v>7.3</v>
      </c>
      <c r="H1096" s="8">
        <v>7.3</v>
      </c>
      <c r="I1096" s="8">
        <v>7.2</v>
      </c>
    </row>
    <row r="1097" spans="1:9">
      <c r="A1097" s="8" t="s">
        <v>1183</v>
      </c>
      <c r="B1097" s="8" t="str">
        <f>VLOOKUP(A1097,地区!$B$1:$C$43,2,0)</f>
        <v>华中地区</v>
      </c>
      <c r="C1097" s="8" t="s">
        <v>1188</v>
      </c>
      <c r="D1097" s="8" t="s">
        <v>1194</v>
      </c>
      <c r="E1097" s="8">
        <v>36</v>
      </c>
      <c r="F1097" s="8">
        <v>42</v>
      </c>
      <c r="G1097" s="8">
        <v>7.1</v>
      </c>
      <c r="H1097" s="8">
        <v>7</v>
      </c>
      <c r="I1097" s="8">
        <v>7</v>
      </c>
    </row>
    <row r="1098" spans="1:9">
      <c r="A1098" s="8" t="s">
        <v>1183</v>
      </c>
      <c r="B1098" s="8" t="str">
        <f>VLOOKUP(A1098,地区!$B$1:$C$43,2,0)</f>
        <v>华中地区</v>
      </c>
      <c r="C1098" s="8" t="s">
        <v>1188</v>
      </c>
      <c r="D1098" s="8" t="s">
        <v>1195</v>
      </c>
      <c r="E1098" s="8">
        <v>33</v>
      </c>
      <c r="F1098" s="8">
        <v>34</v>
      </c>
      <c r="G1098" s="8">
        <v>7.3</v>
      </c>
      <c r="H1098" s="8">
        <v>7.4</v>
      </c>
      <c r="I1098" s="8">
        <v>7.5</v>
      </c>
    </row>
    <row r="1099" spans="1:9">
      <c r="A1099" s="8" t="s">
        <v>1183</v>
      </c>
      <c r="B1099" s="8" t="str">
        <f>VLOOKUP(A1099,地区!$B$1:$C$43,2,0)</f>
        <v>华中地区</v>
      </c>
      <c r="C1099" s="8" t="s">
        <v>145</v>
      </c>
      <c r="D1099" s="8" t="s">
        <v>1196</v>
      </c>
      <c r="E1099" s="8">
        <v>1</v>
      </c>
      <c r="F1099" s="8">
        <v>30</v>
      </c>
      <c r="G1099" s="8">
        <v>7.5</v>
      </c>
      <c r="H1099" s="8">
        <v>7.5</v>
      </c>
      <c r="I1099" s="8">
        <v>7.5</v>
      </c>
    </row>
    <row r="1100" spans="1:9">
      <c r="A1100" s="8" t="s">
        <v>1183</v>
      </c>
      <c r="B1100" s="8" t="str">
        <f>VLOOKUP(A1100,地区!$B$1:$C$43,2,0)</f>
        <v>华中地区</v>
      </c>
      <c r="C1100" s="8" t="s">
        <v>271</v>
      </c>
      <c r="D1100" s="8" t="s">
        <v>1197</v>
      </c>
      <c r="E1100" s="8">
        <v>13</v>
      </c>
      <c r="F1100" s="8">
        <v>37</v>
      </c>
      <c r="G1100" s="8">
        <v>7.5</v>
      </c>
      <c r="H1100" s="8">
        <v>6.7</v>
      </c>
      <c r="I1100" s="8">
        <v>7.3</v>
      </c>
    </row>
    <row r="1101" spans="1:9">
      <c r="A1101" s="8" t="s">
        <v>1183</v>
      </c>
      <c r="B1101" s="8" t="str">
        <f>VLOOKUP(A1101,地区!$B$1:$C$43,2,0)</f>
        <v>华中地区</v>
      </c>
      <c r="C1101" s="8" t="s">
        <v>271</v>
      </c>
      <c r="D1101" s="8" t="s">
        <v>1198</v>
      </c>
      <c r="E1101" s="8">
        <v>24</v>
      </c>
      <c r="F1101" s="8">
        <v>21</v>
      </c>
      <c r="G1101" s="8">
        <v>7.4</v>
      </c>
      <c r="H1101" s="8">
        <v>7.3</v>
      </c>
      <c r="I1101" s="8">
        <v>7.4</v>
      </c>
    </row>
    <row r="1102" spans="1:9">
      <c r="A1102" s="8" t="s">
        <v>1183</v>
      </c>
      <c r="B1102" s="8" t="str">
        <f>VLOOKUP(A1102,地区!$B$1:$C$43,2,0)</f>
        <v>华中地区</v>
      </c>
      <c r="C1102" s="8" t="s">
        <v>271</v>
      </c>
      <c r="D1102" s="8" t="s">
        <v>1199</v>
      </c>
      <c r="E1102" s="8">
        <v>14</v>
      </c>
      <c r="F1102" s="8">
        <v>32</v>
      </c>
      <c r="G1102" s="8">
        <v>7</v>
      </c>
      <c r="H1102" s="8">
        <v>7</v>
      </c>
      <c r="I1102" s="8">
        <v>7</v>
      </c>
    </row>
    <row r="1103" spans="1:9">
      <c r="A1103" s="8" t="s">
        <v>1183</v>
      </c>
      <c r="B1103" s="8" t="str">
        <f>VLOOKUP(A1103,地区!$B$1:$C$43,2,0)</f>
        <v>华中地区</v>
      </c>
      <c r="C1103" s="8" t="s">
        <v>79</v>
      </c>
      <c r="D1103" s="8" t="s">
        <v>1200</v>
      </c>
      <c r="E1103" s="8">
        <v>17</v>
      </c>
      <c r="F1103" s="8">
        <v>57</v>
      </c>
      <c r="G1103" s="8">
        <v>7.2</v>
      </c>
      <c r="H1103" s="8">
        <v>7.1</v>
      </c>
      <c r="I1103" s="8">
        <v>7.1</v>
      </c>
    </row>
    <row r="1104" spans="1:9">
      <c r="A1104" s="8" t="s">
        <v>1183</v>
      </c>
      <c r="B1104" s="8" t="str">
        <f>VLOOKUP(A1104,地区!$B$1:$C$43,2,0)</f>
        <v>华中地区</v>
      </c>
      <c r="C1104" s="8" t="s">
        <v>79</v>
      </c>
      <c r="D1104" s="8" t="s">
        <v>1201</v>
      </c>
      <c r="E1104" s="8">
        <v>2</v>
      </c>
      <c r="F1104" s="8">
        <v>15</v>
      </c>
      <c r="G1104" s="8">
        <v>6.9</v>
      </c>
      <c r="H1104" s="8">
        <v>6.9</v>
      </c>
      <c r="I1104" s="8">
        <v>6.9</v>
      </c>
    </row>
    <row r="1105" spans="1:9">
      <c r="A1105" s="8" t="s">
        <v>1183</v>
      </c>
      <c r="B1105" s="8" t="str">
        <f>VLOOKUP(A1105,地区!$B$1:$C$43,2,0)</f>
        <v>华中地区</v>
      </c>
      <c r="C1105" s="8" t="s">
        <v>155</v>
      </c>
      <c r="D1105" s="8" t="s">
        <v>1202</v>
      </c>
      <c r="E1105" s="8">
        <v>4</v>
      </c>
      <c r="F1105" s="8">
        <v>10</v>
      </c>
      <c r="G1105" s="8">
        <v>7</v>
      </c>
      <c r="H1105" s="8">
        <v>7.2</v>
      </c>
      <c r="I1105" s="8">
        <v>7.2</v>
      </c>
    </row>
    <row r="1106" spans="1:9">
      <c r="A1106" s="8" t="s">
        <v>1183</v>
      </c>
      <c r="B1106" s="8" t="str">
        <f>VLOOKUP(A1106,地区!$B$1:$C$43,2,0)</f>
        <v>华中地区</v>
      </c>
      <c r="C1106" s="8" t="s">
        <v>155</v>
      </c>
      <c r="D1106" s="8" t="s">
        <v>1203</v>
      </c>
      <c r="E1106" s="8">
        <v>8</v>
      </c>
      <c r="F1106" s="8">
        <v>13</v>
      </c>
      <c r="G1106" s="8">
        <v>7.2</v>
      </c>
      <c r="H1106" s="8">
        <v>7</v>
      </c>
      <c r="I1106" s="8">
        <v>7</v>
      </c>
    </row>
    <row r="1107" spans="1:9">
      <c r="A1107" s="8" t="s">
        <v>1183</v>
      </c>
      <c r="B1107" s="8" t="str">
        <f>VLOOKUP(A1107,地区!$B$1:$C$43,2,0)</f>
        <v>华中地区</v>
      </c>
      <c r="C1107" s="8" t="s">
        <v>544</v>
      </c>
      <c r="D1107" s="8" t="s">
        <v>1204</v>
      </c>
      <c r="E1107" s="8">
        <v>7</v>
      </c>
      <c r="F1107" s="8">
        <v>20</v>
      </c>
      <c r="G1107" s="8">
        <v>7.3</v>
      </c>
      <c r="H1107" s="8">
        <v>7.3</v>
      </c>
      <c r="I1107" s="8">
        <v>7.3</v>
      </c>
    </row>
    <row r="1108" spans="1:9">
      <c r="A1108" s="8" t="s">
        <v>1183</v>
      </c>
      <c r="B1108" s="8" t="str">
        <f>VLOOKUP(A1108,地区!$B$1:$C$43,2,0)</f>
        <v>华中地区</v>
      </c>
      <c r="C1108" s="8" t="s">
        <v>40</v>
      </c>
      <c r="D1108" s="8" t="s">
        <v>1205</v>
      </c>
      <c r="E1108" s="8">
        <v>11</v>
      </c>
      <c r="F1108" s="8">
        <v>15</v>
      </c>
      <c r="G1108" s="8">
        <v>7.5</v>
      </c>
      <c r="H1108" s="8">
        <v>7.4</v>
      </c>
      <c r="I1108" s="8">
        <v>7.5</v>
      </c>
    </row>
    <row r="1109" spans="1:9">
      <c r="A1109" s="8" t="s">
        <v>1183</v>
      </c>
      <c r="B1109" s="8" t="str">
        <f>VLOOKUP(A1109,地区!$B$1:$C$43,2,0)</f>
        <v>华中地区</v>
      </c>
      <c r="C1109" s="8" t="s">
        <v>40</v>
      </c>
      <c r="D1109" s="8" t="s">
        <v>1206</v>
      </c>
      <c r="E1109" s="8">
        <v>3</v>
      </c>
      <c r="F1109" s="8">
        <v>30</v>
      </c>
      <c r="G1109" s="8">
        <v>7</v>
      </c>
      <c r="H1109" s="8">
        <v>6.9</v>
      </c>
      <c r="I1109" s="8">
        <v>7.1</v>
      </c>
    </row>
    <row r="1110" spans="1:9">
      <c r="A1110" s="8" t="s">
        <v>1183</v>
      </c>
      <c r="B1110" s="8" t="str">
        <f>VLOOKUP(A1110,地区!$B$1:$C$43,2,0)</f>
        <v>华中地区</v>
      </c>
      <c r="C1110" s="8" t="s">
        <v>40</v>
      </c>
      <c r="D1110" s="8" t="s">
        <v>1207</v>
      </c>
      <c r="E1110" s="8">
        <v>43</v>
      </c>
      <c r="F1110" s="8">
        <v>50</v>
      </c>
      <c r="G1110" s="8">
        <v>7.6</v>
      </c>
      <c r="H1110" s="8">
        <v>7.5</v>
      </c>
      <c r="I1110" s="8">
        <v>7.4</v>
      </c>
    </row>
    <row r="1111" spans="1:9">
      <c r="A1111" s="8" t="s">
        <v>1183</v>
      </c>
      <c r="B1111" s="8" t="str">
        <f>VLOOKUP(A1111,地区!$B$1:$C$43,2,0)</f>
        <v>华中地区</v>
      </c>
      <c r="C1111" s="8" t="s">
        <v>40</v>
      </c>
      <c r="D1111" s="8" t="s">
        <v>1208</v>
      </c>
      <c r="E1111" s="8">
        <v>3</v>
      </c>
      <c r="F1111" s="8">
        <v>19</v>
      </c>
      <c r="G1111" s="8">
        <v>6.9</v>
      </c>
      <c r="H1111" s="8">
        <v>6.9</v>
      </c>
      <c r="I1111" s="8">
        <v>6.9</v>
      </c>
    </row>
    <row r="1112" spans="1:9">
      <c r="A1112" s="8" t="s">
        <v>1183</v>
      </c>
      <c r="B1112" s="8" t="str">
        <f>VLOOKUP(A1112,地区!$B$1:$C$43,2,0)</f>
        <v>华中地区</v>
      </c>
      <c r="C1112" s="8" t="s">
        <v>124</v>
      </c>
      <c r="D1112" s="8" t="s">
        <v>1209</v>
      </c>
      <c r="E1112" s="8">
        <v>1</v>
      </c>
      <c r="F1112" s="8">
        <v>40</v>
      </c>
      <c r="G1112" s="8">
        <v>6.9</v>
      </c>
      <c r="H1112" s="8">
        <v>6.9</v>
      </c>
      <c r="I1112" s="8">
        <v>6.9</v>
      </c>
    </row>
    <row r="1113" spans="1:9">
      <c r="A1113" s="8" t="s">
        <v>1183</v>
      </c>
      <c r="B1113" s="8" t="str">
        <f>VLOOKUP(A1113,地区!$B$1:$C$43,2,0)</f>
        <v>华中地区</v>
      </c>
      <c r="C1113" s="8" t="s">
        <v>13</v>
      </c>
      <c r="D1113" s="8" t="s">
        <v>1210</v>
      </c>
      <c r="E1113" s="8">
        <v>231</v>
      </c>
      <c r="F1113" s="8">
        <v>40</v>
      </c>
      <c r="G1113" s="8">
        <v>8.8</v>
      </c>
      <c r="H1113" s="8">
        <v>8.8</v>
      </c>
      <c r="I1113" s="8">
        <v>8.7</v>
      </c>
    </row>
    <row r="1114" spans="1:9">
      <c r="A1114" s="8" t="s">
        <v>1183</v>
      </c>
      <c r="B1114" s="8" t="str">
        <f>VLOOKUP(A1114,地区!$B$1:$C$43,2,0)</f>
        <v>华中地区</v>
      </c>
      <c r="C1114" s="8" t="s">
        <v>124</v>
      </c>
      <c r="D1114" s="8" t="s">
        <v>1211</v>
      </c>
      <c r="E1114" s="8">
        <v>4</v>
      </c>
      <c r="F1114" s="8">
        <v>42</v>
      </c>
      <c r="G1114" s="8">
        <v>7.1</v>
      </c>
      <c r="H1114" s="8">
        <v>7.2</v>
      </c>
      <c r="I1114" s="8">
        <v>7.2</v>
      </c>
    </row>
    <row r="1115" spans="1:9">
      <c r="A1115" s="8" t="s">
        <v>1183</v>
      </c>
      <c r="B1115" s="8" t="str">
        <f>VLOOKUP(A1115,地区!$B$1:$C$43,2,0)</f>
        <v>华中地区</v>
      </c>
      <c r="C1115" s="8" t="s">
        <v>13</v>
      </c>
      <c r="D1115" s="8" t="s">
        <v>1212</v>
      </c>
      <c r="E1115" s="8">
        <v>175</v>
      </c>
      <c r="F1115" s="8">
        <v>21</v>
      </c>
      <c r="G1115" s="8">
        <v>7.8</v>
      </c>
      <c r="H1115" s="8">
        <v>7.7</v>
      </c>
      <c r="I1115" s="8">
        <v>7.7</v>
      </c>
    </row>
    <row r="1116" spans="1:9">
      <c r="A1116" s="8" t="s">
        <v>1183</v>
      </c>
      <c r="B1116" s="8" t="str">
        <f>VLOOKUP(A1116,地区!$B$1:$C$43,2,0)</f>
        <v>华中地区</v>
      </c>
      <c r="C1116" s="8" t="s">
        <v>13</v>
      </c>
      <c r="D1116" s="8" t="s">
        <v>1213</v>
      </c>
      <c r="E1116" s="8">
        <v>27</v>
      </c>
      <c r="F1116" s="8">
        <v>38</v>
      </c>
      <c r="G1116" s="8">
        <v>7.6</v>
      </c>
      <c r="H1116" s="8">
        <v>7.6</v>
      </c>
      <c r="I1116" s="8">
        <v>7.6</v>
      </c>
    </row>
    <row r="1117" spans="1:9">
      <c r="A1117" s="8" t="s">
        <v>1183</v>
      </c>
      <c r="B1117" s="8" t="str">
        <f>VLOOKUP(A1117,地区!$B$1:$C$43,2,0)</f>
        <v>华中地区</v>
      </c>
      <c r="C1117" s="8" t="s">
        <v>55</v>
      </c>
      <c r="D1117" s="8" t="s">
        <v>1214</v>
      </c>
      <c r="E1117" s="8">
        <v>1</v>
      </c>
      <c r="F1117" s="8">
        <v>54</v>
      </c>
      <c r="G1117" s="8">
        <v>6.9</v>
      </c>
      <c r="H1117" s="8">
        <v>6.9</v>
      </c>
      <c r="I1117" s="8">
        <v>6.9</v>
      </c>
    </row>
    <row r="1118" spans="1:9">
      <c r="A1118" s="8" t="s">
        <v>1183</v>
      </c>
      <c r="B1118" s="8" t="str">
        <f>VLOOKUP(A1118,地区!$B$1:$C$43,2,0)</f>
        <v>华中地区</v>
      </c>
      <c r="C1118" s="8" t="s">
        <v>55</v>
      </c>
      <c r="D1118" s="8" t="s">
        <v>1215</v>
      </c>
      <c r="E1118" s="8">
        <v>3</v>
      </c>
      <c r="F1118" s="8">
        <v>16</v>
      </c>
      <c r="G1118" s="8">
        <v>7.2</v>
      </c>
      <c r="H1118" s="8">
        <v>7.2</v>
      </c>
      <c r="I1118" s="8">
        <v>7.2</v>
      </c>
    </row>
    <row r="1119" spans="1:9">
      <c r="A1119" s="8" t="s">
        <v>1183</v>
      </c>
      <c r="B1119" s="8" t="str">
        <f>VLOOKUP(A1119,地区!$B$1:$C$43,2,0)</f>
        <v>华中地区</v>
      </c>
      <c r="C1119" s="8" t="s">
        <v>412</v>
      </c>
      <c r="D1119" s="8" t="s">
        <v>1216</v>
      </c>
      <c r="E1119" s="8">
        <v>8</v>
      </c>
      <c r="F1119" s="8">
        <v>56</v>
      </c>
      <c r="G1119" s="8">
        <v>7.5</v>
      </c>
      <c r="H1119" s="8">
        <v>7.5</v>
      </c>
      <c r="I1119" s="8">
        <v>7.5</v>
      </c>
    </row>
    <row r="1120" spans="1:9">
      <c r="A1120" s="8" t="s">
        <v>1183</v>
      </c>
      <c r="B1120" s="8" t="str">
        <f>VLOOKUP(A1120,地区!$B$1:$C$43,2,0)</f>
        <v>华中地区</v>
      </c>
      <c r="C1120" s="8" t="s">
        <v>59</v>
      </c>
      <c r="D1120" s="8" t="s">
        <v>1217</v>
      </c>
      <c r="E1120" s="8">
        <v>58</v>
      </c>
      <c r="F1120" s="8">
        <v>75</v>
      </c>
      <c r="G1120" s="8">
        <v>6.9</v>
      </c>
      <c r="H1120" s="8">
        <v>7.6</v>
      </c>
      <c r="I1120" s="8">
        <v>7.1</v>
      </c>
    </row>
    <row r="1121" spans="1:9">
      <c r="A1121" s="8" t="s">
        <v>1183</v>
      </c>
      <c r="B1121" s="8" t="str">
        <f>VLOOKUP(A1121,地区!$B$1:$C$43,2,0)</f>
        <v>华中地区</v>
      </c>
      <c r="C1121" s="8" t="s">
        <v>59</v>
      </c>
      <c r="D1121" s="8" t="s">
        <v>1218</v>
      </c>
      <c r="E1121" s="8">
        <v>42</v>
      </c>
      <c r="F1121" s="8">
        <v>33</v>
      </c>
      <c r="G1121" s="8">
        <v>7.5</v>
      </c>
      <c r="H1121" s="8">
        <v>7.4</v>
      </c>
      <c r="I1121" s="8">
        <v>7.3</v>
      </c>
    </row>
    <row r="1122" spans="1:9">
      <c r="A1122" s="8" t="s">
        <v>1183</v>
      </c>
      <c r="B1122" s="8" t="str">
        <f>VLOOKUP(A1122,地区!$B$1:$C$43,2,0)</f>
        <v>华中地区</v>
      </c>
      <c r="C1122" s="8" t="s">
        <v>233</v>
      </c>
      <c r="D1122" s="8" t="s">
        <v>1219</v>
      </c>
      <c r="E1122" s="8">
        <v>22</v>
      </c>
      <c r="F1122" s="8">
        <v>32</v>
      </c>
      <c r="G1122" s="8">
        <v>7.5</v>
      </c>
      <c r="H1122" s="8">
        <v>7.4</v>
      </c>
      <c r="I1122" s="8">
        <v>7.6</v>
      </c>
    </row>
    <row r="1123" spans="1:9">
      <c r="A1123" s="8" t="s">
        <v>1220</v>
      </c>
      <c r="B1123" s="8" t="str">
        <f>VLOOKUP(A1123,地区!$B$1:$C$43,2,0)</f>
        <v>华南地区</v>
      </c>
      <c r="C1123" s="8" t="s">
        <v>55</v>
      </c>
      <c r="D1123" s="8" t="s">
        <v>1221</v>
      </c>
      <c r="E1123" s="8">
        <v>451</v>
      </c>
      <c r="F1123" s="8">
        <v>152</v>
      </c>
      <c r="G1123" s="8">
        <v>8.3</v>
      </c>
      <c r="H1123" s="8">
        <v>8.9</v>
      </c>
      <c r="I1123" s="8">
        <v>8.5</v>
      </c>
    </row>
    <row r="1124" spans="1:9">
      <c r="A1124" s="8" t="s">
        <v>1220</v>
      </c>
      <c r="B1124" s="8" t="str">
        <f>VLOOKUP(A1124,地区!$B$1:$C$43,2,0)</f>
        <v>华南地区</v>
      </c>
      <c r="C1124" s="8" t="s">
        <v>55</v>
      </c>
      <c r="D1124" s="8" t="s">
        <v>1222</v>
      </c>
      <c r="E1124" s="8">
        <v>38</v>
      </c>
      <c r="F1124" s="8">
        <v>135</v>
      </c>
      <c r="G1124" s="8">
        <v>8.3</v>
      </c>
      <c r="H1124" s="8">
        <v>8.6</v>
      </c>
      <c r="I1124" s="8">
        <v>8.5</v>
      </c>
    </row>
    <row r="1125" spans="1:9">
      <c r="A1125" s="8" t="s">
        <v>1220</v>
      </c>
      <c r="B1125" s="8" t="str">
        <f>VLOOKUP(A1125,地区!$B$1:$C$43,2,0)</f>
        <v>华南地区</v>
      </c>
      <c r="C1125" s="8" t="s">
        <v>55</v>
      </c>
      <c r="D1125" s="8" t="s">
        <v>1223</v>
      </c>
      <c r="E1125" s="8">
        <v>5</v>
      </c>
      <c r="F1125" s="8">
        <v>44</v>
      </c>
      <c r="G1125" s="8">
        <v>6.8</v>
      </c>
      <c r="H1125" s="8">
        <v>6.8</v>
      </c>
      <c r="I1125" s="8">
        <v>6.8</v>
      </c>
    </row>
    <row r="1126" spans="1:9">
      <c r="A1126" s="8" t="s">
        <v>1220</v>
      </c>
      <c r="B1126" s="8" t="str">
        <f>VLOOKUP(A1126,地区!$B$1:$C$43,2,0)</f>
        <v>华南地区</v>
      </c>
      <c r="C1126" s="8" t="s">
        <v>45</v>
      </c>
      <c r="D1126" s="8" t="s">
        <v>1224</v>
      </c>
      <c r="E1126" s="8">
        <v>18</v>
      </c>
      <c r="F1126" s="8">
        <v>15</v>
      </c>
      <c r="G1126" s="8">
        <v>7.6</v>
      </c>
      <c r="H1126" s="8">
        <v>7.3</v>
      </c>
      <c r="I1126" s="8">
        <v>7.6</v>
      </c>
    </row>
    <row r="1127" spans="1:9">
      <c r="A1127" s="8" t="s">
        <v>1220</v>
      </c>
      <c r="B1127" s="8" t="str">
        <f>VLOOKUP(A1127,地区!$B$1:$C$43,2,0)</f>
        <v>华南地区</v>
      </c>
      <c r="C1127" s="8" t="s">
        <v>271</v>
      </c>
      <c r="D1127" s="8" t="s">
        <v>1225</v>
      </c>
      <c r="E1127" s="8">
        <v>88</v>
      </c>
      <c r="F1127" s="8">
        <v>50</v>
      </c>
      <c r="G1127" s="8">
        <v>7.2</v>
      </c>
      <c r="H1127" s="8">
        <v>6.9</v>
      </c>
      <c r="I1127" s="8">
        <v>7</v>
      </c>
    </row>
    <row r="1128" spans="1:9">
      <c r="A1128" s="8" t="s">
        <v>1220</v>
      </c>
      <c r="B1128" s="8" t="str">
        <f>VLOOKUP(A1128,地区!$B$1:$C$43,2,0)</f>
        <v>华南地区</v>
      </c>
      <c r="C1128" s="8" t="s">
        <v>271</v>
      </c>
      <c r="D1128" s="8" t="s">
        <v>1226</v>
      </c>
      <c r="E1128" s="8">
        <v>41</v>
      </c>
      <c r="F1128" s="8">
        <v>45</v>
      </c>
      <c r="G1128" s="8">
        <v>7.3</v>
      </c>
      <c r="H1128" s="8">
        <v>7.2</v>
      </c>
      <c r="I1128" s="8">
        <v>7.2</v>
      </c>
    </row>
    <row r="1129" spans="1:9">
      <c r="A1129" s="8" t="s">
        <v>1220</v>
      </c>
      <c r="B1129" s="8" t="str">
        <f>VLOOKUP(A1129,地区!$B$1:$C$43,2,0)</f>
        <v>华南地区</v>
      </c>
      <c r="C1129" s="8" t="s">
        <v>15</v>
      </c>
      <c r="D1129" s="8" t="s">
        <v>1227</v>
      </c>
      <c r="E1129" s="8">
        <v>150</v>
      </c>
      <c r="F1129" s="8">
        <v>58</v>
      </c>
      <c r="G1129" s="8">
        <v>7.7</v>
      </c>
      <c r="H1129" s="8">
        <v>7.6</v>
      </c>
      <c r="I1129" s="8">
        <v>7.5</v>
      </c>
    </row>
    <row r="1130" spans="1:9">
      <c r="A1130" s="8" t="s">
        <v>1220</v>
      </c>
      <c r="B1130" s="8" t="str">
        <f>VLOOKUP(A1130,地区!$B$1:$C$43,2,0)</f>
        <v>华南地区</v>
      </c>
      <c r="C1130" s="8" t="s">
        <v>15</v>
      </c>
      <c r="D1130" s="8" t="s">
        <v>1228</v>
      </c>
      <c r="E1130" s="8">
        <v>102</v>
      </c>
      <c r="F1130" s="8">
        <v>109</v>
      </c>
      <c r="G1130" s="8">
        <v>7.8</v>
      </c>
      <c r="H1130" s="8">
        <v>7.7</v>
      </c>
      <c r="I1130" s="8">
        <v>7.6</v>
      </c>
    </row>
    <row r="1131" spans="1:9">
      <c r="A1131" s="8" t="s">
        <v>1220</v>
      </c>
      <c r="B1131" s="8" t="str">
        <f>VLOOKUP(A1131,地区!$B$1:$C$43,2,0)</f>
        <v>华南地区</v>
      </c>
      <c r="C1131" s="8" t="s">
        <v>52</v>
      </c>
      <c r="D1131" s="8" t="s">
        <v>1229</v>
      </c>
      <c r="E1131" s="8">
        <v>14</v>
      </c>
      <c r="F1131" s="8">
        <v>12</v>
      </c>
      <c r="G1131" s="8">
        <v>7.2</v>
      </c>
      <c r="H1131" s="8">
        <v>7.1</v>
      </c>
      <c r="I1131" s="8">
        <v>7.2</v>
      </c>
    </row>
    <row r="1132" spans="1:9">
      <c r="A1132" s="8" t="s">
        <v>1220</v>
      </c>
      <c r="B1132" s="8" t="str">
        <f>VLOOKUP(A1132,地区!$B$1:$C$43,2,0)</f>
        <v>华南地区</v>
      </c>
      <c r="C1132" s="8" t="s">
        <v>59</v>
      </c>
      <c r="D1132" s="8" t="s">
        <v>1230</v>
      </c>
      <c r="E1132" s="8">
        <v>24</v>
      </c>
      <c r="F1132" s="8">
        <v>36</v>
      </c>
      <c r="G1132" s="8">
        <v>7.2</v>
      </c>
      <c r="H1132" s="8">
        <v>7.1</v>
      </c>
      <c r="I1132" s="8">
        <v>7.4</v>
      </c>
    </row>
    <row r="1133" spans="1:9">
      <c r="A1133" s="8" t="s">
        <v>1220</v>
      </c>
      <c r="B1133" s="8" t="str">
        <f>VLOOKUP(A1133,地区!$B$1:$C$43,2,0)</f>
        <v>华南地区</v>
      </c>
      <c r="C1133" s="8" t="s">
        <v>59</v>
      </c>
      <c r="D1133" s="8" t="s">
        <v>1231</v>
      </c>
      <c r="E1133" s="8">
        <v>11</v>
      </c>
      <c r="F1133" s="8">
        <v>89</v>
      </c>
      <c r="G1133" s="8">
        <v>7</v>
      </c>
      <c r="H1133" s="8">
        <v>7</v>
      </c>
      <c r="I1133" s="8">
        <v>7</v>
      </c>
    </row>
    <row r="1134" spans="1:9">
      <c r="A1134" s="8" t="s">
        <v>1220</v>
      </c>
      <c r="B1134" s="8" t="str">
        <f>VLOOKUP(A1134,地区!$B$1:$C$43,2,0)</f>
        <v>华南地区</v>
      </c>
      <c r="C1134" s="8" t="s">
        <v>90</v>
      </c>
      <c r="D1134" s="8" t="s">
        <v>1232</v>
      </c>
      <c r="E1134" s="8">
        <v>295</v>
      </c>
      <c r="F1134" s="8">
        <v>53</v>
      </c>
      <c r="G1134" s="8">
        <v>8.1</v>
      </c>
      <c r="H1134" s="8">
        <v>9.1</v>
      </c>
      <c r="I1134" s="8">
        <v>8.4</v>
      </c>
    </row>
    <row r="1135" spans="1:9">
      <c r="A1135" s="8" t="s">
        <v>1220</v>
      </c>
      <c r="B1135" s="8" t="str">
        <f>VLOOKUP(A1135,地区!$B$1:$C$43,2,0)</f>
        <v>华南地区</v>
      </c>
      <c r="C1135" s="8" t="s">
        <v>90</v>
      </c>
      <c r="D1135" s="8" t="s">
        <v>1233</v>
      </c>
      <c r="E1135" s="8">
        <v>59</v>
      </c>
      <c r="F1135" s="8">
        <v>57</v>
      </c>
      <c r="G1135" s="8">
        <v>7.2</v>
      </c>
      <c r="H1135" s="8">
        <v>7.5</v>
      </c>
      <c r="I1135" s="8">
        <v>7.5</v>
      </c>
    </row>
    <row r="1136" spans="1:9">
      <c r="A1136" s="8" t="s">
        <v>1220</v>
      </c>
      <c r="B1136" s="8" t="str">
        <f>VLOOKUP(A1136,地区!$B$1:$C$43,2,0)</f>
        <v>华南地区</v>
      </c>
      <c r="C1136" s="8" t="s">
        <v>90</v>
      </c>
      <c r="D1136" s="8" t="s">
        <v>1234</v>
      </c>
      <c r="E1136" s="8">
        <v>2</v>
      </c>
      <c r="F1136" s="8">
        <v>50</v>
      </c>
      <c r="G1136" s="8">
        <v>7</v>
      </c>
      <c r="H1136" s="8">
        <v>7</v>
      </c>
      <c r="I1136" s="8">
        <v>6.9</v>
      </c>
    </row>
    <row r="1137" spans="1:9">
      <c r="A1137" s="8" t="s">
        <v>1220</v>
      </c>
      <c r="B1137" s="8" t="str">
        <f>VLOOKUP(A1137,地区!$B$1:$C$43,2,0)</f>
        <v>华南地区</v>
      </c>
      <c r="C1137" s="8" t="s">
        <v>90</v>
      </c>
      <c r="D1137" s="8" t="s">
        <v>1235</v>
      </c>
      <c r="E1137" s="8">
        <v>6</v>
      </c>
      <c r="F1137" s="8">
        <v>38</v>
      </c>
      <c r="G1137" s="8">
        <v>7</v>
      </c>
      <c r="H1137" s="8">
        <v>6.9</v>
      </c>
      <c r="I1137" s="8">
        <v>7</v>
      </c>
    </row>
    <row r="1138" spans="1:9">
      <c r="A1138" s="8" t="s">
        <v>1220</v>
      </c>
      <c r="B1138" s="8" t="str">
        <f>VLOOKUP(A1138,地区!$B$1:$C$43,2,0)</f>
        <v>华南地区</v>
      </c>
      <c r="C1138" s="8" t="s">
        <v>90</v>
      </c>
      <c r="D1138" s="8" t="s">
        <v>1236</v>
      </c>
      <c r="E1138" s="8">
        <v>12</v>
      </c>
      <c r="F1138" s="8">
        <v>31</v>
      </c>
      <c r="G1138" s="8">
        <v>7</v>
      </c>
      <c r="H1138" s="8">
        <v>7.2</v>
      </c>
      <c r="I1138" s="8">
        <v>7.1</v>
      </c>
    </row>
    <row r="1139" spans="1:9">
      <c r="A1139" s="8" t="s">
        <v>1220</v>
      </c>
      <c r="B1139" s="8" t="str">
        <f>VLOOKUP(A1139,地区!$B$1:$C$43,2,0)</f>
        <v>华南地区</v>
      </c>
      <c r="C1139" s="8" t="s">
        <v>104</v>
      </c>
      <c r="D1139" s="8" t="s">
        <v>1237</v>
      </c>
      <c r="E1139" s="8">
        <v>177</v>
      </c>
      <c r="F1139" s="8">
        <v>72</v>
      </c>
      <c r="G1139" s="8">
        <v>7.9</v>
      </c>
      <c r="H1139" s="8">
        <v>8.1</v>
      </c>
      <c r="I1139" s="8">
        <v>8.3</v>
      </c>
    </row>
    <row r="1140" spans="1:9">
      <c r="A1140" s="8" t="s">
        <v>1220</v>
      </c>
      <c r="B1140" s="8" t="str">
        <f>VLOOKUP(A1140,地区!$B$1:$C$43,2,0)</f>
        <v>华南地区</v>
      </c>
      <c r="C1140" s="8" t="s">
        <v>85</v>
      </c>
      <c r="D1140" s="8" t="s">
        <v>1238</v>
      </c>
      <c r="E1140" s="8">
        <v>122</v>
      </c>
      <c r="F1140" s="8">
        <v>17</v>
      </c>
      <c r="G1140" s="8">
        <v>7.9</v>
      </c>
      <c r="H1140" s="8">
        <v>8</v>
      </c>
      <c r="I1140" s="8">
        <v>7.7</v>
      </c>
    </row>
    <row r="1141" spans="1:9">
      <c r="A1141" s="8" t="s">
        <v>1220</v>
      </c>
      <c r="B1141" s="8" t="str">
        <f>VLOOKUP(A1141,地区!$B$1:$C$43,2,0)</f>
        <v>华南地区</v>
      </c>
      <c r="C1141" s="8" t="s">
        <v>85</v>
      </c>
      <c r="D1141" s="8" t="s">
        <v>1239</v>
      </c>
      <c r="E1141" s="8">
        <v>92</v>
      </c>
      <c r="F1141" s="8">
        <v>20</v>
      </c>
      <c r="G1141" s="8">
        <v>7.9</v>
      </c>
      <c r="H1141" s="8">
        <v>7.8</v>
      </c>
      <c r="I1141" s="8">
        <v>8.1</v>
      </c>
    </row>
    <row r="1142" spans="1:9">
      <c r="A1142" s="8" t="s">
        <v>1220</v>
      </c>
      <c r="B1142" s="8" t="str">
        <f>VLOOKUP(A1142,地区!$B$1:$C$43,2,0)</f>
        <v>华南地区</v>
      </c>
      <c r="C1142" s="8" t="s">
        <v>85</v>
      </c>
      <c r="D1142" s="8" t="s">
        <v>1240</v>
      </c>
      <c r="E1142" s="8">
        <v>16</v>
      </c>
      <c r="F1142" s="8">
        <v>16</v>
      </c>
      <c r="G1142" s="8">
        <v>7.6</v>
      </c>
      <c r="H1142" s="8">
        <v>7.6</v>
      </c>
      <c r="I1142" s="8">
        <v>7.4</v>
      </c>
    </row>
    <row r="1143" spans="1:9">
      <c r="A1143" s="8" t="s">
        <v>1220</v>
      </c>
      <c r="B1143" s="8" t="str">
        <f>VLOOKUP(A1143,地区!$B$1:$C$43,2,0)</f>
        <v>华南地区</v>
      </c>
      <c r="C1143" s="8" t="s">
        <v>85</v>
      </c>
      <c r="D1143" s="8" t="s">
        <v>1241</v>
      </c>
      <c r="E1143" s="8">
        <v>35</v>
      </c>
      <c r="F1143" s="8">
        <v>16</v>
      </c>
      <c r="G1143" s="8">
        <v>7.1</v>
      </c>
      <c r="H1143" s="8">
        <v>7.3</v>
      </c>
      <c r="I1143" s="8">
        <v>7.2</v>
      </c>
    </row>
    <row r="1144" spans="1:9">
      <c r="A1144" s="8" t="s">
        <v>1220</v>
      </c>
      <c r="B1144" s="8" t="str">
        <f>VLOOKUP(A1144,地区!$B$1:$C$43,2,0)</f>
        <v>华南地区</v>
      </c>
      <c r="C1144" s="8" t="s">
        <v>85</v>
      </c>
      <c r="D1144" s="8" t="s">
        <v>1242</v>
      </c>
      <c r="E1144" s="8">
        <v>8</v>
      </c>
      <c r="F1144" s="8">
        <v>10</v>
      </c>
      <c r="G1144" s="8">
        <v>7.1</v>
      </c>
      <c r="H1144" s="8">
        <v>7.1</v>
      </c>
      <c r="I1144" s="8">
        <v>7.3</v>
      </c>
    </row>
    <row r="1145" spans="1:9">
      <c r="A1145" s="8" t="s">
        <v>1220</v>
      </c>
      <c r="B1145" s="8" t="str">
        <f>VLOOKUP(A1145,地区!$B$1:$C$43,2,0)</f>
        <v>华南地区</v>
      </c>
      <c r="C1145" s="8" t="s">
        <v>85</v>
      </c>
      <c r="D1145" s="8" t="s">
        <v>1243</v>
      </c>
      <c r="E1145" s="8">
        <v>2</v>
      </c>
      <c r="F1145" s="8">
        <v>15</v>
      </c>
      <c r="G1145" s="8">
        <v>7.3</v>
      </c>
      <c r="H1145" s="8">
        <v>7.3</v>
      </c>
      <c r="I1145" s="8">
        <v>7.3</v>
      </c>
    </row>
    <row r="1146" spans="1:9">
      <c r="A1146" s="8" t="s">
        <v>1220</v>
      </c>
      <c r="B1146" s="8" t="str">
        <f>VLOOKUP(A1146,地区!$B$1:$C$43,2,0)</f>
        <v>华南地区</v>
      </c>
      <c r="C1146" s="8" t="s">
        <v>85</v>
      </c>
      <c r="D1146" s="8" t="s">
        <v>1244</v>
      </c>
      <c r="E1146" s="8">
        <v>11</v>
      </c>
      <c r="F1146" s="8">
        <v>12</v>
      </c>
      <c r="G1146" s="8">
        <v>7.2</v>
      </c>
      <c r="H1146" s="8">
        <v>7.2</v>
      </c>
      <c r="I1146" s="8">
        <v>7.3</v>
      </c>
    </row>
    <row r="1147" spans="1:9">
      <c r="A1147" s="8" t="s">
        <v>1220</v>
      </c>
      <c r="B1147" s="8" t="str">
        <f>VLOOKUP(A1147,地区!$B$1:$C$43,2,0)</f>
        <v>华南地区</v>
      </c>
      <c r="C1147" s="8" t="s">
        <v>155</v>
      </c>
      <c r="D1147" s="8" t="s">
        <v>1245</v>
      </c>
      <c r="E1147" s="8">
        <v>7</v>
      </c>
      <c r="F1147" s="8">
        <v>35</v>
      </c>
      <c r="G1147" s="8">
        <v>7.4</v>
      </c>
      <c r="H1147" s="8">
        <v>7.1</v>
      </c>
      <c r="I1147" s="8">
        <v>7.5</v>
      </c>
    </row>
    <row r="1148" spans="1:9">
      <c r="A1148" s="8" t="s">
        <v>1220</v>
      </c>
      <c r="B1148" s="8" t="str">
        <f>VLOOKUP(A1148,地区!$B$1:$C$43,2,0)</f>
        <v>华南地区</v>
      </c>
      <c r="C1148" s="8" t="s">
        <v>72</v>
      </c>
      <c r="D1148" s="8" t="s">
        <v>1246</v>
      </c>
      <c r="E1148" s="8">
        <v>320</v>
      </c>
      <c r="F1148" s="8">
        <v>35</v>
      </c>
      <c r="G1148" s="8">
        <v>7.6</v>
      </c>
      <c r="H1148" s="8">
        <v>7.7</v>
      </c>
      <c r="I1148" s="8">
        <v>7.6</v>
      </c>
    </row>
    <row r="1149" spans="1:9">
      <c r="A1149" s="8" t="s">
        <v>1220</v>
      </c>
      <c r="B1149" s="8" t="str">
        <f>VLOOKUP(A1149,地区!$B$1:$C$43,2,0)</f>
        <v>华南地区</v>
      </c>
      <c r="C1149" s="8" t="s">
        <v>72</v>
      </c>
      <c r="D1149" s="8" t="s">
        <v>1247</v>
      </c>
      <c r="E1149" s="8">
        <v>14</v>
      </c>
      <c r="F1149" s="8">
        <v>45</v>
      </c>
      <c r="G1149" s="8">
        <v>6.8</v>
      </c>
      <c r="H1149" s="8">
        <v>7.2</v>
      </c>
      <c r="I1149" s="8">
        <v>7.4</v>
      </c>
    </row>
    <row r="1150" spans="1:9">
      <c r="A1150" s="8" t="s">
        <v>1220</v>
      </c>
      <c r="B1150" s="8" t="str">
        <f>VLOOKUP(A1150,地区!$B$1:$C$43,2,0)</f>
        <v>华南地区</v>
      </c>
      <c r="C1150" s="8" t="s">
        <v>72</v>
      </c>
      <c r="D1150" s="8" t="s">
        <v>1248</v>
      </c>
      <c r="E1150" s="8">
        <v>73</v>
      </c>
      <c r="F1150" s="8">
        <v>70</v>
      </c>
      <c r="G1150" s="8">
        <v>7.4</v>
      </c>
      <c r="H1150" s="8">
        <v>7.6</v>
      </c>
      <c r="I1150" s="8">
        <v>7.2</v>
      </c>
    </row>
    <row r="1151" spans="1:9">
      <c r="A1151" s="8" t="s">
        <v>1220</v>
      </c>
      <c r="B1151" s="8" t="str">
        <f>VLOOKUP(A1151,地区!$B$1:$C$43,2,0)</f>
        <v>华南地区</v>
      </c>
      <c r="C1151" s="8" t="s">
        <v>72</v>
      </c>
      <c r="D1151" s="8" t="s">
        <v>1249</v>
      </c>
      <c r="E1151" s="8">
        <v>9</v>
      </c>
      <c r="F1151" s="8">
        <v>19</v>
      </c>
      <c r="G1151" s="8">
        <v>7.2</v>
      </c>
      <c r="H1151" s="8">
        <v>7.3</v>
      </c>
      <c r="I1151" s="8">
        <v>7.3</v>
      </c>
    </row>
    <row r="1152" spans="1:9">
      <c r="A1152" s="8" t="s">
        <v>1220</v>
      </c>
      <c r="B1152" s="8" t="str">
        <f>VLOOKUP(A1152,地区!$B$1:$C$43,2,0)</f>
        <v>华南地区</v>
      </c>
      <c r="C1152" s="8" t="s">
        <v>72</v>
      </c>
      <c r="D1152" s="8" t="s">
        <v>1250</v>
      </c>
      <c r="E1152" s="8">
        <v>12</v>
      </c>
      <c r="F1152" s="8">
        <v>16</v>
      </c>
      <c r="G1152" s="8">
        <v>7</v>
      </c>
      <c r="H1152" s="8">
        <v>7</v>
      </c>
      <c r="I1152" s="8">
        <v>7</v>
      </c>
    </row>
  </sheetData>
  <printOptions horizontalCentered="1"/>
  <pageMargins left="0.751388888888889" right="0.751388888888889" top="1" bottom="1" header="0.5" footer="0.5"/>
  <pageSetup paperSize="8" fitToHeight="0" orientation="portrait" horizontalDpi="600"/>
  <headerFooter>
    <oddHeader>&amp;L2018年餐饮数据表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3"/>
  <sheetViews>
    <sheetView workbookViewId="0">
      <selection activeCell="F13" sqref="F13"/>
    </sheetView>
  </sheetViews>
  <sheetFormatPr defaultColWidth="9" defaultRowHeight="13.5" outlineLevelCol="2"/>
  <cols>
    <col min="1" max="16384" width="9" style="6"/>
  </cols>
  <sheetData>
    <row r="1" spans="2:3">
      <c r="B1" s="7" t="s">
        <v>0</v>
      </c>
      <c r="C1" s="7" t="s">
        <v>1</v>
      </c>
    </row>
    <row r="2" spans="2:3">
      <c r="B2" s="7" t="s">
        <v>798</v>
      </c>
      <c r="C2" s="7" t="s">
        <v>1251</v>
      </c>
    </row>
    <row r="3" spans="2:3">
      <c r="B3" s="7" t="s">
        <v>173</v>
      </c>
      <c r="C3" s="7" t="s">
        <v>1251</v>
      </c>
    </row>
    <row r="4" spans="2:3">
      <c r="B4" s="7" t="s">
        <v>44</v>
      </c>
      <c r="C4" s="7" t="s">
        <v>1251</v>
      </c>
    </row>
    <row r="5" spans="2:3">
      <c r="B5" s="7" t="s">
        <v>310</v>
      </c>
      <c r="C5" s="7" t="s">
        <v>1251</v>
      </c>
    </row>
    <row r="6" spans="2:3">
      <c r="B6" s="7" t="s">
        <v>9</v>
      </c>
      <c r="C6" s="7" t="s">
        <v>1252</v>
      </c>
    </row>
    <row r="7" spans="2:3">
      <c r="B7" s="7" t="s">
        <v>910</v>
      </c>
      <c r="C7" s="7" t="s">
        <v>1252</v>
      </c>
    </row>
    <row r="8" spans="2:3">
      <c r="B8" s="7" t="s">
        <v>830</v>
      </c>
      <c r="C8" s="7" t="s">
        <v>1252</v>
      </c>
    </row>
    <row r="9" spans="2:3">
      <c r="B9" s="7" t="s">
        <v>883</v>
      </c>
      <c r="C9" s="7" t="s">
        <v>1252</v>
      </c>
    </row>
    <row r="10" spans="2:3">
      <c r="B10" s="7" t="s">
        <v>1071</v>
      </c>
      <c r="C10" s="7" t="s">
        <v>1253</v>
      </c>
    </row>
    <row r="11" spans="2:3">
      <c r="B11" s="7" t="s">
        <v>492</v>
      </c>
      <c r="C11" s="7" t="s">
        <v>1253</v>
      </c>
    </row>
    <row r="12" spans="2:3">
      <c r="B12" s="7" t="s">
        <v>943</v>
      </c>
      <c r="C12" s="7" t="s">
        <v>1253</v>
      </c>
    </row>
    <row r="13" spans="2:3">
      <c r="B13" s="7" t="s">
        <v>1183</v>
      </c>
      <c r="C13" s="7" t="s">
        <v>1254</v>
      </c>
    </row>
    <row r="14" spans="2:3">
      <c r="B14" s="7" t="s">
        <v>1018</v>
      </c>
      <c r="C14" s="7" t="s">
        <v>1254</v>
      </c>
    </row>
    <row r="15" spans="2:3">
      <c r="B15" s="7" t="s">
        <v>84</v>
      </c>
      <c r="C15" s="7" t="s">
        <v>1254</v>
      </c>
    </row>
    <row r="16" spans="2:3">
      <c r="B16" s="7" t="s">
        <v>713</v>
      </c>
      <c r="C16" s="7" t="s">
        <v>1255</v>
      </c>
    </row>
    <row r="17" spans="2:3">
      <c r="B17" s="7" t="s">
        <v>856</v>
      </c>
      <c r="C17" s="7" t="s">
        <v>1255</v>
      </c>
    </row>
    <row r="18" spans="2:3">
      <c r="B18" s="7" t="s">
        <v>982</v>
      </c>
      <c r="C18" s="7" t="s">
        <v>1255</v>
      </c>
    </row>
    <row r="19" spans="2:3">
      <c r="B19" s="7" t="s">
        <v>1126</v>
      </c>
      <c r="C19" s="7" t="s">
        <v>1255</v>
      </c>
    </row>
    <row r="20" spans="2:3">
      <c r="B20" s="7" t="s">
        <v>600</v>
      </c>
      <c r="C20" s="7" t="s">
        <v>1255</v>
      </c>
    </row>
    <row r="21" spans="2:3">
      <c r="B21" s="7" t="s">
        <v>368</v>
      </c>
      <c r="C21" s="7" t="s">
        <v>1255</v>
      </c>
    </row>
    <row r="22" spans="2:3">
      <c r="B22" s="7" t="s">
        <v>621</v>
      </c>
      <c r="C22" s="7" t="s">
        <v>1255</v>
      </c>
    </row>
    <row r="23" spans="2:3">
      <c r="B23" s="7" t="s">
        <v>736</v>
      </c>
      <c r="C23" s="7" t="s">
        <v>1255</v>
      </c>
    </row>
    <row r="24" spans="2:3">
      <c r="B24" s="7" t="s">
        <v>428</v>
      </c>
      <c r="C24" s="7" t="s">
        <v>1255</v>
      </c>
    </row>
    <row r="25" spans="2:3">
      <c r="B25" s="7" t="s">
        <v>387</v>
      </c>
      <c r="C25" s="7" t="s">
        <v>1255</v>
      </c>
    </row>
    <row r="26" spans="2:3">
      <c r="B26" s="7" t="s">
        <v>239</v>
      </c>
      <c r="C26" s="7" t="s">
        <v>1255</v>
      </c>
    </row>
    <row r="27" spans="2:3">
      <c r="B27" s="7" t="s">
        <v>1100</v>
      </c>
      <c r="C27" s="7" t="s">
        <v>1255</v>
      </c>
    </row>
    <row r="28" spans="2:3">
      <c r="B28" s="7" t="s">
        <v>677</v>
      </c>
      <c r="C28" s="7" t="s">
        <v>1255</v>
      </c>
    </row>
    <row r="29" spans="2:3">
      <c r="B29" s="7" t="s">
        <v>528</v>
      </c>
      <c r="C29" s="7" t="s">
        <v>1255</v>
      </c>
    </row>
    <row r="30" spans="2:3">
      <c r="B30" s="7" t="s">
        <v>407</v>
      </c>
      <c r="C30" s="7" t="s">
        <v>1255</v>
      </c>
    </row>
    <row r="31" spans="2:3">
      <c r="B31" s="7" t="s">
        <v>652</v>
      </c>
      <c r="C31" s="7" t="s">
        <v>1255</v>
      </c>
    </row>
    <row r="32" spans="2:3">
      <c r="B32" s="7" t="s">
        <v>1148</v>
      </c>
      <c r="C32" s="7" t="s">
        <v>1255</v>
      </c>
    </row>
    <row r="33" spans="2:3">
      <c r="B33" s="7" t="s">
        <v>142</v>
      </c>
      <c r="C33" s="7" t="s">
        <v>1256</v>
      </c>
    </row>
    <row r="34" spans="2:3">
      <c r="B34" s="7" t="s">
        <v>110</v>
      </c>
      <c r="C34" s="7" t="s">
        <v>1256</v>
      </c>
    </row>
    <row r="35" spans="2:3">
      <c r="B35" s="7" t="s">
        <v>292</v>
      </c>
      <c r="C35" s="7" t="s">
        <v>1256</v>
      </c>
    </row>
    <row r="36" spans="2:3">
      <c r="B36" s="7" t="s">
        <v>452</v>
      </c>
      <c r="C36" s="7" t="s">
        <v>1256</v>
      </c>
    </row>
    <row r="37" spans="2:3">
      <c r="B37" s="7" t="s">
        <v>273</v>
      </c>
      <c r="C37" s="7" t="s">
        <v>1257</v>
      </c>
    </row>
    <row r="38" spans="2:3">
      <c r="B38" s="7" t="s">
        <v>768</v>
      </c>
      <c r="C38" s="7" t="s">
        <v>1257</v>
      </c>
    </row>
    <row r="39" spans="2:3">
      <c r="B39" s="7" t="s">
        <v>210</v>
      </c>
      <c r="C39" s="7" t="s">
        <v>1257</v>
      </c>
    </row>
    <row r="40" spans="2:3">
      <c r="B40" s="7" t="s">
        <v>196</v>
      </c>
      <c r="C40" s="7" t="s">
        <v>1257</v>
      </c>
    </row>
    <row r="41" spans="2:3">
      <c r="B41" s="7" t="s">
        <v>1220</v>
      </c>
      <c r="C41" s="7" t="s">
        <v>1257</v>
      </c>
    </row>
    <row r="42" spans="2:3">
      <c r="B42" s="7" t="s">
        <v>563</v>
      </c>
      <c r="C42" s="7" t="s">
        <v>1257</v>
      </c>
    </row>
    <row r="43" spans="2:3">
      <c r="B43" s="7" t="s">
        <v>340</v>
      </c>
      <c r="C43" s="7" t="s">
        <v>1257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8"/>
  <sheetViews>
    <sheetView workbookViewId="0">
      <selection activeCell="H3" sqref="H3"/>
    </sheetView>
  </sheetViews>
  <sheetFormatPr defaultColWidth="9" defaultRowHeight="13.5" outlineLevelRow="7" outlineLevelCol="7"/>
  <cols>
    <col min="1" max="1" width="3.375" customWidth="1"/>
    <col min="2" max="7" width="20.625" customWidth="1"/>
    <col min="8" max="8" width="25.25" customWidth="1"/>
  </cols>
  <sheetData>
    <row r="1" customHeight="1"/>
    <row r="2" ht="25" customHeight="1" spans="2:8">
      <c r="B2" s="1"/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1258</v>
      </c>
    </row>
    <row r="3" ht="25" customHeight="1" spans="2:8">
      <c r="B3" s="4" t="s">
        <v>1259</v>
      </c>
      <c r="C3" s="1">
        <f>AVERAGE(餐饮数据!E2:E1152)</f>
        <v>181.321459600348</v>
      </c>
      <c r="D3" s="1">
        <f>AVERAGE(餐饮数据!F2:F1152)</f>
        <v>51.1954821894005</v>
      </c>
      <c r="E3" s="1">
        <f>AVERAGE(餐饮数据!G2:G1152)</f>
        <v>7.45838401390095</v>
      </c>
      <c r="F3" s="1">
        <f>AVERAGE(餐饮数据!H2:H1152)</f>
        <v>7.48566463944396</v>
      </c>
      <c r="G3" s="1">
        <f>AVERAGE(餐饮数据!I2:I1152)</f>
        <v>7.45447437011295</v>
      </c>
      <c r="H3" s="5"/>
    </row>
    <row r="4" ht="25" customHeight="1" spans="2:8">
      <c r="B4" s="3" t="s">
        <v>1260</v>
      </c>
      <c r="C4" s="1">
        <f>MAX(餐饮数据!E2:E1152)</f>
        <v>7691</v>
      </c>
      <c r="D4" s="1">
        <f>MAX(餐饮数据!F2:F1152)</f>
        <v>462</v>
      </c>
      <c r="E4" s="1">
        <f>MAX(餐饮数据!G2:G1152)</f>
        <v>9.2</v>
      </c>
      <c r="F4" s="1">
        <f>MAX(餐饮数据!H2:H1152)</f>
        <v>9.3</v>
      </c>
      <c r="G4" s="1">
        <f>MAX(餐饮数据!I2:I1152)</f>
        <v>9.2</v>
      </c>
      <c r="H4" s="5"/>
    </row>
    <row r="5" ht="25" customHeight="1" spans="2:8">
      <c r="B5" s="3" t="s">
        <v>1261</v>
      </c>
      <c r="C5" s="1">
        <f>MIN(餐饮数据!E2:E1152)</f>
        <v>1</v>
      </c>
      <c r="D5" s="1">
        <f>MIN(餐饮数据!F2:F1152)</f>
        <v>3</v>
      </c>
      <c r="E5" s="1">
        <f>MIN(餐饮数据!G2:G1152)</f>
        <v>6.2</v>
      </c>
      <c r="F5" s="1">
        <f>MIN(餐饮数据!H2:H1152)</f>
        <v>5.7</v>
      </c>
      <c r="G5" s="1">
        <f>MIN(餐饮数据!I2:I1152)</f>
        <v>5.8</v>
      </c>
      <c r="H5" s="5"/>
    </row>
    <row r="6" ht="25" customHeight="1" spans="2:8">
      <c r="B6" s="3" t="s">
        <v>1262</v>
      </c>
      <c r="C6" s="1">
        <f>SUM(餐饮数据!E2:E1152)</f>
        <v>208701</v>
      </c>
      <c r="D6" s="1">
        <f>SUM(餐饮数据!F2:F1152)</f>
        <v>58926</v>
      </c>
      <c r="E6" s="1">
        <f>SUM(餐饮数据!G2:G1152)</f>
        <v>8584.59999999999</v>
      </c>
      <c r="F6" s="1">
        <f>SUM(餐饮数据!H2:H1152)</f>
        <v>8616</v>
      </c>
      <c r="G6" s="1">
        <f>SUM(餐饮数据!I2:I1152)</f>
        <v>8580.1</v>
      </c>
      <c r="H6" s="5"/>
    </row>
    <row r="7" ht="25" customHeight="1" spans="2:8">
      <c r="B7" s="3" t="s">
        <v>1263</v>
      </c>
      <c r="C7" s="1">
        <f>MEDIAN(餐饮数据!E2:E1152)</f>
        <v>30</v>
      </c>
      <c r="D7" s="1">
        <f>MEDIAN(餐饮数据!F2:F1152)</f>
        <v>42</v>
      </c>
      <c r="E7" s="1">
        <f>MEDIAN(餐饮数据!G2:G1152)</f>
        <v>7.3</v>
      </c>
      <c r="F7" s="1">
        <f>MEDIAN(餐饮数据!H2:H1152)</f>
        <v>7.4</v>
      </c>
      <c r="G7" s="1">
        <f>MEDIAN(餐饮数据!I2:I1152)</f>
        <v>7.4</v>
      </c>
      <c r="H7" s="5"/>
    </row>
    <row r="8" ht="25" customHeight="1" spans="2:8">
      <c r="B8" s="3" t="s">
        <v>1264</v>
      </c>
      <c r="C8" s="1">
        <f>MODE(餐饮数据!E2:E1152)</f>
        <v>1</v>
      </c>
      <c r="D8" s="1">
        <f>MODE(餐饮数据!F2:F1152)</f>
        <v>30</v>
      </c>
      <c r="E8" s="1">
        <f>MODE(餐饮数据!G2:G1152)</f>
        <v>7.2</v>
      </c>
      <c r="F8" s="1">
        <f>MODE(餐饮数据!H2:H1152)</f>
        <v>7.2</v>
      </c>
      <c r="G8" s="1">
        <f>MODE(餐饮数据!I2:I1152)</f>
        <v>7.3</v>
      </c>
      <c r="H8" s="5"/>
    </row>
  </sheetData>
  <pageMargins left="0.75" right="0.75" top="1" bottom="1" header="0.5" footer="0.5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FF0000"/>
          <x14:sparklines>
            <x14:sparkline>
              <xm:f>详情!C3:G3</xm:f>
              <xm:sqref>H3</xm:sqref>
            </x14:sparkline>
            <x14:sparkline>
              <xm:f>详情!C4:G4</xm:f>
              <xm:sqref>H4</xm:sqref>
            </x14:sparkline>
            <x14:sparkline>
              <xm:f>详情!C5:G5</xm:f>
              <xm:sqref>H5</xm:sqref>
            </x14:sparkline>
            <x14:sparkline>
              <xm:f>详情!C6:G6</xm:f>
              <xm:sqref>H6</xm:sqref>
            </x14:sparkline>
            <x14:sparkline>
              <xm:f>详情!C7:G7</xm:f>
              <xm:sqref>H7</xm:sqref>
            </x14:sparkline>
            <x14:sparkline>
              <xm:f>详情!C8:G8</xm:f>
              <xm:sqref>H8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Q18" sqref="Q1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8"/>
  <sheetViews>
    <sheetView tabSelected="1" workbookViewId="0">
      <selection activeCell="B4" sqref="B4"/>
    </sheetView>
  </sheetViews>
  <sheetFormatPr defaultColWidth="9" defaultRowHeight="13.5" outlineLevelRow="7" outlineLevelCol="4"/>
  <cols>
    <col min="2" max="2" width="8.875"/>
    <col min="3" max="5" width="20.25"/>
    <col min="6" max="10" width="12.625"/>
    <col min="11" max="154" width="20.25"/>
    <col min="155" max="155" width="24.5"/>
    <col min="156" max="338" width="9.125"/>
    <col min="339" max="339" width="5.125"/>
  </cols>
  <sheetData>
    <row r="1" spans="2:3">
      <c r="B1" t="s">
        <v>2</v>
      </c>
      <c r="C1" t="s">
        <v>1265</v>
      </c>
    </row>
    <row r="3" spans="2:5">
      <c r="B3" t="s">
        <v>1</v>
      </c>
      <c r="C3" t="s">
        <v>1266</v>
      </c>
      <c r="D3" t="s">
        <v>1267</v>
      </c>
      <c r="E3" t="s">
        <v>1268</v>
      </c>
    </row>
    <row r="4" spans="2:5">
      <c r="B4" t="s">
        <v>1252</v>
      </c>
      <c r="C4">
        <v>0.629048221496338</v>
      </c>
      <c r="D4">
        <v>0.459784529921681</v>
      </c>
      <c r="E4">
        <v>0.662845147772168</v>
      </c>
    </row>
    <row r="5" spans="2:5">
      <c r="B5" t="s">
        <v>1255</v>
      </c>
      <c r="C5">
        <v>0.488857325181898</v>
      </c>
      <c r="D5">
        <v>0.313530003544535</v>
      </c>
      <c r="E5">
        <v>0.513904220655672</v>
      </c>
    </row>
    <row r="6" spans="2:5">
      <c r="B6" t="s">
        <v>1257</v>
      </c>
      <c r="C6">
        <v>0.439524782627518</v>
      </c>
      <c r="D6">
        <v>0.299396971335924</v>
      </c>
      <c r="E6">
        <v>0.489838606548297</v>
      </c>
    </row>
    <row r="7" spans="2:5">
      <c r="B7" t="s">
        <v>1254</v>
      </c>
      <c r="C7">
        <v>0.517439043486714</v>
      </c>
      <c r="D7">
        <v>0.244721364883486</v>
      </c>
      <c r="E7">
        <v>0.517442666949911</v>
      </c>
    </row>
    <row r="8" spans="2:5">
      <c r="B8" t="s">
        <v>1269</v>
      </c>
      <c r="C8">
        <v>0.511553096917606</v>
      </c>
      <c r="D8">
        <v>0.329189784319747</v>
      </c>
      <c r="E8">
        <v>0.538255072817691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餐饮数据</vt:lpstr>
      <vt:lpstr>地区</vt:lpstr>
      <vt:lpstr>详情</vt:lpstr>
      <vt:lpstr>图表分析</vt:lpstr>
      <vt:lpstr>数据可视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2025-12-08T06:34:43Z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C154366CE49D402CAF97A3DBFEB755A4_13</vt:lpwstr>
  </property>
  <property fmtid="{D5CDD505-2E9C-101B-9397-08002B2CF9AE}" pid="3" name="KSOProductBuildVer">
    <vt:lpwstr>2052-12.1.0.15712</vt:lpwstr>
  </property>
</Properties>
</file>
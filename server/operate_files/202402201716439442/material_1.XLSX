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505" windowHeight="9900" activeTab="1"/>
  </bookViews>
  <sheets>
    <sheet name="工资统计表" sheetId="1" r:id="rId1"/>
    <sheet name="Sheet2" sheetId="2" r:id="rId2"/>
    <sheet name="筛选" sheetId="3" r:id="rId3"/>
    <sheet name="分类汇总" sheetId="4" r:id="rId4"/>
    <sheet name="图表" sheetId="5" r:id="rId5"/>
  </sheets>
  <definedNames>
    <definedName name="_xlnm.Criteria" localSheetId="2">筛选!$A$1:$B$2</definedName>
    <definedName name="_xlnm.Extract" localSheetId="2">筛选!$A$5</definedName>
  </definedNames>
  <calcPr calcId="144525"/>
</workbook>
</file>

<file path=xl/sharedStrings.xml><?xml version="1.0" encoding="utf-8"?>
<sst xmlns="http://schemas.openxmlformats.org/spreadsheetml/2006/main" count="214" uniqueCount="35">
  <si>
    <t>某学校职工工资情况</t>
  </si>
  <si>
    <t>职工号</t>
  </si>
  <si>
    <t xml:space="preserve">性别 </t>
  </si>
  <si>
    <t>职称</t>
  </si>
  <si>
    <t>基本工资（元）</t>
  </si>
  <si>
    <t>HR001</t>
  </si>
  <si>
    <t>女</t>
  </si>
  <si>
    <t>教授</t>
  </si>
  <si>
    <t>基本工资总和（元）</t>
  </si>
  <si>
    <t>HR002</t>
  </si>
  <si>
    <t>男</t>
  </si>
  <si>
    <t>HR003</t>
  </si>
  <si>
    <t>讲师</t>
  </si>
  <si>
    <t>HR006</t>
  </si>
  <si>
    <t>助讲</t>
  </si>
  <si>
    <t>HR007</t>
  </si>
  <si>
    <t>HR008</t>
  </si>
  <si>
    <t>HR009</t>
  </si>
  <si>
    <t>HR010</t>
  </si>
  <si>
    <t>HR011</t>
  </si>
  <si>
    <t>HR012</t>
  </si>
  <si>
    <t>HR013</t>
  </si>
  <si>
    <t>HR014</t>
  </si>
  <si>
    <t>HR015</t>
  </si>
  <si>
    <t>HR016</t>
  </si>
  <si>
    <t>HR017</t>
  </si>
  <si>
    <t>HR018</t>
  </si>
  <si>
    <t>HR019</t>
  </si>
  <si>
    <t>HR020</t>
  </si>
  <si>
    <t>合计</t>
  </si>
  <si>
    <t>&gt;8000</t>
  </si>
  <si>
    <t>助讲 最小值</t>
  </si>
  <si>
    <t>教授 最小值</t>
  </si>
  <si>
    <t>讲师 最小值</t>
  </si>
  <si>
    <t>总最小值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</si>
</sst>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2"/>
      <name val="宋体"/>
      <charset val="134"/>
    </font>
    <font>
      <b/>
      <sz val="12"/>
      <name val="宋体"/>
      <charset val="134"/>
    </font>
    <font>
      <b/>
      <sz val="19"/>
      <color theme="3" tint="-0.25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1" xfId="0" applyBorder="1"/>
    <xf numFmtId="176" fontId="0" fillId="0" borderId="1" xfId="0" applyNumberFormat="1" applyBorder="1"/>
    <xf numFmtId="0" fontId="0" fillId="0" borderId="0" xfId="0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FF0000"/>
      </font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职工工资统计图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Sheet2!$D$2</c:f>
              <c:strCache>
                <c:ptCount val="1"/>
                <c:pt idx="0">
                  <c:v>基本工资（元）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Sheet2!$A$3:$A$10</c:f>
              <c:strCache>
                <c:ptCount val="8"/>
                <c:pt idx="0">
                  <c:v>HR001</c:v>
                </c:pt>
                <c:pt idx="1">
                  <c:v>HR002</c:v>
                </c:pt>
                <c:pt idx="2">
                  <c:v>HR003</c:v>
                </c:pt>
                <c:pt idx="3">
                  <c:v>HR006</c:v>
                </c:pt>
                <c:pt idx="4">
                  <c:v>HR007</c:v>
                </c:pt>
                <c:pt idx="5">
                  <c:v>HR008</c:v>
                </c:pt>
                <c:pt idx="6">
                  <c:v>HR009</c:v>
                </c:pt>
                <c:pt idx="7">
                  <c:v>HR010</c:v>
                </c:pt>
              </c:strCache>
            </c:strRef>
          </c:cat>
          <c:val>
            <c:numRef>
              <c:f>Sheet2!$D$3:$D$10</c:f>
              <c:numCache>
                <c:formatCode>General</c:formatCode>
                <c:ptCount val="8"/>
                <c:pt idx="0">
                  <c:v>8700</c:v>
                </c:pt>
                <c:pt idx="1">
                  <c:v>8200</c:v>
                </c:pt>
                <c:pt idx="2">
                  <c:v>7100</c:v>
                </c:pt>
                <c:pt idx="3">
                  <c:v>5600</c:v>
                </c:pt>
                <c:pt idx="4">
                  <c:v>6700</c:v>
                </c:pt>
                <c:pt idx="5">
                  <c:v>8100</c:v>
                </c:pt>
                <c:pt idx="6">
                  <c:v>4600</c:v>
                </c:pt>
                <c:pt idx="7">
                  <c:v>7800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520700</xdr:colOff>
      <xdr:row>9</xdr:row>
      <xdr:rowOff>60325</xdr:rowOff>
    </xdr:from>
    <xdr:to>
      <xdr:col>9</xdr:col>
      <xdr:colOff>546100</xdr:colOff>
      <xdr:row>24</xdr:row>
      <xdr:rowOff>88900</xdr:rowOff>
    </xdr:to>
    <xdr:graphicFrame>
      <xdr:nvGraphicFramePr>
        <xdr:cNvPr id="2" name="图表 1"/>
        <xdr:cNvGraphicFramePr/>
      </xdr:nvGraphicFramePr>
      <xdr:xfrm>
        <a:off x="1892300" y="16891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1:G21"/>
    </sheetView>
  </sheetViews>
  <sheetFormatPr defaultColWidth="9" defaultRowHeight="14.25" outlineLevelCol="6"/>
  <cols>
    <col min="1" max="1" width="7.375" customWidth="1"/>
    <col min="2" max="2" width="6.375" customWidth="1"/>
    <col min="3" max="3" width="5.375" customWidth="1"/>
    <col min="4" max="4" width="16" customWidth="1"/>
    <col min="5" max="5" width="10.5" customWidth="1"/>
    <col min="7" max="7" width="20.375" customWidth="1"/>
  </cols>
  <sheetData>
    <row r="1" ht="24" spans="1:4">
      <c r="A1" s="3" t="s">
        <v>0</v>
      </c>
      <c r="B1" s="3"/>
      <c r="C1" s="3"/>
      <c r="D1" s="3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7">
      <c r="A3" s="2" t="s">
        <v>5</v>
      </c>
      <c r="B3" s="2" t="s">
        <v>6</v>
      </c>
      <c r="C3" s="2" t="s">
        <v>7</v>
      </c>
      <c r="D3">
        <v>8700</v>
      </c>
      <c r="F3" s="4" t="s">
        <v>3</v>
      </c>
      <c r="G3" s="4" t="s">
        <v>8</v>
      </c>
    </row>
    <row r="4" spans="1:7">
      <c r="A4" s="2" t="s">
        <v>9</v>
      </c>
      <c r="B4" s="2" t="s">
        <v>10</v>
      </c>
      <c r="C4" s="2" t="s">
        <v>7</v>
      </c>
      <c r="D4">
        <v>8200</v>
      </c>
      <c r="F4" s="4" t="s">
        <v>7</v>
      </c>
      <c r="G4" s="4"/>
    </row>
    <row r="5" spans="1:4">
      <c r="A5" s="2" t="s">
        <v>11</v>
      </c>
      <c r="B5" s="2" t="s">
        <v>10</v>
      </c>
      <c r="C5" s="2" t="s">
        <v>12</v>
      </c>
      <c r="D5">
        <v>7100</v>
      </c>
    </row>
    <row r="6" spans="1:4">
      <c r="A6" s="2" t="s">
        <v>13</v>
      </c>
      <c r="B6" s="2" t="s">
        <v>6</v>
      </c>
      <c r="C6" s="2" t="s">
        <v>14</v>
      </c>
      <c r="D6">
        <v>5600</v>
      </c>
    </row>
    <row r="7" spans="1:4">
      <c r="A7" s="2" t="s">
        <v>15</v>
      </c>
      <c r="B7" s="2" t="s">
        <v>10</v>
      </c>
      <c r="C7" s="2" t="s">
        <v>12</v>
      </c>
      <c r="D7">
        <v>6700</v>
      </c>
    </row>
    <row r="8" spans="1:4">
      <c r="A8" s="2" t="s">
        <v>16</v>
      </c>
      <c r="B8" s="2" t="s">
        <v>6</v>
      </c>
      <c r="C8" s="2" t="s">
        <v>7</v>
      </c>
      <c r="D8">
        <v>8100</v>
      </c>
    </row>
    <row r="9" spans="1:4">
      <c r="A9" s="2" t="s">
        <v>17</v>
      </c>
      <c r="B9" s="2" t="s">
        <v>6</v>
      </c>
      <c r="C9" s="2" t="s">
        <v>14</v>
      </c>
      <c r="D9">
        <v>4600</v>
      </c>
    </row>
    <row r="10" spans="1:4">
      <c r="A10" s="2" t="s">
        <v>18</v>
      </c>
      <c r="B10" s="2" t="s">
        <v>10</v>
      </c>
      <c r="C10" s="2" t="s">
        <v>7</v>
      </c>
      <c r="D10">
        <v>7800</v>
      </c>
    </row>
    <row r="11" spans="1:4">
      <c r="A11" s="2" t="s">
        <v>19</v>
      </c>
      <c r="B11" s="2" t="s">
        <v>6</v>
      </c>
      <c r="C11" s="2" t="s">
        <v>12</v>
      </c>
      <c r="D11">
        <v>6500</v>
      </c>
    </row>
    <row r="12" spans="1:4">
      <c r="A12" s="2" t="s">
        <v>20</v>
      </c>
      <c r="B12" s="2" t="s">
        <v>10</v>
      </c>
      <c r="C12" s="2" t="s">
        <v>7</v>
      </c>
      <c r="D12">
        <v>8700</v>
      </c>
    </row>
    <row r="13" spans="1:4">
      <c r="A13" s="2" t="s">
        <v>21</v>
      </c>
      <c r="B13" s="2" t="s">
        <v>10</v>
      </c>
      <c r="C13" s="2" t="s">
        <v>12</v>
      </c>
      <c r="D13">
        <v>6300</v>
      </c>
    </row>
    <row r="14" spans="1:4">
      <c r="A14" s="2" t="s">
        <v>22</v>
      </c>
      <c r="B14" s="2" t="s">
        <v>6</v>
      </c>
      <c r="C14" s="2" t="s">
        <v>12</v>
      </c>
      <c r="D14">
        <v>6100</v>
      </c>
    </row>
    <row r="15" spans="1:4">
      <c r="A15" s="2" t="s">
        <v>23</v>
      </c>
      <c r="B15" s="2" t="s">
        <v>6</v>
      </c>
      <c r="C15" s="2" t="s">
        <v>7</v>
      </c>
      <c r="D15">
        <v>8200</v>
      </c>
    </row>
    <row r="16" spans="1:4">
      <c r="A16" s="2" t="s">
        <v>24</v>
      </c>
      <c r="B16" s="2" t="s">
        <v>10</v>
      </c>
      <c r="C16" s="2" t="s">
        <v>7</v>
      </c>
      <c r="D16">
        <v>8500</v>
      </c>
    </row>
    <row r="17" spans="1:4">
      <c r="A17" s="2" t="s">
        <v>25</v>
      </c>
      <c r="B17" s="2" t="s">
        <v>6</v>
      </c>
      <c r="C17" s="2" t="s">
        <v>12</v>
      </c>
      <c r="D17">
        <v>6900</v>
      </c>
    </row>
    <row r="18" spans="1:4">
      <c r="A18" s="2" t="s">
        <v>26</v>
      </c>
      <c r="B18" s="2" t="s">
        <v>10</v>
      </c>
      <c r="C18" s="2" t="s">
        <v>12</v>
      </c>
      <c r="D18">
        <v>7200</v>
      </c>
    </row>
    <row r="19" spans="1:4">
      <c r="A19" s="2" t="s">
        <v>27</v>
      </c>
      <c r="B19" s="2" t="s">
        <v>10</v>
      </c>
      <c r="C19" s="2" t="s">
        <v>14</v>
      </c>
      <c r="D19">
        <v>5100</v>
      </c>
    </row>
    <row r="20" spans="1:4">
      <c r="A20" s="2" t="s">
        <v>28</v>
      </c>
      <c r="B20" s="2" t="s">
        <v>6</v>
      </c>
      <c r="C20" s="2" t="s">
        <v>12</v>
      </c>
      <c r="D20">
        <v>7200</v>
      </c>
    </row>
    <row r="21" spans="1:4">
      <c r="A21" s="2"/>
      <c r="B21" s="2"/>
      <c r="C21" s="2" t="s">
        <v>29</v>
      </c>
      <c r="D21" s="6"/>
    </row>
  </sheetData>
  <mergeCells count="1">
    <mergeCell ref="A1:D1"/>
  </mergeCells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14" sqref="G14"/>
    </sheetView>
  </sheetViews>
  <sheetFormatPr defaultColWidth="9" defaultRowHeight="14.25" outlineLevelCol="6"/>
  <cols>
    <col min="4" max="4" width="16" customWidth="1"/>
    <col min="7" max="7" width="20.375" customWidth="1"/>
  </cols>
  <sheetData>
    <row r="1" ht="24" spans="1:4">
      <c r="A1" s="3" t="s">
        <v>0</v>
      </c>
      <c r="B1" s="3"/>
      <c r="C1" s="3"/>
      <c r="D1" s="3"/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7">
      <c r="A3" s="2" t="s">
        <v>5</v>
      </c>
      <c r="B3" s="2" t="s">
        <v>6</v>
      </c>
      <c r="C3" s="2" t="s">
        <v>7</v>
      </c>
      <c r="D3">
        <v>8700</v>
      </c>
      <c r="F3" s="4" t="s">
        <v>3</v>
      </c>
      <c r="G3" s="4" t="s">
        <v>8</v>
      </c>
    </row>
    <row r="4" spans="1:7">
      <c r="A4" s="2" t="s">
        <v>9</v>
      </c>
      <c r="B4" s="2" t="s">
        <v>10</v>
      </c>
      <c r="C4" s="2" t="s">
        <v>7</v>
      </c>
      <c r="D4">
        <v>8200</v>
      </c>
      <c r="F4" s="4" t="s">
        <v>7</v>
      </c>
      <c r="G4" s="5">
        <f>SUMIF(C3:C20,F4,D3:D20)</f>
        <v>58200</v>
      </c>
    </row>
    <row r="5" spans="1:4">
      <c r="A5" s="2" t="s">
        <v>11</v>
      </c>
      <c r="B5" s="2" t="s">
        <v>10</v>
      </c>
      <c r="C5" s="2" t="s">
        <v>12</v>
      </c>
      <c r="D5">
        <v>7100</v>
      </c>
    </row>
    <row r="6" spans="1:4">
      <c r="A6" s="2" t="s">
        <v>13</v>
      </c>
      <c r="B6" s="2" t="s">
        <v>6</v>
      </c>
      <c r="C6" s="2" t="s">
        <v>14</v>
      </c>
      <c r="D6">
        <v>5600</v>
      </c>
    </row>
    <row r="7" spans="1:4">
      <c r="A7" s="2" t="s">
        <v>15</v>
      </c>
      <c r="B7" s="2" t="s">
        <v>10</v>
      </c>
      <c r="C7" s="2" t="s">
        <v>12</v>
      </c>
      <c r="D7">
        <v>6700</v>
      </c>
    </row>
    <row r="8" spans="1:4">
      <c r="A8" s="2" t="s">
        <v>16</v>
      </c>
      <c r="B8" s="2" t="s">
        <v>6</v>
      </c>
      <c r="C8" s="2" t="s">
        <v>7</v>
      </c>
      <c r="D8">
        <v>8100</v>
      </c>
    </row>
    <row r="9" spans="1:4">
      <c r="A9" s="2" t="s">
        <v>17</v>
      </c>
      <c r="B9" s="2" t="s">
        <v>6</v>
      </c>
      <c r="C9" s="2" t="s">
        <v>14</v>
      </c>
      <c r="D9">
        <v>4600</v>
      </c>
    </row>
    <row r="10" spans="1:4">
      <c r="A10" s="2" t="s">
        <v>18</v>
      </c>
      <c r="B10" s="2" t="s">
        <v>10</v>
      </c>
      <c r="C10" s="2" t="s">
        <v>7</v>
      </c>
      <c r="D10">
        <v>7800</v>
      </c>
    </row>
    <row r="11" spans="1:4">
      <c r="A11" s="2" t="s">
        <v>19</v>
      </c>
      <c r="B11" s="2" t="s">
        <v>6</v>
      </c>
      <c r="C11" s="2" t="s">
        <v>12</v>
      </c>
      <c r="D11">
        <v>6500</v>
      </c>
    </row>
    <row r="12" spans="1:4">
      <c r="A12" s="2" t="s">
        <v>20</v>
      </c>
      <c r="B12" s="2" t="s">
        <v>10</v>
      </c>
      <c r="C12" s="2" t="s">
        <v>7</v>
      </c>
      <c r="D12">
        <v>8700</v>
      </c>
    </row>
    <row r="13" spans="1:4">
      <c r="A13" s="2" t="s">
        <v>21</v>
      </c>
      <c r="B13" s="2" t="s">
        <v>10</v>
      </c>
      <c r="C13" s="2" t="s">
        <v>12</v>
      </c>
      <c r="D13">
        <v>6300</v>
      </c>
    </row>
    <row r="14" spans="1:4">
      <c r="A14" s="2" t="s">
        <v>22</v>
      </c>
      <c r="B14" s="2" t="s">
        <v>6</v>
      </c>
      <c r="C14" s="2" t="s">
        <v>12</v>
      </c>
      <c r="D14">
        <v>6100</v>
      </c>
    </row>
    <row r="15" spans="1:4">
      <c r="A15" s="2" t="s">
        <v>23</v>
      </c>
      <c r="B15" s="2" t="s">
        <v>6</v>
      </c>
      <c r="C15" s="2" t="s">
        <v>7</v>
      </c>
      <c r="D15">
        <v>8200</v>
      </c>
    </row>
    <row r="16" spans="1:4">
      <c r="A16" s="2" t="s">
        <v>24</v>
      </c>
      <c r="B16" s="2" t="s">
        <v>10</v>
      </c>
      <c r="C16" s="2" t="s">
        <v>7</v>
      </c>
      <c r="D16">
        <v>8500</v>
      </c>
    </row>
    <row r="17" spans="1:4">
      <c r="A17" s="2" t="s">
        <v>25</v>
      </c>
      <c r="B17" s="2" t="s">
        <v>6</v>
      </c>
      <c r="C17" s="2" t="s">
        <v>12</v>
      </c>
      <c r="D17">
        <v>6900</v>
      </c>
    </row>
    <row r="18" spans="1:4">
      <c r="A18" s="2" t="s">
        <v>26</v>
      </c>
      <c r="B18" s="2" t="s">
        <v>10</v>
      </c>
      <c r="C18" s="2" t="s">
        <v>12</v>
      </c>
      <c r="D18">
        <v>7200</v>
      </c>
    </row>
    <row r="19" spans="1:4">
      <c r="A19" s="2" t="s">
        <v>27</v>
      </c>
      <c r="B19" s="2" t="s">
        <v>10</v>
      </c>
      <c r="C19" s="2" t="s">
        <v>14</v>
      </c>
      <c r="D19">
        <v>5100</v>
      </c>
    </row>
    <row r="20" spans="1:4">
      <c r="A20" s="2" t="s">
        <v>28</v>
      </c>
      <c r="B20" s="2" t="s">
        <v>6</v>
      </c>
      <c r="C20" s="2" t="s">
        <v>12</v>
      </c>
      <c r="D20">
        <v>7200</v>
      </c>
    </row>
    <row r="21" spans="1:4">
      <c r="A21" s="2"/>
      <c r="B21" s="2"/>
      <c r="C21" s="2" t="s">
        <v>29</v>
      </c>
      <c r="D21" s="6">
        <f>SUM(D3:D20)</f>
        <v>127500</v>
      </c>
    </row>
  </sheetData>
  <mergeCells count="1">
    <mergeCell ref="A1:D1"/>
  </mergeCells>
  <conditionalFormatting sqref="D3:D20">
    <cfRule type="cellIs" dxfId="0" priority="2" operator="greaterThanOrEqual">
      <formula>8500</formula>
    </cfRule>
    <cfRule type="cellIs" dxfId="1" priority="1" operator="lessThan">
      <formula>6000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F15" sqref="F15"/>
    </sheetView>
  </sheetViews>
  <sheetFormatPr defaultColWidth="9" defaultRowHeight="14.25" outlineLevelCol="3"/>
  <cols>
    <col min="1" max="1" width="7.375" customWidth="1"/>
    <col min="2" max="2" width="16" customWidth="1"/>
    <col min="4" max="4" width="16" customWidth="1"/>
  </cols>
  <sheetData>
    <row r="1" spans="1:2">
      <c r="A1" t="s">
        <v>3</v>
      </c>
      <c r="B1" t="s">
        <v>4</v>
      </c>
    </row>
    <row r="2" spans="1:2">
      <c r="A2" t="s">
        <v>7</v>
      </c>
      <c r="B2" t="s">
        <v>30</v>
      </c>
    </row>
    <row r="5" spans="1:4">
      <c r="A5" s="2" t="s">
        <v>1</v>
      </c>
      <c r="B5" s="2" t="s">
        <v>2</v>
      </c>
      <c r="C5" s="2" t="s">
        <v>3</v>
      </c>
      <c r="D5" s="2" t="s">
        <v>4</v>
      </c>
    </row>
    <row r="6" spans="1:4">
      <c r="A6" s="2" t="s">
        <v>5</v>
      </c>
      <c r="B6" s="2" t="s">
        <v>6</v>
      </c>
      <c r="C6" s="2" t="s">
        <v>7</v>
      </c>
      <c r="D6">
        <v>8700</v>
      </c>
    </row>
    <row r="7" spans="1:4">
      <c r="A7" s="2" t="s">
        <v>9</v>
      </c>
      <c r="B7" s="2" t="s">
        <v>10</v>
      </c>
      <c r="C7" s="2" t="s">
        <v>7</v>
      </c>
      <c r="D7">
        <v>8200</v>
      </c>
    </row>
    <row r="8" spans="1:4">
      <c r="A8" s="2" t="s">
        <v>16</v>
      </c>
      <c r="B8" s="2" t="s">
        <v>6</v>
      </c>
      <c r="C8" s="2" t="s">
        <v>7</v>
      </c>
      <c r="D8">
        <v>8100</v>
      </c>
    </row>
    <row r="9" spans="1:4">
      <c r="A9" s="2" t="s">
        <v>20</v>
      </c>
      <c r="B9" s="2" t="s">
        <v>10</v>
      </c>
      <c r="C9" s="2" t="s">
        <v>7</v>
      </c>
      <c r="D9">
        <v>8700</v>
      </c>
    </row>
    <row r="10" spans="1:4">
      <c r="A10" s="2" t="s">
        <v>23</v>
      </c>
      <c r="B10" s="2" t="s">
        <v>6</v>
      </c>
      <c r="C10" s="2" t="s">
        <v>7</v>
      </c>
      <c r="D10">
        <v>8200</v>
      </c>
    </row>
    <row r="11" spans="1:4">
      <c r="A11" s="2" t="s">
        <v>24</v>
      </c>
      <c r="B11" s="2" t="s">
        <v>10</v>
      </c>
      <c r="C11" s="2" t="s">
        <v>7</v>
      </c>
      <c r="D11">
        <v>8500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G21" sqref="G21"/>
    </sheetView>
  </sheetViews>
  <sheetFormatPr defaultColWidth="9" defaultRowHeight="14.25" outlineLevelCol="3"/>
  <cols>
    <col min="1" max="1" width="7.375" customWidth="1"/>
    <col min="2" max="2" width="6.375" customWidth="1"/>
    <col min="3" max="3" width="5.375" customWidth="1"/>
    <col min="4" max="4" width="16" customWidth="1"/>
  </cols>
  <sheetData>
    <row r="1" spans="1:4">
      <c r="A1" t="s">
        <v>1</v>
      </c>
      <c r="B1" t="s">
        <v>2</v>
      </c>
      <c r="C1" t="s">
        <v>3</v>
      </c>
      <c r="D1" t="s">
        <v>4</v>
      </c>
    </row>
    <row r="2" outlineLevel="2" spans="1:4">
      <c r="A2" t="s">
        <v>13</v>
      </c>
      <c r="B2" t="s">
        <v>6</v>
      </c>
      <c r="C2" t="s">
        <v>14</v>
      </c>
      <c r="D2">
        <v>5600</v>
      </c>
    </row>
    <row r="3" outlineLevel="2" spans="1:4">
      <c r="A3" t="s">
        <v>17</v>
      </c>
      <c r="B3" t="s">
        <v>6</v>
      </c>
      <c r="C3" t="s">
        <v>14</v>
      </c>
      <c r="D3">
        <v>4600</v>
      </c>
    </row>
    <row r="4" outlineLevel="2" spans="1:4">
      <c r="A4" t="s">
        <v>27</v>
      </c>
      <c r="B4" t="s">
        <v>10</v>
      </c>
      <c r="C4" t="s">
        <v>14</v>
      </c>
      <c r="D4">
        <v>5100</v>
      </c>
    </row>
    <row r="5" outlineLevel="1" spans="3:4">
      <c r="C5" s="1" t="s">
        <v>31</v>
      </c>
      <c r="D5">
        <f>SUBTOTAL(5,D2:D4)</f>
        <v>4600</v>
      </c>
    </row>
    <row r="6" outlineLevel="2" spans="1:4">
      <c r="A6" t="s">
        <v>5</v>
      </c>
      <c r="B6" t="s">
        <v>6</v>
      </c>
      <c r="C6" t="s">
        <v>7</v>
      </c>
      <c r="D6">
        <v>8700</v>
      </c>
    </row>
    <row r="7" outlineLevel="2" spans="1:4">
      <c r="A7" t="s">
        <v>9</v>
      </c>
      <c r="B7" t="s">
        <v>10</v>
      </c>
      <c r="C7" t="s">
        <v>7</v>
      </c>
      <c r="D7">
        <v>8200</v>
      </c>
    </row>
    <row r="8" outlineLevel="2" spans="1:4">
      <c r="A8" t="s">
        <v>16</v>
      </c>
      <c r="B8" t="s">
        <v>6</v>
      </c>
      <c r="C8" t="s">
        <v>7</v>
      </c>
      <c r="D8">
        <v>8100</v>
      </c>
    </row>
    <row r="9" outlineLevel="2" spans="1:4">
      <c r="A9" t="s">
        <v>18</v>
      </c>
      <c r="B9" t="s">
        <v>10</v>
      </c>
      <c r="C9" t="s">
        <v>7</v>
      </c>
      <c r="D9">
        <v>7800</v>
      </c>
    </row>
    <row r="10" outlineLevel="2" spans="1:4">
      <c r="A10" t="s">
        <v>20</v>
      </c>
      <c r="B10" t="s">
        <v>10</v>
      </c>
      <c r="C10" t="s">
        <v>7</v>
      </c>
      <c r="D10">
        <v>8700</v>
      </c>
    </row>
    <row r="11" outlineLevel="2" spans="1:4">
      <c r="A11" t="s">
        <v>23</v>
      </c>
      <c r="B11" t="s">
        <v>6</v>
      </c>
      <c r="C11" t="s">
        <v>7</v>
      </c>
      <c r="D11">
        <v>8200</v>
      </c>
    </row>
    <row r="12" outlineLevel="2" spans="1:4">
      <c r="A12" t="s">
        <v>24</v>
      </c>
      <c r="B12" t="s">
        <v>10</v>
      </c>
      <c r="C12" t="s">
        <v>7</v>
      </c>
      <c r="D12">
        <v>8500</v>
      </c>
    </row>
    <row r="13" outlineLevel="1" spans="3:4">
      <c r="C13" s="1" t="s">
        <v>32</v>
      </c>
      <c r="D13">
        <f>SUBTOTAL(5,D6:D12)</f>
        <v>7800</v>
      </c>
    </row>
    <row r="14" outlineLevel="2" spans="1:4">
      <c r="A14" t="s">
        <v>11</v>
      </c>
      <c r="B14" t="s">
        <v>10</v>
      </c>
      <c r="C14" t="s">
        <v>12</v>
      </c>
      <c r="D14">
        <v>7100</v>
      </c>
    </row>
    <row r="15" outlineLevel="2" spans="1:4">
      <c r="A15" t="s">
        <v>15</v>
      </c>
      <c r="B15" t="s">
        <v>10</v>
      </c>
      <c r="C15" t="s">
        <v>12</v>
      </c>
      <c r="D15">
        <v>6700</v>
      </c>
    </row>
    <row r="16" outlineLevel="2" spans="1:4">
      <c r="A16" t="s">
        <v>19</v>
      </c>
      <c r="B16" t="s">
        <v>6</v>
      </c>
      <c r="C16" t="s">
        <v>12</v>
      </c>
      <c r="D16">
        <v>6500</v>
      </c>
    </row>
    <row r="17" outlineLevel="2" spans="1:4">
      <c r="A17" t="s">
        <v>21</v>
      </c>
      <c r="B17" t="s">
        <v>10</v>
      </c>
      <c r="C17" t="s">
        <v>12</v>
      </c>
      <c r="D17">
        <v>6300</v>
      </c>
    </row>
    <row r="18" outlineLevel="2" spans="1:4">
      <c r="A18" t="s">
        <v>22</v>
      </c>
      <c r="B18" t="s">
        <v>6</v>
      </c>
      <c r="C18" t="s">
        <v>12</v>
      </c>
      <c r="D18">
        <v>6100</v>
      </c>
    </row>
    <row r="19" outlineLevel="2" spans="1:4">
      <c r="A19" t="s">
        <v>25</v>
      </c>
      <c r="B19" t="s">
        <v>6</v>
      </c>
      <c r="C19" t="s">
        <v>12</v>
      </c>
      <c r="D19">
        <v>6900</v>
      </c>
    </row>
    <row r="20" outlineLevel="2" spans="1:4">
      <c r="A20" t="s">
        <v>26</v>
      </c>
      <c r="B20" t="s">
        <v>10</v>
      </c>
      <c r="C20" t="s">
        <v>12</v>
      </c>
      <c r="D20">
        <v>7200</v>
      </c>
    </row>
    <row r="21" outlineLevel="2" spans="1:4">
      <c r="A21" t="s">
        <v>28</v>
      </c>
      <c r="B21" t="s">
        <v>6</v>
      </c>
      <c r="C21" t="s">
        <v>12</v>
      </c>
      <c r="D21">
        <v>7200</v>
      </c>
    </row>
    <row r="22" outlineLevel="1" spans="3:4">
      <c r="C22" s="1" t="s">
        <v>33</v>
      </c>
      <c r="D22">
        <f>SUBTOTAL(5,D14:D21)</f>
        <v>6100</v>
      </c>
    </row>
    <row r="23" spans="3:4">
      <c r="C23" s="1" t="s">
        <v>34</v>
      </c>
      <c r="D23">
        <f>SUBTOTAL(5,D2:D21)</f>
        <v>4600</v>
      </c>
    </row>
  </sheetData>
  <sortState ref="A2:D19">
    <sortCondition ref="C2" descending="1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11" sqref="B11"/>
    </sheetView>
  </sheetViews>
  <sheetFormatPr defaultColWidth="9" defaultRowHeight="14.2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Legend (Beijing) Limited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工资统计表</vt:lpstr>
      <vt:lpstr>Sheet2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zy</cp:lastModifiedBy>
  <dcterms:created xsi:type="dcterms:W3CDTF">2006-09-04T06:23:00Z</dcterms:created>
  <dcterms:modified xsi:type="dcterms:W3CDTF">2024-02-22T08:14:03Z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517BF71A6E614FDE941A4E841833CAC5_12</vt:lpwstr>
  </property>
  <property fmtid="{D5CDD505-2E9C-101B-9397-08002B2CF9AE}" pid="3" name="KSOProductBuildVer">
    <vt:lpwstr>2052-12.1.0.15712</vt:lpwstr>
  </property>
</Properties>
</file>
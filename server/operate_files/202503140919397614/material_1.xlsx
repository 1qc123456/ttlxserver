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970" windowHeight="12255"/>
  </bookViews>
  <sheets>
    <sheet name="Sheet1" sheetId="1" r:id="rId1"/>
    <sheet name="人员信息" sheetId="4" r:id="rId2"/>
    <sheet name="Sheet2" sheetId="2" r:id="rId3"/>
    <sheet name="Sheet3" sheetId="3" state="hidden" r:id="rId4"/>
  </sheets>
  <calcPr calcId="144525"/>
  <pivotCaches>
    <pivotCache cacheId="0" r:id="rId5"/>
  </pivotCaches>
</workbook>
</file>

<file path=xl/sharedStrings.xml><?xml version="1.0" encoding="utf-8"?>
<sst xmlns="http://schemas.openxmlformats.org/spreadsheetml/2006/main" count="99" uniqueCount="26">
  <si>
    <t>姓名</t>
  </si>
  <si>
    <t>性别</t>
  </si>
  <si>
    <t>籍贯</t>
  </si>
  <si>
    <t>年龄</t>
  </si>
  <si>
    <t>政治面貌</t>
  </si>
  <si>
    <r>
      <rPr>
        <sz val="12"/>
        <color rgb="FF404040"/>
        <rFont val="Segoe UI"/>
        <charset val="134"/>
      </rPr>
      <t>周杰</t>
    </r>
  </si>
  <si>
    <t>男</t>
  </si>
  <si>
    <t>湖北黄石</t>
  </si>
  <si>
    <t>群众</t>
  </si>
  <si>
    <r>
      <rPr>
        <sz val="12"/>
        <color rgb="FF404040"/>
        <rFont val="Segoe UI"/>
        <charset val="134"/>
      </rPr>
      <t>王芳</t>
    </r>
  </si>
  <si>
    <t>女</t>
  </si>
  <si>
    <t>团员</t>
  </si>
  <si>
    <r>
      <rPr>
        <sz val="12"/>
        <color rgb="FF404040"/>
        <rFont val="Segoe UI"/>
        <charset val="134"/>
      </rPr>
      <t>吴婷</t>
    </r>
  </si>
  <si>
    <t>湖北宜昌</t>
  </si>
  <si>
    <r>
      <rPr>
        <sz val="12"/>
        <color rgb="FF404040"/>
        <rFont val="Segoe UI"/>
        <charset val="134"/>
      </rPr>
      <t>李明</t>
    </r>
  </si>
  <si>
    <t>湖北武汉</t>
  </si>
  <si>
    <r>
      <rPr>
        <sz val="12"/>
        <color rgb="FF404040"/>
        <rFont val="Segoe UI"/>
        <charset val="134"/>
      </rPr>
      <t>黄丽</t>
    </r>
  </si>
  <si>
    <r>
      <rPr>
        <sz val="12"/>
        <color rgb="FF404040"/>
        <rFont val="Segoe UI"/>
        <charset val="134"/>
      </rPr>
      <t>张伟</t>
    </r>
  </si>
  <si>
    <t>党员</t>
  </si>
  <si>
    <r>
      <rPr>
        <sz val="12"/>
        <color rgb="FF404040"/>
        <rFont val="Segoe UI"/>
        <charset val="134"/>
      </rPr>
      <t>陈静</t>
    </r>
  </si>
  <si>
    <r>
      <rPr>
        <sz val="12"/>
        <color rgb="FF404040"/>
        <rFont val="Segoe UI"/>
        <charset val="134"/>
      </rPr>
      <t>徐浩</t>
    </r>
  </si>
  <si>
    <r>
      <rPr>
        <sz val="12"/>
        <color rgb="FF404040"/>
        <rFont val="Segoe UI"/>
        <charset val="134"/>
      </rPr>
      <t>赵强</t>
    </r>
  </si>
  <si>
    <r>
      <rPr>
        <sz val="12"/>
        <color rgb="FF404040"/>
        <rFont val="Segoe UI"/>
        <charset val="134"/>
      </rPr>
      <t>刘洋</t>
    </r>
  </si>
  <si>
    <t>计数项:政治面貌</t>
  </si>
  <si>
    <t>总计</t>
  </si>
  <si>
    <t>平均年龄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</si>
</sst>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sz val="12"/>
      <color rgb="FF40404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[新建 XLSX 工作表 - 副本.xlsx]Sheet1!数据透视表3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各地区政治面貌统计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Sheet1!$B$14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Sheet1!$A$15:$A$18</c:f>
              <c:strCache>
                <c:ptCount val="3"/>
                <c:pt idx="0">
                  <c:v>湖北黄石</c:v>
                </c:pt>
                <c:pt idx="1">
                  <c:v>湖北武汉</c:v>
                </c:pt>
                <c:pt idx="2">
                  <c:v>湖北宜昌</c:v>
                </c:pt>
              </c:strCache>
            </c:strRef>
          </c:cat>
          <c:val>
            <c:numRef>
              <c:f>Sheet1!$B$15:$B$18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1582120"/>
        <c:axId val="11988256"/>
      </c:barChart>
      <c:catAx>
        <c:axId val="701582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988256"/>
        <c:crosses val="autoZero"/>
        <c:auto val="1"/>
        <c:lblAlgn val="ctr"/>
        <c:lblOffset val="100"/>
        <c:noMultiLvlLbl val="0"/>
      </c:catAx>
      <c:valAx>
        <c:axId val="1198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1582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年龄趋势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人员信息!$D$1</c:f>
              <c:strCache>
                <c:ptCount val="1"/>
                <c:pt idx="0">
                  <c:v>年龄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人员信息!$D$2:$D$11</c:f>
              <c:numCache>
                <c:formatCode>General</c:formatCode>
                <c:ptCount val="10"/>
                <c:pt idx="0">
                  <c:v>18</c:v>
                </c:pt>
                <c:pt idx="1">
                  <c:v>20</c:v>
                </c:pt>
                <c:pt idx="2">
                  <c:v>22</c:v>
                </c:pt>
                <c:pt idx="3">
                  <c:v>23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28</c:v>
                </c:pt>
                <c:pt idx="9">
                  <c:v>30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56190753"/>
        <c:axId val="472249200"/>
      </c:lineChart>
      <c:catAx>
        <c:axId val="4561907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2249200"/>
        <c:crosses val="autoZero"/>
        <c:auto val="1"/>
        <c:lblAlgn val="ctr"/>
        <c:lblOffset val="100"/>
        <c:noMultiLvlLbl val="0"/>
      </c:catAx>
      <c:valAx>
        <c:axId val="47224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619075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3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31750</xdr:colOff>
      <xdr:row>18</xdr:row>
      <xdr:rowOff>155575</xdr:rowOff>
    </xdr:from>
    <xdr:to>
      <xdr:col>5</xdr:col>
      <xdr:colOff>438150</xdr:colOff>
      <xdr:row>34</xdr:row>
      <xdr:rowOff>155575</xdr:rowOff>
    </xdr:to>
    <xdr:graphicFrame>
      <xdr:nvGraphicFramePr>
        <xdr:cNvPr id="3" name="图表 2"/>
        <xdr:cNvGraphicFramePr/>
      </xdr:nvGraphicFramePr>
      <xdr:xfrm>
        <a:off x="31750" y="34194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79375</xdr:colOff>
      <xdr:row>14</xdr:row>
      <xdr:rowOff>117475</xdr:rowOff>
    </xdr:from>
    <xdr:to>
      <xdr:col>5</xdr:col>
      <xdr:colOff>857250</xdr:colOff>
      <xdr:row>30</xdr:row>
      <xdr:rowOff>117475</xdr:rowOff>
    </xdr:to>
    <xdr:graphicFrame>
      <xdr:nvGraphicFramePr>
        <xdr:cNvPr id="2" name="图表 1"/>
        <xdr:cNvGraphicFramePr/>
      </xdr:nvGraphicFramePr>
      <xdr:xfrm>
        <a:off x="79375" y="26955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27.4874421296" refreshedBy="25472" recordCount="10">
  <cacheSource type="worksheet">
    <worksheetSource ref="A1:E11" sheet="Sheet1"/>
  </cacheSource>
  <cacheFields count="5">
    <cacheField name="姓名" numFmtId="0">
      <sharedItems count="10">
        <s v="周杰"/>
        <s v="王芳"/>
        <s v="吴婷"/>
        <s v="李明"/>
        <s v="黄丽"/>
        <s v="张伟"/>
        <s v="陈静"/>
        <s v="徐浩"/>
        <s v="赵强"/>
        <s v="刘洋"/>
      </sharedItems>
    </cacheField>
    <cacheField name="性别" numFmtId="0">
      <sharedItems count="2">
        <s v="男"/>
        <s v="女"/>
      </sharedItems>
    </cacheField>
    <cacheField name="籍贯" numFmtId="0">
      <sharedItems count="3">
        <s v="湖北黄石"/>
        <s v="湖北宜昌"/>
        <s v="湖北武汉"/>
      </sharedItems>
    </cacheField>
    <cacheField name="年龄" numFmtId="0">
      <sharedItems containsSemiMixedTypes="0" containsString="0" containsNumber="1" containsInteger="1" minValue="0" maxValue="30" count="9">
        <n v="18"/>
        <n v="20"/>
        <n v="22"/>
        <n v="23"/>
        <n v="24"/>
        <n v="25"/>
        <n v="26"/>
        <n v="28"/>
        <n v="30"/>
      </sharedItems>
    </cacheField>
    <cacheField name="政治面貌" numFmtId="0">
      <sharedItems count="3">
        <s v="群众"/>
        <s v="团员"/>
        <s v="党员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x v="0"/>
  </r>
  <r>
    <x v="1"/>
    <x v="1"/>
    <x v="0"/>
    <x v="1"/>
    <x v="1"/>
  </r>
  <r>
    <x v="2"/>
    <x v="1"/>
    <x v="1"/>
    <x v="2"/>
    <x v="0"/>
  </r>
  <r>
    <x v="3"/>
    <x v="0"/>
    <x v="2"/>
    <x v="3"/>
    <x v="0"/>
  </r>
  <r>
    <x v="4"/>
    <x v="1"/>
    <x v="0"/>
    <x v="3"/>
    <x v="1"/>
  </r>
  <r>
    <x v="5"/>
    <x v="0"/>
    <x v="1"/>
    <x v="4"/>
    <x v="2"/>
  </r>
  <r>
    <x v="6"/>
    <x v="1"/>
    <x v="2"/>
    <x v="5"/>
    <x v="2"/>
  </r>
  <r>
    <x v="7"/>
    <x v="0"/>
    <x v="1"/>
    <x v="6"/>
    <x v="1"/>
  </r>
  <r>
    <x v="8"/>
    <x v="0"/>
    <x v="0"/>
    <x v="7"/>
    <x v="2"/>
  </r>
  <r>
    <x v="9"/>
    <x v="1"/>
    <x v="2"/>
    <x v="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14:B18" firstHeaderRow="1" firstDataRow="1" firstDataCol="1" rowPageCount="1" colPageCount="1"/>
  <pivotFields count="5">
    <pivotField compact="0" showAll="0">
      <items count="11">
        <item x="6"/>
        <item x="4"/>
        <item x="3"/>
        <item x="9"/>
        <item x="1"/>
        <item x="2"/>
        <item x="7"/>
        <item x="5"/>
        <item x="8"/>
        <item x="0"/>
        <item t="default"/>
      </items>
    </pivotField>
    <pivotField axis="axisPage" compact="0" showAll="0">
      <items count="3">
        <item x="0"/>
        <item x="1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compact="0" showAll="0"/>
    <pivotField dataField="1" compact="0" showAll="0">
      <items count="4">
        <item x="2"/>
        <item x="0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item="0"/>
  </pageFields>
  <dataFields count="1">
    <dataField name="计数项:政治面貌" fld="4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G6" sqref="G6"/>
    </sheetView>
  </sheetViews>
  <sheetFormatPr defaultColWidth="9" defaultRowHeight="13.5" outlineLevelCol="4"/>
  <cols>
    <col min="1" max="1" width="8.875"/>
    <col min="2" max="2" width="17.25"/>
    <col min="3" max="5" width="10.625" customWidth="1"/>
    <col min="6" max="6" width="12.625"/>
  </cols>
  <sheetData>
    <row r="1" ht="20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spans="1:5">
      <c r="A2" s="2" t="s">
        <v>5</v>
      </c>
      <c r="B2" s="1" t="s">
        <v>6</v>
      </c>
      <c r="C2" s="1" t="s">
        <v>7</v>
      </c>
      <c r="D2" s="1">
        <v>18</v>
      </c>
      <c r="E2" s="1" t="s">
        <v>8</v>
      </c>
    </row>
    <row r="3" ht="14.25" spans="1:5">
      <c r="A3" s="2" t="s">
        <v>9</v>
      </c>
      <c r="B3" s="1" t="s">
        <v>10</v>
      </c>
      <c r="C3" s="1" t="s">
        <v>7</v>
      </c>
      <c r="D3" s="1">
        <v>20</v>
      </c>
      <c r="E3" s="1" t="s">
        <v>11</v>
      </c>
    </row>
    <row r="4" ht="14.25" spans="1:5">
      <c r="A4" s="2" t="s">
        <v>12</v>
      </c>
      <c r="B4" s="1" t="s">
        <v>10</v>
      </c>
      <c r="C4" s="1" t="s">
        <v>13</v>
      </c>
      <c r="D4" s="1">
        <v>22</v>
      </c>
      <c r="E4" s="1" t="s">
        <v>8</v>
      </c>
    </row>
    <row r="5" ht="14.25" spans="1:5">
      <c r="A5" s="2" t="s">
        <v>14</v>
      </c>
      <c r="B5" s="1" t="s">
        <v>6</v>
      </c>
      <c r="C5" s="1" t="s">
        <v>15</v>
      </c>
      <c r="D5" s="1">
        <v>23</v>
      </c>
      <c r="E5" s="1" t="s">
        <v>8</v>
      </c>
    </row>
    <row r="6" ht="14.25" spans="1:5">
      <c r="A6" s="2" t="s">
        <v>16</v>
      </c>
      <c r="B6" s="1" t="s">
        <v>10</v>
      </c>
      <c r="C6" s="1" t="s">
        <v>7</v>
      </c>
      <c r="D6" s="1">
        <v>23</v>
      </c>
      <c r="E6" s="1" t="s">
        <v>11</v>
      </c>
    </row>
    <row r="7" ht="14.25" spans="1:5">
      <c r="A7" s="2" t="s">
        <v>17</v>
      </c>
      <c r="B7" s="1" t="s">
        <v>6</v>
      </c>
      <c r="C7" s="1" t="s">
        <v>13</v>
      </c>
      <c r="D7" s="1">
        <v>24</v>
      </c>
      <c r="E7" s="1" t="s">
        <v>18</v>
      </c>
    </row>
    <row r="8" ht="14.25" spans="1:5">
      <c r="A8" s="2" t="s">
        <v>19</v>
      </c>
      <c r="B8" s="1" t="s">
        <v>10</v>
      </c>
      <c r="C8" s="1" t="s">
        <v>15</v>
      </c>
      <c r="D8" s="1">
        <v>25</v>
      </c>
      <c r="E8" s="1" t="s">
        <v>18</v>
      </c>
    </row>
    <row r="9" ht="14.25" spans="1:5">
      <c r="A9" s="2" t="s">
        <v>20</v>
      </c>
      <c r="B9" s="1" t="s">
        <v>6</v>
      </c>
      <c r="C9" s="1" t="s">
        <v>13</v>
      </c>
      <c r="D9" s="1">
        <v>26</v>
      </c>
      <c r="E9" s="1" t="s">
        <v>11</v>
      </c>
    </row>
    <row r="10" ht="14.25" spans="1:5">
      <c r="A10" s="2" t="s">
        <v>21</v>
      </c>
      <c r="B10" s="1" t="s">
        <v>6</v>
      </c>
      <c r="C10" s="1" t="s">
        <v>7</v>
      </c>
      <c r="D10" s="1">
        <v>28</v>
      </c>
      <c r="E10" s="1" t="s">
        <v>18</v>
      </c>
    </row>
    <row r="11" ht="14.25" spans="1:5">
      <c r="A11" s="2" t="s">
        <v>22</v>
      </c>
      <c r="B11" s="1" t="s">
        <v>10</v>
      </c>
      <c r="C11" s="1" t="s">
        <v>15</v>
      </c>
      <c r="D11" s="1">
        <v>30</v>
      </c>
      <c r="E11" s="1" t="s">
        <v>11</v>
      </c>
    </row>
    <row r="12" spans="1:2">
      <c r="A12" t="s">
        <v>1</v>
      </c>
      <c r="B12" t="s">
        <v>6</v>
      </c>
    </row>
    <row r="14" spans="1:2">
      <c r="A14" t="s">
        <v>2</v>
      </c>
      <c r="B14" t="s">
        <v>23</v>
      </c>
    </row>
    <row r="15" spans="1:2">
      <c r="A15" t="s">
        <v>7</v>
      </c>
      <c r="B15">
        <v>2</v>
      </c>
    </row>
    <row r="16" spans="1:2">
      <c r="A16" t="s">
        <v>15</v>
      </c>
      <c r="B16">
        <v>1</v>
      </c>
    </row>
    <row r="17" spans="1:2">
      <c r="A17" t="s">
        <v>13</v>
      </c>
      <c r="B17">
        <v>2</v>
      </c>
    </row>
    <row r="18" spans="1:2">
      <c r="A18" t="s">
        <v>24</v>
      </c>
      <c r="B18">
        <v>5</v>
      </c>
    </row>
  </sheetData>
  <sortState ref="A2:E11">
    <sortCondition ref="D2"/>
  </sortState>
  <pageMargins left="0.7" right="0.7" top="0.75" bottom="0.75" header="0.3" footer="0.3"/>
  <pageSetup paperSize="9" orientation="landscape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I27" sqref="I27"/>
    </sheetView>
  </sheetViews>
  <sheetFormatPr defaultColWidth="9" defaultRowHeight="13.5" outlineLevelCol="4"/>
  <cols>
    <col min="1" max="5" width="10.625" customWidth="1"/>
    <col min="6" max="6" width="12.625"/>
  </cols>
  <sheetData>
    <row r="1" ht="20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spans="1:5">
      <c r="A2" s="2" t="s">
        <v>5</v>
      </c>
      <c r="B2" s="1" t="s">
        <v>6</v>
      </c>
      <c r="C2" s="1" t="s">
        <v>7</v>
      </c>
      <c r="D2" s="1">
        <v>18</v>
      </c>
      <c r="E2" s="1" t="s">
        <v>8</v>
      </c>
    </row>
    <row r="3" ht="14.25" spans="1:5">
      <c r="A3" s="2" t="s">
        <v>9</v>
      </c>
      <c r="B3" s="1" t="s">
        <v>10</v>
      </c>
      <c r="C3" s="1" t="s">
        <v>7</v>
      </c>
      <c r="D3" s="1">
        <v>20</v>
      </c>
      <c r="E3" s="1" t="s">
        <v>11</v>
      </c>
    </row>
    <row r="4" ht="14.25" spans="1:5">
      <c r="A4" s="2" t="s">
        <v>12</v>
      </c>
      <c r="B4" s="1" t="s">
        <v>10</v>
      </c>
      <c r="C4" s="1" t="s">
        <v>13</v>
      </c>
      <c r="D4" s="1">
        <v>22</v>
      </c>
      <c r="E4" s="1" t="s">
        <v>8</v>
      </c>
    </row>
    <row r="5" ht="14.25" spans="1:5">
      <c r="A5" s="2" t="s">
        <v>14</v>
      </c>
      <c r="B5" s="1" t="s">
        <v>6</v>
      </c>
      <c r="C5" s="1" t="s">
        <v>15</v>
      </c>
      <c r="D5" s="1">
        <v>23</v>
      </c>
      <c r="E5" s="1" t="s">
        <v>8</v>
      </c>
    </row>
    <row r="6" ht="14.25" spans="1:5">
      <c r="A6" s="2" t="s">
        <v>16</v>
      </c>
      <c r="B6" s="1" t="s">
        <v>10</v>
      </c>
      <c r="C6" s="1" t="s">
        <v>7</v>
      </c>
      <c r="D6" s="1">
        <v>23</v>
      </c>
      <c r="E6" s="1" t="s">
        <v>11</v>
      </c>
    </row>
    <row r="7" ht="14.25" spans="1:5">
      <c r="A7" s="2" t="s">
        <v>17</v>
      </c>
      <c r="B7" s="1" t="s">
        <v>6</v>
      </c>
      <c r="C7" s="1" t="s">
        <v>13</v>
      </c>
      <c r="D7" s="1">
        <v>24</v>
      </c>
      <c r="E7" s="1" t="s">
        <v>18</v>
      </c>
    </row>
    <row r="8" ht="14.25" spans="1:5">
      <c r="A8" s="2" t="s">
        <v>19</v>
      </c>
      <c r="B8" s="1" t="s">
        <v>10</v>
      </c>
      <c r="C8" s="1" t="s">
        <v>15</v>
      </c>
      <c r="D8" s="1">
        <v>25</v>
      </c>
      <c r="E8" s="1" t="s">
        <v>18</v>
      </c>
    </row>
    <row r="9" ht="14.25" spans="1:5">
      <c r="A9" s="2" t="s">
        <v>20</v>
      </c>
      <c r="B9" s="1" t="s">
        <v>6</v>
      </c>
      <c r="C9" s="1" t="s">
        <v>13</v>
      </c>
      <c r="D9" s="1">
        <v>26</v>
      </c>
      <c r="E9" s="1" t="s">
        <v>11</v>
      </c>
    </row>
    <row r="10" ht="14.25" spans="1:5">
      <c r="A10" s="2" t="s">
        <v>21</v>
      </c>
      <c r="B10" s="1" t="s">
        <v>6</v>
      </c>
      <c r="C10" s="1" t="s">
        <v>7</v>
      </c>
      <c r="D10" s="1">
        <v>28</v>
      </c>
      <c r="E10" s="1" t="s">
        <v>18</v>
      </c>
    </row>
    <row r="11" ht="14.25" spans="1:5">
      <c r="A11" s="2" t="s">
        <v>22</v>
      </c>
      <c r="B11" s="1" t="s">
        <v>10</v>
      </c>
      <c r="C11" s="1" t="s">
        <v>15</v>
      </c>
      <c r="D11" s="1">
        <v>30</v>
      </c>
      <c r="E11" s="1" t="s">
        <v>11</v>
      </c>
    </row>
    <row r="13" spans="3:4">
      <c r="C13" t="s">
        <v>25</v>
      </c>
      <c r="D13" s="3">
        <f>AVERAGE(D2:D11)</f>
        <v>23.9</v>
      </c>
    </row>
  </sheetData>
  <conditionalFormatting sqref="A2:E11">
    <cfRule type="expression" dxfId="0" priority="1">
      <formula>AND($E2="党员",$B2="男")</formula>
    </cfRule>
  </conditionalFormatting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人员信息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2025-03-12T02:33:21Z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
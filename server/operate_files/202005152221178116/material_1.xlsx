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45" windowWidth="13860" windowHeight="3825"/>
  </bookViews>
  <sheets>
    <sheet name="2014年3月" sheetId="1" r:id="rId1"/>
    <sheet name="Sheet2" sheetId="2" r:id="rId2"/>
    <sheet name="Sheet3" sheetId="3" r:id="rId3"/>
  </sheets>
  <definedNames>
    <definedName name="五月工资表" localSheetId="0">'2014年3月'!$A$1:$M$17</definedName>
    <definedName name="五月工资表">'2014年3月'!$A$1:$M$17</definedName>
  </definedNames>
  <calcPr calcId="145621"/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I4" i="1" l="1"/>
  <c r="K4" i="1" s="1"/>
  <c r="M4" i="1" s="1"/>
  <c r="I5" i="1"/>
  <c r="K5" i="1" s="1"/>
  <c r="M5" i="1" s="1"/>
  <c r="I6" i="1"/>
  <c r="K6" i="1" s="1"/>
  <c r="M6" i="1" s="1"/>
  <c r="I7" i="1"/>
  <c r="K7" i="1" s="1"/>
  <c r="M7" i="1" s="1"/>
  <c r="I8" i="1"/>
  <c r="K8" i="1" s="1"/>
  <c r="M8" i="1" s="1"/>
  <c r="I9" i="1"/>
  <c r="K9" i="1" s="1"/>
  <c r="M9" i="1" s="1"/>
  <c r="I10" i="1"/>
  <c r="K10" i="1" s="1"/>
  <c r="M10" i="1" s="1"/>
  <c r="I11" i="1"/>
  <c r="K11" i="1" s="1"/>
  <c r="M11" i="1" s="1"/>
  <c r="I12" i="1"/>
  <c r="K12" i="1" s="1"/>
  <c r="M12" i="1" s="1"/>
  <c r="I13" i="1"/>
  <c r="K13" i="1" s="1"/>
  <c r="M13" i="1" s="1"/>
  <c r="I14" i="1"/>
  <c r="K14" i="1" s="1"/>
  <c r="M14" i="1" s="1"/>
  <c r="I15" i="1"/>
  <c r="K15" i="1" s="1"/>
  <c r="M15" i="1" s="1"/>
  <c r="I16" i="1"/>
  <c r="K16" i="1" s="1"/>
  <c r="M16" i="1" s="1"/>
  <c r="I17" i="1"/>
  <c r="K17" i="1" s="1"/>
  <c r="M17" i="1" s="1"/>
  <c r="I3" i="1"/>
  <c r="K3" i="1" s="1"/>
  <c r="M3" i="1" s="1"/>
</calcChain>
</file>

<file path=xl/sharedStrings.xml><?xml version="1.0" encoding="utf-8"?>
<sst xmlns="http://schemas.openxmlformats.org/spreadsheetml/2006/main" count="59" uniqueCount="50">
  <si>
    <t>姓名</t>
  </si>
  <si>
    <t>序号</t>
    <phoneticPr fontId="1" type="noConversion"/>
  </si>
  <si>
    <t>员工工号</t>
    <phoneticPr fontId="1" type="noConversion"/>
  </si>
  <si>
    <t>部门</t>
    <phoneticPr fontId="1" type="noConversion"/>
  </si>
  <si>
    <t>基础工资</t>
    <phoneticPr fontId="1" type="noConversion"/>
  </si>
  <si>
    <t>奖金</t>
    <phoneticPr fontId="1" type="noConversion"/>
  </si>
  <si>
    <t>补贴</t>
    <phoneticPr fontId="1" type="noConversion"/>
  </si>
  <si>
    <t>扣除病事假</t>
    <phoneticPr fontId="1" type="noConversion"/>
  </si>
  <si>
    <t>应付工资合计</t>
    <phoneticPr fontId="1" type="noConversion"/>
  </si>
  <si>
    <t>扣除社保</t>
    <phoneticPr fontId="1" type="noConversion"/>
  </si>
  <si>
    <t>应纳税所得额</t>
    <phoneticPr fontId="1" type="noConversion"/>
  </si>
  <si>
    <t>应交个人所得税</t>
    <phoneticPr fontId="1" type="noConversion"/>
  </si>
  <si>
    <t>实发工资</t>
    <phoneticPr fontId="1" type="noConversion"/>
  </si>
  <si>
    <t>行政</t>
    <phoneticPr fontId="1" type="noConversion"/>
  </si>
  <si>
    <t>管理</t>
    <phoneticPr fontId="1" type="noConversion"/>
  </si>
  <si>
    <t>研发</t>
    <phoneticPr fontId="1" type="noConversion"/>
  </si>
  <si>
    <t>销售</t>
    <phoneticPr fontId="1" type="noConversion"/>
  </si>
  <si>
    <t>管理</t>
    <phoneticPr fontId="1" type="noConversion"/>
  </si>
  <si>
    <t>人事</t>
    <phoneticPr fontId="1" type="noConversion"/>
  </si>
  <si>
    <t>陶凯元</t>
  </si>
  <si>
    <t>张雨绮</t>
  </si>
  <si>
    <t>欧泽高</t>
  </si>
  <si>
    <t>程国祥</t>
  </si>
  <si>
    <t>刘思彤</t>
  </si>
  <si>
    <t>吴仪</t>
  </si>
  <si>
    <t>陈乔恩</t>
  </si>
  <si>
    <t>杨尚昆</t>
  </si>
  <si>
    <t>王紫娇</t>
  </si>
  <si>
    <t>陈毅</t>
  </si>
  <si>
    <t>程潇</t>
  </si>
  <si>
    <t>张治中</t>
  </si>
  <si>
    <t>程砚秋</t>
  </si>
  <si>
    <t>卜耀东</t>
  </si>
  <si>
    <t>甘苦</t>
  </si>
  <si>
    <t>WH001</t>
    <phoneticPr fontId="1" type="noConversion"/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</si>
  <si>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</si>
  <si>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</si>
  <si>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</si>
  <si>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</si>
  <si>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</si>
  <si>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</si>
  <si>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</si>
  <si>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</si>
  <si>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</si>
  <si>
    <t>WH011</t>
  </si>
  <si>
    <t>WH012</t>
  </si>
  <si>
    <t>WH013</t>
  </si>
  <si>
    <t>WH014</t>
  </si>
  <si>
    <t>WH015</t>
  </si>
  <si>
    <t>武汉公司2020年5月员工工资表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</si>
</sst>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rgb="FFFF000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五月工资表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8"/>
          <c:order val="0"/>
          <c:tx>
            <c:strRef>
              <c:f>'2014年3月'!$M$2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'2014年3月'!$C$3:$C$17</c:f>
              <c:strCache>
                <c:ptCount val="15"/>
                <c:pt idx="0">
                  <c:v>陶凯元</c:v>
                </c:pt>
                <c:pt idx="1">
                  <c:v>张雨绮</c:v>
                </c:pt>
                <c:pt idx="2">
                  <c:v>欧泽高</c:v>
                </c:pt>
                <c:pt idx="3">
                  <c:v>程国祥</c:v>
                </c:pt>
                <c:pt idx="4">
                  <c:v>刘思彤</c:v>
                </c:pt>
                <c:pt idx="5">
                  <c:v>吴仪</c:v>
                </c:pt>
                <c:pt idx="6">
                  <c:v>陈乔恩</c:v>
                </c:pt>
                <c:pt idx="7">
                  <c:v>杨尚昆</c:v>
                </c:pt>
                <c:pt idx="8">
                  <c:v>王紫娇</c:v>
                </c:pt>
                <c:pt idx="9">
                  <c:v>陈毅</c:v>
                </c:pt>
                <c:pt idx="10">
                  <c:v>程潇</c:v>
                </c:pt>
                <c:pt idx="11">
                  <c:v>张治中</c:v>
                </c:pt>
                <c:pt idx="12">
                  <c:v>程砚秋</c:v>
                </c:pt>
                <c:pt idx="13">
                  <c:v>卜耀东</c:v>
                </c:pt>
                <c:pt idx="14">
                  <c:v>甘苦</c:v>
                </c:pt>
              </c:strCache>
            </c:strRef>
          </c:cat>
          <c:val>
            <c:numRef>
              <c:f>'2014年3月'!$M$3:$M$17</c:f>
              <c:numCache>
                <c:formatCode>0.00_ </c:formatCode>
                <c:ptCount val="15"/>
                <c:pt idx="0">
                  <c:v>32274</c:v>
                </c:pt>
                <c:pt idx="1">
                  <c:v>4081.03</c:v>
                </c:pt>
                <c:pt idx="2">
                  <c:v>11570.75</c:v>
                </c:pt>
                <c:pt idx="3">
                  <c:v>5693</c:v>
                </c:pt>
                <c:pt idx="4">
                  <c:v>5963.9</c:v>
                </c:pt>
                <c:pt idx="5">
                  <c:v>6593.9</c:v>
                </c:pt>
                <c:pt idx="6">
                  <c:v>9738.2000000000007</c:v>
                </c:pt>
                <c:pt idx="7">
                  <c:v>13765.25</c:v>
                </c:pt>
                <c:pt idx="8">
                  <c:v>4053.87</c:v>
                </c:pt>
                <c:pt idx="9">
                  <c:v>5626.4</c:v>
                </c:pt>
                <c:pt idx="10">
                  <c:v>4973.8999999999996</c:v>
                </c:pt>
                <c:pt idx="11">
                  <c:v>2971</c:v>
                </c:pt>
                <c:pt idx="12">
                  <c:v>11570.75</c:v>
                </c:pt>
                <c:pt idx="13">
                  <c:v>4781.37</c:v>
                </c:pt>
                <c:pt idx="14">
                  <c:v>9055.7999999999993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8320768"/>
        <c:axId val="248322304"/>
        <c:axId val="0"/>
      </c:bar3DChart>
      <c:catAx>
        <c:axId val="248320768"/>
        <c:scaling>
          <c:orientation val="minMax"/>
        </c:scaling>
        <c:delete val="0"/>
        <c:axPos val="b"/>
        <c:majorTickMark val="none"/>
        <c:minorTickMark val="none"/>
        <c:tickLblPos val="nextTo"/>
        <c:crossAx val="248322304"/>
        <c:crosses val="autoZero"/>
        <c:auto val="1"/>
        <c:lblAlgn val="ctr"/>
        <c:lblOffset val="100"/>
        <c:noMultiLvlLbl val="0"/>
      </c:catAx>
      <c:valAx>
        <c:axId val="248322304"/>
        <c:scaling>
          <c:orientation val="minMax"/>
        </c:scaling>
        <c:delete val="0"/>
        <c:axPos val="l"/>
        <c:majorGridlines/>
        <c:numFmt formatCode="0.00_ " sourceLinked="1"/>
        <c:majorTickMark val="none"/>
        <c:minorTickMark val="none"/>
        <c:tickLblPos val="nextTo"/>
        <c:crossAx val="248320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4</xdr:row>
      <xdr:rowOff>72390</xdr:rowOff>
    </xdr:from>
    <xdr:to>
      <xdr:col>20</xdr:col>
      <xdr:colOff>533400</xdr:colOff>
      <xdr:row>19</xdr:row>
      <xdr:rowOff>80010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7"/>
  <sheetViews>
    <sheetView tabSelected="1" workbookViewId="0">
      <selection activeCell="K22" sqref="K22"/>
    </sheetView>
  </sheetViews>
  <sheetFormatPr defaultRowHeight="13.5" x14ac:dyDescent="0.15"/>
  <cols>
    <col min="1" max="1" width="9.5" customWidth="1"/>
    <col min="2" max="2" width="9" bestFit="1" customWidth="1"/>
    <col min="4" max="4" width="9.625" customWidth="1"/>
    <col min="5" max="5" width="9.75" customWidth="1"/>
    <col min="8" max="8" width="11" bestFit="1" customWidth="1"/>
    <col min="9" max="9" width="11.5" customWidth="1"/>
    <col min="11" max="11" width="12.75" customWidth="1"/>
    <col min="12" max="12" width="16.125" bestFit="1" customWidth="1"/>
    <col min="13" max="13" width="10.5" bestFit="1" customWidth="1"/>
  </cols>
  <sheetData>
    <row r="1" spans="1:13" ht="25.5" customHeight="1" x14ac:dyDescent="0.15">
      <c r="A1" s="3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15">
      <c r="A2" s="1" t="s">
        <v>1</v>
      </c>
      <c r="B2" s="1" t="s">
        <v>2</v>
      </c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15">
      <c r="A3" s="2">
        <v>1</v>
      </c>
      <c r="B3" t="s">
        <v>34</v>
      </c>
      <c r="C3" t="s">
        <v>19</v>
      </c>
      <c r="D3" t="s">
        <v>17</v>
      </c>
      <c r="E3" s="4">
        <v>40600</v>
      </c>
      <c r="F3" s="4">
        <v>500</v>
      </c>
      <c r="G3" s="4">
        <v>260</v>
      </c>
      <c r="H3" s="4">
        <v>230</v>
      </c>
      <c r="I3" s="4">
        <f>E3+F3+G3-H3</f>
        <v>41130</v>
      </c>
      <c r="J3" s="4">
        <v>460</v>
      </c>
      <c r="K3" s="4">
        <f>IF((I3-J3-3500)&gt;0,I3-J3-3500,0)</f>
        <v>37170</v>
      </c>
      <c r="L3" s="4">
        <f>IF(K3&lt;=1500,K3*3%,IF(K3&lt;=4500,K3*10%-105,IF(K3&lt;=9000,K3*20%-555,IF(K3&lt;=35000,K3*25%-1005,IF(K3&lt;=55000,K3*30%-2755,IF(K3&lt;=80000,K3*35%-5505,IF(K3&gt;80000,K3*45%-13505)))))))</f>
        <v>8396</v>
      </c>
      <c r="M3" s="4">
        <f>E3+F3+G3-H3-J3-L3</f>
        <v>32274</v>
      </c>
    </row>
    <row r="4" spans="1:13" x14ac:dyDescent="0.15">
      <c r="A4" s="2">
        <v>2</v>
      </c>
      <c r="B4" t="s">
        <v>35</v>
      </c>
      <c r="C4" t="s">
        <v>20</v>
      </c>
      <c r="D4" t="s">
        <v>14</v>
      </c>
      <c r="E4" s="4">
        <v>4500</v>
      </c>
      <c r="F4" s="4"/>
      <c r="G4" s="4">
        <v>260</v>
      </c>
      <c r="H4" s="4">
        <v>352</v>
      </c>
      <c r="I4" s="4">
        <f t="shared" ref="I4:I17" si="0">E4+F4+G4-H4</f>
        <v>4408</v>
      </c>
      <c r="J4" s="4">
        <v>309</v>
      </c>
      <c r="K4" s="4">
        <f t="shared" ref="K4:K17" si="1">IF((I4-J4-3500)&gt;0,I4-J4-3500,0)</f>
        <v>599</v>
      </c>
      <c r="L4" s="4">
        <f t="shared" ref="L4:L17" si="2">IF(K4&lt;=1500,K4*3%,IF(K4&lt;=4500,K4*10%-105,IF(K4&lt;=9000,K4*20%-555,IF(K4&lt;=35000,K4*25%-1005,IF(K4&lt;=55000,K4*30%-2755,IF(K4&lt;=80000,K4*35%-5505,IF(K4&gt;80000,K4*45%-13505)))))))</f>
        <v>17.97</v>
      </c>
      <c r="M4" s="4">
        <f t="shared" ref="M4:M17" si="3">E4+F4+G4-H4-J4-L4</f>
        <v>4081.03</v>
      </c>
    </row>
    <row r="5" spans="1:13" x14ac:dyDescent="0.15">
      <c r="A5" s="2">
        <v>3</v>
      </c>
      <c r="B5" t="s">
        <v>36</v>
      </c>
      <c r="C5" t="s">
        <v>21</v>
      </c>
      <c r="D5" t="s">
        <v>13</v>
      </c>
      <c r="E5" s="4">
        <v>12450</v>
      </c>
      <c r="F5" s="4">
        <v>500</v>
      </c>
      <c r="G5" s="4">
        <v>260</v>
      </c>
      <c r="H5" s="4"/>
      <c r="I5" s="4">
        <f t="shared" si="0"/>
        <v>13210</v>
      </c>
      <c r="J5" s="4">
        <v>289</v>
      </c>
      <c r="K5" s="4">
        <f t="shared" si="1"/>
        <v>9421</v>
      </c>
      <c r="L5" s="4">
        <f t="shared" si="2"/>
        <v>1350.25</v>
      </c>
      <c r="M5" s="4">
        <f t="shared" si="3"/>
        <v>11570.75</v>
      </c>
    </row>
    <row r="6" spans="1:13" x14ac:dyDescent="0.15">
      <c r="A6" s="2">
        <v>4</v>
      </c>
      <c r="B6" t="s">
        <v>37</v>
      </c>
      <c r="C6" t="s">
        <v>22</v>
      </c>
      <c r="D6" t="s">
        <v>18</v>
      </c>
      <c r="E6" s="4">
        <v>6050</v>
      </c>
      <c r="F6" s="4"/>
      <c r="G6" s="4">
        <v>260</v>
      </c>
      <c r="H6" s="4">
        <v>130</v>
      </c>
      <c r="I6" s="4">
        <f t="shared" si="0"/>
        <v>6180</v>
      </c>
      <c r="J6" s="4">
        <v>360</v>
      </c>
      <c r="K6" s="4">
        <f t="shared" si="1"/>
        <v>2320</v>
      </c>
      <c r="L6" s="4">
        <f t="shared" si="2"/>
        <v>127</v>
      </c>
      <c r="M6" s="4">
        <f t="shared" si="3"/>
        <v>5693</v>
      </c>
    </row>
    <row r="7" spans="1:13" x14ac:dyDescent="0.15">
      <c r="A7" s="2">
        <v>5</v>
      </c>
      <c r="B7" t="s">
        <v>38</v>
      </c>
      <c r="C7" t="s">
        <v>23</v>
      </c>
      <c r="D7" t="s">
        <v>15</v>
      </c>
      <c r="E7" s="4">
        <v>6150</v>
      </c>
      <c r="F7" s="4"/>
      <c r="G7" s="4">
        <v>260</v>
      </c>
      <c r="H7" s="4"/>
      <c r="I7" s="4">
        <f t="shared" si="0"/>
        <v>6410</v>
      </c>
      <c r="J7" s="4">
        <v>289</v>
      </c>
      <c r="K7" s="4">
        <f t="shared" si="1"/>
        <v>2621</v>
      </c>
      <c r="L7" s="4">
        <f t="shared" si="2"/>
        <v>157.10000000000002</v>
      </c>
      <c r="M7" s="4">
        <f t="shared" si="3"/>
        <v>5963.9</v>
      </c>
    </row>
    <row r="8" spans="1:13" ht="13.9" customHeight="1" x14ac:dyDescent="0.15">
      <c r="A8" s="2">
        <v>6</v>
      </c>
      <c r="B8" t="s">
        <v>39</v>
      </c>
      <c r="C8" t="s">
        <v>24</v>
      </c>
      <c r="D8" t="s">
        <v>14</v>
      </c>
      <c r="E8" s="4">
        <v>6350</v>
      </c>
      <c r="F8" s="4">
        <v>500</v>
      </c>
      <c r="G8" s="4">
        <v>260</v>
      </c>
      <c r="H8" s="4"/>
      <c r="I8" s="4">
        <f t="shared" si="0"/>
        <v>7110</v>
      </c>
      <c r="J8" s="4">
        <v>289</v>
      </c>
      <c r="K8" s="4">
        <f t="shared" si="1"/>
        <v>3321</v>
      </c>
      <c r="L8" s="4">
        <f t="shared" si="2"/>
        <v>227.10000000000002</v>
      </c>
      <c r="M8" s="4">
        <f t="shared" si="3"/>
        <v>6593.9</v>
      </c>
    </row>
    <row r="9" spans="1:13" x14ac:dyDescent="0.15">
      <c r="A9" s="2">
        <v>7</v>
      </c>
      <c r="B9" t="s">
        <v>40</v>
      </c>
      <c r="C9" t="s">
        <v>25</v>
      </c>
      <c r="D9" t="s">
        <v>14</v>
      </c>
      <c r="E9" s="4">
        <v>10550</v>
      </c>
      <c r="F9" s="4"/>
      <c r="G9" s="4">
        <v>260</v>
      </c>
      <c r="H9" s="4"/>
      <c r="I9" s="4">
        <f t="shared" si="0"/>
        <v>10810</v>
      </c>
      <c r="J9" s="4">
        <v>206</v>
      </c>
      <c r="K9" s="4">
        <f t="shared" si="1"/>
        <v>7104</v>
      </c>
      <c r="L9" s="4">
        <f t="shared" si="2"/>
        <v>865.80000000000018</v>
      </c>
      <c r="M9" s="4">
        <f t="shared" si="3"/>
        <v>9738.2000000000007</v>
      </c>
    </row>
    <row r="10" spans="1:13" x14ac:dyDescent="0.15">
      <c r="A10" s="2">
        <v>8</v>
      </c>
      <c r="B10" t="s">
        <v>41</v>
      </c>
      <c r="C10" t="s">
        <v>26</v>
      </c>
      <c r="D10" t="s">
        <v>15</v>
      </c>
      <c r="E10" s="4">
        <v>15550</v>
      </c>
      <c r="F10" s="4">
        <v>500</v>
      </c>
      <c r="G10" s="4">
        <v>260</v>
      </c>
      <c r="H10" s="4">
        <v>155</v>
      </c>
      <c r="I10" s="4">
        <f t="shared" si="0"/>
        <v>16155</v>
      </c>
      <c r="J10" s="4">
        <v>308</v>
      </c>
      <c r="K10" s="4">
        <f t="shared" si="1"/>
        <v>12347</v>
      </c>
      <c r="L10" s="4">
        <f t="shared" si="2"/>
        <v>2081.75</v>
      </c>
      <c r="M10" s="4">
        <f t="shared" si="3"/>
        <v>13765.25</v>
      </c>
    </row>
    <row r="11" spans="1:13" x14ac:dyDescent="0.15">
      <c r="A11" s="2">
        <v>9</v>
      </c>
      <c r="B11" t="s">
        <v>42</v>
      </c>
      <c r="C11" t="s">
        <v>27</v>
      </c>
      <c r="D11" t="s">
        <v>16</v>
      </c>
      <c r="E11" s="4">
        <v>4100</v>
      </c>
      <c r="F11" s="4"/>
      <c r="G11" s="4">
        <v>260</v>
      </c>
      <c r="H11" s="4"/>
      <c r="I11" s="4">
        <f t="shared" si="0"/>
        <v>4360</v>
      </c>
      <c r="J11" s="4">
        <v>289</v>
      </c>
      <c r="K11" s="4">
        <f t="shared" si="1"/>
        <v>571</v>
      </c>
      <c r="L11" s="4">
        <f t="shared" si="2"/>
        <v>17.13</v>
      </c>
      <c r="M11" s="4">
        <f t="shared" si="3"/>
        <v>4053.87</v>
      </c>
    </row>
    <row r="12" spans="1:13" x14ac:dyDescent="0.15">
      <c r="A12" s="2">
        <v>10</v>
      </c>
      <c r="B12" t="s">
        <v>43</v>
      </c>
      <c r="C12" t="s">
        <v>28</v>
      </c>
      <c r="D12" t="s">
        <v>15</v>
      </c>
      <c r="E12" s="4">
        <v>5800</v>
      </c>
      <c r="F12" s="4"/>
      <c r="G12" s="4">
        <v>260</v>
      </c>
      <c r="H12" s="4">
        <v>25</v>
      </c>
      <c r="I12" s="4">
        <f t="shared" si="0"/>
        <v>6035</v>
      </c>
      <c r="J12" s="4">
        <v>289</v>
      </c>
      <c r="K12" s="4">
        <f t="shared" si="1"/>
        <v>2246</v>
      </c>
      <c r="L12" s="4">
        <f t="shared" si="2"/>
        <v>119.60000000000002</v>
      </c>
      <c r="M12" s="4">
        <f t="shared" si="3"/>
        <v>5626.4</v>
      </c>
    </row>
    <row r="13" spans="1:13" x14ac:dyDescent="0.15">
      <c r="A13" s="2">
        <v>11</v>
      </c>
      <c r="B13" t="s">
        <v>44</v>
      </c>
      <c r="C13" t="s">
        <v>29</v>
      </c>
      <c r="D13" t="s">
        <v>16</v>
      </c>
      <c r="E13" s="4">
        <v>5050</v>
      </c>
      <c r="F13" s="4"/>
      <c r="G13" s="4">
        <v>260</v>
      </c>
      <c r="H13" s="4"/>
      <c r="I13" s="4">
        <f t="shared" si="0"/>
        <v>5310</v>
      </c>
      <c r="J13" s="4">
        <v>289</v>
      </c>
      <c r="K13" s="4">
        <f t="shared" si="1"/>
        <v>1521</v>
      </c>
      <c r="L13" s="4">
        <f t="shared" si="2"/>
        <v>47.099999999999994</v>
      </c>
      <c r="M13" s="4">
        <f t="shared" si="3"/>
        <v>4973.8999999999996</v>
      </c>
    </row>
    <row r="14" spans="1:13" x14ac:dyDescent="0.15">
      <c r="A14" s="2">
        <v>12</v>
      </c>
      <c r="B14" t="s">
        <v>45</v>
      </c>
      <c r="C14" t="s">
        <v>30</v>
      </c>
      <c r="D14" t="s">
        <v>15</v>
      </c>
      <c r="E14" s="4">
        <v>3000</v>
      </c>
      <c r="F14" s="4"/>
      <c r="G14" s="4">
        <v>260</v>
      </c>
      <c r="H14" s="4"/>
      <c r="I14" s="4">
        <f t="shared" si="0"/>
        <v>3260</v>
      </c>
      <c r="J14" s="4">
        <v>289</v>
      </c>
      <c r="K14" s="4">
        <f t="shared" si="1"/>
        <v>0</v>
      </c>
      <c r="L14" s="4">
        <f t="shared" si="2"/>
        <v>0</v>
      </c>
      <c r="M14" s="4">
        <f t="shared" si="3"/>
        <v>2971</v>
      </c>
    </row>
    <row r="15" spans="1:13" x14ac:dyDescent="0.15">
      <c r="A15" s="2">
        <v>13</v>
      </c>
      <c r="B15" t="s">
        <v>46</v>
      </c>
      <c r="C15" t="s">
        <v>31</v>
      </c>
      <c r="D15" t="s">
        <v>14</v>
      </c>
      <c r="E15" s="4">
        <v>12450</v>
      </c>
      <c r="F15" s="4">
        <v>500</v>
      </c>
      <c r="G15" s="4">
        <v>260</v>
      </c>
      <c r="H15" s="4"/>
      <c r="I15" s="4">
        <f t="shared" si="0"/>
        <v>13210</v>
      </c>
      <c r="J15" s="4">
        <v>289</v>
      </c>
      <c r="K15" s="4">
        <f t="shared" si="1"/>
        <v>9421</v>
      </c>
      <c r="L15" s="4">
        <f t="shared" si="2"/>
        <v>1350.25</v>
      </c>
      <c r="M15" s="4">
        <f t="shared" si="3"/>
        <v>11570.75</v>
      </c>
    </row>
    <row r="16" spans="1:13" x14ac:dyDescent="0.15">
      <c r="A16" s="2">
        <v>14</v>
      </c>
      <c r="B16" t="s">
        <v>47</v>
      </c>
      <c r="C16" t="s">
        <v>32</v>
      </c>
      <c r="D16" t="s">
        <v>13</v>
      </c>
      <c r="E16" s="4">
        <v>4850</v>
      </c>
      <c r="F16" s="4"/>
      <c r="G16" s="4">
        <v>260</v>
      </c>
      <c r="H16" s="4"/>
      <c r="I16" s="4">
        <f t="shared" si="0"/>
        <v>5110</v>
      </c>
      <c r="J16" s="4">
        <v>289</v>
      </c>
      <c r="K16" s="4">
        <f t="shared" si="1"/>
        <v>1321</v>
      </c>
      <c r="L16" s="4">
        <f t="shared" si="2"/>
        <v>39.629999999999995</v>
      </c>
      <c r="M16" s="4">
        <f t="shared" si="3"/>
        <v>4781.37</v>
      </c>
    </row>
    <row r="17" spans="1:13" x14ac:dyDescent="0.15">
      <c r="A17" s="2">
        <v>15</v>
      </c>
      <c r="B17" t="s">
        <v>48</v>
      </c>
      <c r="C17" t="s">
        <v>33</v>
      </c>
      <c r="D17" t="s">
        <v>14</v>
      </c>
      <c r="E17" s="4">
        <v>9800</v>
      </c>
      <c r="F17" s="4"/>
      <c r="G17" s="4">
        <v>260</v>
      </c>
      <c r="H17" s="4"/>
      <c r="I17" s="4">
        <f t="shared" si="0"/>
        <v>10060</v>
      </c>
      <c r="J17" s="4">
        <v>309</v>
      </c>
      <c r="K17" s="4">
        <f t="shared" si="1"/>
        <v>6251</v>
      </c>
      <c r="L17" s="4">
        <f t="shared" si="2"/>
        <v>695.2</v>
      </c>
      <c r="M17" s="4">
        <f t="shared" si="3"/>
        <v>9055.7999999999993</v>
      </c>
    </row>
  </sheetData>
  <mergeCells count="1">
    <mergeCell ref="A1:M1"/>
  </mergeCells>
  <phoneticPr fontId="1" type="noConversion"/>
  <conditionalFormatting sqref="K3:K17">
    <cfRule type="cellIs" dxfId="0" priority="1" operator="equal">
      <formula>0</formula>
    </cfRule>
  </conditionalFormatting>
  <pageMargins left="0.7" right="0.7" top="0.75" bottom="0.75" header="0.3" footer="0.3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2014年3月</vt:lpstr>
      <vt:lpstr>Sheet2</vt:lpstr>
      <vt:lpstr>Sheet3</vt:lpstr>
      <vt:lpstr>'2014年3月'!五月工资表</vt:lpstr>
      <vt:lpstr>五月工资表</vt:lpstr>
    </vt:vector>
  </TitlesOfParts>
  <Manager>PSQ</Manager>
  <Company>PSQ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PSQ; neea</dc:creator>
  <cp:lastModifiedBy>lipp</cp:lastModifiedBy>
  <dcterms:created xsi:type="dcterms:W3CDTF">2013-03-03T01:44:07Z</dcterms:created>
  <dcterms:modified xsi:type="dcterms:W3CDTF">2022-01-11T04:56:08Z</dcterms:modified>
</cp:coreProperties>
</file>
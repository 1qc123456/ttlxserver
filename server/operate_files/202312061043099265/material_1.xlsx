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15" windowHeight="10065"/>
  </bookViews>
  <sheets>
    <sheet name="员工工资表" sheetId="1" r:id="rId1"/>
    <sheet name="加班费" sheetId="2" r:id="rId2"/>
    <sheet name="筛选" sheetId="3" r:id="rId3"/>
  </sheets>
  <definedNames>
    <definedName name="_xlnm._FilterDatabase" localSheetId="2" hidden="1">筛选!$A$3:$H$17</definedName>
    <definedName name="_xlnm.Criteria" localSheetId="2">筛选!$D$1:$D$2</definedName>
  </definedNames>
  <calcPr calcId="144525"/>
</workbook>
</file>

<file path=xl/sharedStrings.xml><?xml version="1.0" encoding="utf-8"?>
<sst xmlns="http://schemas.openxmlformats.org/spreadsheetml/2006/main" count="111" uniqueCount="34">
  <si>
    <t>2021年11月份员工工资统计表</t>
  </si>
  <si>
    <t>姓名</t>
  </si>
  <si>
    <t>性别</t>
  </si>
  <si>
    <t>年龄</t>
  </si>
  <si>
    <t>职务</t>
  </si>
  <si>
    <t>应发工资</t>
  </si>
  <si>
    <t>加班时长</t>
  </si>
  <si>
    <t>加班总费用</t>
  </si>
  <si>
    <t>实发工资</t>
  </si>
  <si>
    <t>评价</t>
  </si>
  <si>
    <t>李琴</t>
  </si>
  <si>
    <t>女</t>
  </si>
  <si>
    <t>会计</t>
  </si>
  <si>
    <t>王小雪</t>
  </si>
  <si>
    <t>张妍</t>
  </si>
  <si>
    <t>销售员</t>
  </si>
  <si>
    <t>雷云东</t>
  </si>
  <si>
    <t>男</t>
  </si>
  <si>
    <t>王海涛</t>
  </si>
  <si>
    <t>采购员</t>
  </si>
  <si>
    <t>女员工平均年龄</t>
  </si>
  <si>
    <t>刘畅</t>
  </si>
  <si>
    <t>经理</t>
  </si>
  <si>
    <t>李斯</t>
  </si>
  <si>
    <t>男员工平均年龄</t>
  </si>
  <si>
    <t>苏小北</t>
  </si>
  <si>
    <t>封信</t>
  </si>
  <si>
    <t>封铭朗</t>
  </si>
  <si>
    <t>沈佳亮</t>
  </si>
  <si>
    <t>王娜娜</t>
  </si>
  <si>
    <t>苏华阳</t>
  </si>
  <si>
    <t>陈晓凯</t>
  </si>
  <si>
    <t>加班费（每小时）</t>
  </si>
  <si>
    <t>&gt;=1200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</si>
</sst>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;&quot;￥&quot;\-#,##0.0"/>
    <numFmt numFmtId="177" formatCode="0_ "/>
  </numFmts>
  <fonts count="23">
    <font>
      <sz val="11"/>
      <color theme="1"/>
      <name val="宋体"/>
      <charset val="134"/>
      <scheme val="minor"/>
    </font>
    <font>
      <b/>
      <sz val="16"/>
      <color rgb="FF7030A0"/>
      <name val="楷体"/>
      <charset val="134"/>
    </font>
    <font>
      <b/>
      <sz val="11"/>
      <color theme="8" tint="-0.249977111117893"/>
      <name val="微软雅黑"/>
      <charset val="134"/>
    </font>
    <font>
      <sz val="11"/>
      <color theme="8" tint="-0.24997711111789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/>
      <right/>
      <top/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76" fontId="3" fillId="2" borderId="3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76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center"/>
    </xf>
    <xf numFmtId="176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0" fontId="3" fillId="0" borderId="4" xfId="0" applyFont="1" applyFill="1" applyBorder="1" applyAlignment="1">
      <alignment horizontal="center"/>
    </xf>
    <xf numFmtId="176" fontId="3" fillId="0" borderId="4" xfId="0" applyNumberFormat="1" applyFont="1" applyFill="1" applyBorder="1" applyAlignment="1">
      <alignment horizontal="right"/>
    </xf>
    <xf numFmtId="0" fontId="3" fillId="0" borderId="4" xfId="0" applyFont="1" applyFill="1" applyBorder="1" applyAlignment="1">
      <alignment horizontal="right"/>
    </xf>
    <xf numFmtId="0" fontId="2" fillId="0" borderId="2" xfId="0" applyFont="1" applyFill="1" applyBorder="1" applyAlignment="1"/>
    <xf numFmtId="0" fontId="3" fillId="2" borderId="3" xfId="0" applyFont="1" applyFill="1" applyBorder="1"/>
    <xf numFmtId="0" fontId="3" fillId="0" borderId="0" xfId="0" applyFont="1" applyFill="1" applyBorder="1"/>
    <xf numFmtId="0" fontId="3" fillId="2" borderId="0" xfId="0" applyFont="1" applyFill="1" applyBorder="1"/>
    <xf numFmtId="177" fontId="0" fillId="0" borderId="0" xfId="0" applyNumberFormat="1"/>
    <xf numFmtId="0" fontId="3" fillId="0" borderId="4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8" tint="-0.249977111117893"/>
      </font>
    </dxf>
    <dxf>
      <font>
        <b val="1"/>
        <color theme="8" tint="-0.249977111117893"/>
      </font>
    </dxf>
    <dxf>
      <font>
        <b val="1"/>
        <color theme="8" tint="-0.249977111117893"/>
      </font>
      <border>
        <top style="thin">
          <color theme="8"/>
        </top>
      </border>
    </dxf>
    <dxf>
      <font>
        <b val="1"/>
        <color theme="8" tint="-0.499984740745262"/>
      </font>
      <border>
        <top style="thin">
          <color theme="8"/>
        </top>
        <bottom style="medium">
          <color theme="8"/>
        </bottom>
      </border>
    </dxf>
    <dxf>
      <font>
        <color theme="8" tint="-0.499984740745262"/>
      </font>
      <border>
        <top style="thin">
          <color theme="8"/>
        </top>
        <bottom style="thin">
          <color theme="8"/>
        </bottom>
      </border>
    </dxf>
  </dxfs>
  <tableStyles count="1" defaultTableStyle="TableStyleMedium2" defaultPivotStyle="PivotStyleMedium9">
    <tableStyle name="TableStylePreset1_Accent5" pivot="0" count="7" xr9:uid="{121EFD10-1A56-437C-B79E-B69F2C24446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工资对比图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员工工资表!$E$2</c:f>
              <c:strCache>
                <c:ptCount val="1"/>
                <c:pt idx="0">
                  <c:v>应发工资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员工工资表!$A$3:$A$16</c:f>
              <c:strCache>
                <c:ptCount val="14"/>
                <c:pt idx="0">
                  <c:v>李琴</c:v>
                </c:pt>
                <c:pt idx="1">
                  <c:v>王小雪</c:v>
                </c:pt>
                <c:pt idx="2">
                  <c:v>张妍</c:v>
                </c:pt>
                <c:pt idx="3">
                  <c:v>雷云东</c:v>
                </c:pt>
                <c:pt idx="4">
                  <c:v>王海涛</c:v>
                </c:pt>
                <c:pt idx="5">
                  <c:v>刘畅</c:v>
                </c:pt>
                <c:pt idx="6">
                  <c:v>李斯</c:v>
                </c:pt>
                <c:pt idx="7">
                  <c:v>苏小北</c:v>
                </c:pt>
                <c:pt idx="8">
                  <c:v>封信</c:v>
                </c:pt>
                <c:pt idx="9">
                  <c:v>封铭朗</c:v>
                </c:pt>
                <c:pt idx="10">
                  <c:v>沈佳亮</c:v>
                </c:pt>
                <c:pt idx="11">
                  <c:v>王娜娜</c:v>
                </c:pt>
                <c:pt idx="12">
                  <c:v>苏华阳</c:v>
                </c:pt>
                <c:pt idx="13">
                  <c:v>陈晓凯</c:v>
                </c:pt>
              </c:strCache>
            </c:strRef>
          </c:cat>
          <c:val>
            <c:numRef>
              <c:f>员工工资表!$E$3:$E$16</c:f>
              <c:numCache>
                <c:formatCode>"￥"#,##0.0;"￥"\-#,##0.0</c:formatCode>
                <c:ptCount val="14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1100</c:v>
                </c:pt>
                <c:pt idx="4">
                  <c:v>1260</c:v>
                </c:pt>
                <c:pt idx="5">
                  <c:v>1350</c:v>
                </c:pt>
                <c:pt idx="6">
                  <c:v>1250</c:v>
                </c:pt>
                <c:pt idx="7">
                  <c:v>1050</c:v>
                </c:pt>
                <c:pt idx="8">
                  <c:v>1500</c:v>
                </c:pt>
                <c:pt idx="9">
                  <c:v>1080</c:v>
                </c:pt>
                <c:pt idx="10">
                  <c:v>1180</c:v>
                </c:pt>
                <c:pt idx="11">
                  <c:v>1220</c:v>
                </c:pt>
                <c:pt idx="12">
                  <c:v>1350</c:v>
                </c:pt>
                <c:pt idx="13">
                  <c:v>1200</c:v>
                </c:pt>
              </c:numCache>
            </c:numRef>
          </c:val>
        </c:ser>
        <c:ser>
          <c:idx val="1"/>
          <c:order val="1"/>
          <c:tx>
            <c:strRef>
              <c:f>员工工资表!$H$2</c:f>
              <c:strCache>
                <c:ptCount val="1"/>
                <c:pt idx="0">
                  <c:v>实发工资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员工工资表!$A$3:$A$16</c:f>
              <c:strCache>
                <c:ptCount val="14"/>
                <c:pt idx="0">
                  <c:v>李琴</c:v>
                </c:pt>
                <c:pt idx="1">
                  <c:v>王小雪</c:v>
                </c:pt>
                <c:pt idx="2">
                  <c:v>张妍</c:v>
                </c:pt>
                <c:pt idx="3">
                  <c:v>雷云东</c:v>
                </c:pt>
                <c:pt idx="4">
                  <c:v>王海涛</c:v>
                </c:pt>
                <c:pt idx="5">
                  <c:v>刘畅</c:v>
                </c:pt>
                <c:pt idx="6">
                  <c:v>李斯</c:v>
                </c:pt>
                <c:pt idx="7">
                  <c:v>苏小北</c:v>
                </c:pt>
                <c:pt idx="8">
                  <c:v>封信</c:v>
                </c:pt>
                <c:pt idx="9">
                  <c:v>封铭朗</c:v>
                </c:pt>
                <c:pt idx="10">
                  <c:v>沈佳亮</c:v>
                </c:pt>
                <c:pt idx="11">
                  <c:v>王娜娜</c:v>
                </c:pt>
                <c:pt idx="12">
                  <c:v>苏华阳</c:v>
                </c:pt>
                <c:pt idx="13">
                  <c:v>陈晓凯</c:v>
                </c:pt>
              </c:strCache>
            </c:strRef>
          </c:cat>
          <c:val>
            <c:numRef>
              <c:f>员工工资表!$H$3:$H$16</c:f>
              <c:numCache>
                <c:formatCode>"￥"#,##0.0;"￥"\-#,##0.0</c:formatCode>
                <c:ptCount val="14"/>
                <c:pt idx="0">
                  <c:v>1350</c:v>
                </c:pt>
                <c:pt idx="1">
                  <c:v>1287.5</c:v>
                </c:pt>
                <c:pt idx="2">
                  <c:v>1260</c:v>
                </c:pt>
                <c:pt idx="3">
                  <c:v>1190</c:v>
                </c:pt>
                <c:pt idx="4">
                  <c:v>1312.5</c:v>
                </c:pt>
                <c:pt idx="5">
                  <c:v>1390</c:v>
                </c:pt>
                <c:pt idx="6">
                  <c:v>1320</c:v>
                </c:pt>
                <c:pt idx="7">
                  <c:v>1170</c:v>
                </c:pt>
                <c:pt idx="8">
                  <c:v>1590</c:v>
                </c:pt>
                <c:pt idx="9">
                  <c:v>1142.5</c:v>
                </c:pt>
                <c:pt idx="10">
                  <c:v>1215</c:v>
                </c:pt>
                <c:pt idx="11">
                  <c:v>1295</c:v>
                </c:pt>
                <c:pt idx="12">
                  <c:v>1455</c:v>
                </c:pt>
                <c:pt idx="13">
                  <c:v>1262.5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09403386"/>
        <c:axId val="455202561"/>
      </c:barChart>
      <c:catAx>
        <c:axId val="4094033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202561"/>
        <c:crosses val="autoZero"/>
        <c:auto val="1"/>
        <c:lblAlgn val="ctr"/>
        <c:lblOffset val="100"/>
        <c:noMultiLvlLbl val="0"/>
      </c:catAx>
      <c:valAx>
        <c:axId val="4552025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&quot;￥&quot;#,##0.0;&quot;￥&quot;\-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4033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127000</xdr:colOff>
      <xdr:row>17</xdr:row>
      <xdr:rowOff>88900</xdr:rowOff>
    </xdr:from>
    <xdr:to>
      <xdr:col>7</xdr:col>
      <xdr:colOff>669925</xdr:colOff>
      <xdr:row>33</xdr:row>
      <xdr:rowOff>88900</xdr:rowOff>
    </xdr:to>
    <xdr:graphicFrame>
      <xdr:nvGraphicFramePr>
        <xdr:cNvPr id="2" name="图表 1"/>
        <xdr:cNvGraphicFramePr/>
      </xdr:nvGraphicFramePr>
      <xdr:xfrm>
        <a:off x="127000" y="3790950"/>
        <a:ext cx="48577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表2" displayName="表2" ref="A2:I16" totalsRowShown="0">
  <autoFilter ref="A2:I16"/>
  <tableColumns count="9">
    <tableColumn id="1" name="姓名" dataDxfId="0"/>
    <tableColumn id="2" name="性别" dataDxfId="1"/>
    <tableColumn id="3" name="年龄" dataDxfId="2"/>
    <tableColumn id="4" name="职务" dataDxfId="3"/>
    <tableColumn id="5" name="应发工资" dataDxfId="4"/>
    <tableColumn id="6" name="加班时长" dataDxfId="5"/>
    <tableColumn id="7" name="加班总费用" dataDxfId="6"/>
    <tableColumn id="8" name="实发工资" dataDxfId="7"/>
    <tableColumn id="9" name="评价" dataDxfId="8"/>
  </tableColumns>
  <tableStyleInfo name="TableStylePreset1_Accent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K16"/>
  <sheetViews>
    <sheetView tabSelected="1" zoomScale="85" zoomScaleNormal="85" workbookViewId="0">
      <selection activeCell="S23" sqref="S23"/>
    </sheetView>
  </sheetViews>
  <sheetFormatPr defaultColWidth="9" defaultRowHeight="13.5"/>
  <cols>
    <col min="1" max="1" width="7" customWidth="1"/>
    <col min="2" max="3" width="5.125" customWidth="1"/>
    <col min="4" max="4" width="7" customWidth="1"/>
    <col min="5" max="5" width="12.625" customWidth="1"/>
    <col min="6" max="6" width="8.875" customWidth="1"/>
    <col min="7" max="7" width="10.875" customWidth="1"/>
    <col min="8" max="8" width="8.875" customWidth="1"/>
    <col min="11" max="11" width="9" customWidth="1"/>
  </cols>
  <sheetData>
    <row r="1" s="2" customFormat="1" ht="32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2" customFormat="1" ht="15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17" t="s">
        <v>9</v>
      </c>
    </row>
    <row r="3" ht="16.5" spans="1:9">
      <c r="A3" s="5" t="s">
        <v>10</v>
      </c>
      <c r="B3" s="5" t="s">
        <v>11</v>
      </c>
      <c r="C3" s="5">
        <v>22</v>
      </c>
      <c r="D3" s="5" t="s">
        <v>12</v>
      </c>
      <c r="E3" s="6">
        <v>1300</v>
      </c>
      <c r="F3" s="7">
        <v>2</v>
      </c>
      <c r="G3" s="6">
        <f>VLOOKUP(D3,加班费!$A$1:$B$5,2,0)*F3</f>
        <v>50</v>
      </c>
      <c r="H3" s="6">
        <f>E3+G3</f>
        <v>1350</v>
      </c>
      <c r="I3" s="18" t="str">
        <f>IF(F3&gt;2.5,"优秀","加油干")</f>
        <v>加油干</v>
      </c>
    </row>
    <row r="4" ht="16.5" spans="1:9">
      <c r="A4" s="8" t="s">
        <v>13</v>
      </c>
      <c r="B4" s="8" t="s">
        <v>11</v>
      </c>
      <c r="C4" s="8">
        <v>20</v>
      </c>
      <c r="D4" s="8" t="s">
        <v>12</v>
      </c>
      <c r="E4" s="9">
        <v>1250</v>
      </c>
      <c r="F4" s="10">
        <v>1.5</v>
      </c>
      <c r="G4" s="9">
        <f>VLOOKUP(D4,加班费!$A$1:$B$5,2,0)*F4</f>
        <v>37.5</v>
      </c>
      <c r="H4" s="9">
        <f t="shared" ref="H4:H16" si="0">E4+G4</f>
        <v>1287.5</v>
      </c>
      <c r="I4" s="19" t="str">
        <f t="shared" ref="I4:I16" si="1">IF(F4&gt;=2.5,"优秀","加油干")</f>
        <v>加油干</v>
      </c>
    </row>
    <row r="5" ht="16.5" spans="1:9">
      <c r="A5" s="11" t="s">
        <v>14</v>
      </c>
      <c r="B5" s="11" t="s">
        <v>11</v>
      </c>
      <c r="C5" s="11">
        <v>21</v>
      </c>
      <c r="D5" s="11" t="s">
        <v>15</v>
      </c>
      <c r="E5" s="12">
        <v>1200</v>
      </c>
      <c r="F5" s="13">
        <v>2</v>
      </c>
      <c r="G5" s="12">
        <f>VLOOKUP(D5,加班费!$A$1:$B$5,2,0)*F5</f>
        <v>60</v>
      </c>
      <c r="H5" s="12">
        <f t="shared" si="0"/>
        <v>1260</v>
      </c>
      <c r="I5" s="20" t="str">
        <f t="shared" si="1"/>
        <v>加油干</v>
      </c>
    </row>
    <row r="6" ht="16.5" spans="1:9">
      <c r="A6" s="8" t="s">
        <v>16</v>
      </c>
      <c r="B6" s="8" t="s">
        <v>17</v>
      </c>
      <c r="C6" s="8">
        <v>25</v>
      </c>
      <c r="D6" s="8" t="s">
        <v>15</v>
      </c>
      <c r="E6" s="9">
        <v>1100</v>
      </c>
      <c r="F6" s="10">
        <v>3</v>
      </c>
      <c r="G6" s="9">
        <f>VLOOKUP(D6,加班费!$A$1:$B$5,2,0)*F6</f>
        <v>90</v>
      </c>
      <c r="H6" s="9">
        <f t="shared" si="0"/>
        <v>1190</v>
      </c>
      <c r="I6" s="19" t="str">
        <f t="shared" si="1"/>
        <v>优秀</v>
      </c>
    </row>
    <row r="7" ht="16.5" spans="1:11">
      <c r="A7" s="11" t="s">
        <v>18</v>
      </c>
      <c r="B7" s="11" t="s">
        <v>17</v>
      </c>
      <c r="C7" s="11">
        <v>24</v>
      </c>
      <c r="D7" s="11" t="s">
        <v>19</v>
      </c>
      <c r="E7" s="12">
        <v>1260</v>
      </c>
      <c r="F7" s="13">
        <v>1.5</v>
      </c>
      <c r="G7" s="12">
        <f>VLOOKUP(D7,加班费!$A$1:$B$5,2,0)*F7</f>
        <v>52.5</v>
      </c>
      <c r="H7" s="12">
        <f t="shared" si="0"/>
        <v>1312.5</v>
      </c>
      <c r="I7" s="20" t="str">
        <f t="shared" si="1"/>
        <v>加油干</v>
      </c>
      <c r="K7" t="s">
        <v>20</v>
      </c>
    </row>
    <row r="8" ht="16.5" spans="1:11">
      <c r="A8" s="8" t="s">
        <v>21</v>
      </c>
      <c r="B8" s="8" t="s">
        <v>17</v>
      </c>
      <c r="C8" s="8">
        <v>23</v>
      </c>
      <c r="D8" s="8" t="s">
        <v>22</v>
      </c>
      <c r="E8" s="9">
        <v>1350</v>
      </c>
      <c r="F8" s="10">
        <v>2</v>
      </c>
      <c r="G8" s="9">
        <f>VLOOKUP(D8,加班费!$A$1:$B$5,2,0)*F8</f>
        <v>40</v>
      </c>
      <c r="H8" s="9">
        <f t="shared" si="0"/>
        <v>1390</v>
      </c>
      <c r="I8" s="19" t="str">
        <f t="shared" si="1"/>
        <v>加油干</v>
      </c>
      <c r="K8" s="21">
        <f>SUMIF($B$3:$B$16,"女",C3:C16)/COUNTIF(B3:B16,"女")</f>
        <v>21</v>
      </c>
    </row>
    <row r="9" ht="16.5" spans="1:11">
      <c r="A9" s="11" t="s">
        <v>23</v>
      </c>
      <c r="B9" s="11" t="s">
        <v>17</v>
      </c>
      <c r="C9" s="11">
        <v>26</v>
      </c>
      <c r="D9" s="11" t="s">
        <v>19</v>
      </c>
      <c r="E9" s="12">
        <v>1250</v>
      </c>
      <c r="F9" s="13">
        <v>2</v>
      </c>
      <c r="G9" s="12">
        <f>VLOOKUP(D9,加班费!$A$1:$B$5,2,0)*F9</f>
        <v>70</v>
      </c>
      <c r="H9" s="12">
        <f t="shared" si="0"/>
        <v>1320</v>
      </c>
      <c r="I9" s="20" t="str">
        <f t="shared" si="1"/>
        <v>加油干</v>
      </c>
      <c r="K9" t="s">
        <v>24</v>
      </c>
    </row>
    <row r="10" ht="16.5" spans="1:11">
      <c r="A10" s="8" t="s">
        <v>25</v>
      </c>
      <c r="B10" s="8" t="s">
        <v>11</v>
      </c>
      <c r="C10" s="8">
        <v>21</v>
      </c>
      <c r="D10" s="8" t="s">
        <v>15</v>
      </c>
      <c r="E10" s="9">
        <v>1050</v>
      </c>
      <c r="F10" s="10">
        <v>4</v>
      </c>
      <c r="G10" s="9">
        <f>VLOOKUP(D10,加班费!$A$1:$B$5,2,0)*F10</f>
        <v>120</v>
      </c>
      <c r="H10" s="9">
        <f t="shared" si="0"/>
        <v>1170</v>
      </c>
      <c r="I10" s="19" t="str">
        <f t="shared" si="1"/>
        <v>优秀</v>
      </c>
      <c r="K10" s="21">
        <f>SUMIF($B$3:$B$16,"男",C3:C16)/COUNTIF(B3:B16,"男")</f>
        <v>23.1111111111111</v>
      </c>
    </row>
    <row r="11" ht="16.5" spans="1:9">
      <c r="A11" s="11" t="s">
        <v>26</v>
      </c>
      <c r="B11" s="11" t="s">
        <v>17</v>
      </c>
      <c r="C11" s="11">
        <v>20</v>
      </c>
      <c r="D11" s="11" t="s">
        <v>15</v>
      </c>
      <c r="E11" s="12">
        <v>1500</v>
      </c>
      <c r="F11" s="13">
        <v>3</v>
      </c>
      <c r="G11" s="12">
        <f>VLOOKUP(D11,加班费!$A$1:$B$5,2,0)*F11</f>
        <v>90</v>
      </c>
      <c r="H11" s="12">
        <f t="shared" si="0"/>
        <v>1590</v>
      </c>
      <c r="I11" s="20" t="str">
        <f t="shared" si="1"/>
        <v>优秀</v>
      </c>
    </row>
    <row r="12" ht="16.5" spans="1:9">
      <c r="A12" s="8" t="s">
        <v>27</v>
      </c>
      <c r="B12" s="8" t="s">
        <v>17</v>
      </c>
      <c r="C12" s="8">
        <v>20</v>
      </c>
      <c r="D12" s="8" t="s">
        <v>12</v>
      </c>
      <c r="E12" s="9">
        <v>1080</v>
      </c>
      <c r="F12" s="10">
        <v>2.5</v>
      </c>
      <c r="G12" s="9">
        <f>VLOOKUP(D12,加班费!$A$1:$B$5,2,0)*F12</f>
        <v>62.5</v>
      </c>
      <c r="H12" s="9">
        <f t="shared" si="0"/>
        <v>1142.5</v>
      </c>
      <c r="I12" s="19" t="str">
        <f t="shared" si="1"/>
        <v>优秀</v>
      </c>
    </row>
    <row r="13" ht="16.5" spans="1:9">
      <c r="A13" s="11" t="s">
        <v>28</v>
      </c>
      <c r="B13" s="11" t="s">
        <v>17</v>
      </c>
      <c r="C13" s="11">
        <v>22</v>
      </c>
      <c r="D13" s="11" t="s">
        <v>19</v>
      </c>
      <c r="E13" s="12">
        <v>1180</v>
      </c>
      <c r="F13" s="13">
        <v>1</v>
      </c>
      <c r="G13" s="12">
        <f>VLOOKUP(D13,加班费!$A$1:$B$5,2,0)*F13</f>
        <v>35</v>
      </c>
      <c r="H13" s="12">
        <f t="shared" si="0"/>
        <v>1215</v>
      </c>
      <c r="I13" s="20" t="str">
        <f t="shared" si="1"/>
        <v>加油干</v>
      </c>
    </row>
    <row r="14" ht="16.5" spans="1:9">
      <c r="A14" s="8" t="s">
        <v>29</v>
      </c>
      <c r="B14" s="8" t="s">
        <v>11</v>
      </c>
      <c r="C14" s="8">
        <v>21</v>
      </c>
      <c r="D14" s="8" t="s">
        <v>15</v>
      </c>
      <c r="E14" s="9">
        <v>1220</v>
      </c>
      <c r="F14" s="10">
        <v>2.5</v>
      </c>
      <c r="G14" s="9">
        <f>VLOOKUP(D14,加班费!$A$1:$B$5,2,0)*F14</f>
        <v>75</v>
      </c>
      <c r="H14" s="9">
        <f t="shared" si="0"/>
        <v>1295</v>
      </c>
      <c r="I14" s="19" t="str">
        <f t="shared" si="1"/>
        <v>优秀</v>
      </c>
    </row>
    <row r="15" ht="16.5" spans="1:9">
      <c r="A15" s="11" t="s">
        <v>30</v>
      </c>
      <c r="B15" s="11" t="s">
        <v>17</v>
      </c>
      <c r="C15" s="11">
        <v>25</v>
      </c>
      <c r="D15" s="11" t="s">
        <v>19</v>
      </c>
      <c r="E15" s="12">
        <v>1350</v>
      </c>
      <c r="F15" s="13">
        <v>3</v>
      </c>
      <c r="G15" s="12">
        <f>VLOOKUP(D15,加班费!$A$1:$B$5,2,0)*F15</f>
        <v>105</v>
      </c>
      <c r="H15" s="12">
        <f t="shared" si="0"/>
        <v>1455</v>
      </c>
      <c r="I15" s="20" t="str">
        <f t="shared" si="1"/>
        <v>优秀</v>
      </c>
    </row>
    <row r="16" ht="16.5" spans="1:9">
      <c r="A16" s="14" t="s">
        <v>31</v>
      </c>
      <c r="B16" s="14" t="s">
        <v>17</v>
      </c>
      <c r="C16" s="14">
        <v>23</v>
      </c>
      <c r="D16" s="14" t="s">
        <v>12</v>
      </c>
      <c r="E16" s="15">
        <v>1200</v>
      </c>
      <c r="F16" s="16">
        <v>2.5</v>
      </c>
      <c r="G16" s="15">
        <f>VLOOKUP(D16,加班费!$A$1:$B$5,2,0)*F16</f>
        <v>62.5</v>
      </c>
      <c r="H16" s="15">
        <f t="shared" si="0"/>
        <v>1262.5</v>
      </c>
      <c r="I16" s="22" t="str">
        <f t="shared" si="1"/>
        <v>优秀</v>
      </c>
    </row>
  </sheetData>
  <mergeCells count="1">
    <mergeCell ref="A1:I1"/>
  </mergeCells>
  <conditionalFormatting sqref="E3:E16">
    <cfRule type="cellIs" dxfId="9" priority="3" operator="greaterThan">
      <formula>1250</formula>
    </cfRule>
  </conditionalFormatting>
  <conditionalFormatting sqref="F2:F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{3d938614-887e-43b0-a23d-3df1d510ce6a}</x14:id>
        </ext>
      </extLst>
    </cfRule>
  </conditionalFormatting>
  <conditionalFormatting sqref="F3:F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{3931229d-0a6c-4cd6-bb31-a8e70b1cecd9}</x14:id>
        </ext>
      </extLst>
    </cfRule>
  </conditionalFormatting>
  <conditionalFormatting sqref="H3:H16">
    <cfRule type="cellIs" dxfId="9" priority="2" operator="greaterThan">
      <formula>1250</formula>
    </cfRule>
  </conditionalFormatting>
  <pageMargins left="0.7" right="0.7" top="0.75" bottom="0.75" header="0.3" footer="0.3"/>
  <pageSetup paperSize="9" orientation="portrait"/>
  <headerFooter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938614-887e-43b0-a23d-3df1d510ce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F2:F16</xm:sqref>
        </x14:conditionalFormatting>
        <x14:conditionalFormatting xmlns:xm="http://schemas.microsoft.com/office/excel/2006/main">
          <x14:cfRule type="dataBar" id="{3931229d-0a6c-4cd6-bb31-a8e70b1cec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13" sqref="B13"/>
    </sheetView>
  </sheetViews>
  <sheetFormatPr defaultColWidth="9" defaultRowHeight="13.5" outlineLevelRow="4" outlineLevelCol="1"/>
  <sheetData>
    <row r="1" spans="1:1">
      <c r="A1" t="s">
        <v>32</v>
      </c>
    </row>
    <row r="2" spans="1:2">
      <c r="A2" t="s">
        <v>12</v>
      </c>
      <c r="B2">
        <v>25</v>
      </c>
    </row>
    <row r="3" spans="1:2">
      <c r="A3" t="s">
        <v>15</v>
      </c>
      <c r="B3">
        <v>30</v>
      </c>
    </row>
    <row r="4" spans="1:2">
      <c r="A4" t="s">
        <v>22</v>
      </c>
      <c r="B4">
        <v>20</v>
      </c>
    </row>
    <row r="5" spans="1:2">
      <c r="A5" t="s">
        <v>19</v>
      </c>
      <c r="B5">
        <v>35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8"/>
  <sheetViews>
    <sheetView workbookViewId="0">
      <selection activeCell="A1" sqref="$A1:$XFD1"/>
    </sheetView>
  </sheetViews>
  <sheetFormatPr defaultColWidth="9" defaultRowHeight="13.5" outlineLevelCol="7"/>
  <sheetData>
    <row r="1" spans="4:4">
      <c r="D1" t="s">
        <v>5</v>
      </c>
    </row>
    <row r="2" ht="14.25" spans="4:4">
      <c r="D2" t="s">
        <v>33</v>
      </c>
    </row>
    <row r="3" ht="15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ht="15" spans="1:8">
      <c r="A4" s="1" t="s">
        <v>10</v>
      </c>
      <c r="B4" s="1" t="s">
        <v>11</v>
      </c>
      <c r="C4" s="1">
        <v>22</v>
      </c>
      <c r="D4" s="1" t="s">
        <v>12</v>
      </c>
      <c r="E4" s="1">
        <v>1300</v>
      </c>
      <c r="F4" s="1">
        <v>2</v>
      </c>
      <c r="G4" s="1">
        <v>50</v>
      </c>
      <c r="H4" s="1">
        <v>1350</v>
      </c>
    </row>
    <row r="5" ht="15" spans="1:8">
      <c r="A5" s="1" t="s">
        <v>13</v>
      </c>
      <c r="B5" s="1" t="s">
        <v>11</v>
      </c>
      <c r="C5" s="1">
        <v>20</v>
      </c>
      <c r="D5" s="1" t="s">
        <v>12</v>
      </c>
      <c r="E5" s="1">
        <v>1250</v>
      </c>
      <c r="F5" s="1">
        <v>1.5</v>
      </c>
      <c r="G5" s="1">
        <v>37.5</v>
      </c>
      <c r="H5" s="1">
        <v>1287.5</v>
      </c>
    </row>
    <row r="6" ht="15" spans="1:8">
      <c r="A6" s="1" t="s">
        <v>14</v>
      </c>
      <c r="B6" s="1" t="s">
        <v>11</v>
      </c>
      <c r="C6" s="1">
        <v>21</v>
      </c>
      <c r="D6" s="1" t="s">
        <v>15</v>
      </c>
      <c r="E6" s="1">
        <v>1200</v>
      </c>
      <c r="F6" s="1">
        <v>2</v>
      </c>
      <c r="G6" s="1">
        <v>60</v>
      </c>
      <c r="H6" s="1">
        <v>1260</v>
      </c>
    </row>
    <row r="7" ht="15" hidden="1" spans="1:8">
      <c r="A7" t="s">
        <v>16</v>
      </c>
      <c r="B7" t="s">
        <v>17</v>
      </c>
      <c r="C7">
        <v>25</v>
      </c>
      <c r="D7" t="s">
        <v>15</v>
      </c>
      <c r="E7">
        <v>1100</v>
      </c>
      <c r="F7">
        <v>3</v>
      </c>
      <c r="G7">
        <v>90</v>
      </c>
      <c r="H7">
        <v>1190</v>
      </c>
    </row>
    <row r="8" ht="15" spans="1:8">
      <c r="A8" s="1" t="s">
        <v>18</v>
      </c>
      <c r="B8" s="1" t="s">
        <v>17</v>
      </c>
      <c r="C8" s="1">
        <v>24</v>
      </c>
      <c r="D8" s="1" t="s">
        <v>19</v>
      </c>
      <c r="E8" s="1">
        <v>1260</v>
      </c>
      <c r="F8" s="1">
        <v>1.5</v>
      </c>
      <c r="G8" s="1">
        <v>52.5</v>
      </c>
      <c r="H8" s="1">
        <v>1312.5</v>
      </c>
    </row>
    <row r="9" ht="15" spans="1:8">
      <c r="A9" s="1" t="s">
        <v>21</v>
      </c>
      <c r="B9" s="1" t="s">
        <v>17</v>
      </c>
      <c r="C9" s="1">
        <v>23</v>
      </c>
      <c r="D9" s="1" t="s">
        <v>22</v>
      </c>
      <c r="E9" s="1">
        <v>1350</v>
      </c>
      <c r="F9" s="1">
        <v>2</v>
      </c>
      <c r="G9" s="1">
        <v>40</v>
      </c>
      <c r="H9" s="1">
        <v>1390</v>
      </c>
    </row>
    <row r="10" ht="15" spans="1:8">
      <c r="A10" s="1" t="s">
        <v>23</v>
      </c>
      <c r="B10" s="1" t="s">
        <v>17</v>
      </c>
      <c r="C10" s="1">
        <v>26</v>
      </c>
      <c r="D10" s="1" t="s">
        <v>19</v>
      </c>
      <c r="E10" s="1">
        <v>1250</v>
      </c>
      <c r="F10" s="1">
        <v>2</v>
      </c>
      <c r="G10" s="1">
        <v>70</v>
      </c>
      <c r="H10" s="1">
        <v>1320</v>
      </c>
    </row>
    <row r="11" ht="15" hidden="1" spans="1:8">
      <c r="A11" t="s">
        <v>25</v>
      </c>
      <c r="B11" t="s">
        <v>11</v>
      </c>
      <c r="C11">
        <v>21</v>
      </c>
      <c r="D11" t="s">
        <v>15</v>
      </c>
      <c r="E11">
        <v>1050</v>
      </c>
      <c r="F11">
        <v>4</v>
      </c>
      <c r="G11">
        <v>120</v>
      </c>
      <c r="H11">
        <v>1170</v>
      </c>
    </row>
    <row r="12" ht="15" spans="1:8">
      <c r="A12" s="1" t="s">
        <v>26</v>
      </c>
      <c r="B12" s="1" t="s">
        <v>17</v>
      </c>
      <c r="C12" s="1">
        <v>20</v>
      </c>
      <c r="D12" s="1" t="s">
        <v>15</v>
      </c>
      <c r="E12" s="1">
        <v>1500</v>
      </c>
      <c r="F12" s="1">
        <v>3</v>
      </c>
      <c r="G12" s="1">
        <v>90</v>
      </c>
      <c r="H12" s="1">
        <v>1590</v>
      </c>
    </row>
    <row r="13" ht="14.25" hidden="1" spans="1:8">
      <c r="A13" t="s">
        <v>27</v>
      </c>
      <c r="B13" t="s">
        <v>17</v>
      </c>
      <c r="C13">
        <v>20</v>
      </c>
      <c r="D13" t="s">
        <v>12</v>
      </c>
      <c r="E13">
        <v>1080</v>
      </c>
      <c r="F13">
        <v>2.5</v>
      </c>
      <c r="G13">
        <v>62.5</v>
      </c>
      <c r="H13">
        <v>1142.5</v>
      </c>
    </row>
    <row r="14" ht="14.25" hidden="1" spans="1:8">
      <c r="A14" t="s">
        <v>28</v>
      </c>
      <c r="B14" t="s">
        <v>17</v>
      </c>
      <c r="C14">
        <v>22</v>
      </c>
      <c r="D14" t="s">
        <v>19</v>
      </c>
      <c r="E14">
        <v>1180</v>
      </c>
      <c r="F14">
        <v>1</v>
      </c>
      <c r="G14">
        <v>35</v>
      </c>
      <c r="H14">
        <v>1215</v>
      </c>
    </row>
    <row r="15" ht="15" spans="1:8">
      <c r="A15" s="1" t="s">
        <v>29</v>
      </c>
      <c r="B15" s="1" t="s">
        <v>11</v>
      </c>
      <c r="C15" s="1">
        <v>21</v>
      </c>
      <c r="D15" s="1" t="s">
        <v>15</v>
      </c>
      <c r="E15" s="1">
        <v>1220</v>
      </c>
      <c r="F15" s="1">
        <v>2.5</v>
      </c>
      <c r="G15" s="1">
        <v>75</v>
      </c>
      <c r="H15" s="1">
        <v>1295</v>
      </c>
    </row>
    <row r="16" ht="15" spans="1:8">
      <c r="A16" s="1" t="s">
        <v>30</v>
      </c>
      <c r="B16" s="1" t="s">
        <v>17</v>
      </c>
      <c r="C16" s="1">
        <v>25</v>
      </c>
      <c r="D16" s="1" t="s">
        <v>19</v>
      </c>
      <c r="E16" s="1">
        <v>1350</v>
      </c>
      <c r="F16" s="1">
        <v>3</v>
      </c>
      <c r="G16" s="1">
        <v>105</v>
      </c>
      <c r="H16" s="1">
        <v>1455</v>
      </c>
    </row>
    <row r="17" ht="15" spans="1:8">
      <c r="A17" s="1" t="s">
        <v>31</v>
      </c>
      <c r="B17" s="1" t="s">
        <v>17</v>
      </c>
      <c r="C17" s="1">
        <v>23</v>
      </c>
      <c r="D17" s="1" t="s">
        <v>12</v>
      </c>
      <c r="E17" s="1">
        <v>1200</v>
      </c>
      <c r="F17" s="1">
        <v>2.5</v>
      </c>
      <c r="G17" s="1">
        <v>62.5</v>
      </c>
      <c r="H17" s="1">
        <v>1262.5</v>
      </c>
    </row>
    <row r="18" ht="14.25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员工工资表</vt:lpstr>
      <vt:lpstr>加班费</vt:lpstr>
      <vt:lpstr>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2023-12-02T02:20:31Z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D14F23163CFF47CB9A94AB0EA78302F5_12</vt:lpwstr>
  </property>
</Properties>
</file>
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576"/>
  </bookViews>
  <sheets>
    <sheet name="第一轮成绩表" sheetId="2" r:id="rId1"/>
    <sheet name="Sheet3" sheetId="1" r:id="rId2"/>
  </sheets>
  <definedNames>
    <definedName name="ExternalData_1" localSheetId="0" hidden="1">第一轮成绩表!$B$2:$J$12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3" i="2" l="1"/>
  <c r="I4" i="2" l="1"/>
  <c r="I5" i="2"/>
  <c r="I6" i="2"/>
  <c r="I7" i="2"/>
  <c r="I8" i="2"/>
  <c r="I9" i="2"/>
  <c r="I10" i="2"/>
  <c r="I11" i="2"/>
  <c r="I12" i="2"/>
  <c r="H4" i="2"/>
  <c r="H5" i="2"/>
  <c r="H6" i="2"/>
  <c r="H7" i="2"/>
  <c r="H8" i="2"/>
  <c r="H9" i="2"/>
  <c r="H10" i="2"/>
  <c r="H11" i="2"/>
  <c r="H12" i="2"/>
  <c r="H3" i="2"/>
</calcChain>
</file>

<file path=xl/connections.xml><?xml version="1.0" encoding="utf-8"?>
<connections xmlns="http://schemas.openxmlformats.org/spreadsheetml/2006/main">
  <connection id="1" keepAlive="1" name="查询 - 校园歌手大赛" description="与工作簿中“校园歌手大赛”查询的连接。" type="5" refreshedVersion="6" background="1" saveData="1">
    <dbPr connection="Provider=Microsoft.Mashup.OleDb.1;Data Source=$Workbook$;Location=校园歌手大赛;Extended Properties=&quot;&quot;" command="SELECT * FROM [校园歌手大赛]"/>
  </connection>
</connections>
</file>

<file path=xl/sharedStrings.xml><?xml version="1.0" encoding="utf-8"?>
<sst xmlns="http://schemas.openxmlformats.org/spreadsheetml/2006/main" count="29" uniqueCount="21">
  <si>
    <t>评委1</t>
  </si>
  <si>
    <t>评委2</t>
  </si>
  <si>
    <t>评委3</t>
  </si>
  <si>
    <t>评委4</t>
  </si>
  <si>
    <t>评委5</t>
  </si>
  <si>
    <t>评委6</t>
  </si>
  <si>
    <t>平均分</t>
  </si>
  <si>
    <t/>
  </si>
  <si>
    <t>歌手编号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</si>
  <si>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</si>
  <si>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</si>
  <si>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</si>
  <si>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</si>
  <si>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</si>
  <si>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</si>
  <si>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</si>
  <si>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</si>
  <si>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</si>
  <si>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</si>
  <si>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总分</t>
    <phoneticPr fontId="1" type="noConversion"/>
  </si>
  <si>
    <t>校园歌手大赛第一轮成绩表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</si>
</sst>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49" fontId="0" fillId="0" borderId="0" xfId="0" applyNumberFormat="1"/>
    <xf numFmtId="176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第一轮总分对比图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第一轮成绩表!$H$2</c:f>
              <c:strCache>
                <c:ptCount val="1"/>
                <c:pt idx="0">
                  <c:v>总分</c:v>
                </c:pt>
              </c:strCache>
            </c:strRef>
          </c:tx>
          <c:marker>
            <c:symbol val="none"/>
          </c:marker>
          <c:cat>
            <c:strRef>
              <c:f>第一轮成绩表!$A$3:$A$12</c:f>
              <c:strCache>
                <c:ptCount val="10"/>
                <c:pt idx="0">
                  <c:v>001</c:v>
                </c:pt>
                <c:pt idx="1">
                  <c:v>002</c:v>
                </c:pt>
                <c:pt idx="2">
                  <c:v>003</c:v>
                </c:pt>
                <c:pt idx="3">
                  <c:v>004</c:v>
                </c:pt>
                <c:pt idx="4">
                  <c:v>005</c:v>
                </c:pt>
                <c:pt idx="5">
                  <c:v>006</c:v>
                </c:pt>
                <c:pt idx="6">
                  <c:v>007</c:v>
                </c:pt>
                <c:pt idx="7">
                  <c:v>008</c:v>
                </c:pt>
                <c:pt idx="8">
                  <c:v>009</c:v>
                </c:pt>
                <c:pt idx="9">
                  <c:v>010</c:v>
                </c:pt>
              </c:strCache>
            </c:strRef>
          </c:cat>
          <c:val>
            <c:numRef>
              <c:f>第一轮成绩表!$H$3:$H$12</c:f>
              <c:numCache>
                <c:formatCode>General</c:formatCode>
                <c:ptCount val="10"/>
                <c:pt idx="0">
                  <c:v>49.300000000000004</c:v>
                </c:pt>
                <c:pt idx="1">
                  <c:v>46.3</c:v>
                </c:pt>
                <c:pt idx="2">
                  <c:v>50.400000000000006</c:v>
                </c:pt>
                <c:pt idx="3">
                  <c:v>48.3</c:v>
                </c:pt>
                <c:pt idx="4">
                  <c:v>46.5</c:v>
                </c:pt>
                <c:pt idx="5">
                  <c:v>44.9</c:v>
                </c:pt>
                <c:pt idx="6">
                  <c:v>47.5</c:v>
                </c:pt>
                <c:pt idx="7">
                  <c:v>49.800000000000004</c:v>
                </c:pt>
                <c:pt idx="8">
                  <c:v>50.300000000000004</c:v>
                </c:pt>
                <c:pt idx="9">
                  <c:v>49.199999999999996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685824"/>
        <c:axId val="93859840"/>
      </c:lineChart>
      <c:catAx>
        <c:axId val="222685824"/>
        <c:scaling>
          <c:orientation val="minMax"/>
        </c:scaling>
        <c:delete val="0"/>
        <c:axPos val="b"/>
        <c:majorTickMark val="none"/>
        <c:minorTickMark val="none"/>
        <c:tickLblPos val="nextTo"/>
        <c:crossAx val="93859840"/>
        <c:crosses val="autoZero"/>
        <c:auto val="1"/>
        <c:lblAlgn val="ctr"/>
        <c:lblOffset val="100"/>
        <c:noMultiLvlLbl val="0"/>
      </c:catAx>
      <c:valAx>
        <c:axId val="9385984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22685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paperSize="11" orientation="landscape" horizontalDpi="180" verticalDpi="18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14</xdr:row>
      <xdr:rowOff>41910</xdr:rowOff>
    </xdr:from>
    <xdr:to>
      <xdr:col>9</xdr:col>
      <xdr:colOff>0</xdr:colOff>
      <xdr:row>29</xdr:row>
      <xdr:rowOff>156210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I3" sqref="I3"/>
    </sheetView>
  </sheetViews>
  <sheetFormatPr defaultRowHeight="13.8" x14ac:dyDescent="0.25"/>
  <cols>
    <col min="8" max="8" width="7.77734375" bestFit="1" customWidth="1"/>
    <col min="9" max="9" width="9.77734375" bestFit="1" customWidth="1"/>
    <col min="10" max="10" width="12.109375" bestFit="1" customWidth="1"/>
  </cols>
  <sheetData>
    <row r="1" spans="1:10" ht="22.2" x14ac:dyDescent="0.25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t="s">
        <v>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1" t="s">
        <v>19</v>
      </c>
      <c r="I2" s="1" t="s">
        <v>6</v>
      </c>
      <c r="J2" s="1"/>
    </row>
    <row r="3" spans="1:10" x14ac:dyDescent="0.25">
      <c r="A3" s="2" t="s">
        <v>9</v>
      </c>
      <c r="B3">
        <v>9</v>
      </c>
      <c r="C3">
        <v>8.8000000000000007</v>
      </c>
      <c r="D3">
        <v>5.9</v>
      </c>
      <c r="E3">
        <v>8.6</v>
      </c>
      <c r="F3">
        <v>9.1</v>
      </c>
      <c r="G3">
        <v>7.9</v>
      </c>
      <c r="H3" s="1">
        <f>SUM(B3:G3)</f>
        <v>49.300000000000004</v>
      </c>
      <c r="I3" s="3">
        <f>AVERAGE(B3:G3)</f>
        <v>8.2166666666666668</v>
      </c>
      <c r="J3" s="1"/>
    </row>
    <row r="4" spans="1:10" x14ac:dyDescent="0.25">
      <c r="A4" s="2" t="s">
        <v>10</v>
      </c>
      <c r="B4">
        <v>5.8</v>
      </c>
      <c r="C4">
        <v>8.9</v>
      </c>
      <c r="D4">
        <v>5.8</v>
      </c>
      <c r="E4">
        <v>8.4</v>
      </c>
      <c r="F4">
        <v>9</v>
      </c>
      <c r="G4">
        <v>8.4</v>
      </c>
      <c r="H4" s="1">
        <f t="shared" ref="H4:H12" si="0">SUM(B4:G4)</f>
        <v>46.3</v>
      </c>
      <c r="I4" s="3">
        <f t="shared" ref="I4:I12" si="1">H4/6</f>
        <v>7.7166666666666659</v>
      </c>
      <c r="J4" s="1" t="s">
        <v>7</v>
      </c>
    </row>
    <row r="5" spans="1:10" x14ac:dyDescent="0.25">
      <c r="A5" s="2" t="s">
        <v>11</v>
      </c>
      <c r="B5">
        <v>8</v>
      </c>
      <c r="C5">
        <v>9</v>
      </c>
      <c r="D5">
        <v>8.9</v>
      </c>
      <c r="E5">
        <v>7.6</v>
      </c>
      <c r="F5">
        <v>8.6999999999999993</v>
      </c>
      <c r="G5">
        <v>8.1999999999999993</v>
      </c>
      <c r="H5" s="1">
        <f t="shared" si="0"/>
        <v>50.400000000000006</v>
      </c>
      <c r="I5" s="3">
        <f t="shared" si="1"/>
        <v>8.4</v>
      </c>
      <c r="J5" s="1" t="s">
        <v>7</v>
      </c>
    </row>
    <row r="6" spans="1:10" x14ac:dyDescent="0.25">
      <c r="A6" s="2" t="s">
        <v>12</v>
      </c>
      <c r="B6">
        <v>8.6</v>
      </c>
      <c r="C6">
        <v>7.3</v>
      </c>
      <c r="D6">
        <v>7.8</v>
      </c>
      <c r="E6">
        <v>8.3000000000000007</v>
      </c>
      <c r="F6">
        <v>9</v>
      </c>
      <c r="G6">
        <v>7.3</v>
      </c>
      <c r="H6" s="1">
        <f t="shared" si="0"/>
        <v>48.3</v>
      </c>
      <c r="I6" s="3">
        <f t="shared" si="1"/>
        <v>8.0499999999999989</v>
      </c>
      <c r="J6" s="1" t="s">
        <v>7</v>
      </c>
    </row>
    <row r="7" spans="1:10" x14ac:dyDescent="0.25">
      <c r="A7" s="2" t="s">
        <v>13</v>
      </c>
      <c r="B7">
        <v>8.1999999999999993</v>
      </c>
      <c r="C7">
        <v>5.4</v>
      </c>
      <c r="D7">
        <v>9</v>
      </c>
      <c r="E7">
        <v>9</v>
      </c>
      <c r="F7">
        <v>8.4</v>
      </c>
      <c r="G7">
        <v>6.5</v>
      </c>
      <c r="H7" s="1">
        <f t="shared" si="0"/>
        <v>46.5</v>
      </c>
      <c r="I7" s="3">
        <f t="shared" si="1"/>
        <v>7.75</v>
      </c>
      <c r="J7" s="1" t="s">
        <v>7</v>
      </c>
    </row>
    <row r="8" spans="1:10" x14ac:dyDescent="0.25">
      <c r="A8" s="2" t="s">
        <v>14</v>
      </c>
      <c r="B8">
        <v>8</v>
      </c>
      <c r="C8">
        <v>8.8000000000000007</v>
      </c>
      <c r="D8">
        <v>7.6</v>
      </c>
      <c r="E8">
        <v>5.7</v>
      </c>
      <c r="F8">
        <v>7.6</v>
      </c>
      <c r="G8">
        <v>7.2</v>
      </c>
      <c r="H8" s="1">
        <f t="shared" si="0"/>
        <v>44.9</v>
      </c>
      <c r="I8" s="3">
        <f t="shared" si="1"/>
        <v>7.4833333333333334</v>
      </c>
      <c r="J8" s="1" t="s">
        <v>7</v>
      </c>
    </row>
    <row r="9" spans="1:10" x14ac:dyDescent="0.25">
      <c r="A9" s="2" t="s">
        <v>15</v>
      </c>
      <c r="B9">
        <v>9</v>
      </c>
      <c r="C9">
        <v>6.9</v>
      </c>
      <c r="D9">
        <v>8.9</v>
      </c>
      <c r="E9">
        <v>6.9</v>
      </c>
      <c r="F9">
        <v>6.8</v>
      </c>
      <c r="G9">
        <v>9</v>
      </c>
      <c r="H9" s="1">
        <f t="shared" si="0"/>
        <v>47.5</v>
      </c>
      <c r="I9" s="3">
        <f t="shared" si="1"/>
        <v>7.916666666666667</v>
      </c>
      <c r="J9" s="1" t="s">
        <v>7</v>
      </c>
    </row>
    <row r="10" spans="1:10" x14ac:dyDescent="0.25">
      <c r="A10" s="2" t="s">
        <v>16</v>
      </c>
      <c r="B10">
        <v>9.6</v>
      </c>
      <c r="C10">
        <v>7.6</v>
      </c>
      <c r="D10">
        <v>8.3000000000000007</v>
      </c>
      <c r="E10">
        <v>7.9</v>
      </c>
      <c r="F10">
        <v>8.8000000000000007</v>
      </c>
      <c r="G10">
        <v>7.6</v>
      </c>
      <c r="H10" s="1">
        <f t="shared" si="0"/>
        <v>49.800000000000004</v>
      </c>
      <c r="I10" s="3">
        <f t="shared" si="1"/>
        <v>8.3000000000000007</v>
      </c>
      <c r="J10" s="1" t="s">
        <v>7</v>
      </c>
    </row>
    <row r="11" spans="1:10" x14ac:dyDescent="0.25">
      <c r="A11" s="2" t="s">
        <v>17</v>
      </c>
      <c r="B11">
        <v>9.1999999999999993</v>
      </c>
      <c r="C11">
        <v>8.4</v>
      </c>
      <c r="D11">
        <v>7.6</v>
      </c>
      <c r="E11">
        <v>8.4</v>
      </c>
      <c r="F11">
        <v>8.6</v>
      </c>
      <c r="G11">
        <v>8.1</v>
      </c>
      <c r="H11" s="1">
        <f t="shared" si="0"/>
        <v>50.300000000000004</v>
      </c>
      <c r="I11" s="3">
        <f t="shared" si="1"/>
        <v>8.3833333333333346</v>
      </c>
      <c r="J11" s="1" t="s">
        <v>7</v>
      </c>
    </row>
    <row r="12" spans="1:10" x14ac:dyDescent="0.25">
      <c r="A12" s="2" t="s">
        <v>18</v>
      </c>
      <c r="B12">
        <v>8.8000000000000007</v>
      </c>
      <c r="C12">
        <v>8.6</v>
      </c>
      <c r="D12">
        <v>7.5</v>
      </c>
      <c r="E12">
        <v>8.6</v>
      </c>
      <c r="F12">
        <v>7.3</v>
      </c>
      <c r="G12">
        <v>8.4</v>
      </c>
      <c r="H12" s="1">
        <f t="shared" si="0"/>
        <v>49.199999999999996</v>
      </c>
      <c r="I12" s="3">
        <f t="shared" si="1"/>
        <v>8.1999999999999993</v>
      </c>
      <c r="J12" s="1" t="s">
        <v>7</v>
      </c>
    </row>
  </sheetData>
  <mergeCells count="1">
    <mergeCell ref="A1:J1"/>
  </mergeCells>
  <phoneticPr fontId="1" type="noConversion"/>
  <pageMargins left="0.7" right="0.7" top="0.75" bottom="0.75" header="0.3" footer="0.3"/>
  <pageSetup paperSize="11" orientation="landscape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8FC685-323D-4316-879E-A6B49657E3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第一轮成绩表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Admin</cp:lastModifiedBy>
  <dcterms:created xsi:type="dcterms:W3CDTF">2015-06-05T18:17:20Z</dcterms:created>
  <dcterms:modified xsi:type="dcterms:W3CDTF">2021-04-20T06:50:21Z</dcterms:modified>
</cp:coreProperties>
</file>
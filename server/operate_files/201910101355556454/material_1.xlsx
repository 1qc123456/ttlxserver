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6" i="1" l="1"/>
  <c r="F25" i="1"/>
  <c r="F21" i="1"/>
  <c r="F16" i="1"/>
  <c r="F11" i="1"/>
  <c r="F6" i="1"/>
  <c r="F4" i="1"/>
  <c r="F22" i="1"/>
  <c r="F10" i="1"/>
  <c r="F20" i="1"/>
  <c r="F12" i="1"/>
  <c r="F5" i="1"/>
  <c r="F3" i="1"/>
  <c r="F24" i="1"/>
  <c r="F19" i="1"/>
  <c r="F8" i="1"/>
  <c r="F14" i="1"/>
  <c r="F18" i="1"/>
  <c r="F23" i="1"/>
  <c r="F15" i="1"/>
  <c r="F7" i="1"/>
  <c r="F13" i="1"/>
  <c r="F9" i="1"/>
  <c r="F17" i="1"/>
</calcChain>
</file>

<file path=xl/sharedStrings.xml><?xml version="1.0" encoding="utf-8"?>
<sst xmlns="http://schemas.openxmlformats.org/spreadsheetml/2006/main" count="49" uniqueCount="37">
  <si>
    <t>总成绩</t>
    <phoneticPr fontId="1" type="noConversion"/>
  </si>
  <si>
    <t>系别</t>
    <phoneticPr fontId="1" type="noConversion"/>
  </si>
  <si>
    <t>学号</t>
    <phoneticPr fontId="1" type="noConversion"/>
  </si>
  <si>
    <t>姓名</t>
    <phoneticPr fontId="1" type="noConversion"/>
  </si>
  <si>
    <t>考试成绩</t>
    <phoneticPr fontId="1" type="noConversion"/>
  </si>
  <si>
    <t>实验成绩</t>
    <phoneticPr fontId="1" type="noConversion"/>
  </si>
  <si>
    <t>信息</t>
    <phoneticPr fontId="1" type="noConversion"/>
  </si>
  <si>
    <t>计算机</t>
    <phoneticPr fontId="1" type="noConversion"/>
  </si>
  <si>
    <t>自动控制</t>
    <phoneticPr fontId="1" type="noConversion"/>
  </si>
  <si>
    <t>经济</t>
    <phoneticPr fontId="1" type="noConversion"/>
  </si>
  <si>
    <t>数学</t>
    <phoneticPr fontId="1" type="noConversion"/>
  </si>
  <si>
    <t>自动控制</t>
    <phoneticPr fontId="1" type="noConversion"/>
  </si>
  <si>
    <t>李欣</t>
    <phoneticPr fontId="1" type="noConversion"/>
  </si>
  <si>
    <t>王文辉</t>
    <phoneticPr fontId="1" type="noConversion"/>
  </si>
  <si>
    <t>张磊</t>
    <phoneticPr fontId="1" type="noConversion"/>
  </si>
  <si>
    <t>郝心怡</t>
    <phoneticPr fontId="1" type="noConversion"/>
  </si>
  <si>
    <t>王利</t>
    <phoneticPr fontId="1" type="noConversion"/>
  </si>
  <si>
    <t>孙兴</t>
    <phoneticPr fontId="1" type="noConversion"/>
  </si>
  <si>
    <t>张载</t>
    <phoneticPr fontId="1" type="noConversion"/>
  </si>
  <si>
    <t>金强</t>
    <phoneticPr fontId="1" type="noConversion"/>
  </si>
  <si>
    <t>杨海东</t>
    <phoneticPr fontId="1" type="noConversion"/>
  </si>
  <si>
    <t>黄丽</t>
    <phoneticPr fontId="1" type="noConversion"/>
  </si>
  <si>
    <t>王春燕</t>
    <phoneticPr fontId="1" type="noConversion"/>
  </si>
  <si>
    <t>陈松</t>
    <phoneticPr fontId="1" type="noConversion"/>
  </si>
  <si>
    <t>张丽</t>
    <phoneticPr fontId="1" type="noConversion"/>
  </si>
  <si>
    <t>钱敏</t>
    <phoneticPr fontId="1" type="noConversion"/>
  </si>
  <si>
    <t>张平</t>
    <phoneticPr fontId="1" type="noConversion"/>
  </si>
  <si>
    <t>林洋</t>
    <phoneticPr fontId="1" type="noConversion"/>
  </si>
  <si>
    <t>林杨</t>
    <phoneticPr fontId="1" type="noConversion"/>
  </si>
  <si>
    <t>周周</t>
    <phoneticPr fontId="1" type="noConversion"/>
  </si>
  <si>
    <t>数据库成绩表</t>
    <phoneticPr fontId="1" type="noConversion"/>
  </si>
  <si>
    <t>计算机 汇总</t>
  </si>
  <si>
    <t>经济 汇总</t>
  </si>
  <si>
    <t>数学 汇总</t>
  </si>
  <si>
    <t>信息 汇总</t>
  </si>
  <si>
    <t>自动控制 汇总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</si>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</sst>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20"/>
      <color theme="1"/>
      <name val="宋体"/>
      <family val="3"/>
      <charset val="134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</cellXfs>
  <cellStyles count="1">
    <cellStyle name="常规" xfId="0" builtinId="0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各系数据库技术成绩汇总表</a:t>
            </a:r>
          </a:p>
        </c:rich>
      </c:tx>
      <c:layout/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Sheet1!$F$2</c:f>
              <c:strCache>
                <c:ptCount val="1"/>
                <c:pt idx="0">
                  <c:v>总成绩</c:v>
                </c:pt>
              </c:strCache>
            </c:strRef>
          </c:tx>
          <c:invertIfNegative val="0"/>
          <c:cat>
            <c:strRef>
              <c:f>Sheet1!$A$3:$A$25</c:f>
              <c:strCache>
                <c:ptCount val="23"/>
                <c:pt idx="0">
                  <c:v>计算机</c:v>
                </c:pt>
                <c:pt idx="1">
                  <c:v>计算机</c:v>
                </c:pt>
                <c:pt idx="2">
                  <c:v>计算机</c:v>
                </c:pt>
                <c:pt idx="3">
                  <c:v>计算机 汇总</c:v>
                </c:pt>
                <c:pt idx="4">
                  <c:v>经济</c:v>
                </c:pt>
                <c:pt idx="5">
                  <c:v>经济</c:v>
                </c:pt>
                <c:pt idx="6">
                  <c:v>经济</c:v>
                </c:pt>
                <c:pt idx="7">
                  <c:v>经济</c:v>
                </c:pt>
                <c:pt idx="8">
                  <c:v>经济 汇总</c:v>
                </c:pt>
                <c:pt idx="9">
                  <c:v>数学</c:v>
                </c:pt>
                <c:pt idx="10">
                  <c:v>数学</c:v>
                </c:pt>
                <c:pt idx="11">
                  <c:v>数学</c:v>
                </c:pt>
                <c:pt idx="12">
                  <c:v>数学</c:v>
                </c:pt>
                <c:pt idx="13">
                  <c:v>数学 汇总</c:v>
                </c:pt>
                <c:pt idx="14">
                  <c:v>信息</c:v>
                </c:pt>
                <c:pt idx="15">
                  <c:v>信息</c:v>
                </c:pt>
                <c:pt idx="16">
                  <c:v>信息</c:v>
                </c:pt>
                <c:pt idx="17">
                  <c:v>信息</c:v>
                </c:pt>
                <c:pt idx="18">
                  <c:v>信息 汇总</c:v>
                </c:pt>
                <c:pt idx="19">
                  <c:v>自动控制</c:v>
                </c:pt>
                <c:pt idx="20">
                  <c:v>自动控制</c:v>
                </c:pt>
                <c:pt idx="21">
                  <c:v>自动控制</c:v>
                </c:pt>
                <c:pt idx="22">
                  <c:v>自动控制 汇总</c:v>
                </c:pt>
              </c:strCache>
            </c:strRef>
          </c:cat>
          <c:val>
            <c:numRef>
              <c:f>Sheet1!$F$3:$F$25</c:f>
              <c:numCache>
                <c:formatCode>General</c:formatCode>
                <c:ptCount val="23"/>
                <c:pt idx="0">
                  <c:v>62.000000000000007</c:v>
                </c:pt>
                <c:pt idx="1">
                  <c:v>57</c:v>
                </c:pt>
                <c:pt idx="2">
                  <c:v>50.8</c:v>
                </c:pt>
                <c:pt idx="3">
                  <c:v>169.8</c:v>
                </c:pt>
                <c:pt idx="4">
                  <c:v>65.800000000000011</c:v>
                </c:pt>
                <c:pt idx="5">
                  <c:v>61.6</c:v>
                </c:pt>
                <c:pt idx="6">
                  <c:v>78.400000000000006</c:v>
                </c:pt>
                <c:pt idx="7">
                  <c:v>72.2</c:v>
                </c:pt>
                <c:pt idx="8">
                  <c:v>278</c:v>
                </c:pt>
                <c:pt idx="9">
                  <c:v>64.400000000000006</c:v>
                </c:pt>
                <c:pt idx="10">
                  <c:v>76.599999999999994</c:v>
                </c:pt>
                <c:pt idx="11">
                  <c:v>58.6</c:v>
                </c:pt>
                <c:pt idx="12">
                  <c:v>55.2</c:v>
                </c:pt>
                <c:pt idx="13">
                  <c:v>254.8</c:v>
                </c:pt>
                <c:pt idx="14">
                  <c:v>64.8</c:v>
                </c:pt>
                <c:pt idx="15">
                  <c:v>73.600000000000009</c:v>
                </c:pt>
                <c:pt idx="16">
                  <c:v>71.8</c:v>
                </c:pt>
                <c:pt idx="17">
                  <c:v>75.8</c:v>
                </c:pt>
                <c:pt idx="18">
                  <c:v>286</c:v>
                </c:pt>
                <c:pt idx="19">
                  <c:v>63.8</c:v>
                </c:pt>
                <c:pt idx="20">
                  <c:v>52.6</c:v>
                </c:pt>
                <c:pt idx="21">
                  <c:v>75.599999999999994</c:v>
                </c:pt>
                <c:pt idx="22">
                  <c:v>192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22168960"/>
        <c:axId val="235594112"/>
        <c:axId val="0"/>
      </c:bar3DChart>
      <c:catAx>
        <c:axId val="222168960"/>
        <c:scaling>
          <c:orientation val="minMax"/>
        </c:scaling>
        <c:delete val="0"/>
        <c:axPos val="b"/>
        <c:majorTickMark val="out"/>
        <c:minorTickMark val="none"/>
        <c:tickLblPos val="nextTo"/>
        <c:crossAx val="235594112"/>
        <c:crosses val="autoZero"/>
        <c:auto val="1"/>
        <c:lblAlgn val="ctr"/>
        <c:lblOffset val="100"/>
        <c:noMultiLvlLbl val="0"/>
      </c:catAx>
      <c:valAx>
        <c:axId val="2355941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22168960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8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552450</xdr:colOff>
      <xdr:row>9</xdr:row>
      <xdr:rowOff>171450</xdr:rowOff>
    </xdr:from>
    <xdr:to>
      <xdr:col>14</xdr:col>
      <xdr:colOff>247650</xdr:colOff>
      <xdr:row>25</xdr:row>
      <xdr:rowOff>110490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tabSelected="1" topLeftCell="A7" workbookViewId="0">
      <selection activeCell="H7" sqref="H7"/>
    </sheetView>
  </sheetViews>
  <sheetFormatPr defaultRowHeight="13.8" outlineLevelRow="2" x14ac:dyDescent="0.25"/>
  <cols>
    <col min="3" max="3" width="10.109375" customWidth="1"/>
    <col min="4" max="5" width="9.5546875" bestFit="1" customWidth="1"/>
  </cols>
  <sheetData>
    <row r="1" spans="1:6" ht="25.8" x14ac:dyDescent="0.4">
      <c r="A1" s="2" t="s">
        <v>30</v>
      </c>
      <c r="B1" s="2"/>
      <c r="C1" s="2"/>
      <c r="D1" s="2"/>
      <c r="E1" s="2"/>
      <c r="F1" s="2"/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0</v>
      </c>
    </row>
    <row r="3" spans="1:6" outlineLevel="2" x14ac:dyDescent="0.25">
      <c r="A3" t="s">
        <v>7</v>
      </c>
      <c r="B3">
        <v>992005</v>
      </c>
      <c r="C3" t="s">
        <v>19</v>
      </c>
      <c r="D3">
        <v>73</v>
      </c>
      <c r="E3">
        <v>18</v>
      </c>
      <c r="F3">
        <f>D3*0.8+E3*0.2</f>
        <v>62.000000000000007</v>
      </c>
    </row>
    <row r="4" spans="1:6" outlineLevel="2" x14ac:dyDescent="0.25">
      <c r="A4" t="s">
        <v>7</v>
      </c>
      <c r="B4">
        <v>992032</v>
      </c>
      <c r="C4" t="s">
        <v>13</v>
      </c>
      <c r="D4">
        <v>67</v>
      </c>
      <c r="E4">
        <v>17</v>
      </c>
      <c r="F4">
        <f>D4*0.8+E4*0.2</f>
        <v>57</v>
      </c>
    </row>
    <row r="5" spans="1:6" outlineLevel="2" x14ac:dyDescent="0.25">
      <c r="A5" t="s">
        <v>7</v>
      </c>
      <c r="B5">
        <v>993021</v>
      </c>
      <c r="C5" t="s">
        <v>18</v>
      </c>
      <c r="D5">
        <v>60</v>
      </c>
      <c r="E5">
        <v>14</v>
      </c>
      <c r="F5">
        <f>D5*0.8+E5*0.2</f>
        <v>50.8</v>
      </c>
    </row>
    <row r="6" spans="1:6" outlineLevel="1" x14ac:dyDescent="0.25">
      <c r="A6" s="1" t="s">
        <v>31</v>
      </c>
      <c r="F6">
        <f>SUBTOTAL(9,F3:F5)</f>
        <v>169.8</v>
      </c>
    </row>
    <row r="7" spans="1:6" outlineLevel="2" x14ac:dyDescent="0.25">
      <c r="A7" t="s">
        <v>9</v>
      </c>
      <c r="B7">
        <v>992014</v>
      </c>
      <c r="C7" t="s">
        <v>27</v>
      </c>
      <c r="D7">
        <v>78</v>
      </c>
      <c r="E7">
        <v>17</v>
      </c>
      <c r="F7">
        <f>D7*0.8+E7*0.2</f>
        <v>65.800000000000011</v>
      </c>
    </row>
    <row r="8" spans="1:6" outlineLevel="2" x14ac:dyDescent="0.25">
      <c r="A8" t="s">
        <v>9</v>
      </c>
      <c r="B8">
        <v>992022</v>
      </c>
      <c r="C8" t="s">
        <v>22</v>
      </c>
      <c r="D8">
        <v>72</v>
      </c>
      <c r="E8">
        <v>20</v>
      </c>
      <c r="F8">
        <f>D8*0.8+E8*0.2</f>
        <v>61.6</v>
      </c>
    </row>
    <row r="9" spans="1:6" outlineLevel="2" x14ac:dyDescent="0.25">
      <c r="A9" t="s">
        <v>9</v>
      </c>
      <c r="B9">
        <v>994027</v>
      </c>
      <c r="C9" t="s">
        <v>29</v>
      </c>
      <c r="D9">
        <v>93</v>
      </c>
      <c r="E9">
        <v>20</v>
      </c>
      <c r="F9">
        <f>D9*0.8+E9*0.2</f>
        <v>78.400000000000006</v>
      </c>
    </row>
    <row r="10" spans="1:6" outlineLevel="2" x14ac:dyDescent="0.25">
      <c r="A10" t="s">
        <v>9</v>
      </c>
      <c r="B10">
        <v>995034</v>
      </c>
      <c r="C10" t="s">
        <v>15</v>
      </c>
      <c r="D10">
        <v>86</v>
      </c>
      <c r="E10">
        <v>17</v>
      </c>
      <c r="F10">
        <f>D10*0.8+E10*0.2</f>
        <v>72.2</v>
      </c>
    </row>
    <row r="11" spans="1:6" outlineLevel="1" x14ac:dyDescent="0.25">
      <c r="A11" s="1" t="s">
        <v>32</v>
      </c>
      <c r="F11">
        <f>SUBTOTAL(9,F7:F10)</f>
        <v>278</v>
      </c>
    </row>
    <row r="12" spans="1:6" outlineLevel="2" x14ac:dyDescent="0.25">
      <c r="A12" t="s">
        <v>10</v>
      </c>
      <c r="B12">
        <v>991056</v>
      </c>
      <c r="C12" t="s">
        <v>17</v>
      </c>
      <c r="D12">
        <v>77</v>
      </c>
      <c r="E12">
        <v>14</v>
      </c>
      <c r="F12">
        <f>D12*0.8+E12*0.2</f>
        <v>64.400000000000006</v>
      </c>
    </row>
    <row r="13" spans="1:6" outlineLevel="2" x14ac:dyDescent="0.25">
      <c r="A13" t="s">
        <v>10</v>
      </c>
      <c r="B13">
        <v>993053</v>
      </c>
      <c r="C13" t="s">
        <v>28</v>
      </c>
      <c r="D13">
        <v>91</v>
      </c>
      <c r="E13">
        <v>19</v>
      </c>
      <c r="F13">
        <f>D13*0.8+E13*0.2</f>
        <v>76.599999999999994</v>
      </c>
    </row>
    <row r="14" spans="1:6" outlineLevel="2" x14ac:dyDescent="0.25">
      <c r="A14" t="s">
        <v>10</v>
      </c>
      <c r="B14">
        <v>994034</v>
      </c>
      <c r="C14" t="s">
        <v>23</v>
      </c>
      <c r="D14">
        <v>69</v>
      </c>
      <c r="E14">
        <v>17</v>
      </c>
      <c r="F14">
        <f>D14*0.8+E14*0.2</f>
        <v>58.6</v>
      </c>
    </row>
    <row r="15" spans="1:6" outlineLevel="2" x14ac:dyDescent="0.25">
      <c r="A15" t="s">
        <v>10</v>
      </c>
      <c r="B15">
        <v>994086</v>
      </c>
      <c r="C15" t="s">
        <v>26</v>
      </c>
      <c r="D15">
        <v>65</v>
      </c>
      <c r="E15">
        <v>16</v>
      </c>
      <c r="F15">
        <f>D15*0.8+E15*0.2</f>
        <v>55.2</v>
      </c>
    </row>
    <row r="16" spans="1:6" outlineLevel="1" x14ac:dyDescent="0.25">
      <c r="A16" s="1" t="s">
        <v>33</v>
      </c>
      <c r="F16">
        <f>SUBTOTAL(9,F12:F15)</f>
        <v>254.8</v>
      </c>
    </row>
    <row r="17" spans="1:6" outlineLevel="2" x14ac:dyDescent="0.25">
      <c r="A17" t="s">
        <v>6</v>
      </c>
      <c r="B17">
        <v>991021</v>
      </c>
      <c r="C17" t="s">
        <v>12</v>
      </c>
      <c r="D17">
        <v>77</v>
      </c>
      <c r="E17">
        <v>16</v>
      </c>
      <c r="F17">
        <f>D17*0.8+E17*0.2</f>
        <v>64.8</v>
      </c>
    </row>
    <row r="18" spans="1:6" outlineLevel="2" x14ac:dyDescent="0.25">
      <c r="A18" t="s">
        <v>6</v>
      </c>
      <c r="B18">
        <v>991025</v>
      </c>
      <c r="C18" t="s">
        <v>24</v>
      </c>
      <c r="D18">
        <v>89</v>
      </c>
      <c r="E18">
        <v>12</v>
      </c>
      <c r="F18">
        <f>D18*0.8+E18*0.2</f>
        <v>73.600000000000009</v>
      </c>
    </row>
    <row r="19" spans="1:6" outlineLevel="2" x14ac:dyDescent="0.25">
      <c r="A19" t="s">
        <v>6</v>
      </c>
      <c r="B19">
        <v>991062</v>
      </c>
      <c r="C19" t="s">
        <v>21</v>
      </c>
      <c r="D19">
        <v>85</v>
      </c>
      <c r="E19">
        <v>19</v>
      </c>
      <c r="F19">
        <f>D19*0.8+E19*0.2</f>
        <v>71.8</v>
      </c>
    </row>
    <row r="20" spans="1:6" outlineLevel="2" x14ac:dyDescent="0.25">
      <c r="A20" t="s">
        <v>6</v>
      </c>
      <c r="B20">
        <v>991076</v>
      </c>
      <c r="C20" t="s">
        <v>16</v>
      </c>
      <c r="D20">
        <v>91</v>
      </c>
      <c r="E20">
        <v>15</v>
      </c>
      <c r="F20">
        <f>D20*0.8+E20*0.2</f>
        <v>75.8</v>
      </c>
    </row>
    <row r="21" spans="1:6" outlineLevel="1" x14ac:dyDescent="0.25">
      <c r="A21" s="1" t="s">
        <v>34</v>
      </c>
      <c r="F21">
        <f>SUBTOTAL(9,F17:F20)</f>
        <v>286</v>
      </c>
    </row>
    <row r="22" spans="1:6" outlineLevel="2" x14ac:dyDescent="0.25">
      <c r="A22" t="s">
        <v>8</v>
      </c>
      <c r="B22">
        <v>993023</v>
      </c>
      <c r="C22" t="s">
        <v>14</v>
      </c>
      <c r="D22">
        <v>75</v>
      </c>
      <c r="E22">
        <v>19</v>
      </c>
      <c r="F22">
        <f>D22*0.8+E22*0.2</f>
        <v>63.8</v>
      </c>
    </row>
    <row r="23" spans="1:6" outlineLevel="2" x14ac:dyDescent="0.25">
      <c r="A23" t="s">
        <v>11</v>
      </c>
      <c r="B23">
        <v>993026</v>
      </c>
      <c r="C23" t="s">
        <v>25</v>
      </c>
      <c r="D23">
        <v>62</v>
      </c>
      <c r="E23">
        <v>15</v>
      </c>
      <c r="F23">
        <f>D23*0.8+E23*0.2</f>
        <v>52.6</v>
      </c>
    </row>
    <row r="24" spans="1:6" outlineLevel="2" x14ac:dyDescent="0.25">
      <c r="A24" t="s">
        <v>11</v>
      </c>
      <c r="B24">
        <v>993082</v>
      </c>
      <c r="C24" t="s">
        <v>20</v>
      </c>
      <c r="D24">
        <v>90</v>
      </c>
      <c r="E24">
        <v>18</v>
      </c>
      <c r="F24">
        <f>D24*0.8+E24*0.2</f>
        <v>75.599999999999994</v>
      </c>
    </row>
    <row r="25" spans="1:6" outlineLevel="1" x14ac:dyDescent="0.25">
      <c r="A25" s="1" t="s">
        <v>35</v>
      </c>
      <c r="F25">
        <f>SUBTOTAL(9,F22:F24)</f>
        <v>192</v>
      </c>
    </row>
    <row r="26" spans="1:6" x14ac:dyDescent="0.25">
      <c r="A26" s="1" t="s">
        <v>36</v>
      </c>
      <c r="F26">
        <f>SUBTOTAL(9,F3:F24)</f>
        <v>1180.5999999999999</v>
      </c>
    </row>
  </sheetData>
  <sortState ref="A3:F20">
    <sortCondition ref="A3:A20"/>
    <sortCondition ref="B3:B20"/>
  </sortState>
  <mergeCells count="1">
    <mergeCell ref="A1:F1"/>
  </mergeCells>
  <phoneticPr fontId="1" type="noConversion"/>
  <conditionalFormatting sqref="F3:F26">
    <cfRule type="cellIs" dxfId="0" priority="1" operator="lessThan">
      <formula>60</formula>
    </cfRule>
  </conditionalFormatting>
  <pageMargins left="0.7" right="0.7" top="0.75" bottom="0.75" header="0.3" footer="0.3"/>
  <pageSetup paperSize="8" orientation="landscape" horizontalDpi="100" verticalDpi="1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2021-04-23T06:06:45Z</dcterms:modified>
</cp:coreProperties>
</file>
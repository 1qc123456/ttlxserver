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4700" windowHeight="7680"/>
  </bookViews>
  <sheets>
    <sheet name="工作表1" sheetId="1" r:id="rId1"/>
  </sheets>
  <calcPr calcId="144525"/>
</workbook>
</file>

<file path=xl/calcChain.xml><?xml version="1.0" encoding="utf-8"?>
<calcChain xmlns="http://schemas.openxmlformats.org/spreadsheetml/2006/main">
  <c r="K15" i="1" l="1"/>
  <c r="L15" i="1"/>
  <c r="M15" i="1"/>
  <c r="J15" i="1"/>
  <c r="A23" i="1"/>
  <c r="D20" i="1"/>
</calcChain>
</file>

<file path=xl/sharedStrings.xml><?xml version="1.0" encoding="utf-8"?>
<sst xmlns="http://schemas.openxmlformats.org/spreadsheetml/2006/main" count="83" uniqueCount="54">
  <si>
    <t>姓名</t>
  </si>
  <si>
    <t>编制</t>
  </si>
  <si>
    <t>职称</t>
  </si>
  <si>
    <t>干部</t>
  </si>
  <si>
    <t>助工</t>
  </si>
  <si>
    <t>临时工</t>
  </si>
  <si>
    <t>工人</t>
  </si>
  <si>
    <t>毛小峰</t>
  </si>
  <si>
    <t>合同工</t>
  </si>
  <si>
    <t>工程师</t>
  </si>
  <si>
    <t>郭小峰</t>
  </si>
  <si>
    <t>何进</t>
  </si>
  <si>
    <t>正式工</t>
  </si>
  <si>
    <t>陈云竹</t>
  </si>
  <si>
    <t>高工</t>
  </si>
  <si>
    <t>张小云</t>
  </si>
  <si>
    <t>陈良</t>
  </si>
  <si>
    <t>朱宇强</t>
  </si>
  <si>
    <t>陈水君</t>
  </si>
  <si>
    <t>段志强</t>
  </si>
  <si>
    <t>张雷</t>
  </si>
  <si>
    <t>数学</t>
  </si>
  <si>
    <t>英语</t>
  </si>
  <si>
    <t>物理</t>
  </si>
  <si>
    <t>汪达</t>
  </si>
  <si>
    <t>霍倜仁</t>
  </si>
  <si>
    <t>李挚邦</t>
  </si>
  <si>
    <t>周胄</t>
  </si>
  <si>
    <t>赵安顺</t>
  </si>
  <si>
    <t>钱铭</t>
  </si>
  <si>
    <t>孙颐</t>
  </si>
  <si>
    <t>李利</t>
  </si>
  <si>
    <t>专业</t>
  </si>
  <si>
    <t>计算机</t>
  </si>
  <si>
    <t>总分</t>
  </si>
  <si>
    <t>文秘</t>
  </si>
  <si>
    <t>财会</t>
  </si>
  <si>
    <t>土木</t>
  </si>
  <si>
    <t>工造</t>
  </si>
  <si>
    <t>外贸</t>
  </si>
  <si>
    <t>金融</t>
  </si>
  <si>
    <t>工商</t>
  </si>
  <si>
    <t>王罡</t>
  </si>
  <si>
    <t>吴雨</t>
    <phoneticPr fontId="1" type="noConversion"/>
  </si>
  <si>
    <t>张三</t>
    <phoneticPr fontId="1" type="noConversion"/>
  </si>
  <si>
    <t>王靖文</t>
    <phoneticPr fontId="1" type="noConversion"/>
  </si>
  <si>
    <t>牛凯</t>
    <phoneticPr fontId="1" type="noConversion"/>
  </si>
  <si>
    <t>于男男</t>
    <phoneticPr fontId="1" type="noConversion"/>
  </si>
  <si>
    <t>王岳</t>
    <phoneticPr fontId="1" type="noConversion"/>
  </si>
  <si>
    <t>王磊磊</t>
    <phoneticPr fontId="1" type="noConversion"/>
  </si>
  <si>
    <t xml:space="preserve">工资 </t>
    <phoneticPr fontId="1" type="noConversion"/>
  </si>
  <si>
    <t>平均分</t>
    <phoneticPr fontId="1" type="noConversion"/>
  </si>
  <si>
    <t>工资表</t>
    <phoneticPr fontId="1" type="noConversion"/>
  </si>
  <si>
    <t>最高工资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</si>
</sst>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得分情况</a:t>
            </a:r>
            <a:endParaRPr lang="en-US" altLang="zh-CN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总分</c:v>
          </c:tx>
          <c:invertIfNegative val="0"/>
          <c:cat>
            <c:strRef>
              <c:f>工作表1!$H$6:$H$14</c:f>
              <c:strCache>
                <c:ptCount val="9"/>
                <c:pt idx="0">
                  <c:v>汪达</c:v>
                </c:pt>
                <c:pt idx="1">
                  <c:v>霍倜仁</c:v>
                </c:pt>
                <c:pt idx="2">
                  <c:v>李挚邦</c:v>
                </c:pt>
                <c:pt idx="3">
                  <c:v>周胄</c:v>
                </c:pt>
                <c:pt idx="4">
                  <c:v>赵安顺</c:v>
                </c:pt>
                <c:pt idx="5">
                  <c:v>钱铭</c:v>
                </c:pt>
                <c:pt idx="6">
                  <c:v>孙颐</c:v>
                </c:pt>
                <c:pt idx="7">
                  <c:v>李利</c:v>
                </c:pt>
                <c:pt idx="8">
                  <c:v>王罡</c:v>
                </c:pt>
              </c:strCache>
            </c:strRef>
          </c:cat>
          <c:val>
            <c:numRef>
              <c:f>工作表1!$N$6:$N$14</c:f>
              <c:numCache>
                <c:formatCode>General</c:formatCode>
                <c:ptCount val="9"/>
                <c:pt idx="0">
                  <c:v>266</c:v>
                </c:pt>
                <c:pt idx="1">
                  <c:v>293</c:v>
                </c:pt>
                <c:pt idx="2">
                  <c:v>287</c:v>
                </c:pt>
                <c:pt idx="3">
                  <c:v>326</c:v>
                </c:pt>
                <c:pt idx="4">
                  <c:v>290</c:v>
                </c:pt>
                <c:pt idx="5">
                  <c:v>328</c:v>
                </c:pt>
                <c:pt idx="6">
                  <c:v>234</c:v>
                </c:pt>
                <c:pt idx="7">
                  <c:v>271</c:v>
                </c:pt>
                <c:pt idx="8">
                  <c:v>341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095616"/>
        <c:axId val="214233088"/>
        <c:axId val="0"/>
      </c:bar3DChart>
      <c:catAx>
        <c:axId val="200095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14233088"/>
        <c:crosses val="autoZero"/>
        <c:auto val="1"/>
        <c:lblAlgn val="ctr"/>
        <c:lblOffset val="100"/>
        <c:noMultiLvlLbl val="0"/>
      </c:catAx>
      <c:valAx>
        <c:axId val="21423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09561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252412</xdr:colOff>
      <xdr:row>17</xdr:row>
      <xdr:rowOff>57150</xdr:rowOff>
    </xdr:from>
    <xdr:to>
      <xdr:col>14</xdr:col>
      <xdr:colOff>23812</xdr:colOff>
      <xdr:row>33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topLeftCell="A3" workbookViewId="0">
      <selection activeCell="R19" sqref="R19"/>
    </sheetView>
  </sheetViews>
  <sheetFormatPr defaultRowHeight="13.5" x14ac:dyDescent="0.15"/>
  <sheetData>
    <row r="1" spans="1:14" ht="25.5" x14ac:dyDescent="0.15">
      <c r="A1" s="4" t="s">
        <v>52</v>
      </c>
      <c r="B1" s="4"/>
      <c r="C1" s="4"/>
      <c r="D1" s="4"/>
    </row>
    <row r="2" spans="1:14" x14ac:dyDescent="0.15">
      <c r="A2" s="1" t="s">
        <v>0</v>
      </c>
      <c r="B2" s="1" t="s">
        <v>1</v>
      </c>
      <c r="C2" s="1" t="s">
        <v>2</v>
      </c>
      <c r="D2" s="1" t="s">
        <v>50</v>
      </c>
    </row>
    <row r="3" spans="1:14" x14ac:dyDescent="0.15">
      <c r="A3" s="1" t="s">
        <v>44</v>
      </c>
      <c r="B3" s="1" t="s">
        <v>5</v>
      </c>
      <c r="C3" s="1" t="s">
        <v>6</v>
      </c>
      <c r="D3" s="1">
        <v>200.72</v>
      </c>
    </row>
    <row r="4" spans="1:14" x14ac:dyDescent="0.15">
      <c r="A4" s="1" t="s">
        <v>10</v>
      </c>
      <c r="B4" s="1" t="s">
        <v>5</v>
      </c>
      <c r="C4" s="1" t="s">
        <v>6</v>
      </c>
      <c r="D4" s="1">
        <v>207.5</v>
      </c>
    </row>
    <row r="5" spans="1:14" x14ac:dyDescent="0.15">
      <c r="A5" s="1" t="s">
        <v>13</v>
      </c>
      <c r="B5" s="1" t="s">
        <v>8</v>
      </c>
      <c r="C5" s="1" t="s">
        <v>6</v>
      </c>
      <c r="D5" s="1">
        <v>234.55</v>
      </c>
      <c r="H5" t="s">
        <v>0</v>
      </c>
      <c r="I5" t="s">
        <v>32</v>
      </c>
      <c r="J5" t="s">
        <v>21</v>
      </c>
      <c r="K5" t="s">
        <v>23</v>
      </c>
      <c r="L5" t="s">
        <v>22</v>
      </c>
      <c r="M5" t="s">
        <v>33</v>
      </c>
      <c r="N5" t="s">
        <v>34</v>
      </c>
    </row>
    <row r="6" spans="1:14" x14ac:dyDescent="0.15">
      <c r="A6" s="1" t="s">
        <v>43</v>
      </c>
      <c r="B6" s="1" t="s">
        <v>3</v>
      </c>
      <c r="C6" s="1" t="s">
        <v>14</v>
      </c>
      <c r="D6" s="1">
        <v>249.19</v>
      </c>
      <c r="H6" t="s">
        <v>24</v>
      </c>
      <c r="I6" t="s">
        <v>35</v>
      </c>
      <c r="J6">
        <v>65</v>
      </c>
      <c r="K6">
        <v>50</v>
      </c>
      <c r="L6">
        <v>72</v>
      </c>
      <c r="M6">
        <v>79</v>
      </c>
      <c r="N6">
        <v>266</v>
      </c>
    </row>
    <row r="7" spans="1:14" x14ac:dyDescent="0.15">
      <c r="A7" s="1" t="s">
        <v>48</v>
      </c>
      <c r="B7" s="1" t="s">
        <v>12</v>
      </c>
      <c r="C7" s="1" t="s">
        <v>9</v>
      </c>
      <c r="D7" s="1">
        <v>299.88</v>
      </c>
      <c r="H7" t="s">
        <v>25</v>
      </c>
      <c r="I7" t="s">
        <v>36</v>
      </c>
      <c r="J7">
        <v>89</v>
      </c>
      <c r="K7">
        <v>61</v>
      </c>
      <c r="L7">
        <v>61</v>
      </c>
      <c r="M7">
        <v>82</v>
      </c>
      <c r="N7">
        <v>293</v>
      </c>
    </row>
    <row r="8" spans="1:14" x14ac:dyDescent="0.15">
      <c r="A8" s="1" t="s">
        <v>49</v>
      </c>
      <c r="B8" s="1" t="s">
        <v>3</v>
      </c>
      <c r="C8" s="1" t="s">
        <v>9</v>
      </c>
      <c r="D8" s="1">
        <v>300.12</v>
      </c>
      <c r="H8" t="s">
        <v>26</v>
      </c>
      <c r="I8" t="s">
        <v>37</v>
      </c>
      <c r="J8">
        <v>65</v>
      </c>
      <c r="K8">
        <v>88</v>
      </c>
      <c r="L8">
        <v>53</v>
      </c>
      <c r="M8">
        <v>81</v>
      </c>
      <c r="N8">
        <v>287</v>
      </c>
    </row>
    <row r="9" spans="1:14" x14ac:dyDescent="0.15">
      <c r="A9" s="1" t="s">
        <v>19</v>
      </c>
      <c r="B9" s="1" t="s">
        <v>8</v>
      </c>
      <c r="C9" s="1" t="s">
        <v>4</v>
      </c>
      <c r="D9" s="1">
        <v>300.5</v>
      </c>
      <c r="H9" t="s">
        <v>27</v>
      </c>
      <c r="I9" t="s">
        <v>38</v>
      </c>
      <c r="J9">
        <v>72</v>
      </c>
      <c r="K9">
        <v>84</v>
      </c>
      <c r="L9">
        <v>86</v>
      </c>
      <c r="M9">
        <v>84</v>
      </c>
      <c r="N9">
        <v>326</v>
      </c>
    </row>
    <row r="10" spans="1:14" x14ac:dyDescent="0.15">
      <c r="A10" s="1" t="s">
        <v>15</v>
      </c>
      <c r="B10" s="1" t="s">
        <v>12</v>
      </c>
      <c r="C10" s="1" t="s">
        <v>6</v>
      </c>
      <c r="D10" s="1">
        <v>300.95</v>
      </c>
      <c r="H10" t="s">
        <v>28</v>
      </c>
      <c r="I10" t="s">
        <v>39</v>
      </c>
      <c r="J10">
        <v>66</v>
      </c>
      <c r="K10">
        <v>58</v>
      </c>
      <c r="L10">
        <v>91</v>
      </c>
      <c r="M10">
        <v>75</v>
      </c>
      <c r="N10">
        <v>290</v>
      </c>
    </row>
    <row r="11" spans="1:14" x14ac:dyDescent="0.15">
      <c r="A11" s="1" t="s">
        <v>20</v>
      </c>
      <c r="B11" s="1" t="s">
        <v>5</v>
      </c>
      <c r="C11" s="1" t="s">
        <v>6</v>
      </c>
      <c r="D11" s="1">
        <v>312.51</v>
      </c>
      <c r="H11" t="s">
        <v>29</v>
      </c>
      <c r="I11" t="s">
        <v>40</v>
      </c>
      <c r="J11">
        <v>82</v>
      </c>
      <c r="K11">
        <v>75</v>
      </c>
      <c r="L11">
        <v>81</v>
      </c>
      <c r="M11">
        <v>90</v>
      </c>
      <c r="N11">
        <v>328</v>
      </c>
    </row>
    <row r="12" spans="1:14" x14ac:dyDescent="0.15">
      <c r="A12" s="1" t="s">
        <v>18</v>
      </c>
      <c r="B12" s="1" t="s">
        <v>5</v>
      </c>
      <c r="C12" s="1" t="s">
        <v>6</v>
      </c>
      <c r="D12" s="1">
        <v>345.65</v>
      </c>
      <c r="H12" t="s">
        <v>30</v>
      </c>
      <c r="I12" t="s">
        <v>41</v>
      </c>
      <c r="J12">
        <v>81</v>
      </c>
      <c r="K12">
        <v>46</v>
      </c>
      <c r="L12">
        <v>65</v>
      </c>
      <c r="M12">
        <v>42</v>
      </c>
      <c r="N12">
        <v>234</v>
      </c>
    </row>
    <row r="13" spans="1:14" x14ac:dyDescent="0.15">
      <c r="A13" s="1" t="s">
        <v>45</v>
      </c>
      <c r="B13" s="1" t="s">
        <v>3</v>
      </c>
      <c r="C13" s="1" t="s">
        <v>9</v>
      </c>
      <c r="D13" s="1">
        <v>395.65</v>
      </c>
      <c r="H13" t="s">
        <v>31</v>
      </c>
      <c r="I13" t="s">
        <v>35</v>
      </c>
      <c r="J13">
        <v>85</v>
      </c>
      <c r="K13">
        <v>64</v>
      </c>
      <c r="L13">
        <v>58</v>
      </c>
      <c r="M13">
        <v>64</v>
      </c>
      <c r="N13">
        <v>271</v>
      </c>
    </row>
    <row r="14" spans="1:14" x14ac:dyDescent="0.15">
      <c r="A14" s="1" t="s">
        <v>16</v>
      </c>
      <c r="B14" s="1" t="s">
        <v>5</v>
      </c>
      <c r="C14" s="1" t="s">
        <v>9</v>
      </c>
      <c r="D14" s="1">
        <v>395.97</v>
      </c>
      <c r="H14" t="s">
        <v>42</v>
      </c>
      <c r="I14" t="s">
        <v>36</v>
      </c>
      <c r="J14">
        <v>99</v>
      </c>
      <c r="K14">
        <v>76</v>
      </c>
      <c r="L14">
        <v>81</v>
      </c>
      <c r="M14">
        <v>85</v>
      </c>
      <c r="N14">
        <v>341</v>
      </c>
    </row>
    <row r="15" spans="1:14" x14ac:dyDescent="0.15">
      <c r="A15" s="1" t="s">
        <v>47</v>
      </c>
      <c r="B15" s="1" t="s">
        <v>3</v>
      </c>
      <c r="C15" s="1" t="s">
        <v>9</v>
      </c>
      <c r="D15" s="1">
        <v>401.88</v>
      </c>
      <c r="H15" t="s">
        <v>51</v>
      </c>
      <c r="J15" s="3">
        <f>AVERAGE(J6:J14)</f>
        <v>78.222222222222229</v>
      </c>
      <c r="K15" s="3">
        <f t="shared" ref="K15:M15" si="0">AVERAGE(K6:K14)</f>
        <v>66.888888888888886</v>
      </c>
      <c r="L15" s="3">
        <f t="shared" si="0"/>
        <v>72</v>
      </c>
      <c r="M15" s="3">
        <f t="shared" si="0"/>
        <v>75.777777777777771</v>
      </c>
    </row>
    <row r="16" spans="1:14" x14ac:dyDescent="0.15">
      <c r="A16" s="1" t="s">
        <v>11</v>
      </c>
      <c r="B16" s="1" t="s">
        <v>12</v>
      </c>
      <c r="C16" s="1" t="s">
        <v>4</v>
      </c>
      <c r="D16" s="1">
        <v>435.66</v>
      </c>
    </row>
    <row r="17" spans="1:4" x14ac:dyDescent="0.15">
      <c r="A17" s="1" t="s">
        <v>46</v>
      </c>
      <c r="B17" s="1" t="s">
        <v>3</v>
      </c>
      <c r="C17" s="1" t="s">
        <v>9</v>
      </c>
      <c r="D17" s="1">
        <v>565.75</v>
      </c>
    </row>
    <row r="18" spans="1:4" x14ac:dyDescent="0.15">
      <c r="A18" s="1" t="s">
        <v>7</v>
      </c>
      <c r="B18" s="1" t="s">
        <v>8</v>
      </c>
      <c r="C18" s="1" t="s">
        <v>6</v>
      </c>
      <c r="D18" s="1">
        <v>608.88</v>
      </c>
    </row>
    <row r="19" spans="1:4" x14ac:dyDescent="0.15">
      <c r="A19" s="1" t="s">
        <v>17</v>
      </c>
      <c r="B19" s="1" t="s">
        <v>8</v>
      </c>
      <c r="C19" s="1" t="s">
        <v>4</v>
      </c>
      <c r="D19" s="1">
        <v>657.54</v>
      </c>
    </row>
    <row r="20" spans="1:4" x14ac:dyDescent="0.15">
      <c r="C20" s="2" t="s">
        <v>53</v>
      </c>
      <c r="D20" s="2">
        <f>MAX(D3:D19)</f>
        <v>657.54</v>
      </c>
    </row>
    <row r="23" spans="1:4" x14ac:dyDescent="0.15">
      <c r="A23">
        <f>SUMIF(C3:C19,"工人",D3:D19)</f>
        <v>2210.7600000000002</v>
      </c>
    </row>
  </sheetData>
  <sortState ref="A3:D19">
    <sortCondition ref="D2"/>
  </sortState>
  <mergeCells count="1">
    <mergeCell ref="A1:D1"/>
  </mergeCells>
  <phoneticPr fontId="1" type="noConversion"/>
  <conditionalFormatting sqref="J6:M14">
    <cfRule type="cellIs" dxfId="2" priority="2" operator="greaterThan">
      <formula>85</formula>
    </cfRule>
    <cfRule type="cellIs" dxfId="1" priority="1" operator="greaterThanOrEqual">
      <formula>85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86133</cp:lastModifiedBy>
  <dcterms:created xsi:type="dcterms:W3CDTF">2011-11-04T01:54:18Z</dcterms:created>
  <dcterms:modified xsi:type="dcterms:W3CDTF">2021-11-16T10:02:16Z</dcterms:modified>
</cp:coreProperties>
</file>
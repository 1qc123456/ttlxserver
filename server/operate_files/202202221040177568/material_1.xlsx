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3"/>
  </bookViews>
  <sheets>
    <sheet name="Sheet1" sheetId="1" r:id="rId1"/>
    <sheet name="Sheet2" sheetId="2" r:id="rId2"/>
    <sheet name="图表" sheetId="3" r:id="rId3"/>
    <sheet name="Sheet3" sheetId="4" r:id="rId4"/>
  </sheets>
  <definedNames>
    <definedName name="_xlnm._FilterDatabase" localSheetId="1" hidden="1">Sheet2!$G$1:$G$32</definedName>
    <definedName name="_xlnm._FilterDatabase" localSheetId="3" hidden="1">Sheet3!$C$1:$C$33</definedName>
  </definedNames>
  <calcPr calcId="144525"/>
</workbook>
</file>

<file path=xl/calcChain.xml><?xml version="1.0" encoding="utf-8"?>
<calcChain xmlns="http://schemas.openxmlformats.org/spreadsheetml/2006/main">
  <c r="H35" i="4" l="1"/>
  <c r="H34" i="4"/>
  <c r="H19" i="4"/>
  <c r="I32" i="2" l="1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I8" i="1" l="1"/>
  <c r="I22" i="1"/>
  <c r="I12" i="1"/>
  <c r="I25" i="1"/>
  <c r="I4" i="1"/>
  <c r="I29" i="1"/>
  <c r="I3" i="1"/>
  <c r="I11" i="1"/>
  <c r="I7" i="1"/>
  <c r="I16" i="1"/>
  <c r="I19" i="1"/>
  <c r="I31" i="1"/>
  <c r="I23" i="1"/>
  <c r="I10" i="1"/>
  <c r="I33" i="1"/>
  <c r="I30" i="1"/>
  <c r="I24" i="1"/>
  <c r="I20" i="1"/>
  <c r="I17" i="1"/>
  <c r="I26" i="1"/>
  <c r="I14" i="1"/>
  <c r="I5" i="1"/>
  <c r="I27" i="1"/>
  <c r="I15" i="1"/>
  <c r="I18" i="1"/>
  <c r="I13" i="1"/>
  <c r="I28" i="1"/>
  <c r="I21" i="1"/>
  <c r="I9" i="1"/>
  <c r="I32" i="1"/>
  <c r="I6" i="1"/>
  <c r="H8" i="1"/>
  <c r="H22" i="1"/>
  <c r="H12" i="1"/>
  <c r="H25" i="1"/>
  <c r="H4" i="1"/>
  <c r="H29" i="1"/>
  <c r="H3" i="1"/>
  <c r="H11" i="1"/>
  <c r="H7" i="1"/>
  <c r="H16" i="1"/>
  <c r="H19" i="1"/>
  <c r="H31" i="1"/>
  <c r="H23" i="1"/>
  <c r="H10" i="1"/>
  <c r="H33" i="1"/>
  <c r="H30" i="1"/>
  <c r="H24" i="1"/>
  <c r="H20" i="1"/>
  <c r="H17" i="1"/>
  <c r="H26" i="1"/>
  <c r="H14" i="1"/>
  <c r="H5" i="1"/>
  <c r="H27" i="1"/>
  <c r="H15" i="1"/>
  <c r="H18" i="1"/>
  <c r="H13" i="1"/>
  <c r="H28" i="1"/>
  <c r="H21" i="1"/>
  <c r="H9" i="1"/>
  <c r="H32" i="1"/>
  <c r="H6" i="1"/>
</calcChain>
</file>

<file path=xl/sharedStrings.xml><?xml version="1.0" encoding="utf-8"?>
<sst xmlns="http://schemas.openxmlformats.org/spreadsheetml/2006/main" count="217" uniqueCount="59">
  <si>
    <t>学号</t>
    <phoneticPr fontId="1" type="noConversion"/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</si>
  <si>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</si>
  <si>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</si>
  <si>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</si>
  <si>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</si>
  <si>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</si>
  <si>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计算机</t>
    <phoneticPr fontId="1" type="noConversion"/>
  </si>
  <si>
    <t>总分</t>
    <phoneticPr fontId="1" type="noConversion"/>
  </si>
  <si>
    <t>平均分</t>
    <phoneticPr fontId="1" type="noConversion"/>
  </si>
  <si>
    <t>家小凝</t>
  </si>
  <si>
    <t>伊宛畅</t>
  </si>
  <si>
    <t>敖燕星</t>
  </si>
  <si>
    <t>幸平心</t>
  </si>
  <si>
    <t>瞿悦可</t>
  </si>
  <si>
    <t>贡念桃</t>
  </si>
  <si>
    <t>程春绿</t>
  </si>
  <si>
    <t>公芷秀</t>
  </si>
  <si>
    <t>龚偌丝</t>
  </si>
  <si>
    <t>宋贞婉</t>
  </si>
  <si>
    <t>沈云霞</t>
  </si>
  <si>
    <t>浦俨雅</t>
  </si>
  <si>
    <t>权恬欣</t>
  </si>
  <si>
    <t>富梓玥</t>
  </si>
  <si>
    <t>毋代荷</t>
  </si>
  <si>
    <t>康津童</t>
  </si>
  <si>
    <t>蒲琰琬</t>
  </si>
  <si>
    <t>贡笑白</t>
  </si>
  <si>
    <t>顾云水</t>
  </si>
  <si>
    <t>尹瑾瑶</t>
  </si>
  <si>
    <t>曹雪芬</t>
  </si>
  <si>
    <t>宋文漪</t>
  </si>
  <si>
    <t>杜志文</t>
  </si>
  <si>
    <t>袁新立</t>
  </si>
  <si>
    <t>钟成业</t>
  </si>
  <si>
    <t>赵晓巧</t>
  </si>
  <si>
    <t>袁芮雅</t>
  </si>
  <si>
    <t>曾逸仙</t>
  </si>
  <si>
    <t>杨俊郎</t>
  </si>
  <si>
    <t>顾雨星</t>
  </si>
  <si>
    <t>女</t>
    <phoneticPr fontId="1" type="noConversion"/>
  </si>
  <si>
    <t>男</t>
    <phoneticPr fontId="1" type="noConversion"/>
  </si>
  <si>
    <t>封铭朗</t>
    <phoneticPr fontId="1" type="noConversion"/>
  </si>
  <si>
    <t>5班期末成绩表</t>
  </si>
  <si>
    <t>钟成业</t>
    <phoneticPr fontId="1" type="noConversion"/>
  </si>
  <si>
    <t>学号</t>
  </si>
  <si>
    <t>姓名</t>
  </si>
  <si>
    <t>性别</t>
  </si>
  <si>
    <t>语文</t>
  </si>
  <si>
    <t>数学</t>
  </si>
  <si>
    <t>英语</t>
  </si>
  <si>
    <t>计算机</t>
  </si>
  <si>
    <t>总分</t>
  </si>
  <si>
    <t>平均分</t>
  </si>
  <si>
    <t>女</t>
  </si>
  <si>
    <t>男</t>
  </si>
  <si>
    <t>封铭朗</t>
  </si>
  <si>
    <t>女 平均值</t>
  </si>
  <si>
    <t>男 平均值</t>
  </si>
  <si>
    <t>总计平均值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</si>
</sst>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30"/>
      <color rgb="FF002060"/>
      <name val="华文行楷"/>
      <family val="3"/>
      <charset val="134"/>
    </font>
    <font>
      <sz val="15"/>
      <color theme="1"/>
      <name val="黑体"/>
      <family val="3"/>
      <charset val="134"/>
    </font>
    <font>
      <b/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rgb="FF002060"/>
      </left>
      <right style="thin">
        <color rgb="FF0070C0"/>
      </right>
      <top style="thick">
        <color rgb="FF00206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ck">
        <color rgb="FF00206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ck">
        <color rgb="FF00206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n">
        <color rgb="FF0070C0"/>
      </bottom>
      <diagonal/>
    </border>
    <border>
      <left style="thick">
        <color rgb="FF00206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ck">
        <color rgb="FF002060"/>
      </bottom>
      <diagonal/>
    </border>
    <border>
      <left style="thin">
        <color rgb="FF0070C0"/>
      </left>
      <right style="thick">
        <color rgb="FF002060"/>
      </right>
      <top style="thin">
        <color rgb="FF0070C0"/>
      </top>
      <bottom style="thick">
        <color rgb="FF00206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176" fontId="3" fillId="0" borderId="9" xfId="0" applyNumberFormat="1" applyFont="1" applyBorder="1" applyAlignment="1">
      <alignment horizontal="center" vertical="center"/>
    </xf>
    <xf numFmtId="176" fontId="0" fillId="0" borderId="0" xfId="0" applyNumberFormat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FF0000"/>
      </font>
      <fill>
        <patternFill>
          <bgColor rgb="FF00B0F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数学对比图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</c:f>
              <c:strCache>
                <c:ptCount val="1"/>
                <c:pt idx="0">
                  <c:v>数学</c:v>
                </c:pt>
              </c:strCache>
            </c:strRef>
          </c:tx>
          <c:invertIfNegative val="0"/>
          <c:cat>
            <c:strRef>
              <c:f>Sheet2!$B$2:$B$14</c:f>
              <c:strCache>
                <c:ptCount val="8"/>
                <c:pt idx="0">
                  <c:v>公芷秀</c:v>
                </c:pt>
                <c:pt idx="1">
                  <c:v>贡念桃</c:v>
                </c:pt>
                <c:pt idx="2">
                  <c:v>宋文漪</c:v>
                </c:pt>
                <c:pt idx="3">
                  <c:v>毋代荷</c:v>
                </c:pt>
                <c:pt idx="4">
                  <c:v>龚偌丝</c:v>
                </c:pt>
                <c:pt idx="5">
                  <c:v>幸平心</c:v>
                </c:pt>
                <c:pt idx="6">
                  <c:v>曹雪芬</c:v>
                </c:pt>
                <c:pt idx="7">
                  <c:v>袁新立</c:v>
                </c:pt>
              </c:strCache>
            </c:strRef>
          </c:cat>
          <c:val>
            <c:numRef>
              <c:f>Sheet2!$E$2:$E$14</c:f>
              <c:numCache>
                <c:formatCode>General</c:formatCode>
                <c:ptCount val="8"/>
                <c:pt idx="0">
                  <c:v>112</c:v>
                </c:pt>
                <c:pt idx="1">
                  <c:v>92</c:v>
                </c:pt>
                <c:pt idx="2">
                  <c:v>96</c:v>
                </c:pt>
                <c:pt idx="3">
                  <c:v>85</c:v>
                </c:pt>
                <c:pt idx="4">
                  <c:v>84</c:v>
                </c:pt>
                <c:pt idx="5">
                  <c:v>84</c:v>
                </c:pt>
                <c:pt idx="6">
                  <c:v>89</c:v>
                </c:pt>
                <c:pt idx="7">
                  <c:v>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5686016"/>
        <c:axId val="325687936"/>
      </c:barChart>
      <c:catAx>
        <c:axId val="325686016"/>
        <c:scaling>
          <c:orientation val="minMax"/>
        </c:scaling>
        <c:delete val="0"/>
        <c:axPos val="b"/>
        <c:majorTickMark val="out"/>
        <c:minorTickMark val="none"/>
        <c:tickLblPos val="nextTo"/>
        <c:crossAx val="325687936"/>
        <c:crosses val="autoZero"/>
        <c:auto val="1"/>
        <c:lblAlgn val="ctr"/>
        <c:lblOffset val="100"/>
        <c:noMultiLvlLbl val="0"/>
      </c:catAx>
      <c:valAx>
        <c:axId val="32568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25686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500062</xdr:colOff>
      <xdr:row>2</xdr:row>
      <xdr:rowOff>123825</xdr:rowOff>
    </xdr:from>
    <xdr:to>
      <xdr:col>7</xdr:col>
      <xdr:colOff>271462</xdr:colOff>
      <xdr:row>18</xdr:row>
      <xdr:rowOff>123825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>
      <selection activeCell="A2" sqref="A2:I33"/>
    </sheetView>
  </sheetViews>
  <sheetFormatPr defaultRowHeight="13.5" x14ac:dyDescent="0.15"/>
  <cols>
    <col min="1" max="9" width="14.625" customWidth="1"/>
  </cols>
  <sheetData>
    <row r="1" spans="1:9" ht="40.5" thickBot="1" x14ac:dyDescent="0.7">
      <c r="A1" s="14" t="s">
        <v>42</v>
      </c>
      <c r="B1" s="14"/>
      <c r="C1" s="14"/>
      <c r="D1" s="14"/>
      <c r="E1" s="14"/>
      <c r="F1" s="14"/>
      <c r="G1" s="14"/>
      <c r="H1" s="14"/>
      <c r="I1" s="14"/>
    </row>
    <row r="2" spans="1:9" ht="20.25" thickTop="1" x14ac:dyDescent="0.1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</row>
    <row r="3" spans="1:9" ht="19.5" x14ac:dyDescent="0.15">
      <c r="A3" s="4">
        <v>20220508</v>
      </c>
      <c r="B3" s="5" t="s">
        <v>16</v>
      </c>
      <c r="C3" s="5" t="s">
        <v>39</v>
      </c>
      <c r="D3" s="5">
        <v>98</v>
      </c>
      <c r="E3" s="5">
        <v>112</v>
      </c>
      <c r="F3" s="5">
        <v>98</v>
      </c>
      <c r="G3" s="5">
        <v>95</v>
      </c>
      <c r="H3" s="8">
        <f t="shared" ref="H3:H33" si="0">SUM(D3:G3)</f>
        <v>403</v>
      </c>
      <c r="I3" s="9">
        <f t="shared" ref="I3:I33" si="1">AVERAGE(D3:G3)</f>
        <v>100.75</v>
      </c>
    </row>
    <row r="4" spans="1:9" ht="19.5" x14ac:dyDescent="0.15">
      <c r="A4" s="4">
        <v>20220506</v>
      </c>
      <c r="B4" s="5" t="s">
        <v>14</v>
      </c>
      <c r="C4" s="5" t="s">
        <v>40</v>
      </c>
      <c r="D4" s="5">
        <v>102</v>
      </c>
      <c r="E4" s="5">
        <v>92</v>
      </c>
      <c r="F4" s="5">
        <v>90</v>
      </c>
      <c r="G4" s="5">
        <v>112</v>
      </c>
      <c r="H4" s="8">
        <f t="shared" si="0"/>
        <v>396</v>
      </c>
      <c r="I4" s="9">
        <f t="shared" si="1"/>
        <v>99</v>
      </c>
    </row>
    <row r="5" spans="1:9" ht="19.5" x14ac:dyDescent="0.15">
      <c r="A5" s="4">
        <v>20220523</v>
      </c>
      <c r="B5" s="5" t="s">
        <v>30</v>
      </c>
      <c r="C5" s="5" t="s">
        <v>40</v>
      </c>
      <c r="D5" s="5">
        <v>84</v>
      </c>
      <c r="E5" s="5">
        <v>96</v>
      </c>
      <c r="F5" s="5">
        <v>112</v>
      </c>
      <c r="G5" s="5">
        <v>98</v>
      </c>
      <c r="H5" s="8">
        <f t="shared" si="0"/>
        <v>390</v>
      </c>
      <c r="I5" s="9">
        <f t="shared" si="1"/>
        <v>97.5</v>
      </c>
    </row>
    <row r="6" spans="1:9" ht="19.5" x14ac:dyDescent="0.15">
      <c r="A6" s="4">
        <v>20220501</v>
      </c>
      <c r="B6" s="5" t="s">
        <v>9</v>
      </c>
      <c r="C6" s="5" t="s">
        <v>39</v>
      </c>
      <c r="D6" s="5">
        <v>103</v>
      </c>
      <c r="E6" s="5">
        <v>105</v>
      </c>
      <c r="F6" s="5">
        <v>90</v>
      </c>
      <c r="G6" s="5">
        <v>86</v>
      </c>
      <c r="H6" s="8">
        <f t="shared" si="0"/>
        <v>384</v>
      </c>
      <c r="I6" s="9">
        <f t="shared" si="1"/>
        <v>96</v>
      </c>
    </row>
    <row r="7" spans="1:9" ht="19.5" x14ac:dyDescent="0.15">
      <c r="A7" s="4">
        <v>20220510</v>
      </c>
      <c r="B7" s="5" t="s">
        <v>18</v>
      </c>
      <c r="C7" s="5" t="s">
        <v>39</v>
      </c>
      <c r="D7" s="5">
        <v>96</v>
      </c>
      <c r="E7" s="5">
        <v>95</v>
      </c>
      <c r="F7" s="5">
        <v>90</v>
      </c>
      <c r="G7" s="5">
        <v>85</v>
      </c>
      <c r="H7" s="8">
        <f t="shared" si="0"/>
        <v>366</v>
      </c>
      <c r="I7" s="9">
        <f t="shared" si="1"/>
        <v>91.5</v>
      </c>
    </row>
    <row r="8" spans="1:9" ht="19.5" x14ac:dyDescent="0.15">
      <c r="A8" s="4">
        <v>20220502</v>
      </c>
      <c r="B8" s="5" t="s">
        <v>10</v>
      </c>
      <c r="C8" s="5" t="s">
        <v>39</v>
      </c>
      <c r="D8" s="5">
        <v>95</v>
      </c>
      <c r="E8" s="5">
        <v>98</v>
      </c>
      <c r="F8" s="5">
        <v>88</v>
      </c>
      <c r="G8" s="5">
        <v>84</v>
      </c>
      <c r="H8" s="8">
        <f t="shared" si="0"/>
        <v>365</v>
      </c>
      <c r="I8" s="9">
        <f t="shared" si="1"/>
        <v>91.25</v>
      </c>
    </row>
    <row r="9" spans="1:9" ht="19.5" x14ac:dyDescent="0.15">
      <c r="A9" s="4">
        <v>20220530</v>
      </c>
      <c r="B9" s="5" t="s">
        <v>37</v>
      </c>
      <c r="C9" s="5" t="s">
        <v>40</v>
      </c>
      <c r="D9" s="5">
        <v>94</v>
      </c>
      <c r="E9" s="5">
        <v>96</v>
      </c>
      <c r="F9" s="5">
        <v>85</v>
      </c>
      <c r="G9" s="5">
        <v>86</v>
      </c>
      <c r="H9" s="8">
        <f t="shared" si="0"/>
        <v>361</v>
      </c>
      <c r="I9" s="9">
        <f t="shared" si="1"/>
        <v>90.25</v>
      </c>
    </row>
    <row r="10" spans="1:9" ht="19.5" x14ac:dyDescent="0.15">
      <c r="A10" s="4">
        <v>20220515</v>
      </c>
      <c r="B10" s="5" t="s">
        <v>23</v>
      </c>
      <c r="C10" s="5" t="s">
        <v>40</v>
      </c>
      <c r="D10" s="5">
        <v>89</v>
      </c>
      <c r="E10" s="5">
        <v>85</v>
      </c>
      <c r="F10" s="5">
        <v>89</v>
      </c>
      <c r="G10" s="5">
        <v>96</v>
      </c>
      <c r="H10" s="8">
        <f t="shared" si="0"/>
        <v>359</v>
      </c>
      <c r="I10" s="9">
        <f t="shared" si="1"/>
        <v>89.75</v>
      </c>
    </row>
    <row r="11" spans="1:9" ht="19.5" x14ac:dyDescent="0.15">
      <c r="A11" s="4">
        <v>20220509</v>
      </c>
      <c r="B11" s="5" t="s">
        <v>17</v>
      </c>
      <c r="C11" s="5" t="s">
        <v>39</v>
      </c>
      <c r="D11" s="5">
        <v>89</v>
      </c>
      <c r="E11" s="5">
        <v>84</v>
      </c>
      <c r="F11" s="5">
        <v>80</v>
      </c>
      <c r="G11" s="5">
        <v>103</v>
      </c>
      <c r="H11" s="8">
        <f t="shared" si="0"/>
        <v>356</v>
      </c>
      <c r="I11" s="9">
        <f t="shared" si="1"/>
        <v>89</v>
      </c>
    </row>
    <row r="12" spans="1:9" ht="19.5" x14ac:dyDescent="0.15">
      <c r="A12" s="4">
        <v>20220504</v>
      </c>
      <c r="B12" s="5" t="s">
        <v>12</v>
      </c>
      <c r="C12" s="5" t="s">
        <v>40</v>
      </c>
      <c r="D12" s="5">
        <v>98</v>
      </c>
      <c r="E12" s="5">
        <v>84</v>
      </c>
      <c r="F12" s="5">
        <v>79</v>
      </c>
      <c r="G12" s="5">
        <v>92</v>
      </c>
      <c r="H12" s="8">
        <f t="shared" si="0"/>
        <v>353</v>
      </c>
      <c r="I12" s="9">
        <f t="shared" si="1"/>
        <v>88.25</v>
      </c>
    </row>
    <row r="13" spans="1:9" ht="19.5" x14ac:dyDescent="0.15">
      <c r="A13" s="4">
        <v>20220527</v>
      </c>
      <c r="B13" s="5" t="s">
        <v>34</v>
      </c>
      <c r="C13" s="5" t="s">
        <v>39</v>
      </c>
      <c r="D13" s="5">
        <v>95</v>
      </c>
      <c r="E13" s="5">
        <v>82</v>
      </c>
      <c r="F13" s="5">
        <v>98</v>
      </c>
      <c r="G13" s="5">
        <v>78</v>
      </c>
      <c r="H13" s="8">
        <f t="shared" si="0"/>
        <v>353</v>
      </c>
      <c r="I13" s="9">
        <f t="shared" si="1"/>
        <v>88.25</v>
      </c>
    </row>
    <row r="14" spans="1:9" ht="19.5" x14ac:dyDescent="0.15">
      <c r="A14" s="4">
        <v>20220522</v>
      </c>
      <c r="B14" s="5" t="s">
        <v>29</v>
      </c>
      <c r="C14" s="5" t="s">
        <v>39</v>
      </c>
      <c r="D14" s="5">
        <v>79</v>
      </c>
      <c r="E14" s="5">
        <v>89</v>
      </c>
      <c r="F14" s="5">
        <v>81</v>
      </c>
      <c r="G14" s="5">
        <v>103</v>
      </c>
      <c r="H14" s="8">
        <f t="shared" si="0"/>
        <v>352</v>
      </c>
      <c r="I14" s="9">
        <f t="shared" si="1"/>
        <v>88</v>
      </c>
    </row>
    <row r="15" spans="1:9" ht="19.5" x14ac:dyDescent="0.15">
      <c r="A15" s="4">
        <v>20220525</v>
      </c>
      <c r="B15" s="5" t="s">
        <v>32</v>
      </c>
      <c r="C15" s="5" t="s">
        <v>40</v>
      </c>
      <c r="D15" s="5">
        <v>86</v>
      </c>
      <c r="E15" s="5">
        <v>75</v>
      </c>
      <c r="F15" s="5">
        <v>95</v>
      </c>
      <c r="G15" s="5">
        <v>96</v>
      </c>
      <c r="H15" s="8">
        <f t="shared" si="0"/>
        <v>352</v>
      </c>
      <c r="I15" s="9">
        <f t="shared" si="1"/>
        <v>88</v>
      </c>
    </row>
    <row r="16" spans="1:9" ht="19.5" x14ac:dyDescent="0.15">
      <c r="A16" s="4">
        <v>20220511</v>
      </c>
      <c r="B16" s="5" t="s">
        <v>19</v>
      </c>
      <c r="C16" s="5" t="s">
        <v>40</v>
      </c>
      <c r="D16" s="5">
        <v>85</v>
      </c>
      <c r="E16" s="5">
        <v>103</v>
      </c>
      <c r="F16" s="5">
        <v>85</v>
      </c>
      <c r="G16" s="5">
        <v>78</v>
      </c>
      <c r="H16" s="8">
        <f t="shared" si="0"/>
        <v>351</v>
      </c>
      <c r="I16" s="9">
        <f t="shared" si="1"/>
        <v>87.75</v>
      </c>
    </row>
    <row r="17" spans="1:9" ht="19.5" x14ac:dyDescent="0.15">
      <c r="A17" s="4">
        <v>20220520</v>
      </c>
      <c r="B17" s="5" t="s">
        <v>27</v>
      </c>
      <c r="C17" s="5" t="s">
        <v>39</v>
      </c>
      <c r="D17" s="5">
        <v>82</v>
      </c>
      <c r="E17" s="5">
        <v>95</v>
      </c>
      <c r="F17" s="5">
        <v>94</v>
      </c>
      <c r="G17" s="5">
        <v>79</v>
      </c>
      <c r="H17" s="8">
        <f t="shared" si="0"/>
        <v>350</v>
      </c>
      <c r="I17" s="9">
        <f t="shared" si="1"/>
        <v>87.5</v>
      </c>
    </row>
    <row r="18" spans="1:9" ht="19.5" x14ac:dyDescent="0.15">
      <c r="A18" s="4">
        <v>20220526</v>
      </c>
      <c r="B18" s="5" t="s">
        <v>43</v>
      </c>
      <c r="C18" s="5" t="s">
        <v>40</v>
      </c>
      <c r="D18" s="5">
        <v>74</v>
      </c>
      <c r="E18" s="5">
        <v>86</v>
      </c>
      <c r="F18" s="5">
        <v>103</v>
      </c>
      <c r="G18" s="5">
        <v>85</v>
      </c>
      <c r="H18" s="8">
        <f t="shared" si="0"/>
        <v>348</v>
      </c>
      <c r="I18" s="9">
        <f t="shared" si="1"/>
        <v>87</v>
      </c>
    </row>
    <row r="19" spans="1:9" ht="19.5" x14ac:dyDescent="0.15">
      <c r="A19" s="4">
        <v>20220512</v>
      </c>
      <c r="B19" s="5" t="s">
        <v>20</v>
      </c>
      <c r="C19" s="5" t="s">
        <v>40</v>
      </c>
      <c r="D19" s="5">
        <v>78</v>
      </c>
      <c r="E19" s="5">
        <v>98</v>
      </c>
      <c r="F19" s="5">
        <v>96</v>
      </c>
      <c r="G19" s="5">
        <v>75</v>
      </c>
      <c r="H19" s="8">
        <f t="shared" si="0"/>
        <v>347</v>
      </c>
      <c r="I19" s="9">
        <f t="shared" si="1"/>
        <v>86.75</v>
      </c>
    </row>
    <row r="20" spans="1:9" ht="19.5" x14ac:dyDescent="0.15">
      <c r="A20" s="4">
        <v>20220519</v>
      </c>
      <c r="B20" s="5" t="s">
        <v>41</v>
      </c>
      <c r="C20" s="5" t="s">
        <v>40</v>
      </c>
      <c r="D20" s="5">
        <v>86</v>
      </c>
      <c r="E20" s="5">
        <v>74</v>
      </c>
      <c r="F20" s="5">
        <v>95</v>
      </c>
      <c r="G20" s="5">
        <v>89</v>
      </c>
      <c r="H20" s="8">
        <f t="shared" si="0"/>
        <v>344</v>
      </c>
      <c r="I20" s="9">
        <f t="shared" si="1"/>
        <v>86</v>
      </c>
    </row>
    <row r="21" spans="1:9" ht="19.5" x14ac:dyDescent="0.15">
      <c r="A21" s="4">
        <v>20220529</v>
      </c>
      <c r="B21" s="5" t="s">
        <v>36</v>
      </c>
      <c r="C21" s="5" t="s">
        <v>40</v>
      </c>
      <c r="D21" s="5">
        <v>86</v>
      </c>
      <c r="E21" s="5">
        <v>86</v>
      </c>
      <c r="F21" s="5">
        <v>96</v>
      </c>
      <c r="G21" s="5">
        <v>75</v>
      </c>
      <c r="H21" s="8">
        <f t="shared" si="0"/>
        <v>343</v>
      </c>
      <c r="I21" s="9">
        <f t="shared" si="1"/>
        <v>85.75</v>
      </c>
    </row>
    <row r="22" spans="1:9" ht="19.5" x14ac:dyDescent="0.15">
      <c r="A22" s="4">
        <v>20220503</v>
      </c>
      <c r="B22" s="5" t="s">
        <v>11</v>
      </c>
      <c r="C22" s="5" t="s">
        <v>40</v>
      </c>
      <c r="D22" s="5">
        <v>87</v>
      </c>
      <c r="E22" s="5">
        <v>86</v>
      </c>
      <c r="F22" s="5">
        <v>85</v>
      </c>
      <c r="G22" s="5">
        <v>79</v>
      </c>
      <c r="H22" s="8">
        <f t="shared" si="0"/>
        <v>337</v>
      </c>
      <c r="I22" s="9">
        <f t="shared" si="1"/>
        <v>84.25</v>
      </c>
    </row>
    <row r="23" spans="1:9" ht="19.5" x14ac:dyDescent="0.15">
      <c r="A23" s="4">
        <v>20220514</v>
      </c>
      <c r="B23" s="5" t="s">
        <v>22</v>
      </c>
      <c r="C23" s="5" t="s">
        <v>39</v>
      </c>
      <c r="D23" s="5">
        <v>71</v>
      </c>
      <c r="E23" s="5">
        <v>96</v>
      </c>
      <c r="F23" s="5">
        <v>80</v>
      </c>
      <c r="G23" s="5">
        <v>89</v>
      </c>
      <c r="H23" s="8">
        <f t="shared" si="0"/>
        <v>336</v>
      </c>
      <c r="I23" s="9">
        <f t="shared" si="1"/>
        <v>84</v>
      </c>
    </row>
    <row r="24" spans="1:9" ht="19.5" x14ac:dyDescent="0.15">
      <c r="A24" s="4">
        <v>20220518</v>
      </c>
      <c r="B24" s="5" t="s">
        <v>26</v>
      </c>
      <c r="C24" s="5" t="s">
        <v>40</v>
      </c>
      <c r="D24" s="5">
        <v>75</v>
      </c>
      <c r="E24" s="5">
        <v>86</v>
      </c>
      <c r="F24" s="5">
        <v>88</v>
      </c>
      <c r="G24" s="5">
        <v>80</v>
      </c>
      <c r="H24" s="8">
        <f t="shared" si="0"/>
        <v>329</v>
      </c>
      <c r="I24" s="9">
        <f t="shared" si="1"/>
        <v>82.25</v>
      </c>
    </row>
    <row r="25" spans="1:9" ht="19.5" x14ac:dyDescent="0.15">
      <c r="A25" s="4">
        <v>20220505</v>
      </c>
      <c r="B25" s="5" t="s">
        <v>13</v>
      </c>
      <c r="C25" s="5" t="s">
        <v>39</v>
      </c>
      <c r="D25" s="5">
        <v>100</v>
      </c>
      <c r="E25" s="5">
        <v>79</v>
      </c>
      <c r="F25" s="5">
        <v>68</v>
      </c>
      <c r="G25" s="5">
        <v>81</v>
      </c>
      <c r="H25" s="8">
        <f t="shared" si="0"/>
        <v>328</v>
      </c>
      <c r="I25" s="9">
        <f t="shared" si="1"/>
        <v>82</v>
      </c>
    </row>
    <row r="26" spans="1:9" ht="19.5" x14ac:dyDescent="0.15">
      <c r="A26" s="4">
        <v>20220521</v>
      </c>
      <c r="B26" s="5" t="s">
        <v>28</v>
      </c>
      <c r="C26" s="5" t="s">
        <v>39</v>
      </c>
      <c r="D26" s="5">
        <v>91</v>
      </c>
      <c r="E26" s="5">
        <v>85</v>
      </c>
      <c r="F26" s="5">
        <v>63</v>
      </c>
      <c r="G26" s="5">
        <v>88</v>
      </c>
      <c r="H26" s="8">
        <f t="shared" si="0"/>
        <v>327</v>
      </c>
      <c r="I26" s="9">
        <f t="shared" si="1"/>
        <v>81.75</v>
      </c>
    </row>
    <row r="27" spans="1:9" ht="19.5" x14ac:dyDescent="0.15">
      <c r="A27" s="4">
        <v>20220524</v>
      </c>
      <c r="B27" s="5" t="s">
        <v>31</v>
      </c>
      <c r="C27" s="5" t="s">
        <v>40</v>
      </c>
      <c r="D27" s="5">
        <v>95</v>
      </c>
      <c r="E27" s="5">
        <v>58</v>
      </c>
      <c r="F27" s="5">
        <v>84</v>
      </c>
      <c r="G27" s="5">
        <v>89</v>
      </c>
      <c r="H27" s="8">
        <f t="shared" si="0"/>
        <v>326</v>
      </c>
      <c r="I27" s="9">
        <f t="shared" si="1"/>
        <v>81.5</v>
      </c>
    </row>
    <row r="28" spans="1:9" ht="19.5" x14ac:dyDescent="0.15">
      <c r="A28" s="4">
        <v>20220528</v>
      </c>
      <c r="B28" s="5" t="s">
        <v>35</v>
      </c>
      <c r="C28" s="5" t="s">
        <v>39</v>
      </c>
      <c r="D28" s="5">
        <v>85</v>
      </c>
      <c r="E28" s="5">
        <v>94</v>
      </c>
      <c r="F28" s="5">
        <v>89</v>
      </c>
      <c r="G28" s="5">
        <v>58</v>
      </c>
      <c r="H28" s="8">
        <f t="shared" si="0"/>
        <v>326</v>
      </c>
      <c r="I28" s="9">
        <f t="shared" si="1"/>
        <v>81.5</v>
      </c>
    </row>
    <row r="29" spans="1:9" ht="19.5" x14ac:dyDescent="0.15">
      <c r="A29" s="4">
        <v>20220507</v>
      </c>
      <c r="B29" s="5" t="s">
        <v>15</v>
      </c>
      <c r="C29" s="5" t="s">
        <v>40</v>
      </c>
      <c r="D29" s="5">
        <v>103</v>
      </c>
      <c r="E29" s="5">
        <v>81</v>
      </c>
      <c r="F29" s="5">
        <v>56</v>
      </c>
      <c r="G29" s="5">
        <v>84</v>
      </c>
      <c r="H29" s="8">
        <f t="shared" si="0"/>
        <v>324</v>
      </c>
      <c r="I29" s="9">
        <f t="shared" si="1"/>
        <v>81</v>
      </c>
    </row>
    <row r="30" spans="1:9" ht="19.5" x14ac:dyDescent="0.15">
      <c r="A30" s="4">
        <v>20220517</v>
      </c>
      <c r="B30" s="5" t="s">
        <v>25</v>
      </c>
      <c r="C30" s="5" t="s">
        <v>39</v>
      </c>
      <c r="D30" s="5">
        <v>58</v>
      </c>
      <c r="E30" s="5">
        <v>95</v>
      </c>
      <c r="F30" s="5">
        <v>88</v>
      </c>
      <c r="G30" s="5">
        <v>78</v>
      </c>
      <c r="H30" s="8">
        <f t="shared" si="0"/>
        <v>319</v>
      </c>
      <c r="I30" s="9">
        <f t="shared" si="1"/>
        <v>79.75</v>
      </c>
    </row>
    <row r="31" spans="1:9" ht="19.5" x14ac:dyDescent="0.15">
      <c r="A31" s="4">
        <v>20220513</v>
      </c>
      <c r="B31" s="5" t="s">
        <v>21</v>
      </c>
      <c r="C31" s="5" t="s">
        <v>39</v>
      </c>
      <c r="D31" s="5">
        <v>75</v>
      </c>
      <c r="E31" s="5">
        <v>89</v>
      </c>
      <c r="F31" s="5">
        <v>78</v>
      </c>
      <c r="G31" s="5">
        <v>71</v>
      </c>
      <c r="H31" s="8">
        <f t="shared" si="0"/>
        <v>313</v>
      </c>
      <c r="I31" s="9">
        <f t="shared" si="1"/>
        <v>78.25</v>
      </c>
    </row>
    <row r="32" spans="1:9" ht="19.5" x14ac:dyDescent="0.15">
      <c r="A32" s="4">
        <v>20220531</v>
      </c>
      <c r="B32" s="5" t="s">
        <v>38</v>
      </c>
      <c r="C32" s="5" t="s">
        <v>40</v>
      </c>
      <c r="D32" s="5">
        <v>86</v>
      </c>
      <c r="E32" s="5">
        <v>58</v>
      </c>
      <c r="F32" s="5">
        <v>87</v>
      </c>
      <c r="G32" s="5">
        <v>82</v>
      </c>
      <c r="H32" s="8">
        <f t="shared" si="0"/>
        <v>313</v>
      </c>
      <c r="I32" s="9">
        <f t="shared" si="1"/>
        <v>78.25</v>
      </c>
    </row>
    <row r="33" spans="1:9" ht="20.25" thickBot="1" x14ac:dyDescent="0.2">
      <c r="A33" s="6">
        <v>20220516</v>
      </c>
      <c r="B33" s="7" t="s">
        <v>24</v>
      </c>
      <c r="C33" s="7" t="s">
        <v>40</v>
      </c>
      <c r="D33" s="7">
        <v>96</v>
      </c>
      <c r="E33" s="7">
        <v>78</v>
      </c>
      <c r="F33" s="7">
        <v>79</v>
      </c>
      <c r="G33" s="7">
        <v>58</v>
      </c>
      <c r="H33" s="10">
        <f t="shared" si="0"/>
        <v>311</v>
      </c>
      <c r="I33" s="11">
        <f t="shared" si="1"/>
        <v>77.75</v>
      </c>
    </row>
    <row r="34" spans="1:9" ht="14.25" thickTop="1" x14ac:dyDescent="0.15"/>
  </sheetData>
  <sortState ref="A3:I33">
    <sortCondition descending="1" ref="H3"/>
  </sortState>
  <mergeCells count="1">
    <mergeCell ref="A1:I1"/>
  </mergeCells>
  <phoneticPr fontId="1" type="noConversion"/>
  <conditionalFormatting sqref="D3:G33">
    <cfRule type="cellIs" dxfId="0" priority="1" operator="greaterThan">
      <formula>100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32"/>
  <sheetViews>
    <sheetView workbookViewId="0">
      <selection activeCell="G1" sqref="G1:G32"/>
    </sheetView>
  </sheetViews>
  <sheetFormatPr defaultRowHeight="13.5" x14ac:dyDescent="0.15"/>
  <sheetData>
    <row r="1" spans="1:9" x14ac:dyDescent="0.1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x14ac:dyDescent="0.15">
      <c r="A2">
        <v>20220508</v>
      </c>
      <c r="B2" t="s">
        <v>16</v>
      </c>
      <c r="C2" t="s">
        <v>53</v>
      </c>
      <c r="D2">
        <v>98</v>
      </c>
      <c r="E2">
        <v>112</v>
      </c>
      <c r="F2">
        <v>98</v>
      </c>
      <c r="G2">
        <v>95</v>
      </c>
      <c r="H2" s="12">
        <f t="shared" ref="H2:H32" si="0">SUM(D2:G2)</f>
        <v>403</v>
      </c>
      <c r="I2" s="12">
        <f t="shared" ref="I2:I32" si="1">AVERAGE(D2:G2)</f>
        <v>100.75</v>
      </c>
    </row>
    <row r="3" spans="1:9" x14ac:dyDescent="0.15">
      <c r="A3">
        <v>20220506</v>
      </c>
      <c r="B3" t="s">
        <v>14</v>
      </c>
      <c r="C3" t="s">
        <v>54</v>
      </c>
      <c r="D3">
        <v>102</v>
      </c>
      <c r="E3">
        <v>92</v>
      </c>
      <c r="F3">
        <v>90</v>
      </c>
      <c r="G3">
        <v>112</v>
      </c>
      <c r="H3" s="12">
        <f t="shared" si="0"/>
        <v>396</v>
      </c>
      <c r="I3" s="12">
        <f t="shared" si="1"/>
        <v>99</v>
      </c>
    </row>
    <row r="4" spans="1:9" x14ac:dyDescent="0.15">
      <c r="A4">
        <v>20220523</v>
      </c>
      <c r="B4" t="s">
        <v>30</v>
      </c>
      <c r="C4" t="s">
        <v>54</v>
      </c>
      <c r="D4">
        <v>84</v>
      </c>
      <c r="E4">
        <v>96</v>
      </c>
      <c r="F4">
        <v>112</v>
      </c>
      <c r="G4">
        <v>98</v>
      </c>
      <c r="H4" s="12">
        <f t="shared" si="0"/>
        <v>390</v>
      </c>
      <c r="I4" s="12">
        <f t="shared" si="1"/>
        <v>97.5</v>
      </c>
    </row>
    <row r="5" spans="1:9" hidden="1" x14ac:dyDescent="0.15">
      <c r="A5">
        <v>20220501</v>
      </c>
      <c r="B5" t="s">
        <v>9</v>
      </c>
      <c r="C5" t="s">
        <v>53</v>
      </c>
      <c r="D5">
        <v>103</v>
      </c>
      <c r="E5">
        <v>105</v>
      </c>
      <c r="F5">
        <v>90</v>
      </c>
      <c r="G5">
        <v>86</v>
      </c>
      <c r="H5" s="12">
        <f t="shared" si="0"/>
        <v>384</v>
      </c>
      <c r="I5" s="12">
        <f t="shared" si="1"/>
        <v>96</v>
      </c>
    </row>
    <row r="6" spans="1:9" hidden="1" x14ac:dyDescent="0.15">
      <c r="A6">
        <v>20220510</v>
      </c>
      <c r="B6" t="s">
        <v>18</v>
      </c>
      <c r="C6" t="s">
        <v>53</v>
      </c>
      <c r="D6">
        <v>96</v>
      </c>
      <c r="E6">
        <v>95</v>
      </c>
      <c r="F6">
        <v>90</v>
      </c>
      <c r="G6">
        <v>85</v>
      </c>
      <c r="H6" s="12">
        <f t="shared" si="0"/>
        <v>366</v>
      </c>
      <c r="I6" s="12">
        <f t="shared" si="1"/>
        <v>91.5</v>
      </c>
    </row>
    <row r="7" spans="1:9" hidden="1" x14ac:dyDescent="0.15">
      <c r="A7">
        <v>20220502</v>
      </c>
      <c r="B7" t="s">
        <v>10</v>
      </c>
      <c r="C7" t="s">
        <v>53</v>
      </c>
      <c r="D7">
        <v>95</v>
      </c>
      <c r="E7">
        <v>98</v>
      </c>
      <c r="F7">
        <v>88</v>
      </c>
      <c r="G7">
        <v>84</v>
      </c>
      <c r="H7" s="12">
        <f t="shared" si="0"/>
        <v>365</v>
      </c>
      <c r="I7" s="12">
        <f t="shared" si="1"/>
        <v>91.25</v>
      </c>
    </row>
    <row r="8" spans="1:9" hidden="1" x14ac:dyDescent="0.15">
      <c r="A8">
        <v>20220530</v>
      </c>
      <c r="B8" t="s">
        <v>37</v>
      </c>
      <c r="C8" t="s">
        <v>54</v>
      </c>
      <c r="D8">
        <v>94</v>
      </c>
      <c r="E8">
        <v>96</v>
      </c>
      <c r="F8">
        <v>85</v>
      </c>
      <c r="G8">
        <v>86</v>
      </c>
      <c r="H8" s="12">
        <f t="shared" si="0"/>
        <v>361</v>
      </c>
      <c r="I8" s="12">
        <f t="shared" si="1"/>
        <v>90.25</v>
      </c>
    </row>
    <row r="9" spans="1:9" x14ac:dyDescent="0.15">
      <c r="A9">
        <v>20220515</v>
      </c>
      <c r="B9" t="s">
        <v>23</v>
      </c>
      <c r="C9" t="s">
        <v>54</v>
      </c>
      <c r="D9">
        <v>89</v>
      </c>
      <c r="E9">
        <v>85</v>
      </c>
      <c r="F9">
        <v>89</v>
      </c>
      <c r="G9">
        <v>96</v>
      </c>
      <c r="H9" s="12">
        <f t="shared" si="0"/>
        <v>359</v>
      </c>
      <c r="I9" s="12">
        <f t="shared" si="1"/>
        <v>89.75</v>
      </c>
    </row>
    <row r="10" spans="1:9" x14ac:dyDescent="0.15">
      <c r="A10">
        <v>20220509</v>
      </c>
      <c r="B10" t="s">
        <v>17</v>
      </c>
      <c r="C10" t="s">
        <v>53</v>
      </c>
      <c r="D10">
        <v>89</v>
      </c>
      <c r="E10">
        <v>84</v>
      </c>
      <c r="F10">
        <v>80</v>
      </c>
      <c r="G10">
        <v>103</v>
      </c>
      <c r="H10" s="12">
        <f t="shared" si="0"/>
        <v>356</v>
      </c>
      <c r="I10" s="12">
        <f t="shared" si="1"/>
        <v>89</v>
      </c>
    </row>
    <row r="11" spans="1:9" x14ac:dyDescent="0.15">
      <c r="A11">
        <v>20220504</v>
      </c>
      <c r="B11" t="s">
        <v>12</v>
      </c>
      <c r="C11" t="s">
        <v>54</v>
      </c>
      <c r="D11">
        <v>98</v>
      </c>
      <c r="E11">
        <v>84</v>
      </c>
      <c r="F11">
        <v>79</v>
      </c>
      <c r="G11">
        <v>92</v>
      </c>
      <c r="H11" s="12">
        <f t="shared" si="0"/>
        <v>353</v>
      </c>
      <c r="I11" s="12">
        <f t="shared" si="1"/>
        <v>88.25</v>
      </c>
    </row>
    <row r="12" spans="1:9" hidden="1" x14ac:dyDescent="0.15">
      <c r="A12">
        <v>20220527</v>
      </c>
      <c r="B12" t="s">
        <v>34</v>
      </c>
      <c r="C12" t="s">
        <v>53</v>
      </c>
      <c r="D12">
        <v>95</v>
      </c>
      <c r="E12">
        <v>82</v>
      </c>
      <c r="F12">
        <v>98</v>
      </c>
      <c r="G12">
        <v>78</v>
      </c>
      <c r="H12" s="12">
        <f t="shared" si="0"/>
        <v>353</v>
      </c>
      <c r="I12" s="12">
        <f t="shared" si="1"/>
        <v>88.25</v>
      </c>
    </row>
    <row r="13" spans="1:9" x14ac:dyDescent="0.15">
      <c r="A13">
        <v>20220522</v>
      </c>
      <c r="B13" t="s">
        <v>29</v>
      </c>
      <c r="C13" t="s">
        <v>53</v>
      </c>
      <c r="D13">
        <v>79</v>
      </c>
      <c r="E13">
        <v>89</v>
      </c>
      <c r="F13">
        <v>81</v>
      </c>
      <c r="G13">
        <v>103</v>
      </c>
      <c r="H13" s="12">
        <f t="shared" si="0"/>
        <v>352</v>
      </c>
      <c r="I13" s="12">
        <f t="shared" si="1"/>
        <v>88</v>
      </c>
    </row>
    <row r="14" spans="1:9" x14ac:dyDescent="0.15">
      <c r="A14">
        <v>20220525</v>
      </c>
      <c r="B14" t="s">
        <v>32</v>
      </c>
      <c r="C14" t="s">
        <v>54</v>
      </c>
      <c r="D14">
        <v>86</v>
      </c>
      <c r="E14">
        <v>75</v>
      </c>
      <c r="F14">
        <v>95</v>
      </c>
      <c r="G14">
        <v>96</v>
      </c>
      <c r="H14" s="12">
        <f t="shared" si="0"/>
        <v>352</v>
      </c>
      <c r="I14" s="12">
        <f t="shared" si="1"/>
        <v>88</v>
      </c>
    </row>
    <row r="15" spans="1:9" hidden="1" x14ac:dyDescent="0.15">
      <c r="A15">
        <v>20220511</v>
      </c>
      <c r="B15" t="s">
        <v>19</v>
      </c>
      <c r="C15" t="s">
        <v>54</v>
      </c>
      <c r="D15">
        <v>85</v>
      </c>
      <c r="E15">
        <v>103</v>
      </c>
      <c r="F15">
        <v>85</v>
      </c>
      <c r="G15">
        <v>78</v>
      </c>
      <c r="H15" s="12">
        <f t="shared" si="0"/>
        <v>351</v>
      </c>
      <c r="I15" s="12">
        <f t="shared" si="1"/>
        <v>87.75</v>
      </c>
    </row>
    <row r="16" spans="1:9" hidden="1" x14ac:dyDescent="0.15">
      <c r="A16">
        <v>20220520</v>
      </c>
      <c r="B16" t="s">
        <v>27</v>
      </c>
      <c r="C16" t="s">
        <v>53</v>
      </c>
      <c r="D16">
        <v>82</v>
      </c>
      <c r="E16">
        <v>95</v>
      </c>
      <c r="F16">
        <v>94</v>
      </c>
      <c r="G16">
        <v>79</v>
      </c>
      <c r="H16" s="12">
        <f t="shared" si="0"/>
        <v>350</v>
      </c>
      <c r="I16" s="12">
        <f t="shared" si="1"/>
        <v>87.5</v>
      </c>
    </row>
    <row r="17" spans="1:9" hidden="1" x14ac:dyDescent="0.15">
      <c r="A17">
        <v>20220526</v>
      </c>
      <c r="B17" t="s">
        <v>33</v>
      </c>
      <c r="C17" t="s">
        <v>54</v>
      </c>
      <c r="D17">
        <v>74</v>
      </c>
      <c r="E17">
        <v>86</v>
      </c>
      <c r="F17">
        <v>103</v>
      </c>
      <c r="G17">
        <v>85</v>
      </c>
      <c r="H17" s="12">
        <f t="shared" si="0"/>
        <v>348</v>
      </c>
      <c r="I17" s="12">
        <f t="shared" si="1"/>
        <v>87</v>
      </c>
    </row>
    <row r="18" spans="1:9" hidden="1" x14ac:dyDescent="0.15">
      <c r="A18">
        <v>20220512</v>
      </c>
      <c r="B18" t="s">
        <v>20</v>
      </c>
      <c r="C18" t="s">
        <v>54</v>
      </c>
      <c r="D18">
        <v>78</v>
      </c>
      <c r="E18">
        <v>98</v>
      </c>
      <c r="F18">
        <v>96</v>
      </c>
      <c r="G18">
        <v>75</v>
      </c>
      <c r="H18" s="12">
        <f t="shared" si="0"/>
        <v>347</v>
      </c>
      <c r="I18" s="12">
        <f t="shared" si="1"/>
        <v>86.75</v>
      </c>
    </row>
    <row r="19" spans="1:9" hidden="1" x14ac:dyDescent="0.15">
      <c r="A19">
        <v>20220519</v>
      </c>
      <c r="B19" t="s">
        <v>55</v>
      </c>
      <c r="C19" t="s">
        <v>54</v>
      </c>
      <c r="D19">
        <v>86</v>
      </c>
      <c r="E19">
        <v>74</v>
      </c>
      <c r="F19">
        <v>95</v>
      </c>
      <c r="G19">
        <v>89</v>
      </c>
      <c r="H19" s="12">
        <f t="shared" si="0"/>
        <v>344</v>
      </c>
      <c r="I19" s="12">
        <f t="shared" si="1"/>
        <v>86</v>
      </c>
    </row>
    <row r="20" spans="1:9" hidden="1" x14ac:dyDescent="0.15">
      <c r="A20">
        <v>20220529</v>
      </c>
      <c r="B20" t="s">
        <v>36</v>
      </c>
      <c r="C20" t="s">
        <v>54</v>
      </c>
      <c r="D20">
        <v>86</v>
      </c>
      <c r="E20">
        <v>86</v>
      </c>
      <c r="F20">
        <v>96</v>
      </c>
      <c r="G20">
        <v>75</v>
      </c>
      <c r="H20" s="12">
        <f t="shared" si="0"/>
        <v>343</v>
      </c>
      <c r="I20" s="12">
        <f t="shared" si="1"/>
        <v>85.75</v>
      </c>
    </row>
    <row r="21" spans="1:9" hidden="1" x14ac:dyDescent="0.15">
      <c r="A21">
        <v>20220503</v>
      </c>
      <c r="B21" t="s">
        <v>11</v>
      </c>
      <c r="C21" t="s">
        <v>54</v>
      </c>
      <c r="D21">
        <v>87</v>
      </c>
      <c r="E21">
        <v>86</v>
      </c>
      <c r="F21">
        <v>85</v>
      </c>
      <c r="G21">
        <v>79</v>
      </c>
      <c r="H21" s="12">
        <f t="shared" si="0"/>
        <v>337</v>
      </c>
      <c r="I21" s="12">
        <f t="shared" si="1"/>
        <v>84.25</v>
      </c>
    </row>
    <row r="22" spans="1:9" hidden="1" x14ac:dyDescent="0.15">
      <c r="A22">
        <v>20220514</v>
      </c>
      <c r="B22" t="s">
        <v>22</v>
      </c>
      <c r="C22" t="s">
        <v>53</v>
      </c>
      <c r="D22">
        <v>71</v>
      </c>
      <c r="E22">
        <v>96</v>
      </c>
      <c r="F22">
        <v>80</v>
      </c>
      <c r="G22">
        <v>89</v>
      </c>
      <c r="H22" s="12">
        <f t="shared" si="0"/>
        <v>336</v>
      </c>
      <c r="I22" s="12">
        <f t="shared" si="1"/>
        <v>84</v>
      </c>
    </row>
    <row r="23" spans="1:9" hidden="1" x14ac:dyDescent="0.15">
      <c r="A23">
        <v>20220518</v>
      </c>
      <c r="B23" t="s">
        <v>26</v>
      </c>
      <c r="C23" t="s">
        <v>54</v>
      </c>
      <c r="D23">
        <v>75</v>
      </c>
      <c r="E23">
        <v>86</v>
      </c>
      <c r="F23">
        <v>88</v>
      </c>
      <c r="G23">
        <v>80</v>
      </c>
      <c r="H23" s="12">
        <f t="shared" si="0"/>
        <v>329</v>
      </c>
      <c r="I23" s="12">
        <f t="shared" si="1"/>
        <v>82.25</v>
      </c>
    </row>
    <row r="24" spans="1:9" hidden="1" x14ac:dyDescent="0.15">
      <c r="A24">
        <v>20220505</v>
      </c>
      <c r="B24" t="s">
        <v>13</v>
      </c>
      <c r="C24" t="s">
        <v>53</v>
      </c>
      <c r="D24">
        <v>100</v>
      </c>
      <c r="E24">
        <v>79</v>
      </c>
      <c r="F24">
        <v>68</v>
      </c>
      <c r="G24">
        <v>81</v>
      </c>
      <c r="H24" s="12">
        <f t="shared" si="0"/>
        <v>328</v>
      </c>
      <c r="I24" s="12">
        <f t="shared" si="1"/>
        <v>82</v>
      </c>
    </row>
    <row r="25" spans="1:9" hidden="1" x14ac:dyDescent="0.15">
      <c r="A25">
        <v>20220521</v>
      </c>
      <c r="B25" t="s">
        <v>28</v>
      </c>
      <c r="C25" t="s">
        <v>53</v>
      </c>
      <c r="D25">
        <v>91</v>
      </c>
      <c r="E25">
        <v>85</v>
      </c>
      <c r="F25">
        <v>63</v>
      </c>
      <c r="G25">
        <v>88</v>
      </c>
      <c r="H25" s="12">
        <f t="shared" si="0"/>
        <v>327</v>
      </c>
      <c r="I25" s="12">
        <f t="shared" si="1"/>
        <v>81.75</v>
      </c>
    </row>
    <row r="26" spans="1:9" hidden="1" x14ac:dyDescent="0.15">
      <c r="A26">
        <v>20220524</v>
      </c>
      <c r="B26" t="s">
        <v>31</v>
      </c>
      <c r="C26" t="s">
        <v>54</v>
      </c>
      <c r="D26">
        <v>95</v>
      </c>
      <c r="E26">
        <v>58</v>
      </c>
      <c r="F26">
        <v>84</v>
      </c>
      <c r="G26">
        <v>89</v>
      </c>
      <c r="H26" s="12">
        <f t="shared" si="0"/>
        <v>326</v>
      </c>
      <c r="I26" s="12">
        <f t="shared" si="1"/>
        <v>81.5</v>
      </c>
    </row>
    <row r="27" spans="1:9" hidden="1" x14ac:dyDescent="0.15">
      <c r="A27">
        <v>20220528</v>
      </c>
      <c r="B27" t="s">
        <v>35</v>
      </c>
      <c r="C27" t="s">
        <v>53</v>
      </c>
      <c r="D27">
        <v>85</v>
      </c>
      <c r="E27">
        <v>94</v>
      </c>
      <c r="F27">
        <v>89</v>
      </c>
      <c r="G27">
        <v>58</v>
      </c>
      <c r="H27" s="12">
        <f t="shared" si="0"/>
        <v>326</v>
      </c>
      <c r="I27" s="12">
        <f t="shared" si="1"/>
        <v>81.5</v>
      </c>
    </row>
    <row r="28" spans="1:9" hidden="1" x14ac:dyDescent="0.15">
      <c r="A28">
        <v>20220507</v>
      </c>
      <c r="B28" t="s">
        <v>15</v>
      </c>
      <c r="C28" t="s">
        <v>54</v>
      </c>
      <c r="D28">
        <v>103</v>
      </c>
      <c r="E28">
        <v>81</v>
      </c>
      <c r="F28">
        <v>56</v>
      </c>
      <c r="G28">
        <v>84</v>
      </c>
      <c r="H28" s="12">
        <f t="shared" si="0"/>
        <v>324</v>
      </c>
      <c r="I28" s="12">
        <f t="shared" si="1"/>
        <v>81</v>
      </c>
    </row>
    <row r="29" spans="1:9" hidden="1" x14ac:dyDescent="0.15">
      <c r="A29">
        <v>20220517</v>
      </c>
      <c r="B29" t="s">
        <v>25</v>
      </c>
      <c r="C29" t="s">
        <v>53</v>
      </c>
      <c r="D29">
        <v>58</v>
      </c>
      <c r="E29">
        <v>95</v>
      </c>
      <c r="F29">
        <v>88</v>
      </c>
      <c r="G29">
        <v>78</v>
      </c>
      <c r="H29" s="12">
        <f t="shared" si="0"/>
        <v>319</v>
      </c>
      <c r="I29" s="12">
        <f t="shared" si="1"/>
        <v>79.75</v>
      </c>
    </row>
    <row r="30" spans="1:9" hidden="1" x14ac:dyDescent="0.15">
      <c r="A30">
        <v>20220513</v>
      </c>
      <c r="B30" t="s">
        <v>21</v>
      </c>
      <c r="C30" t="s">
        <v>53</v>
      </c>
      <c r="D30">
        <v>75</v>
      </c>
      <c r="E30">
        <v>89</v>
      </c>
      <c r="F30">
        <v>78</v>
      </c>
      <c r="G30">
        <v>71</v>
      </c>
      <c r="H30" s="12">
        <f t="shared" si="0"/>
        <v>313</v>
      </c>
      <c r="I30" s="12">
        <f t="shared" si="1"/>
        <v>78.25</v>
      </c>
    </row>
    <row r="31" spans="1:9" hidden="1" x14ac:dyDescent="0.15">
      <c r="A31">
        <v>20220531</v>
      </c>
      <c r="B31" t="s">
        <v>38</v>
      </c>
      <c r="C31" t="s">
        <v>54</v>
      </c>
      <c r="D31">
        <v>86</v>
      </c>
      <c r="E31">
        <v>58</v>
      </c>
      <c r="F31">
        <v>87</v>
      </c>
      <c r="G31">
        <v>82</v>
      </c>
      <c r="H31" s="12">
        <f t="shared" si="0"/>
        <v>313</v>
      </c>
      <c r="I31" s="12">
        <f t="shared" si="1"/>
        <v>78.25</v>
      </c>
    </row>
    <row r="32" spans="1:9" hidden="1" x14ac:dyDescent="0.15">
      <c r="A32">
        <v>20220516</v>
      </c>
      <c r="B32" t="s">
        <v>24</v>
      </c>
      <c r="C32" t="s">
        <v>54</v>
      </c>
      <c r="D32">
        <v>96</v>
      </c>
      <c r="E32">
        <v>78</v>
      </c>
      <c r="F32">
        <v>79</v>
      </c>
      <c r="G32">
        <v>58</v>
      </c>
      <c r="H32" s="12">
        <f t="shared" si="0"/>
        <v>311</v>
      </c>
      <c r="I32" s="12">
        <f t="shared" si="1"/>
        <v>77.75</v>
      </c>
    </row>
  </sheetData>
  <autoFilter ref="G1:G32">
    <filterColumn colId="0">
      <customFilters>
        <customFilter operator="greaterThan" val="90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J21" sqref="J21"/>
    </sheetView>
  </sheetViews>
  <sheetFormatPr defaultRowHeight="13.5" outlineLevelRow="2" x14ac:dyDescent="0.15"/>
  <sheetData>
    <row r="1" spans="1:9" x14ac:dyDescent="0.1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outlineLevel="2" x14ac:dyDescent="0.15">
      <c r="A2">
        <v>20220506</v>
      </c>
      <c r="B2" t="s">
        <v>14</v>
      </c>
      <c r="C2" t="s">
        <v>54</v>
      </c>
      <c r="D2">
        <v>102</v>
      </c>
      <c r="E2">
        <v>92</v>
      </c>
      <c r="F2">
        <v>90</v>
      </c>
      <c r="G2">
        <v>112</v>
      </c>
      <c r="H2" s="12">
        <v>396</v>
      </c>
      <c r="I2" s="12">
        <v>99</v>
      </c>
    </row>
    <row r="3" spans="1:9" outlineLevel="2" x14ac:dyDescent="0.15">
      <c r="A3">
        <v>20220523</v>
      </c>
      <c r="B3" t="s">
        <v>30</v>
      </c>
      <c r="C3" t="s">
        <v>54</v>
      </c>
      <c r="D3">
        <v>84</v>
      </c>
      <c r="E3">
        <v>96</v>
      </c>
      <c r="F3">
        <v>112</v>
      </c>
      <c r="G3">
        <v>98</v>
      </c>
      <c r="H3" s="12">
        <v>390</v>
      </c>
      <c r="I3" s="12">
        <v>97.5</v>
      </c>
    </row>
    <row r="4" spans="1:9" outlineLevel="2" x14ac:dyDescent="0.15">
      <c r="A4">
        <v>20220530</v>
      </c>
      <c r="B4" t="s">
        <v>37</v>
      </c>
      <c r="C4" t="s">
        <v>54</v>
      </c>
      <c r="D4">
        <v>94</v>
      </c>
      <c r="E4">
        <v>96</v>
      </c>
      <c r="F4">
        <v>85</v>
      </c>
      <c r="G4">
        <v>86</v>
      </c>
      <c r="H4" s="12">
        <v>361</v>
      </c>
      <c r="I4" s="12">
        <v>90.25</v>
      </c>
    </row>
    <row r="5" spans="1:9" outlineLevel="2" x14ac:dyDescent="0.15">
      <c r="A5">
        <v>20220515</v>
      </c>
      <c r="B5" t="s">
        <v>23</v>
      </c>
      <c r="C5" t="s">
        <v>54</v>
      </c>
      <c r="D5">
        <v>89</v>
      </c>
      <c r="E5">
        <v>85</v>
      </c>
      <c r="F5">
        <v>89</v>
      </c>
      <c r="G5">
        <v>96</v>
      </c>
      <c r="H5" s="12">
        <v>359</v>
      </c>
      <c r="I5" s="12">
        <v>89.75</v>
      </c>
    </row>
    <row r="6" spans="1:9" outlineLevel="2" x14ac:dyDescent="0.15">
      <c r="A6">
        <v>20220504</v>
      </c>
      <c r="B6" t="s">
        <v>12</v>
      </c>
      <c r="C6" t="s">
        <v>54</v>
      </c>
      <c r="D6">
        <v>98</v>
      </c>
      <c r="E6">
        <v>84</v>
      </c>
      <c r="F6">
        <v>79</v>
      </c>
      <c r="G6">
        <v>92</v>
      </c>
      <c r="H6" s="12">
        <v>353</v>
      </c>
      <c r="I6" s="12">
        <v>88.25</v>
      </c>
    </row>
    <row r="7" spans="1:9" outlineLevel="2" x14ac:dyDescent="0.15">
      <c r="A7">
        <v>20220525</v>
      </c>
      <c r="B7" t="s">
        <v>32</v>
      </c>
      <c r="C7" t="s">
        <v>54</v>
      </c>
      <c r="D7">
        <v>86</v>
      </c>
      <c r="E7">
        <v>75</v>
      </c>
      <c r="F7">
        <v>95</v>
      </c>
      <c r="G7">
        <v>96</v>
      </c>
      <c r="H7" s="12">
        <v>352</v>
      </c>
      <c r="I7" s="12">
        <v>88</v>
      </c>
    </row>
    <row r="8" spans="1:9" outlineLevel="2" x14ac:dyDescent="0.15">
      <c r="A8">
        <v>20220511</v>
      </c>
      <c r="B8" t="s">
        <v>19</v>
      </c>
      <c r="C8" t="s">
        <v>54</v>
      </c>
      <c r="D8">
        <v>85</v>
      </c>
      <c r="E8">
        <v>103</v>
      </c>
      <c r="F8">
        <v>85</v>
      </c>
      <c r="G8">
        <v>78</v>
      </c>
      <c r="H8" s="12">
        <v>351</v>
      </c>
      <c r="I8" s="12">
        <v>87.75</v>
      </c>
    </row>
    <row r="9" spans="1:9" outlineLevel="2" x14ac:dyDescent="0.15">
      <c r="A9">
        <v>20220526</v>
      </c>
      <c r="B9" t="s">
        <v>33</v>
      </c>
      <c r="C9" t="s">
        <v>54</v>
      </c>
      <c r="D9">
        <v>74</v>
      </c>
      <c r="E9">
        <v>86</v>
      </c>
      <c r="F9">
        <v>103</v>
      </c>
      <c r="G9">
        <v>85</v>
      </c>
      <c r="H9" s="12">
        <v>348</v>
      </c>
      <c r="I9" s="12">
        <v>87</v>
      </c>
    </row>
    <row r="10" spans="1:9" outlineLevel="2" x14ac:dyDescent="0.15">
      <c r="A10">
        <v>20220512</v>
      </c>
      <c r="B10" t="s">
        <v>20</v>
      </c>
      <c r="C10" t="s">
        <v>54</v>
      </c>
      <c r="D10">
        <v>78</v>
      </c>
      <c r="E10">
        <v>98</v>
      </c>
      <c r="F10">
        <v>96</v>
      </c>
      <c r="G10">
        <v>75</v>
      </c>
      <c r="H10" s="12">
        <v>347</v>
      </c>
      <c r="I10" s="12">
        <v>86.75</v>
      </c>
    </row>
    <row r="11" spans="1:9" outlineLevel="2" x14ac:dyDescent="0.15">
      <c r="A11">
        <v>20220519</v>
      </c>
      <c r="B11" t="s">
        <v>55</v>
      </c>
      <c r="C11" t="s">
        <v>54</v>
      </c>
      <c r="D11">
        <v>86</v>
      </c>
      <c r="E11">
        <v>74</v>
      </c>
      <c r="F11">
        <v>95</v>
      </c>
      <c r="G11">
        <v>89</v>
      </c>
      <c r="H11" s="12">
        <v>344</v>
      </c>
      <c r="I11" s="12">
        <v>86</v>
      </c>
    </row>
    <row r="12" spans="1:9" outlineLevel="2" x14ac:dyDescent="0.15">
      <c r="A12">
        <v>20220529</v>
      </c>
      <c r="B12" t="s">
        <v>36</v>
      </c>
      <c r="C12" t="s">
        <v>54</v>
      </c>
      <c r="D12">
        <v>86</v>
      </c>
      <c r="E12">
        <v>86</v>
      </c>
      <c r="F12">
        <v>96</v>
      </c>
      <c r="G12">
        <v>75</v>
      </c>
      <c r="H12" s="12">
        <v>343</v>
      </c>
      <c r="I12" s="12">
        <v>85.75</v>
      </c>
    </row>
    <row r="13" spans="1:9" outlineLevel="2" x14ac:dyDescent="0.15">
      <c r="A13">
        <v>20220503</v>
      </c>
      <c r="B13" t="s">
        <v>11</v>
      </c>
      <c r="C13" t="s">
        <v>54</v>
      </c>
      <c r="D13">
        <v>87</v>
      </c>
      <c r="E13">
        <v>86</v>
      </c>
      <c r="F13">
        <v>85</v>
      </c>
      <c r="G13">
        <v>79</v>
      </c>
      <c r="H13" s="12">
        <v>337</v>
      </c>
      <c r="I13" s="12">
        <v>84.25</v>
      </c>
    </row>
    <row r="14" spans="1:9" outlineLevel="2" x14ac:dyDescent="0.15">
      <c r="A14">
        <v>20220518</v>
      </c>
      <c r="B14" t="s">
        <v>26</v>
      </c>
      <c r="C14" t="s">
        <v>54</v>
      </c>
      <c r="D14">
        <v>75</v>
      </c>
      <c r="E14">
        <v>86</v>
      </c>
      <c r="F14">
        <v>88</v>
      </c>
      <c r="G14">
        <v>80</v>
      </c>
      <c r="H14" s="12">
        <v>329</v>
      </c>
      <c r="I14" s="12">
        <v>82.25</v>
      </c>
    </row>
    <row r="15" spans="1:9" outlineLevel="2" x14ac:dyDescent="0.15">
      <c r="A15">
        <v>20220524</v>
      </c>
      <c r="B15" t="s">
        <v>31</v>
      </c>
      <c r="C15" t="s">
        <v>54</v>
      </c>
      <c r="D15">
        <v>95</v>
      </c>
      <c r="E15">
        <v>58</v>
      </c>
      <c r="F15">
        <v>84</v>
      </c>
      <c r="G15">
        <v>89</v>
      </c>
      <c r="H15" s="12">
        <v>326</v>
      </c>
      <c r="I15" s="12">
        <v>81.5</v>
      </c>
    </row>
    <row r="16" spans="1:9" outlineLevel="2" x14ac:dyDescent="0.15">
      <c r="A16">
        <v>20220507</v>
      </c>
      <c r="B16" t="s">
        <v>15</v>
      </c>
      <c r="C16" t="s">
        <v>54</v>
      </c>
      <c r="D16">
        <v>103</v>
      </c>
      <c r="E16">
        <v>81</v>
      </c>
      <c r="F16">
        <v>56</v>
      </c>
      <c r="G16">
        <v>84</v>
      </c>
      <c r="H16" s="12">
        <v>324</v>
      </c>
      <c r="I16" s="12">
        <v>81</v>
      </c>
    </row>
    <row r="17" spans="1:9" outlineLevel="2" x14ac:dyDescent="0.15">
      <c r="A17">
        <v>20220531</v>
      </c>
      <c r="B17" t="s">
        <v>38</v>
      </c>
      <c r="C17" t="s">
        <v>54</v>
      </c>
      <c r="D17">
        <v>86</v>
      </c>
      <c r="E17">
        <v>58</v>
      </c>
      <c r="F17">
        <v>87</v>
      </c>
      <c r="G17">
        <v>82</v>
      </c>
      <c r="H17" s="12">
        <v>313</v>
      </c>
      <c r="I17" s="12">
        <v>78.25</v>
      </c>
    </row>
    <row r="18" spans="1:9" outlineLevel="2" x14ac:dyDescent="0.15">
      <c r="A18">
        <v>20220516</v>
      </c>
      <c r="B18" t="s">
        <v>24</v>
      </c>
      <c r="C18" t="s">
        <v>54</v>
      </c>
      <c r="D18">
        <v>96</v>
      </c>
      <c r="E18">
        <v>78</v>
      </c>
      <c r="F18">
        <v>79</v>
      </c>
      <c r="G18">
        <v>58</v>
      </c>
      <c r="H18" s="12">
        <v>311</v>
      </c>
      <c r="I18" s="12">
        <v>77.75</v>
      </c>
    </row>
    <row r="19" spans="1:9" outlineLevel="1" x14ac:dyDescent="0.15">
      <c r="C19" s="13" t="s">
        <v>57</v>
      </c>
      <c r="H19" s="12">
        <f>SUBTOTAL(1,H2:H18)</f>
        <v>346.11764705882354</v>
      </c>
      <c r="I19" s="12"/>
    </row>
    <row r="20" spans="1:9" outlineLevel="2" x14ac:dyDescent="0.15">
      <c r="A20">
        <v>20220508</v>
      </c>
      <c r="B20" t="s">
        <v>16</v>
      </c>
      <c r="C20" t="s">
        <v>53</v>
      </c>
      <c r="D20">
        <v>98</v>
      </c>
      <c r="E20">
        <v>112</v>
      </c>
      <c r="F20">
        <v>98</v>
      </c>
      <c r="G20">
        <v>95</v>
      </c>
      <c r="H20" s="12">
        <v>403</v>
      </c>
      <c r="I20" s="12">
        <v>100.75</v>
      </c>
    </row>
    <row r="21" spans="1:9" outlineLevel="2" x14ac:dyDescent="0.15">
      <c r="A21">
        <v>20220501</v>
      </c>
      <c r="B21" t="s">
        <v>9</v>
      </c>
      <c r="C21" t="s">
        <v>53</v>
      </c>
      <c r="D21">
        <v>103</v>
      </c>
      <c r="E21">
        <v>105</v>
      </c>
      <c r="F21">
        <v>90</v>
      </c>
      <c r="G21">
        <v>86</v>
      </c>
      <c r="H21" s="12">
        <v>384</v>
      </c>
      <c r="I21" s="12">
        <v>96</v>
      </c>
    </row>
    <row r="22" spans="1:9" outlineLevel="2" x14ac:dyDescent="0.15">
      <c r="A22">
        <v>20220510</v>
      </c>
      <c r="B22" t="s">
        <v>18</v>
      </c>
      <c r="C22" t="s">
        <v>53</v>
      </c>
      <c r="D22">
        <v>96</v>
      </c>
      <c r="E22">
        <v>95</v>
      </c>
      <c r="F22">
        <v>90</v>
      </c>
      <c r="G22">
        <v>85</v>
      </c>
      <c r="H22" s="12">
        <v>366</v>
      </c>
      <c r="I22" s="12">
        <v>91.5</v>
      </c>
    </row>
    <row r="23" spans="1:9" outlineLevel="2" x14ac:dyDescent="0.15">
      <c r="A23">
        <v>20220502</v>
      </c>
      <c r="B23" t="s">
        <v>10</v>
      </c>
      <c r="C23" t="s">
        <v>53</v>
      </c>
      <c r="D23">
        <v>95</v>
      </c>
      <c r="E23">
        <v>98</v>
      </c>
      <c r="F23">
        <v>88</v>
      </c>
      <c r="G23">
        <v>84</v>
      </c>
      <c r="H23" s="12">
        <v>365</v>
      </c>
      <c r="I23" s="12">
        <v>91.25</v>
      </c>
    </row>
    <row r="24" spans="1:9" outlineLevel="2" x14ac:dyDescent="0.15">
      <c r="A24">
        <v>20220509</v>
      </c>
      <c r="B24" t="s">
        <v>17</v>
      </c>
      <c r="C24" t="s">
        <v>53</v>
      </c>
      <c r="D24">
        <v>89</v>
      </c>
      <c r="E24">
        <v>84</v>
      </c>
      <c r="F24">
        <v>80</v>
      </c>
      <c r="G24">
        <v>103</v>
      </c>
      <c r="H24" s="12">
        <v>356</v>
      </c>
      <c r="I24" s="12">
        <v>89</v>
      </c>
    </row>
    <row r="25" spans="1:9" outlineLevel="2" x14ac:dyDescent="0.15">
      <c r="A25">
        <v>20220527</v>
      </c>
      <c r="B25" t="s">
        <v>34</v>
      </c>
      <c r="C25" t="s">
        <v>53</v>
      </c>
      <c r="D25">
        <v>95</v>
      </c>
      <c r="E25">
        <v>82</v>
      </c>
      <c r="F25">
        <v>98</v>
      </c>
      <c r="G25">
        <v>78</v>
      </c>
      <c r="H25" s="12">
        <v>353</v>
      </c>
      <c r="I25" s="12">
        <v>88.25</v>
      </c>
    </row>
    <row r="26" spans="1:9" outlineLevel="2" x14ac:dyDescent="0.15">
      <c r="A26">
        <v>20220522</v>
      </c>
      <c r="B26" t="s">
        <v>29</v>
      </c>
      <c r="C26" t="s">
        <v>53</v>
      </c>
      <c r="D26">
        <v>79</v>
      </c>
      <c r="E26">
        <v>89</v>
      </c>
      <c r="F26">
        <v>81</v>
      </c>
      <c r="G26">
        <v>103</v>
      </c>
      <c r="H26" s="12">
        <v>352</v>
      </c>
      <c r="I26" s="12">
        <v>88</v>
      </c>
    </row>
    <row r="27" spans="1:9" outlineLevel="2" x14ac:dyDescent="0.15">
      <c r="A27">
        <v>20220520</v>
      </c>
      <c r="B27" t="s">
        <v>27</v>
      </c>
      <c r="C27" t="s">
        <v>53</v>
      </c>
      <c r="D27">
        <v>82</v>
      </c>
      <c r="E27">
        <v>95</v>
      </c>
      <c r="F27">
        <v>94</v>
      </c>
      <c r="G27">
        <v>79</v>
      </c>
      <c r="H27" s="12">
        <v>350</v>
      </c>
      <c r="I27" s="12">
        <v>87.5</v>
      </c>
    </row>
    <row r="28" spans="1:9" outlineLevel="2" x14ac:dyDescent="0.15">
      <c r="A28">
        <v>20220514</v>
      </c>
      <c r="B28" t="s">
        <v>22</v>
      </c>
      <c r="C28" t="s">
        <v>53</v>
      </c>
      <c r="D28">
        <v>71</v>
      </c>
      <c r="E28">
        <v>96</v>
      </c>
      <c r="F28">
        <v>80</v>
      </c>
      <c r="G28">
        <v>89</v>
      </c>
      <c r="H28" s="12">
        <v>336</v>
      </c>
      <c r="I28" s="12">
        <v>84</v>
      </c>
    </row>
    <row r="29" spans="1:9" outlineLevel="2" x14ac:dyDescent="0.15">
      <c r="A29">
        <v>20220505</v>
      </c>
      <c r="B29" t="s">
        <v>13</v>
      </c>
      <c r="C29" t="s">
        <v>53</v>
      </c>
      <c r="D29">
        <v>100</v>
      </c>
      <c r="E29">
        <v>79</v>
      </c>
      <c r="F29">
        <v>68</v>
      </c>
      <c r="G29">
        <v>81</v>
      </c>
      <c r="H29" s="12">
        <v>328</v>
      </c>
      <c r="I29" s="12">
        <v>82</v>
      </c>
    </row>
    <row r="30" spans="1:9" outlineLevel="2" x14ac:dyDescent="0.15">
      <c r="A30">
        <v>20220521</v>
      </c>
      <c r="B30" t="s">
        <v>28</v>
      </c>
      <c r="C30" t="s">
        <v>53</v>
      </c>
      <c r="D30">
        <v>91</v>
      </c>
      <c r="E30">
        <v>85</v>
      </c>
      <c r="F30">
        <v>63</v>
      </c>
      <c r="G30">
        <v>88</v>
      </c>
      <c r="H30" s="12">
        <v>327</v>
      </c>
      <c r="I30" s="12">
        <v>81.75</v>
      </c>
    </row>
    <row r="31" spans="1:9" outlineLevel="2" x14ac:dyDescent="0.15">
      <c r="A31">
        <v>20220528</v>
      </c>
      <c r="B31" t="s">
        <v>35</v>
      </c>
      <c r="C31" t="s">
        <v>53</v>
      </c>
      <c r="D31">
        <v>85</v>
      </c>
      <c r="E31">
        <v>94</v>
      </c>
      <c r="F31">
        <v>89</v>
      </c>
      <c r="G31">
        <v>58</v>
      </c>
      <c r="H31" s="12">
        <v>326</v>
      </c>
      <c r="I31" s="12">
        <v>81.5</v>
      </c>
    </row>
    <row r="32" spans="1:9" outlineLevel="2" x14ac:dyDescent="0.15">
      <c r="A32">
        <v>20220517</v>
      </c>
      <c r="B32" t="s">
        <v>25</v>
      </c>
      <c r="C32" t="s">
        <v>53</v>
      </c>
      <c r="D32">
        <v>58</v>
      </c>
      <c r="E32">
        <v>95</v>
      </c>
      <c r="F32">
        <v>88</v>
      </c>
      <c r="G32">
        <v>78</v>
      </c>
      <c r="H32" s="12">
        <v>319</v>
      </c>
      <c r="I32" s="12">
        <v>79.75</v>
      </c>
    </row>
    <row r="33" spans="1:9" outlineLevel="2" x14ac:dyDescent="0.15">
      <c r="A33">
        <v>20220513</v>
      </c>
      <c r="B33" t="s">
        <v>21</v>
      </c>
      <c r="C33" t="s">
        <v>53</v>
      </c>
      <c r="D33">
        <v>75</v>
      </c>
      <c r="E33">
        <v>89</v>
      </c>
      <c r="F33">
        <v>78</v>
      </c>
      <c r="G33">
        <v>71</v>
      </c>
      <c r="H33" s="12">
        <v>313</v>
      </c>
      <c r="I33" s="12">
        <v>78.25</v>
      </c>
    </row>
    <row r="34" spans="1:9" outlineLevel="1" x14ac:dyDescent="0.15">
      <c r="C34" s="13" t="s">
        <v>56</v>
      </c>
      <c r="H34" s="12">
        <f>SUBTOTAL(1,H20:H33)</f>
        <v>348.42857142857144</v>
      </c>
      <c r="I34" s="12"/>
    </row>
    <row r="35" spans="1:9" x14ac:dyDescent="0.15">
      <c r="C35" s="13" t="s">
        <v>58</v>
      </c>
      <c r="H35" s="12">
        <f>SUBTOTAL(1,H2:H33)</f>
        <v>347.16129032258067</v>
      </c>
      <c r="I35" s="12"/>
    </row>
  </sheetData>
  <sortState ref="A2:I32">
    <sortCondition ref="C2:C3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图表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2022-03-21T09:17:07Z</dcterms:modified>
</cp:coreProperties>
</file>
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10" windowHeight="12000" activeTab="4"/>
  </bookViews>
  <sheets>
    <sheet name="法一" sheetId="2" r:id="rId1"/>
    <sheet name="法二" sheetId="3" r:id="rId2"/>
    <sheet name="法三" sheetId="4" r:id="rId3"/>
    <sheet name="法四" sheetId="5" r:id="rId4"/>
    <sheet name="总体情况表" sheetId="6" r:id="rId5"/>
  </sheets>
  <definedNames>
    <definedName name="Excel_BuiltIn__FilterDatabase" localSheetId="3">法四!$A$2:$K$27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<sst xmlns="http://schemas.openxmlformats.org/spreadsheetml/2006/main" count="183" uniqueCount="126">
  <si>
    <t>2012级法律专业一班期末成绩单</t>
  </si>
  <si>
    <t>学号</t>
  </si>
  <si>
    <t>姓名</t>
  </si>
  <si>
    <t>英语</t>
  </si>
  <si>
    <t>体育</t>
  </si>
  <si>
    <t>计算机</t>
  </si>
  <si>
    <t>近代史</t>
  </si>
  <si>
    <t>法制史</t>
  </si>
  <si>
    <t>刑法</t>
  </si>
  <si>
    <t>民法</t>
  </si>
  <si>
    <t>法律英语</t>
  </si>
  <si>
    <t>立法法</t>
  </si>
  <si>
    <t>总分</t>
  </si>
  <si>
    <t>平均分</t>
  </si>
  <si>
    <t>班内排名</t>
  </si>
  <si>
    <t>潘志阳</t>
  </si>
  <si>
    <t>蒋文奇</t>
  </si>
  <si>
    <t>苗超鹏</t>
  </si>
  <si>
    <t>阮军胜</t>
  </si>
  <si>
    <t>邢尧磊</t>
  </si>
  <si>
    <t>王圣斌</t>
  </si>
  <si>
    <t>焦宝亮</t>
  </si>
  <si>
    <t>翁建民</t>
  </si>
  <si>
    <t>张志权</t>
  </si>
  <si>
    <t>李帅帅</t>
  </si>
  <si>
    <t>王帅</t>
  </si>
  <si>
    <t>乔泽宇</t>
  </si>
  <si>
    <t>钱超群</t>
  </si>
  <si>
    <t>陈称意</t>
  </si>
  <si>
    <t>盛雅</t>
  </si>
  <si>
    <t>王佳君</t>
  </si>
  <si>
    <t>史二映</t>
  </si>
  <si>
    <t>王晓亚</t>
  </si>
  <si>
    <t>魏利娟</t>
  </si>
  <si>
    <t>杨慧娟</t>
  </si>
  <si>
    <t>刘璐璐</t>
  </si>
  <si>
    <t>廉梦迪</t>
  </si>
  <si>
    <t>郭梦月</t>
  </si>
  <si>
    <t>于慧霞</t>
  </si>
  <si>
    <t>高琳</t>
  </si>
  <si>
    <t>2012级法律专业二班期末成绩单</t>
  </si>
  <si>
    <t>朱朝阳</t>
  </si>
  <si>
    <t>娄欣</t>
  </si>
  <si>
    <t>李靖</t>
  </si>
  <si>
    <t>员江涛</t>
  </si>
  <si>
    <t>任禹豪</t>
  </si>
  <si>
    <t>郭宝忠</t>
  </si>
  <si>
    <t>高小满</t>
  </si>
  <si>
    <t>姚祥</t>
  </si>
  <si>
    <t>万海望</t>
  </si>
  <si>
    <t>齐昴跻</t>
  </si>
  <si>
    <t>刘银超</t>
  </si>
  <si>
    <t>李蕾</t>
  </si>
  <si>
    <t>马银丽</t>
  </si>
  <si>
    <t>王乐乐</t>
  </si>
  <si>
    <t>吉海孟</t>
  </si>
  <si>
    <t>李雪燕</t>
  </si>
  <si>
    <t>陈仲鑫</t>
  </si>
  <si>
    <t>李嘉丽</t>
  </si>
  <si>
    <t>张林林</t>
  </si>
  <si>
    <t>张蕊</t>
  </si>
  <si>
    <t>李一</t>
  </si>
  <si>
    <t>姜倩</t>
  </si>
  <si>
    <t>曹琳</t>
  </si>
  <si>
    <t>晁晓燕</t>
  </si>
  <si>
    <t>马亚茹</t>
  </si>
  <si>
    <t>2012级法律专业三班期末成绩单</t>
  </si>
  <si>
    <t>李孟亚</t>
  </si>
  <si>
    <t>张钟英</t>
  </si>
  <si>
    <t>张盼光</t>
  </si>
  <si>
    <t>刘壮</t>
  </si>
  <si>
    <t>张林宽</t>
  </si>
  <si>
    <t>王晟仕</t>
  </si>
  <si>
    <t>刘刚</t>
  </si>
  <si>
    <t>丁世营</t>
  </si>
  <si>
    <t>刘丛</t>
  </si>
  <si>
    <t>彭鹏</t>
  </si>
  <si>
    <t>李硕果</t>
  </si>
  <si>
    <t>朱艺鑫</t>
  </si>
  <si>
    <t>冯泽媛</t>
  </si>
  <si>
    <t>王源源</t>
  </si>
  <si>
    <t>任迎迎</t>
  </si>
  <si>
    <t>沈秀明</t>
  </si>
  <si>
    <t>梁会会</t>
  </si>
  <si>
    <t>程亚娟</t>
  </si>
  <si>
    <t>刘旭</t>
  </si>
  <si>
    <t>张晓平</t>
  </si>
  <si>
    <t>王洁</t>
  </si>
  <si>
    <t>王颖</t>
  </si>
  <si>
    <t>路俊俊</t>
  </si>
  <si>
    <t>王娜</t>
  </si>
  <si>
    <t>马杰</t>
  </si>
  <si>
    <t>2012级法律专业四班期末成绩单</t>
  </si>
  <si>
    <t>丁志民</t>
  </si>
  <si>
    <t>郭艳超</t>
  </si>
  <si>
    <t>王自豪</t>
  </si>
  <si>
    <t>杨一帆</t>
  </si>
  <si>
    <t>赵蒙</t>
  </si>
  <si>
    <t>牛灿灿</t>
  </si>
  <si>
    <t>陈辰</t>
  </si>
  <si>
    <t>陈亚杰</t>
  </si>
  <si>
    <t>张万春</t>
  </si>
  <si>
    <t>胡长城</t>
  </si>
  <si>
    <t>叶自力</t>
  </si>
  <si>
    <t>杨伟</t>
  </si>
  <si>
    <t>刘炜炜</t>
  </si>
  <si>
    <t>刘亚萍</t>
  </si>
  <si>
    <t>远晴晴</t>
  </si>
  <si>
    <t>郭晓娟</t>
  </si>
  <si>
    <t>周克乐</t>
  </si>
  <si>
    <t>王朦胧</t>
  </si>
  <si>
    <t>张琪琪</t>
  </si>
  <si>
    <t>王航</t>
  </si>
  <si>
    <t>周乐乐</t>
  </si>
  <si>
    <t>张会芳</t>
  </si>
  <si>
    <t>田宁</t>
  </si>
  <si>
    <t>向红丽</t>
  </si>
  <si>
    <t>李佳旭</t>
  </si>
  <si>
    <t>2012级法律专业班级期末成绩总体情况表</t>
  </si>
  <si>
    <t>班级</t>
  </si>
  <si>
    <t>排名</t>
  </si>
  <si>
    <t>法一</t>
  </si>
  <si>
    <t>法二</t>
  </si>
  <si>
    <t>法三</t>
  </si>
  <si>
    <t>法四</t>
  </si>
  <si>
    <t>总平均分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</si>
</sst>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4">
    <font>
      <sz val="12"/>
      <name val="宋体"/>
      <charset val="134"/>
    </font>
    <font>
      <sz val="14"/>
      <name val="微软雅黑"/>
      <charset val="134"/>
    </font>
    <font>
      <sz val="12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8"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7" formatCode="0_ "/>
    </dxf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.0_ "/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.0_ "/>
      <alignment horizontal="center" vertical="center"/>
    </dxf>
    <dxf>
      <numFmt numFmtId="177" formatCode="0_ 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.0_ "/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.0_ "/>
      <alignment horizontal="center" vertical="center"/>
    </dxf>
    <dxf>
      <numFmt numFmtId="177" formatCode="0_ 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7" formatCode="0_ "/>
      <alignment horizontal="center" vertical="center"/>
    </dxf>
    <dxf>
      <font>
        <name val="宋体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6" formatCode="0.0_ "/>
      <alignment horizontal="center" vertical="center"/>
    </dxf>
    <dxf>
      <numFmt numFmtId="177" formatCode="0_ "/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firstColumnStripe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各班各科目平均成绩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总体情况表!$A$3</c:f>
              <c:strCache>
                <c:ptCount val="1"/>
                <c:pt idx="0">
                  <c:v>法一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总体情况表!$B$2:$J$2</c:f>
              <c:strCache>
                <c:ptCount val="9"/>
                <c:pt idx="0">
                  <c:v>英语</c:v>
                </c:pt>
                <c:pt idx="1">
                  <c:v>体育</c:v>
                </c:pt>
                <c:pt idx="2">
                  <c:v>计算机</c:v>
                </c:pt>
                <c:pt idx="3">
                  <c:v>近代史</c:v>
                </c:pt>
                <c:pt idx="4">
                  <c:v>法制史</c:v>
                </c:pt>
                <c:pt idx="5">
                  <c:v>刑法</c:v>
                </c:pt>
                <c:pt idx="6">
                  <c:v>民法</c:v>
                </c:pt>
                <c:pt idx="7">
                  <c:v>法律英语</c:v>
                </c:pt>
                <c:pt idx="8">
                  <c:v>立法法</c:v>
                </c:pt>
              </c:strCache>
            </c:strRef>
          </c:cat>
          <c:val>
            <c:numRef>
              <c:f>总体情况表!$B$3:$J$3</c:f>
              <c:numCache>
                <c:formatCode>0.0_ </c:formatCode>
                <c:ptCount val="9"/>
                <c:pt idx="0">
                  <c:v>80.3</c:v>
                </c:pt>
                <c:pt idx="1">
                  <c:v>85.852</c:v>
                </c:pt>
                <c:pt idx="2">
                  <c:v>80.144</c:v>
                </c:pt>
                <c:pt idx="3">
                  <c:v>77.936</c:v>
                </c:pt>
                <c:pt idx="4">
                  <c:v>88.176</c:v>
                </c:pt>
                <c:pt idx="5">
                  <c:v>79.068</c:v>
                </c:pt>
                <c:pt idx="6">
                  <c:v>82.304</c:v>
                </c:pt>
                <c:pt idx="7">
                  <c:v>86.108</c:v>
                </c:pt>
                <c:pt idx="8">
                  <c:v>88.604</c:v>
                </c:pt>
              </c:numCache>
            </c:numRef>
          </c:val>
        </c:ser>
        <c:ser>
          <c:idx val="1"/>
          <c:order val="1"/>
          <c:tx>
            <c:strRef>
              <c:f>总体情况表!$A$4</c:f>
              <c:strCache>
                <c:ptCount val="1"/>
                <c:pt idx="0">
                  <c:v>法二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总体情况表!$B$2:$J$2</c:f>
              <c:strCache>
                <c:ptCount val="9"/>
                <c:pt idx="0">
                  <c:v>英语</c:v>
                </c:pt>
                <c:pt idx="1">
                  <c:v>体育</c:v>
                </c:pt>
                <c:pt idx="2">
                  <c:v>计算机</c:v>
                </c:pt>
                <c:pt idx="3">
                  <c:v>近代史</c:v>
                </c:pt>
                <c:pt idx="4">
                  <c:v>法制史</c:v>
                </c:pt>
                <c:pt idx="5">
                  <c:v>刑法</c:v>
                </c:pt>
                <c:pt idx="6">
                  <c:v>民法</c:v>
                </c:pt>
                <c:pt idx="7">
                  <c:v>法律英语</c:v>
                </c:pt>
                <c:pt idx="8">
                  <c:v>立法法</c:v>
                </c:pt>
              </c:strCache>
            </c:strRef>
          </c:cat>
          <c:val>
            <c:numRef>
              <c:f>总体情况表!$B$4:$J$4</c:f>
              <c:numCache>
                <c:formatCode>0.0_ </c:formatCode>
                <c:ptCount val="9"/>
                <c:pt idx="0">
                  <c:v>83.008</c:v>
                </c:pt>
                <c:pt idx="1">
                  <c:v>88.584</c:v>
                </c:pt>
                <c:pt idx="2">
                  <c:v>80.176</c:v>
                </c:pt>
                <c:pt idx="3">
                  <c:v>80.884</c:v>
                </c:pt>
                <c:pt idx="4">
                  <c:v>87.916</c:v>
                </c:pt>
                <c:pt idx="5">
                  <c:v>81.276</c:v>
                </c:pt>
                <c:pt idx="6">
                  <c:v>81.94</c:v>
                </c:pt>
                <c:pt idx="7">
                  <c:v>87.448</c:v>
                </c:pt>
                <c:pt idx="8">
                  <c:v>89.204</c:v>
                </c:pt>
              </c:numCache>
            </c:numRef>
          </c:val>
        </c:ser>
        <c:ser>
          <c:idx val="2"/>
          <c:order val="2"/>
          <c:tx>
            <c:strRef>
              <c:f>总体情况表!$A$5</c:f>
              <c:strCache>
                <c:ptCount val="1"/>
                <c:pt idx="0">
                  <c:v>法三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总体情况表!$B$2:$J$2</c:f>
              <c:strCache>
                <c:ptCount val="9"/>
                <c:pt idx="0">
                  <c:v>英语</c:v>
                </c:pt>
                <c:pt idx="1">
                  <c:v>体育</c:v>
                </c:pt>
                <c:pt idx="2">
                  <c:v>计算机</c:v>
                </c:pt>
                <c:pt idx="3">
                  <c:v>近代史</c:v>
                </c:pt>
                <c:pt idx="4">
                  <c:v>法制史</c:v>
                </c:pt>
                <c:pt idx="5">
                  <c:v>刑法</c:v>
                </c:pt>
                <c:pt idx="6">
                  <c:v>民法</c:v>
                </c:pt>
                <c:pt idx="7">
                  <c:v>法律英语</c:v>
                </c:pt>
                <c:pt idx="8">
                  <c:v>立法法</c:v>
                </c:pt>
              </c:strCache>
            </c:strRef>
          </c:cat>
          <c:val>
            <c:numRef>
              <c:f>总体情况表!$B$5:$J$5</c:f>
              <c:numCache>
                <c:formatCode>0.0_ </c:formatCode>
                <c:ptCount val="9"/>
                <c:pt idx="0">
                  <c:v>81.136</c:v>
                </c:pt>
                <c:pt idx="1">
                  <c:v>85.792</c:v>
                </c:pt>
                <c:pt idx="2">
                  <c:v>80.156</c:v>
                </c:pt>
                <c:pt idx="3">
                  <c:v>77.884</c:v>
                </c:pt>
                <c:pt idx="4">
                  <c:v>80.696</c:v>
                </c:pt>
                <c:pt idx="5">
                  <c:v>81.944</c:v>
                </c:pt>
                <c:pt idx="6">
                  <c:v>78.828</c:v>
                </c:pt>
                <c:pt idx="7">
                  <c:v>84.08</c:v>
                </c:pt>
                <c:pt idx="8">
                  <c:v>88.96</c:v>
                </c:pt>
              </c:numCache>
            </c:numRef>
          </c:val>
        </c:ser>
        <c:ser>
          <c:idx val="3"/>
          <c:order val="3"/>
          <c:tx>
            <c:strRef>
              <c:f>总体情况表!$A$6</c:f>
              <c:strCache>
                <c:ptCount val="1"/>
                <c:pt idx="0">
                  <c:v>法四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总体情况表!$B$2:$J$2</c:f>
              <c:strCache>
                <c:ptCount val="9"/>
                <c:pt idx="0">
                  <c:v>英语</c:v>
                </c:pt>
                <c:pt idx="1">
                  <c:v>体育</c:v>
                </c:pt>
                <c:pt idx="2">
                  <c:v>计算机</c:v>
                </c:pt>
                <c:pt idx="3">
                  <c:v>近代史</c:v>
                </c:pt>
                <c:pt idx="4">
                  <c:v>法制史</c:v>
                </c:pt>
                <c:pt idx="5">
                  <c:v>刑法</c:v>
                </c:pt>
                <c:pt idx="6">
                  <c:v>民法</c:v>
                </c:pt>
                <c:pt idx="7">
                  <c:v>法律英语</c:v>
                </c:pt>
                <c:pt idx="8">
                  <c:v>立法法</c:v>
                </c:pt>
              </c:strCache>
            </c:strRef>
          </c:cat>
          <c:val>
            <c:numRef>
              <c:f>总体情况表!$B$6:$J$6</c:f>
              <c:numCache>
                <c:formatCode>0.0_ </c:formatCode>
                <c:ptCount val="9"/>
                <c:pt idx="0">
                  <c:v>82.136</c:v>
                </c:pt>
                <c:pt idx="1">
                  <c:v>84.052</c:v>
                </c:pt>
                <c:pt idx="2">
                  <c:v>79.248</c:v>
                </c:pt>
                <c:pt idx="3">
                  <c:v>77.184</c:v>
                </c:pt>
                <c:pt idx="4">
                  <c:v>81.832</c:v>
                </c:pt>
                <c:pt idx="5">
                  <c:v>82.4</c:v>
                </c:pt>
                <c:pt idx="6">
                  <c:v>79.18</c:v>
                </c:pt>
                <c:pt idx="7">
                  <c:v>86.156</c:v>
                </c:pt>
                <c:pt idx="8">
                  <c:v>88.768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7533058"/>
        <c:axId val="235521260"/>
      </c:barChart>
      <c:catAx>
        <c:axId val="7775330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521260"/>
        <c:crosses val="autoZero"/>
        <c:auto val="1"/>
        <c:lblAlgn val="ctr"/>
        <c:lblOffset val="100"/>
        <c:noMultiLvlLbl val="0"/>
      </c:catAx>
      <c:valAx>
        <c:axId val="2355212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533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441325</xdr:colOff>
      <xdr:row>10</xdr:row>
      <xdr:rowOff>139700</xdr:rowOff>
    </xdr:from>
    <xdr:to>
      <xdr:col>9</xdr:col>
      <xdr:colOff>466725</xdr:colOff>
      <xdr:row>25</xdr:row>
      <xdr:rowOff>168275</xdr:rowOff>
    </xdr:to>
    <xdr:graphicFrame>
      <xdr:nvGraphicFramePr>
        <xdr:cNvPr id="6" name="图表 5"/>
        <xdr:cNvGraphicFramePr/>
      </xdr:nvGraphicFramePr>
      <xdr:xfrm>
        <a:off x="1812925" y="2149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表2" displayName="表2" ref="A2:N28" totalsRowShown="0">
  <autoFilter xmlns:etc="http://www.wps.cn/officeDocument/2017/etCustomData" ref="A2:N28" etc:filterBottomFollowUsedRange="0"/>
  <tableColumns count="14">
    <tableColumn id="1" name="学号"/>
    <tableColumn id="2" name="姓名"/>
    <tableColumn id="3" name="英语"/>
    <tableColumn id="4" name="体育"/>
    <tableColumn id="5" name="计算机"/>
    <tableColumn id="6" name="近代史"/>
    <tableColumn id="7" name="法制史"/>
    <tableColumn id="8" name="刑法"/>
    <tableColumn id="9" name="民法"/>
    <tableColumn id="10" name="法律英语"/>
    <tableColumn id="11" name="立法法"/>
    <tableColumn id="12" name="总分" dataDxfId="0">
      <calculatedColumnFormula>SUM(C3:K3)</calculatedColumnFormula>
    </tableColumn>
    <tableColumn id="13" name="平均分" dataDxfId="1">
      <calculatedColumnFormula>AVERAGE(C3:K3)</calculatedColumnFormula>
    </tableColumn>
    <tableColumn id="14" name="班内排名" dataDxfId="2">
      <calculatedColumnFormula>RANK(L3,$L$3:$L$27)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表3" displayName="表3" ref="A2:N28" totalsRowShown="0">
  <autoFilter xmlns:etc="http://www.wps.cn/officeDocument/2017/etCustomData" ref="A2:N28" etc:filterBottomFollowUsedRange="0"/>
  <tableColumns count="14">
    <tableColumn id="1" name="学号" dataDxfId="4"/>
    <tableColumn id="2" name="姓名" dataDxfId="5"/>
    <tableColumn id="3" name="英语"/>
    <tableColumn id="4" name="体育"/>
    <tableColumn id="5" name="计算机"/>
    <tableColumn id="6" name="近代史"/>
    <tableColumn id="7" name="法制史"/>
    <tableColumn id="8" name="刑法"/>
    <tableColumn id="9" name="民法"/>
    <tableColumn id="10" name="法律英语"/>
    <tableColumn id="11" name="立法法"/>
    <tableColumn id="12" name="总分" dataDxfId="6">
      <calculatedColumnFormula>SUM(C3:K3)</calculatedColumnFormula>
    </tableColumn>
    <tableColumn id="13" name="平均分" dataDxfId="7">
      <calculatedColumnFormula>AVERAGE(C3:K3)</calculatedColumnFormula>
    </tableColumn>
    <tableColumn id="14" name="班内排名" dataDxfId="8">
      <calculatedColumnFormula>RANK(L3,$L$3:$L$27)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表4" displayName="表4" ref="A2:N28" totalsRowShown="0">
  <autoFilter xmlns:etc="http://www.wps.cn/officeDocument/2017/etCustomData" ref="A2:N28" etc:filterBottomFollowUsedRange="0"/>
  <tableColumns count="14">
    <tableColumn id="1" name="学号" dataDxfId="9"/>
    <tableColumn id="2" name="姓名" dataDxfId="10"/>
    <tableColumn id="3" name="英语"/>
    <tableColumn id="4" name="体育"/>
    <tableColumn id="5" name="计算机"/>
    <tableColumn id="6" name="近代史"/>
    <tableColumn id="7" name="法制史"/>
    <tableColumn id="8" name="刑法"/>
    <tableColumn id="9" name="民法"/>
    <tableColumn id="10" name="法律英语"/>
    <tableColumn id="11" name="立法法"/>
    <tableColumn id="12" name="总分" dataDxfId="11">
      <calculatedColumnFormula>SUM(C3:K3)</calculatedColumnFormula>
    </tableColumn>
    <tableColumn id="13" name="平均分" dataDxfId="12">
      <calculatedColumnFormula>AVERAGE(C3:K3)</calculatedColumnFormula>
    </tableColumn>
    <tableColumn id="14" name="班内排名" dataDxfId="13">
      <calculatedColumnFormula>RANK(L3,$L$3:$L$27)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5" name="表5" displayName="表5" ref="A2:N28" totalsRowShown="0">
  <autoFilter xmlns:etc="http://www.wps.cn/officeDocument/2017/etCustomData" ref="A2:N28" etc:filterBottomFollowUsedRange="0"/>
  <tableColumns count="14">
    <tableColumn id="1" name="学号" dataDxfId="14"/>
    <tableColumn id="2" name="姓名" dataDxfId="15"/>
    <tableColumn id="3" name="英语" dataDxfId="16"/>
    <tableColumn id="4" name="体育" dataDxfId="17"/>
    <tableColumn id="5" name="近代史" dataDxfId="18"/>
    <tableColumn id="6" name="计算机" dataDxfId="19"/>
    <tableColumn id="7" name="法制史" dataDxfId="20"/>
    <tableColumn id="8" name="刑法" dataDxfId="21"/>
    <tableColumn id="9" name="民法" dataDxfId="22"/>
    <tableColumn id="10" name="法律英语" dataDxfId="23"/>
    <tableColumn id="11" name="立法法" dataDxfId="24"/>
    <tableColumn id="12" name="总分" dataDxfId="25">
      <calculatedColumnFormula>SUM(C3:K3)</calculatedColumnFormula>
    </tableColumn>
    <tableColumn id="13" name="平均分" dataDxfId="26">
      <calculatedColumnFormula>AVERAGE(C3:K3)</calculatedColumnFormula>
    </tableColumn>
    <tableColumn id="14" name="班内排名" dataDxfId="27">
      <calculatedColumnFormula>RANK(L3,$L$3:$L$27)</calculatedColumnFormula>
    </tableColumn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6" name="表6" displayName="表6" ref="A2:M7" totalsRowShown="0">
  <autoFilter xmlns:etc="http://www.wps.cn/officeDocument/2017/etCustomData" ref="A2:M7" etc:filterBottomFollowUsedRange="0"/>
  <tableColumns count="13">
    <tableColumn id="1" name="班级" dataDxfId="28"/>
    <tableColumn id="2" name="英语" dataDxfId="29">
      <calculatedColumnFormula>AVERAGE(法三!C1:C25)</calculatedColumnFormula>
    </tableColumn>
    <tableColumn id="3" name="体育" dataDxfId="30"/>
    <tableColumn id="4" name="计算机" dataDxfId="31"/>
    <tableColumn id="5" name="近代史" dataDxfId="32"/>
    <tableColumn id="6" name="法制史" dataDxfId="33"/>
    <tableColumn id="7" name="刑法" dataDxfId="34"/>
    <tableColumn id="8" name="民法" dataDxfId="35"/>
    <tableColumn id="9" name="法律英语" dataDxfId="36"/>
    <tableColumn id="10" name="立法法" dataDxfId="37"/>
    <tableColumn id="11" name="总分" dataDxfId="38">
      <calculatedColumnFormula>SUM(B3:J3)</calculatedColumnFormula>
    </tableColumn>
    <tableColumn id="12" name="平均分" dataDxfId="39">
      <calculatedColumnFormula>AVERAGE(B3:J3)</calculatedColumnFormula>
    </tableColumn>
    <tableColumn id="13" name="排名" dataDxfId="40">
      <calculatedColumnFormula>RANK(K3,$K$3:$K$6)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90" zoomScaleNormal="90" topLeftCell="B1" workbookViewId="0">
      <selection activeCell="G32" sqref="G32"/>
    </sheetView>
  </sheetViews>
  <sheetFormatPr defaultColWidth="8.875" defaultRowHeight="14.25"/>
  <cols>
    <col min="1" max="1" width="12.75" style="13" customWidth="1"/>
    <col min="2" max="16384" width="8.875" style="13"/>
  </cols>
  <sheetData>
    <row r="1" s="12" customFormat="1" ht="30" customHeight="1" spans="1:14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14" t="s">
        <v>12</v>
      </c>
      <c r="M2" s="14" t="s">
        <v>13</v>
      </c>
      <c r="N2" s="14" t="s">
        <v>14</v>
      </c>
    </row>
    <row r="3" spans="1:14">
      <c r="A3" s="8">
        <v>1201001</v>
      </c>
      <c r="B3" s="8" t="s">
        <v>15</v>
      </c>
      <c r="C3" s="8">
        <v>76.1</v>
      </c>
      <c r="D3" s="8">
        <v>82.8</v>
      </c>
      <c r="E3" s="8">
        <v>76.5</v>
      </c>
      <c r="F3" s="8">
        <v>75.8</v>
      </c>
      <c r="G3" s="8">
        <v>87.9</v>
      </c>
      <c r="H3" s="8">
        <v>76.8</v>
      </c>
      <c r="I3" s="8">
        <v>79.7</v>
      </c>
      <c r="J3" s="8">
        <v>83.9</v>
      </c>
      <c r="K3" s="8">
        <v>88.9</v>
      </c>
      <c r="L3" s="15">
        <f t="shared" ref="L3:L28" si="0">SUM(C3:K3)</f>
        <v>728.4</v>
      </c>
      <c r="M3" s="15">
        <f t="shared" ref="M3:M28" si="1">AVERAGE(C3:K3)</f>
        <v>80.9333333333333</v>
      </c>
      <c r="N3" s="16">
        <f t="shared" ref="N3:N28" si="2">RANK(L3,$L$3:$L$27)</f>
        <v>20</v>
      </c>
    </row>
    <row r="4" spans="1:14">
      <c r="A4" s="8">
        <v>1201002</v>
      </c>
      <c r="B4" s="8" t="s">
        <v>16</v>
      </c>
      <c r="C4" s="8">
        <v>58.5</v>
      </c>
      <c r="D4" s="8">
        <v>88.7</v>
      </c>
      <c r="E4" s="8">
        <v>78.6</v>
      </c>
      <c r="F4" s="8">
        <v>69.6</v>
      </c>
      <c r="G4" s="8">
        <v>93.6</v>
      </c>
      <c r="H4" s="8">
        <v>87.3</v>
      </c>
      <c r="I4" s="8">
        <v>82.5</v>
      </c>
      <c r="J4" s="8">
        <v>81.5</v>
      </c>
      <c r="K4" s="8">
        <v>89.1</v>
      </c>
      <c r="L4" s="15">
        <f t="shared" si="0"/>
        <v>729.4</v>
      </c>
      <c r="M4" s="15">
        <f t="shared" si="1"/>
        <v>81.0444444444444</v>
      </c>
      <c r="N4" s="16">
        <f t="shared" si="2"/>
        <v>19</v>
      </c>
    </row>
    <row r="5" spans="1:14">
      <c r="A5" s="8">
        <v>1201003</v>
      </c>
      <c r="B5" s="8" t="s">
        <v>17</v>
      </c>
      <c r="C5" s="8">
        <v>72.9</v>
      </c>
      <c r="D5" s="8">
        <v>89.9</v>
      </c>
      <c r="E5" s="8">
        <v>83.5</v>
      </c>
      <c r="F5" s="8">
        <v>73.1</v>
      </c>
      <c r="G5" s="8">
        <v>88.3</v>
      </c>
      <c r="H5" s="8">
        <v>77.4</v>
      </c>
      <c r="I5" s="8">
        <v>82.5</v>
      </c>
      <c r="J5" s="8">
        <v>87.4</v>
      </c>
      <c r="K5" s="8">
        <v>88.3</v>
      </c>
      <c r="L5" s="15">
        <f t="shared" si="0"/>
        <v>743.3</v>
      </c>
      <c r="M5" s="15">
        <f t="shared" si="1"/>
        <v>82.5888888888889</v>
      </c>
      <c r="N5" s="16">
        <f t="shared" si="2"/>
        <v>15</v>
      </c>
    </row>
    <row r="6" spans="1:14">
      <c r="A6" s="8">
        <v>1201004</v>
      </c>
      <c r="B6" s="8" t="s">
        <v>18</v>
      </c>
      <c r="C6" s="8">
        <v>81</v>
      </c>
      <c r="D6" s="8">
        <v>89.3</v>
      </c>
      <c r="E6" s="8">
        <v>73</v>
      </c>
      <c r="F6" s="8">
        <v>71</v>
      </c>
      <c r="G6" s="8">
        <v>89.3</v>
      </c>
      <c r="H6" s="8">
        <v>79.6</v>
      </c>
      <c r="I6" s="8">
        <v>87.4</v>
      </c>
      <c r="J6" s="8">
        <v>90</v>
      </c>
      <c r="K6" s="8">
        <v>86.6</v>
      </c>
      <c r="L6" s="15">
        <f t="shared" si="0"/>
        <v>747.2</v>
      </c>
      <c r="M6" s="15">
        <f t="shared" si="1"/>
        <v>83.0222222222222</v>
      </c>
      <c r="N6" s="16">
        <f t="shared" si="2"/>
        <v>14</v>
      </c>
    </row>
    <row r="7" spans="1:14">
      <c r="A7" s="8">
        <v>1201005</v>
      </c>
      <c r="B7" s="8" t="s">
        <v>19</v>
      </c>
      <c r="C7" s="8">
        <v>78.5</v>
      </c>
      <c r="D7" s="8">
        <v>95.6</v>
      </c>
      <c r="E7" s="8">
        <v>66.5</v>
      </c>
      <c r="F7" s="8">
        <v>57.4</v>
      </c>
      <c r="G7" s="8">
        <v>84.6</v>
      </c>
      <c r="H7" s="8">
        <v>77.1</v>
      </c>
      <c r="I7" s="8">
        <v>81.1</v>
      </c>
      <c r="J7" s="8">
        <v>83.6</v>
      </c>
      <c r="K7" s="8">
        <v>88.6</v>
      </c>
      <c r="L7" s="15">
        <f t="shared" si="0"/>
        <v>713</v>
      </c>
      <c r="M7" s="15">
        <f t="shared" si="1"/>
        <v>79.2222222222222</v>
      </c>
      <c r="N7" s="16">
        <f t="shared" si="2"/>
        <v>23</v>
      </c>
    </row>
    <row r="8" spans="1:14">
      <c r="A8" s="8">
        <v>1201006</v>
      </c>
      <c r="B8" s="8" t="s">
        <v>20</v>
      </c>
      <c r="C8" s="8">
        <v>76.8</v>
      </c>
      <c r="D8" s="8">
        <v>89.6</v>
      </c>
      <c r="E8" s="8">
        <v>78.6</v>
      </c>
      <c r="F8" s="8">
        <v>80.1</v>
      </c>
      <c r="G8" s="8">
        <v>83.6</v>
      </c>
      <c r="H8" s="8">
        <v>81.8</v>
      </c>
      <c r="I8" s="8">
        <v>79.7</v>
      </c>
      <c r="J8" s="8">
        <v>83.2</v>
      </c>
      <c r="K8" s="8">
        <v>87.2</v>
      </c>
      <c r="L8" s="15">
        <f t="shared" si="0"/>
        <v>740.6</v>
      </c>
      <c r="M8" s="15">
        <f t="shared" si="1"/>
        <v>82.2888888888889</v>
      </c>
      <c r="N8" s="16">
        <f t="shared" si="2"/>
        <v>16</v>
      </c>
    </row>
    <row r="9" spans="1:14">
      <c r="A9" s="8">
        <v>1201007</v>
      </c>
      <c r="B9" s="8" t="s">
        <v>21</v>
      </c>
      <c r="C9" s="8">
        <v>82.7</v>
      </c>
      <c r="D9" s="8">
        <v>88.2</v>
      </c>
      <c r="E9" s="8">
        <v>80</v>
      </c>
      <c r="F9" s="8">
        <v>80.8</v>
      </c>
      <c r="G9" s="8">
        <v>93.2</v>
      </c>
      <c r="H9" s="8">
        <v>84.5</v>
      </c>
      <c r="I9" s="8">
        <v>82.5</v>
      </c>
      <c r="J9" s="8">
        <v>82.1</v>
      </c>
      <c r="K9" s="8">
        <v>88.5</v>
      </c>
      <c r="L9" s="15">
        <f t="shared" si="0"/>
        <v>762.5</v>
      </c>
      <c r="M9" s="15">
        <f t="shared" si="1"/>
        <v>84.7222222222222</v>
      </c>
      <c r="N9" s="16">
        <f t="shared" si="2"/>
        <v>11</v>
      </c>
    </row>
    <row r="10" spans="1:14">
      <c r="A10" s="8">
        <v>1201008</v>
      </c>
      <c r="B10" s="8" t="s">
        <v>22</v>
      </c>
      <c r="C10" s="8">
        <v>80</v>
      </c>
      <c r="D10" s="8">
        <v>80.1</v>
      </c>
      <c r="E10" s="8">
        <v>77.2</v>
      </c>
      <c r="F10" s="8">
        <v>74.4</v>
      </c>
      <c r="G10" s="8">
        <v>91.6</v>
      </c>
      <c r="H10" s="8">
        <v>70.1</v>
      </c>
      <c r="I10" s="8">
        <v>82.5</v>
      </c>
      <c r="J10" s="8">
        <v>84.4</v>
      </c>
      <c r="K10" s="8">
        <v>90.6</v>
      </c>
      <c r="L10" s="15">
        <f t="shared" si="0"/>
        <v>730.9</v>
      </c>
      <c r="M10" s="15">
        <f t="shared" si="1"/>
        <v>81.2111111111111</v>
      </c>
      <c r="N10" s="16">
        <f t="shared" si="2"/>
        <v>18</v>
      </c>
    </row>
    <row r="11" spans="1:14">
      <c r="A11" s="8">
        <v>1201009</v>
      </c>
      <c r="B11" s="8" t="s">
        <v>23</v>
      </c>
      <c r="C11" s="8">
        <v>76.6</v>
      </c>
      <c r="D11" s="8">
        <v>88.7</v>
      </c>
      <c r="E11" s="8">
        <v>72.3</v>
      </c>
      <c r="F11" s="8">
        <v>71.6</v>
      </c>
      <c r="G11" s="8">
        <v>85.6</v>
      </c>
      <c r="H11" s="8">
        <v>71.8</v>
      </c>
      <c r="I11" s="8">
        <v>80.4</v>
      </c>
      <c r="J11" s="8">
        <v>76.5</v>
      </c>
      <c r="K11" s="8">
        <v>90.3</v>
      </c>
      <c r="L11" s="15">
        <f t="shared" si="0"/>
        <v>713.8</v>
      </c>
      <c r="M11" s="15">
        <f t="shared" si="1"/>
        <v>79.3111111111111</v>
      </c>
      <c r="N11" s="16">
        <f t="shared" si="2"/>
        <v>22</v>
      </c>
    </row>
    <row r="12" spans="1:14">
      <c r="A12" s="8">
        <v>1201010</v>
      </c>
      <c r="B12" s="8" t="s">
        <v>24</v>
      </c>
      <c r="C12" s="8">
        <v>82</v>
      </c>
      <c r="D12" s="8">
        <v>80</v>
      </c>
      <c r="E12" s="8">
        <v>68</v>
      </c>
      <c r="F12" s="8">
        <v>80</v>
      </c>
      <c r="G12" s="8">
        <v>82.6</v>
      </c>
      <c r="H12" s="8">
        <v>78.8</v>
      </c>
      <c r="I12" s="8">
        <v>75.5</v>
      </c>
      <c r="J12" s="8">
        <v>80.9</v>
      </c>
      <c r="K12" s="8">
        <v>87.6</v>
      </c>
      <c r="L12" s="15">
        <f t="shared" si="0"/>
        <v>715.4</v>
      </c>
      <c r="M12" s="15">
        <f t="shared" si="1"/>
        <v>79.4888888888889</v>
      </c>
      <c r="N12" s="16">
        <f t="shared" si="2"/>
        <v>21</v>
      </c>
    </row>
    <row r="13" spans="1:14">
      <c r="A13" s="8">
        <v>1201011</v>
      </c>
      <c r="B13" s="8" t="s">
        <v>25</v>
      </c>
      <c r="C13" s="8">
        <v>67.5</v>
      </c>
      <c r="D13" s="8">
        <v>70</v>
      </c>
      <c r="E13" s="8">
        <v>83.5</v>
      </c>
      <c r="F13" s="8">
        <v>77.2</v>
      </c>
      <c r="G13" s="8">
        <v>83.6</v>
      </c>
      <c r="H13" s="8">
        <v>58.4</v>
      </c>
      <c r="I13" s="8">
        <v>80.4</v>
      </c>
      <c r="J13" s="8">
        <v>76.5</v>
      </c>
      <c r="K13" s="8">
        <v>88.5</v>
      </c>
      <c r="L13" s="15">
        <f t="shared" si="0"/>
        <v>685.6</v>
      </c>
      <c r="M13" s="15">
        <f t="shared" si="1"/>
        <v>76.1777777777778</v>
      </c>
      <c r="N13" s="16">
        <f t="shared" si="2"/>
        <v>25</v>
      </c>
    </row>
    <row r="14" spans="1:14">
      <c r="A14" s="8">
        <v>1201012</v>
      </c>
      <c r="B14" s="8" t="s">
        <v>26</v>
      </c>
      <c r="C14" s="8">
        <v>86.3</v>
      </c>
      <c r="D14" s="8">
        <v>84.2</v>
      </c>
      <c r="E14" s="8">
        <v>90.5</v>
      </c>
      <c r="F14" s="8">
        <v>80.8</v>
      </c>
      <c r="G14" s="8">
        <v>86.6</v>
      </c>
      <c r="H14" s="8">
        <v>82.8</v>
      </c>
      <c r="I14" s="8">
        <v>87.4</v>
      </c>
      <c r="J14" s="8">
        <v>85.1</v>
      </c>
      <c r="K14" s="8">
        <v>91.7</v>
      </c>
      <c r="L14" s="15">
        <f t="shared" si="0"/>
        <v>775.4</v>
      </c>
      <c r="M14" s="15">
        <f t="shared" si="1"/>
        <v>86.1555555555556</v>
      </c>
      <c r="N14" s="16">
        <f t="shared" si="2"/>
        <v>5</v>
      </c>
    </row>
    <row r="15" spans="1:14">
      <c r="A15" s="8">
        <v>1201013</v>
      </c>
      <c r="B15" s="8" t="s">
        <v>27</v>
      </c>
      <c r="C15" s="8">
        <v>75.4</v>
      </c>
      <c r="D15" s="8">
        <v>86.2</v>
      </c>
      <c r="E15" s="8">
        <v>89.1</v>
      </c>
      <c r="F15" s="8">
        <v>71.7</v>
      </c>
      <c r="G15" s="8">
        <v>88.6</v>
      </c>
      <c r="H15" s="8">
        <v>77.1</v>
      </c>
      <c r="I15" s="8">
        <v>77.6</v>
      </c>
      <c r="J15" s="8">
        <v>87.8</v>
      </c>
      <c r="K15" s="8">
        <v>86.4</v>
      </c>
      <c r="L15" s="15">
        <f t="shared" si="0"/>
        <v>739.9</v>
      </c>
      <c r="M15" s="15">
        <f t="shared" si="1"/>
        <v>82.2111111111111</v>
      </c>
      <c r="N15" s="16">
        <f t="shared" si="2"/>
        <v>17</v>
      </c>
    </row>
    <row r="16" spans="1:14">
      <c r="A16" s="8">
        <v>1201014</v>
      </c>
      <c r="B16" s="8" t="s">
        <v>28</v>
      </c>
      <c r="C16" s="8">
        <v>75.7</v>
      </c>
      <c r="D16" s="8">
        <v>53.4</v>
      </c>
      <c r="E16" s="8">
        <v>77.2</v>
      </c>
      <c r="F16" s="8">
        <v>74.4</v>
      </c>
      <c r="G16" s="8">
        <v>87.3</v>
      </c>
      <c r="H16" s="8">
        <v>75.1</v>
      </c>
      <c r="I16" s="8">
        <v>82.5</v>
      </c>
      <c r="J16" s="8">
        <v>73</v>
      </c>
      <c r="K16" s="8">
        <v>87.9</v>
      </c>
      <c r="L16" s="15">
        <f t="shared" si="0"/>
        <v>686.5</v>
      </c>
      <c r="M16" s="15">
        <f t="shared" si="1"/>
        <v>76.2777777777778</v>
      </c>
      <c r="N16" s="16">
        <f t="shared" si="2"/>
        <v>24</v>
      </c>
    </row>
    <row r="17" spans="1:14">
      <c r="A17" s="8">
        <v>1201015</v>
      </c>
      <c r="B17" s="8" t="s">
        <v>29</v>
      </c>
      <c r="C17" s="8">
        <v>87.6</v>
      </c>
      <c r="D17" s="8">
        <v>90.6</v>
      </c>
      <c r="E17" s="8">
        <v>82.1</v>
      </c>
      <c r="F17" s="8">
        <v>87.2</v>
      </c>
      <c r="G17" s="8">
        <v>92.6</v>
      </c>
      <c r="H17" s="8">
        <v>84.1</v>
      </c>
      <c r="I17" s="8">
        <v>83.2</v>
      </c>
      <c r="J17" s="8">
        <v>88.6</v>
      </c>
      <c r="K17" s="8">
        <v>90.7</v>
      </c>
      <c r="L17" s="15">
        <f t="shared" si="0"/>
        <v>786.7</v>
      </c>
      <c r="M17" s="15">
        <f t="shared" si="1"/>
        <v>87.4111111111111</v>
      </c>
      <c r="N17" s="16">
        <f t="shared" si="2"/>
        <v>1</v>
      </c>
    </row>
    <row r="18" spans="1:14">
      <c r="A18" s="8">
        <v>1201016</v>
      </c>
      <c r="B18" s="8" t="s">
        <v>30</v>
      </c>
      <c r="C18" s="8">
        <v>79.4</v>
      </c>
      <c r="D18" s="8">
        <v>91.9</v>
      </c>
      <c r="E18" s="8">
        <v>87</v>
      </c>
      <c r="F18" s="8">
        <v>77.3</v>
      </c>
      <c r="G18" s="8">
        <v>93.6</v>
      </c>
      <c r="H18" s="8">
        <v>75.1</v>
      </c>
      <c r="I18" s="8">
        <v>81.8</v>
      </c>
      <c r="J18" s="8">
        <v>94.6</v>
      </c>
      <c r="K18" s="8">
        <v>87.8</v>
      </c>
      <c r="L18" s="15">
        <f t="shared" si="0"/>
        <v>768.5</v>
      </c>
      <c r="M18" s="15">
        <f t="shared" si="1"/>
        <v>85.3888888888889</v>
      </c>
      <c r="N18" s="16">
        <f t="shared" si="2"/>
        <v>9</v>
      </c>
    </row>
    <row r="19" spans="1:14">
      <c r="A19" s="8">
        <v>1201017</v>
      </c>
      <c r="B19" s="8" t="s">
        <v>31</v>
      </c>
      <c r="C19" s="8">
        <v>85.2</v>
      </c>
      <c r="D19" s="8">
        <v>86.8</v>
      </c>
      <c r="E19" s="8">
        <v>93.5</v>
      </c>
      <c r="F19" s="8">
        <v>76.6</v>
      </c>
      <c r="G19" s="8">
        <v>89.6</v>
      </c>
      <c r="H19" s="8">
        <v>83.8</v>
      </c>
      <c r="I19" s="8">
        <v>81.1</v>
      </c>
      <c r="J19" s="8">
        <v>88.1</v>
      </c>
      <c r="K19" s="8">
        <v>90.4</v>
      </c>
      <c r="L19" s="15">
        <f t="shared" si="0"/>
        <v>775.1</v>
      </c>
      <c r="M19" s="15">
        <f t="shared" si="1"/>
        <v>86.1222222222222</v>
      </c>
      <c r="N19" s="16">
        <f t="shared" si="2"/>
        <v>6</v>
      </c>
    </row>
    <row r="20" spans="1:14">
      <c r="A20" s="8">
        <v>1201018</v>
      </c>
      <c r="B20" s="8" t="s">
        <v>32</v>
      </c>
      <c r="C20" s="8">
        <v>83.1</v>
      </c>
      <c r="D20" s="8">
        <v>88.1</v>
      </c>
      <c r="E20" s="8">
        <v>86.3</v>
      </c>
      <c r="F20" s="8">
        <v>87.2</v>
      </c>
      <c r="G20" s="8">
        <v>88.6</v>
      </c>
      <c r="H20" s="8">
        <v>85</v>
      </c>
      <c r="I20" s="8">
        <v>83.2</v>
      </c>
      <c r="J20" s="8">
        <v>92.9</v>
      </c>
      <c r="K20" s="8">
        <v>91.4</v>
      </c>
      <c r="L20" s="15">
        <f t="shared" si="0"/>
        <v>785.8</v>
      </c>
      <c r="M20" s="15">
        <f t="shared" si="1"/>
        <v>87.3111111111111</v>
      </c>
      <c r="N20" s="16">
        <f t="shared" si="2"/>
        <v>3</v>
      </c>
    </row>
    <row r="21" spans="1:14">
      <c r="A21" s="8">
        <v>1201019</v>
      </c>
      <c r="B21" s="8" t="s">
        <v>33</v>
      </c>
      <c r="C21" s="8">
        <v>93</v>
      </c>
      <c r="D21" s="8">
        <v>87.9</v>
      </c>
      <c r="E21" s="8">
        <v>76.5</v>
      </c>
      <c r="F21" s="8">
        <v>80.8</v>
      </c>
      <c r="G21" s="8">
        <v>87.6</v>
      </c>
      <c r="H21" s="8">
        <v>82.3</v>
      </c>
      <c r="I21" s="8">
        <v>83.9</v>
      </c>
      <c r="J21" s="8">
        <v>88.7</v>
      </c>
      <c r="K21" s="8">
        <v>86.6</v>
      </c>
      <c r="L21" s="15">
        <f t="shared" si="0"/>
        <v>767.3</v>
      </c>
      <c r="M21" s="15">
        <f t="shared" si="1"/>
        <v>85.2555555555556</v>
      </c>
      <c r="N21" s="16">
        <f t="shared" si="2"/>
        <v>10</v>
      </c>
    </row>
    <row r="22" spans="1:14">
      <c r="A22" s="8">
        <v>1201020</v>
      </c>
      <c r="B22" s="8" t="s">
        <v>34</v>
      </c>
      <c r="C22" s="8">
        <v>82.8</v>
      </c>
      <c r="D22" s="8">
        <v>90</v>
      </c>
      <c r="E22" s="8">
        <v>80.7</v>
      </c>
      <c r="F22" s="8">
        <v>80.8</v>
      </c>
      <c r="G22" s="8">
        <v>86.3</v>
      </c>
      <c r="H22" s="8">
        <v>83.6</v>
      </c>
      <c r="I22" s="8">
        <v>86</v>
      </c>
      <c r="J22" s="8">
        <v>92.2</v>
      </c>
      <c r="K22" s="8">
        <v>86.4</v>
      </c>
      <c r="L22" s="15">
        <f t="shared" si="0"/>
        <v>768.8</v>
      </c>
      <c r="M22" s="15">
        <f t="shared" si="1"/>
        <v>85.4222222222222</v>
      </c>
      <c r="N22" s="16">
        <f t="shared" si="2"/>
        <v>8</v>
      </c>
    </row>
    <row r="23" spans="1:14">
      <c r="A23" s="8">
        <v>1201021</v>
      </c>
      <c r="B23" s="8" t="s">
        <v>35</v>
      </c>
      <c r="C23" s="8">
        <v>85.2</v>
      </c>
      <c r="D23" s="8">
        <v>85</v>
      </c>
      <c r="E23" s="8">
        <v>94.2</v>
      </c>
      <c r="F23" s="8">
        <v>91.5</v>
      </c>
      <c r="G23" s="8">
        <v>85.6</v>
      </c>
      <c r="H23" s="8">
        <v>80.5</v>
      </c>
      <c r="I23" s="8">
        <v>86</v>
      </c>
      <c r="J23" s="8">
        <v>90.9</v>
      </c>
      <c r="K23" s="8">
        <v>87.8</v>
      </c>
      <c r="L23" s="15">
        <f t="shared" si="0"/>
        <v>786.7</v>
      </c>
      <c r="M23" s="15">
        <f t="shared" si="1"/>
        <v>87.4111111111111</v>
      </c>
      <c r="N23" s="16">
        <f t="shared" si="2"/>
        <v>1</v>
      </c>
    </row>
    <row r="24" spans="1:14">
      <c r="A24" s="8">
        <v>1201022</v>
      </c>
      <c r="B24" s="8" t="s">
        <v>36</v>
      </c>
      <c r="C24" s="8">
        <v>89.2</v>
      </c>
      <c r="D24" s="8">
        <v>86.9</v>
      </c>
      <c r="E24" s="8">
        <v>78.6</v>
      </c>
      <c r="F24" s="8">
        <v>83.7</v>
      </c>
      <c r="G24" s="8">
        <v>87.6</v>
      </c>
      <c r="H24" s="8">
        <v>80.3</v>
      </c>
      <c r="I24" s="8">
        <v>86</v>
      </c>
      <c r="J24" s="8">
        <v>91.2</v>
      </c>
      <c r="K24" s="8">
        <v>87.4</v>
      </c>
      <c r="L24" s="15">
        <f t="shared" si="0"/>
        <v>770.9</v>
      </c>
      <c r="M24" s="15">
        <f t="shared" si="1"/>
        <v>85.6555555555556</v>
      </c>
      <c r="N24" s="16">
        <f t="shared" si="2"/>
        <v>7</v>
      </c>
    </row>
    <row r="25" spans="1:14">
      <c r="A25" s="8">
        <v>1201023</v>
      </c>
      <c r="B25" s="8" t="s">
        <v>37</v>
      </c>
      <c r="C25" s="8">
        <v>82.4</v>
      </c>
      <c r="D25" s="8">
        <v>90.5</v>
      </c>
      <c r="E25" s="8">
        <v>79.3</v>
      </c>
      <c r="F25" s="8">
        <v>84.4</v>
      </c>
      <c r="G25" s="8">
        <v>86.3</v>
      </c>
      <c r="H25" s="8">
        <v>78.5</v>
      </c>
      <c r="I25" s="8">
        <v>81.1</v>
      </c>
      <c r="J25" s="8">
        <v>88.7</v>
      </c>
      <c r="K25" s="8">
        <v>87.7</v>
      </c>
      <c r="L25" s="15">
        <f t="shared" si="0"/>
        <v>758.9</v>
      </c>
      <c r="M25" s="15">
        <f t="shared" si="1"/>
        <v>84.3222222222222</v>
      </c>
      <c r="N25" s="16">
        <f t="shared" si="2"/>
        <v>12</v>
      </c>
    </row>
    <row r="26" spans="1:14">
      <c r="A26" s="8">
        <v>1201024</v>
      </c>
      <c r="B26" s="8" t="s">
        <v>38</v>
      </c>
      <c r="C26" s="8">
        <v>78.2</v>
      </c>
      <c r="D26" s="8">
        <v>90.7</v>
      </c>
      <c r="E26" s="8">
        <v>71</v>
      </c>
      <c r="F26" s="8">
        <v>75.9</v>
      </c>
      <c r="G26" s="8">
        <v>91.3</v>
      </c>
      <c r="H26" s="8">
        <v>81.2</v>
      </c>
      <c r="I26" s="8">
        <v>80.4</v>
      </c>
      <c r="J26" s="8">
        <v>89.4</v>
      </c>
      <c r="K26" s="8">
        <v>89.4</v>
      </c>
      <c r="L26" s="15">
        <f t="shared" si="0"/>
        <v>747.5</v>
      </c>
      <c r="M26" s="15">
        <f t="shared" si="1"/>
        <v>83.0555555555556</v>
      </c>
      <c r="N26" s="16">
        <f t="shared" si="2"/>
        <v>13</v>
      </c>
    </row>
    <row r="27" spans="1:14">
      <c r="A27" s="8">
        <v>1201025</v>
      </c>
      <c r="B27" s="8" t="s">
        <v>39</v>
      </c>
      <c r="C27" s="8">
        <v>91.4</v>
      </c>
      <c r="D27" s="8">
        <v>91.2</v>
      </c>
      <c r="E27" s="8">
        <v>79.9</v>
      </c>
      <c r="F27" s="8">
        <v>85.1</v>
      </c>
      <c r="G27" s="8">
        <v>88.9</v>
      </c>
      <c r="H27" s="8">
        <v>83.7</v>
      </c>
      <c r="I27" s="8">
        <v>83.2</v>
      </c>
      <c r="J27" s="8">
        <v>91.5</v>
      </c>
      <c r="K27" s="8">
        <v>89.3</v>
      </c>
      <c r="L27" s="15">
        <f t="shared" si="0"/>
        <v>784.2</v>
      </c>
      <c r="M27" s="15">
        <f t="shared" si="1"/>
        <v>87.1333333333333</v>
      </c>
      <c r="N27" s="16">
        <f t="shared" si="2"/>
        <v>4</v>
      </c>
    </row>
    <row r="28" spans="1:14">
      <c r="A28" s="14"/>
      <c r="B28" s="14" t="s">
        <v>13</v>
      </c>
      <c r="C28" s="15">
        <f>AVERAGE(C3:C27)</f>
        <v>80.3</v>
      </c>
      <c r="D28" s="15">
        <f t="shared" ref="D28:K28" si="3">AVERAGE(D3:D27)</f>
        <v>85.852</v>
      </c>
      <c r="E28" s="15">
        <f t="shared" si="3"/>
        <v>80.144</v>
      </c>
      <c r="F28" s="15">
        <f t="shared" si="3"/>
        <v>77.936</v>
      </c>
      <c r="G28" s="15">
        <f t="shared" si="3"/>
        <v>88.176</v>
      </c>
      <c r="H28" s="15">
        <f t="shared" si="3"/>
        <v>79.068</v>
      </c>
      <c r="I28" s="15">
        <f t="shared" si="3"/>
        <v>82.304</v>
      </c>
      <c r="J28" s="15">
        <f t="shared" si="3"/>
        <v>86.108</v>
      </c>
      <c r="K28" s="15">
        <f t="shared" si="3"/>
        <v>88.604</v>
      </c>
      <c r="L28" s="15">
        <f t="shared" si="0"/>
        <v>748.492</v>
      </c>
      <c r="M28" s="15">
        <f t="shared" si="1"/>
        <v>83.1657777777778</v>
      </c>
      <c r="N28" s="16"/>
    </row>
  </sheetData>
  <sheetProtection selectLockedCells="1" selectUnlockedCells="1"/>
  <mergeCells count="1">
    <mergeCell ref="A1:N1"/>
  </mergeCells>
  <conditionalFormatting sqref="C3:K27">
    <cfRule type="cellIs" dxfId="3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90" zoomScaleNormal="90" workbookViewId="0">
      <selection activeCell="C3" sqref="C3:K27"/>
    </sheetView>
  </sheetViews>
  <sheetFormatPr defaultColWidth="9" defaultRowHeight="14.25"/>
  <cols>
    <col min="1" max="1" width="12.75" style="9" customWidth="1"/>
    <col min="2" max="16384" width="9" style="9"/>
  </cols>
  <sheetData>
    <row r="1" ht="30" customHeight="1" spans="1:14">
      <c r="A1" s="1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>
      <c r="A3" s="8">
        <v>1202001</v>
      </c>
      <c r="B3" s="8" t="s">
        <v>41</v>
      </c>
      <c r="C3" s="8">
        <v>84.4</v>
      </c>
      <c r="D3" s="8">
        <v>93.6</v>
      </c>
      <c r="E3" s="8">
        <v>65.8</v>
      </c>
      <c r="F3" s="8">
        <v>80</v>
      </c>
      <c r="G3" s="8">
        <v>88.6</v>
      </c>
      <c r="H3" s="8">
        <v>79.5</v>
      </c>
      <c r="I3" s="8">
        <v>77.6</v>
      </c>
      <c r="J3" s="8">
        <v>85.8</v>
      </c>
      <c r="K3" s="8">
        <v>86.4</v>
      </c>
      <c r="L3" s="10">
        <f t="shared" ref="L3:L28" si="0">SUM(C3:K3)</f>
        <v>741.7</v>
      </c>
      <c r="M3" s="10">
        <f t="shared" ref="M3:M28" si="1">AVERAGE(C3:K3)</f>
        <v>82.4111111111111</v>
      </c>
      <c r="N3" s="11">
        <f t="shared" ref="N3:N28" si="2">RANK(L3,$L$3:$L$27)</f>
        <v>20</v>
      </c>
    </row>
    <row r="4" spans="1:14">
      <c r="A4" s="8">
        <v>1202002</v>
      </c>
      <c r="B4" s="8" t="s">
        <v>42</v>
      </c>
      <c r="C4" s="8">
        <v>87.9</v>
      </c>
      <c r="D4" s="8">
        <v>90.2</v>
      </c>
      <c r="E4" s="8">
        <v>92.8</v>
      </c>
      <c r="F4" s="8">
        <v>87.9</v>
      </c>
      <c r="G4" s="8">
        <v>91.6</v>
      </c>
      <c r="H4" s="8">
        <v>90.1</v>
      </c>
      <c r="I4" s="8">
        <v>90.2</v>
      </c>
      <c r="J4" s="8">
        <v>83</v>
      </c>
      <c r="K4" s="8">
        <v>87.6</v>
      </c>
      <c r="L4" s="10">
        <f t="shared" si="0"/>
        <v>801.3</v>
      </c>
      <c r="M4" s="10">
        <f t="shared" si="1"/>
        <v>89.0333333333334</v>
      </c>
      <c r="N4" s="11">
        <f t="shared" si="2"/>
        <v>2</v>
      </c>
    </row>
    <row r="5" spans="1:14">
      <c r="A5" s="8">
        <v>1202003</v>
      </c>
      <c r="B5" s="8" t="s">
        <v>43</v>
      </c>
      <c r="C5" s="8">
        <v>88.8</v>
      </c>
      <c r="D5" s="8">
        <v>87.4</v>
      </c>
      <c r="E5" s="8">
        <v>83.5</v>
      </c>
      <c r="F5" s="8">
        <v>75.9</v>
      </c>
      <c r="G5" s="8">
        <v>84.6</v>
      </c>
      <c r="H5" s="8">
        <v>80.9</v>
      </c>
      <c r="I5" s="8">
        <v>82.5</v>
      </c>
      <c r="J5" s="8">
        <v>85.5</v>
      </c>
      <c r="K5" s="8">
        <v>88.8</v>
      </c>
      <c r="L5" s="10">
        <f t="shared" si="0"/>
        <v>757.9</v>
      </c>
      <c r="M5" s="10">
        <f t="shared" si="1"/>
        <v>84.2111111111111</v>
      </c>
      <c r="N5" s="11">
        <f t="shared" si="2"/>
        <v>14</v>
      </c>
    </row>
    <row r="6" spans="1:14">
      <c r="A6" s="8">
        <v>1202004</v>
      </c>
      <c r="B6" s="8" t="s">
        <v>44</v>
      </c>
      <c r="C6" s="8">
        <v>79.9</v>
      </c>
      <c r="D6" s="8">
        <v>92</v>
      </c>
      <c r="E6" s="8">
        <v>53</v>
      </c>
      <c r="F6" s="8">
        <v>71</v>
      </c>
      <c r="G6" s="8">
        <v>81.6</v>
      </c>
      <c r="H6" s="8">
        <v>83.7</v>
      </c>
      <c r="I6" s="8">
        <v>86</v>
      </c>
      <c r="J6" s="8">
        <v>92.9</v>
      </c>
      <c r="K6" s="8">
        <v>87.7</v>
      </c>
      <c r="L6" s="10">
        <f t="shared" si="0"/>
        <v>727.8</v>
      </c>
      <c r="M6" s="10">
        <f t="shared" si="1"/>
        <v>80.8666666666667</v>
      </c>
      <c r="N6" s="11">
        <f t="shared" si="2"/>
        <v>23</v>
      </c>
    </row>
    <row r="7" spans="1:14">
      <c r="A7" s="8">
        <v>1202005</v>
      </c>
      <c r="B7" s="8" t="s">
        <v>45</v>
      </c>
      <c r="C7" s="8">
        <v>79.9</v>
      </c>
      <c r="D7" s="8">
        <v>82.4</v>
      </c>
      <c r="E7" s="8">
        <v>83.5</v>
      </c>
      <c r="F7" s="8">
        <v>91.5</v>
      </c>
      <c r="G7" s="8">
        <v>84.3</v>
      </c>
      <c r="H7" s="8">
        <v>82.3</v>
      </c>
      <c r="I7" s="8">
        <v>88.1</v>
      </c>
      <c r="J7" s="8">
        <v>90</v>
      </c>
      <c r="K7" s="8">
        <v>91.8</v>
      </c>
      <c r="L7" s="10">
        <f t="shared" si="0"/>
        <v>773.8</v>
      </c>
      <c r="M7" s="10">
        <f t="shared" si="1"/>
        <v>85.9777777777778</v>
      </c>
      <c r="N7" s="11">
        <f t="shared" si="2"/>
        <v>8</v>
      </c>
    </row>
    <row r="8" spans="1:14">
      <c r="A8" s="8">
        <v>1202006</v>
      </c>
      <c r="B8" s="8" t="s">
        <v>46</v>
      </c>
      <c r="C8" s="8">
        <v>79.2</v>
      </c>
      <c r="D8" s="8">
        <v>90.4</v>
      </c>
      <c r="E8" s="8">
        <v>73</v>
      </c>
      <c r="F8" s="8">
        <v>76.6</v>
      </c>
      <c r="G8" s="8">
        <v>86.6</v>
      </c>
      <c r="H8" s="8">
        <v>75.3</v>
      </c>
      <c r="I8" s="8">
        <v>79.7</v>
      </c>
      <c r="J8" s="8">
        <v>85.1</v>
      </c>
      <c r="K8" s="8">
        <v>87.4</v>
      </c>
      <c r="L8" s="10">
        <f t="shared" si="0"/>
        <v>733.3</v>
      </c>
      <c r="M8" s="10">
        <f t="shared" si="1"/>
        <v>81.4777777777778</v>
      </c>
      <c r="N8" s="11">
        <f t="shared" si="2"/>
        <v>22</v>
      </c>
    </row>
    <row r="9" spans="1:14">
      <c r="A9" s="8">
        <v>1202007</v>
      </c>
      <c r="B9" s="8" t="s">
        <v>47</v>
      </c>
      <c r="C9" s="8">
        <v>78.8</v>
      </c>
      <c r="D9" s="8">
        <v>90.3</v>
      </c>
      <c r="E9" s="8">
        <v>71.6</v>
      </c>
      <c r="F9" s="8">
        <v>74.5</v>
      </c>
      <c r="G9" s="8">
        <v>86.3</v>
      </c>
      <c r="H9" s="8">
        <v>79.5</v>
      </c>
      <c r="I9" s="8">
        <v>83.2</v>
      </c>
      <c r="J9" s="8">
        <v>92.9</v>
      </c>
      <c r="K9" s="8">
        <v>90.1</v>
      </c>
      <c r="L9" s="10">
        <f t="shared" si="0"/>
        <v>747.2</v>
      </c>
      <c r="M9" s="10">
        <f t="shared" si="1"/>
        <v>83.0222222222222</v>
      </c>
      <c r="N9" s="11">
        <f t="shared" si="2"/>
        <v>17</v>
      </c>
    </row>
    <row r="10" spans="1:14">
      <c r="A10" s="8">
        <v>1202008</v>
      </c>
      <c r="B10" s="8" t="s">
        <v>48</v>
      </c>
      <c r="C10" s="8">
        <v>83.7</v>
      </c>
      <c r="D10" s="8">
        <v>82.2</v>
      </c>
      <c r="E10" s="8">
        <v>76.5</v>
      </c>
      <c r="F10" s="8">
        <v>83.7</v>
      </c>
      <c r="G10" s="8">
        <v>83.6</v>
      </c>
      <c r="H10" s="8">
        <v>85</v>
      </c>
      <c r="I10" s="8">
        <v>80.4</v>
      </c>
      <c r="J10" s="8">
        <v>76.5</v>
      </c>
      <c r="K10" s="8">
        <v>87.3</v>
      </c>
      <c r="L10" s="10">
        <f t="shared" si="0"/>
        <v>738.9</v>
      </c>
      <c r="M10" s="10">
        <f t="shared" si="1"/>
        <v>82.1</v>
      </c>
      <c r="N10" s="11">
        <f t="shared" si="2"/>
        <v>21</v>
      </c>
    </row>
    <row r="11" spans="1:14">
      <c r="A11" s="8">
        <v>1202009</v>
      </c>
      <c r="B11" s="8" t="s">
        <v>49</v>
      </c>
      <c r="C11" s="8">
        <v>75.4</v>
      </c>
      <c r="D11" s="8">
        <v>87.7</v>
      </c>
      <c r="E11" s="8">
        <v>83.5</v>
      </c>
      <c r="F11" s="8">
        <v>75.9</v>
      </c>
      <c r="G11" s="8">
        <v>79.2</v>
      </c>
      <c r="H11" s="8">
        <v>86.8</v>
      </c>
      <c r="I11" s="8">
        <v>81.8</v>
      </c>
      <c r="J11" s="8">
        <v>85.1</v>
      </c>
      <c r="K11" s="8">
        <v>90</v>
      </c>
      <c r="L11" s="10">
        <f t="shared" si="0"/>
        <v>745.4</v>
      </c>
      <c r="M11" s="10">
        <f t="shared" si="1"/>
        <v>82.8222222222222</v>
      </c>
      <c r="N11" s="11">
        <f t="shared" si="2"/>
        <v>18</v>
      </c>
    </row>
    <row r="12" spans="1:14">
      <c r="A12" s="8">
        <v>1202010</v>
      </c>
      <c r="B12" s="8" t="s">
        <v>50</v>
      </c>
      <c r="C12" s="8">
        <v>84.2</v>
      </c>
      <c r="D12" s="8">
        <v>87.8</v>
      </c>
      <c r="E12" s="8">
        <v>68.6</v>
      </c>
      <c r="F12" s="8">
        <v>87.2</v>
      </c>
      <c r="G12" s="8">
        <v>87.6</v>
      </c>
      <c r="H12" s="8">
        <v>80.9</v>
      </c>
      <c r="I12" s="8">
        <v>86</v>
      </c>
      <c r="J12" s="8">
        <v>84.7</v>
      </c>
      <c r="K12" s="8">
        <v>90.2</v>
      </c>
      <c r="L12" s="10">
        <f t="shared" si="0"/>
        <v>757.2</v>
      </c>
      <c r="M12" s="10">
        <f t="shared" si="1"/>
        <v>84.1333333333333</v>
      </c>
      <c r="N12" s="11">
        <f t="shared" si="2"/>
        <v>15</v>
      </c>
    </row>
    <row r="13" spans="1:14">
      <c r="A13" s="8">
        <v>1202011</v>
      </c>
      <c r="B13" s="8" t="s">
        <v>51</v>
      </c>
      <c r="C13" s="8">
        <v>86.5</v>
      </c>
      <c r="D13" s="8">
        <v>88.2</v>
      </c>
      <c r="E13" s="8">
        <v>80.7</v>
      </c>
      <c r="F13" s="8">
        <v>57.9</v>
      </c>
      <c r="G13" s="8">
        <v>84.9</v>
      </c>
      <c r="H13" s="8">
        <v>73.7</v>
      </c>
      <c r="I13" s="8">
        <v>79.7</v>
      </c>
      <c r="J13" s="8">
        <v>82.7</v>
      </c>
      <c r="K13" s="8">
        <v>87.7</v>
      </c>
      <c r="L13" s="10">
        <f t="shared" si="0"/>
        <v>722</v>
      </c>
      <c r="M13" s="10">
        <f t="shared" si="1"/>
        <v>80.2222222222222</v>
      </c>
      <c r="N13" s="11">
        <f t="shared" si="2"/>
        <v>25</v>
      </c>
    </row>
    <row r="14" spans="1:14">
      <c r="A14" s="8">
        <v>1202012</v>
      </c>
      <c r="B14" s="8" t="s">
        <v>52</v>
      </c>
      <c r="C14" s="8">
        <v>79.3</v>
      </c>
      <c r="D14" s="8">
        <v>89.2</v>
      </c>
      <c r="E14" s="8">
        <v>84.2</v>
      </c>
      <c r="F14" s="8">
        <v>87.2</v>
      </c>
      <c r="G14" s="8">
        <v>89.9</v>
      </c>
      <c r="H14" s="8">
        <v>85.3</v>
      </c>
      <c r="I14" s="8">
        <v>78.3</v>
      </c>
      <c r="J14" s="8">
        <v>88.1</v>
      </c>
      <c r="K14" s="8">
        <v>90.6</v>
      </c>
      <c r="L14" s="10">
        <f t="shared" si="0"/>
        <v>772.1</v>
      </c>
      <c r="M14" s="10">
        <f t="shared" si="1"/>
        <v>85.7888888888889</v>
      </c>
      <c r="N14" s="11">
        <f t="shared" si="2"/>
        <v>9</v>
      </c>
    </row>
    <row r="15" spans="1:14">
      <c r="A15" s="8">
        <v>1202013</v>
      </c>
      <c r="B15" s="8" t="s">
        <v>53</v>
      </c>
      <c r="C15" s="8">
        <v>94.3</v>
      </c>
      <c r="D15" s="8">
        <v>92.5</v>
      </c>
      <c r="E15" s="8">
        <v>68.6</v>
      </c>
      <c r="F15" s="8">
        <v>86.6</v>
      </c>
      <c r="G15" s="8">
        <v>92.9</v>
      </c>
      <c r="H15" s="8">
        <v>79.8</v>
      </c>
      <c r="I15" s="8">
        <v>78.3</v>
      </c>
      <c r="J15" s="8">
        <v>89.4</v>
      </c>
      <c r="K15" s="8">
        <v>86.3</v>
      </c>
      <c r="L15" s="10">
        <f t="shared" si="0"/>
        <v>768.7</v>
      </c>
      <c r="M15" s="10">
        <f t="shared" si="1"/>
        <v>85.4111111111111</v>
      </c>
      <c r="N15" s="11">
        <f t="shared" si="2"/>
        <v>11</v>
      </c>
    </row>
    <row r="16" spans="1:14">
      <c r="A16" s="8">
        <v>1202014</v>
      </c>
      <c r="B16" s="8" t="s">
        <v>54</v>
      </c>
      <c r="C16" s="8">
        <v>84.4</v>
      </c>
      <c r="D16" s="8">
        <v>91.5</v>
      </c>
      <c r="E16" s="8">
        <v>78.6</v>
      </c>
      <c r="F16" s="8">
        <v>83.7</v>
      </c>
      <c r="G16" s="8">
        <v>87.3</v>
      </c>
      <c r="H16" s="8">
        <v>81.3</v>
      </c>
      <c r="I16" s="8">
        <v>81.8</v>
      </c>
      <c r="J16" s="8">
        <v>89.6</v>
      </c>
      <c r="K16" s="8">
        <v>87.8</v>
      </c>
      <c r="L16" s="10">
        <f t="shared" si="0"/>
        <v>766</v>
      </c>
      <c r="M16" s="10">
        <f t="shared" si="1"/>
        <v>85.1111111111111</v>
      </c>
      <c r="N16" s="11">
        <f t="shared" si="2"/>
        <v>13</v>
      </c>
    </row>
    <row r="17" spans="1:14">
      <c r="A17" s="8">
        <v>1202015</v>
      </c>
      <c r="B17" s="8" t="s">
        <v>55</v>
      </c>
      <c r="C17" s="8">
        <v>87.9</v>
      </c>
      <c r="D17" s="8">
        <v>93.2</v>
      </c>
      <c r="E17" s="8">
        <v>84.2</v>
      </c>
      <c r="F17" s="8">
        <v>73</v>
      </c>
      <c r="G17" s="8">
        <v>88.6</v>
      </c>
      <c r="H17" s="8">
        <v>77.8</v>
      </c>
      <c r="I17" s="8">
        <v>82.5</v>
      </c>
      <c r="J17" s="8">
        <v>90.6</v>
      </c>
      <c r="K17" s="8">
        <v>89.6</v>
      </c>
      <c r="L17" s="10">
        <f t="shared" si="0"/>
        <v>767.4</v>
      </c>
      <c r="M17" s="10">
        <f t="shared" si="1"/>
        <v>85.2666666666667</v>
      </c>
      <c r="N17" s="11">
        <f t="shared" si="2"/>
        <v>12</v>
      </c>
    </row>
    <row r="18" spans="1:14">
      <c r="A18" s="8">
        <v>1202016</v>
      </c>
      <c r="B18" s="8" t="s">
        <v>56</v>
      </c>
      <c r="C18" s="8">
        <v>89.9</v>
      </c>
      <c r="D18" s="8">
        <v>90.6</v>
      </c>
      <c r="E18" s="8">
        <v>77.7</v>
      </c>
      <c r="F18" s="8">
        <v>88.6</v>
      </c>
      <c r="G18" s="8">
        <v>89.6</v>
      </c>
      <c r="H18" s="8">
        <v>81.6</v>
      </c>
      <c r="I18" s="8">
        <v>83.9</v>
      </c>
      <c r="J18" s="8">
        <v>87.4</v>
      </c>
      <c r="K18" s="8">
        <v>92.3</v>
      </c>
      <c r="L18" s="10">
        <f t="shared" si="0"/>
        <v>781.6</v>
      </c>
      <c r="M18" s="10">
        <f t="shared" si="1"/>
        <v>86.8444444444444</v>
      </c>
      <c r="N18" s="11">
        <f t="shared" si="2"/>
        <v>4</v>
      </c>
    </row>
    <row r="19" spans="1:14">
      <c r="A19" s="8">
        <v>1202017</v>
      </c>
      <c r="B19" s="8" t="s">
        <v>57</v>
      </c>
      <c r="C19" s="8">
        <v>72.1</v>
      </c>
      <c r="D19" s="8">
        <v>85.1</v>
      </c>
      <c r="E19" s="8">
        <v>84.2</v>
      </c>
      <c r="F19" s="8">
        <v>75.9</v>
      </c>
      <c r="G19" s="8">
        <v>90.9</v>
      </c>
      <c r="H19" s="8">
        <v>81.6</v>
      </c>
      <c r="I19" s="8">
        <v>81.1</v>
      </c>
      <c r="J19" s="8">
        <v>87.2</v>
      </c>
      <c r="K19" s="8">
        <v>90.7</v>
      </c>
      <c r="L19" s="10">
        <f t="shared" si="0"/>
        <v>748.8</v>
      </c>
      <c r="M19" s="10">
        <f t="shared" si="1"/>
        <v>83.2</v>
      </c>
      <c r="N19" s="11">
        <f t="shared" si="2"/>
        <v>16</v>
      </c>
    </row>
    <row r="20" spans="1:14">
      <c r="A20" s="8">
        <v>1202018</v>
      </c>
      <c r="B20" s="8" t="s">
        <v>58</v>
      </c>
      <c r="C20" s="8">
        <v>86.2</v>
      </c>
      <c r="D20" s="8">
        <v>92</v>
      </c>
      <c r="E20" s="8">
        <v>89.8</v>
      </c>
      <c r="F20" s="8">
        <v>82.2</v>
      </c>
      <c r="G20" s="8">
        <v>89.2</v>
      </c>
      <c r="H20" s="8">
        <v>88</v>
      </c>
      <c r="I20" s="8">
        <v>83.9</v>
      </c>
      <c r="J20" s="8">
        <v>85.6</v>
      </c>
      <c r="K20" s="8">
        <v>90.4</v>
      </c>
      <c r="L20" s="10">
        <f t="shared" si="0"/>
        <v>787.3</v>
      </c>
      <c r="M20" s="10">
        <f t="shared" si="1"/>
        <v>87.4777777777778</v>
      </c>
      <c r="N20" s="11">
        <f t="shared" si="2"/>
        <v>3</v>
      </c>
    </row>
    <row r="21" spans="1:14">
      <c r="A21" s="8">
        <v>1202019</v>
      </c>
      <c r="B21" s="8" t="s">
        <v>59</v>
      </c>
      <c r="C21" s="8">
        <v>71.7</v>
      </c>
      <c r="D21" s="8">
        <v>87.3</v>
      </c>
      <c r="E21" s="8">
        <v>78.5</v>
      </c>
      <c r="F21" s="8">
        <v>81.5</v>
      </c>
      <c r="G21" s="8">
        <v>86.6</v>
      </c>
      <c r="H21" s="8">
        <v>75</v>
      </c>
      <c r="I21" s="8">
        <v>81.1</v>
      </c>
      <c r="J21" s="8">
        <v>88.9</v>
      </c>
      <c r="K21" s="8">
        <v>92.1</v>
      </c>
      <c r="L21" s="10">
        <f t="shared" si="0"/>
        <v>742.7</v>
      </c>
      <c r="M21" s="10">
        <f t="shared" si="1"/>
        <v>82.5222222222222</v>
      </c>
      <c r="N21" s="11">
        <f t="shared" si="2"/>
        <v>19</v>
      </c>
    </row>
    <row r="22" spans="1:14">
      <c r="A22" s="8">
        <v>1202020</v>
      </c>
      <c r="B22" s="8" t="s">
        <v>60</v>
      </c>
      <c r="C22" s="8">
        <v>86.9</v>
      </c>
      <c r="D22" s="8">
        <v>87.2</v>
      </c>
      <c r="E22" s="8">
        <v>92.8</v>
      </c>
      <c r="F22" s="8">
        <v>90.7</v>
      </c>
      <c r="G22" s="8">
        <v>89.9</v>
      </c>
      <c r="H22" s="8">
        <v>89.4</v>
      </c>
      <c r="I22" s="8">
        <v>83.9</v>
      </c>
      <c r="J22" s="8">
        <v>90.3</v>
      </c>
      <c r="K22" s="8">
        <v>91.4</v>
      </c>
      <c r="L22" s="10">
        <f t="shared" si="0"/>
        <v>802.5</v>
      </c>
      <c r="M22" s="10">
        <f t="shared" si="1"/>
        <v>89.1666666666667</v>
      </c>
      <c r="N22" s="11">
        <f t="shared" si="2"/>
        <v>1</v>
      </c>
    </row>
    <row r="23" spans="1:14">
      <c r="A23" s="8">
        <v>1202021</v>
      </c>
      <c r="B23" s="8" t="s">
        <v>61</v>
      </c>
      <c r="C23" s="8">
        <v>85.2</v>
      </c>
      <c r="D23" s="8">
        <v>84.8</v>
      </c>
      <c r="E23" s="8">
        <v>92.7</v>
      </c>
      <c r="F23" s="8">
        <v>83.7</v>
      </c>
      <c r="G23" s="8">
        <v>92.9</v>
      </c>
      <c r="H23" s="8">
        <v>84.3</v>
      </c>
      <c r="I23" s="8">
        <v>76.2</v>
      </c>
      <c r="J23" s="8">
        <v>88.3</v>
      </c>
      <c r="K23" s="8">
        <v>90.8</v>
      </c>
      <c r="L23" s="10">
        <f t="shared" si="0"/>
        <v>778.9</v>
      </c>
      <c r="M23" s="10">
        <f t="shared" si="1"/>
        <v>86.5444444444444</v>
      </c>
      <c r="N23" s="11">
        <f t="shared" si="2"/>
        <v>5</v>
      </c>
    </row>
    <row r="24" spans="1:14">
      <c r="A24" s="8">
        <v>1202022</v>
      </c>
      <c r="B24" s="8" t="s">
        <v>62</v>
      </c>
      <c r="C24" s="8">
        <v>90.7</v>
      </c>
      <c r="D24" s="8">
        <v>87.7</v>
      </c>
      <c r="E24" s="8">
        <v>82.8</v>
      </c>
      <c r="F24" s="8">
        <v>80.1</v>
      </c>
      <c r="G24" s="8">
        <v>95</v>
      </c>
      <c r="H24" s="8">
        <v>75.8</v>
      </c>
      <c r="I24" s="8">
        <v>79</v>
      </c>
      <c r="J24" s="8">
        <v>90.1</v>
      </c>
      <c r="K24" s="8">
        <v>87.7</v>
      </c>
      <c r="L24" s="10">
        <f t="shared" si="0"/>
        <v>768.9</v>
      </c>
      <c r="M24" s="10">
        <f t="shared" si="1"/>
        <v>85.4333333333333</v>
      </c>
      <c r="N24" s="11">
        <f t="shared" si="2"/>
        <v>10</v>
      </c>
    </row>
    <row r="25" spans="1:14">
      <c r="A25" s="8">
        <v>1202023</v>
      </c>
      <c r="B25" s="8" t="s">
        <v>63</v>
      </c>
      <c r="C25" s="8">
        <v>73.4</v>
      </c>
      <c r="D25" s="8">
        <v>83.6</v>
      </c>
      <c r="E25" s="8">
        <v>78.6</v>
      </c>
      <c r="F25" s="8">
        <v>77.3</v>
      </c>
      <c r="G25" s="8">
        <v>87</v>
      </c>
      <c r="H25" s="8">
        <v>75.2</v>
      </c>
      <c r="I25" s="8">
        <v>79</v>
      </c>
      <c r="J25" s="8">
        <v>84.9</v>
      </c>
      <c r="K25" s="8">
        <v>88.4</v>
      </c>
      <c r="L25" s="10">
        <f t="shared" si="0"/>
        <v>727.4</v>
      </c>
      <c r="M25" s="10">
        <f t="shared" si="1"/>
        <v>80.8222222222222</v>
      </c>
      <c r="N25" s="11">
        <f t="shared" si="2"/>
        <v>24</v>
      </c>
    </row>
    <row r="26" spans="1:14">
      <c r="A26" s="8">
        <v>1202024</v>
      </c>
      <c r="B26" s="8" t="s">
        <v>64</v>
      </c>
      <c r="C26" s="8">
        <v>88.3</v>
      </c>
      <c r="D26" s="8">
        <v>87.7</v>
      </c>
      <c r="E26" s="8">
        <v>86.4</v>
      </c>
      <c r="F26" s="8">
        <v>85.1</v>
      </c>
      <c r="G26" s="8">
        <v>88.6</v>
      </c>
      <c r="H26" s="8">
        <v>78.7</v>
      </c>
      <c r="I26" s="8">
        <v>85.3</v>
      </c>
      <c r="J26" s="8">
        <v>87.3</v>
      </c>
      <c r="K26" s="8">
        <v>87.9</v>
      </c>
      <c r="L26" s="10">
        <f t="shared" si="0"/>
        <v>775.3</v>
      </c>
      <c r="M26" s="10">
        <f t="shared" si="1"/>
        <v>86.1444444444444</v>
      </c>
      <c r="N26" s="11">
        <f t="shared" si="2"/>
        <v>7</v>
      </c>
    </row>
    <row r="27" spans="1:14">
      <c r="A27" s="8">
        <v>1202025</v>
      </c>
      <c r="B27" s="8" t="s">
        <v>65</v>
      </c>
      <c r="C27" s="8">
        <v>76.2</v>
      </c>
      <c r="D27" s="8">
        <v>90</v>
      </c>
      <c r="E27" s="8">
        <v>92.8</v>
      </c>
      <c r="F27" s="8">
        <v>84.4</v>
      </c>
      <c r="G27" s="8">
        <v>90.6</v>
      </c>
      <c r="H27" s="8">
        <v>80.4</v>
      </c>
      <c r="I27" s="8">
        <v>79</v>
      </c>
      <c r="J27" s="8">
        <v>94.3</v>
      </c>
      <c r="K27" s="8">
        <v>89.1</v>
      </c>
      <c r="L27" s="10">
        <f t="shared" si="0"/>
        <v>776.8</v>
      </c>
      <c r="M27" s="10">
        <f t="shared" si="1"/>
        <v>86.3111111111111</v>
      </c>
      <c r="N27" s="11">
        <f t="shared" si="2"/>
        <v>6</v>
      </c>
    </row>
    <row r="28" spans="1:14">
      <c r="A28" s="8"/>
      <c r="B28" s="8" t="s">
        <v>13</v>
      </c>
      <c r="C28" s="10">
        <f>AVERAGE(C3:C27)</f>
        <v>83.008</v>
      </c>
      <c r="D28" s="10">
        <f t="shared" ref="D28:K28" si="3">AVERAGE(D3:D27)</f>
        <v>88.584</v>
      </c>
      <c r="E28" s="10">
        <f t="shared" si="3"/>
        <v>80.176</v>
      </c>
      <c r="F28" s="10">
        <f t="shared" si="3"/>
        <v>80.884</v>
      </c>
      <c r="G28" s="10">
        <f t="shared" si="3"/>
        <v>87.916</v>
      </c>
      <c r="H28" s="10">
        <f t="shared" si="3"/>
        <v>81.276</v>
      </c>
      <c r="I28" s="10">
        <f t="shared" si="3"/>
        <v>81.94</v>
      </c>
      <c r="J28" s="10">
        <f t="shared" si="3"/>
        <v>87.448</v>
      </c>
      <c r="K28" s="10">
        <f t="shared" si="3"/>
        <v>89.204</v>
      </c>
      <c r="L28" s="10">
        <f t="shared" si="0"/>
        <v>760.436</v>
      </c>
      <c r="M28" s="10">
        <f t="shared" si="1"/>
        <v>84.4928888888889</v>
      </c>
      <c r="N28" s="11"/>
    </row>
  </sheetData>
  <sheetProtection selectLockedCells="1" selectUnlockedCells="1"/>
  <mergeCells count="1">
    <mergeCell ref="A1:N1"/>
  </mergeCells>
  <conditionalFormatting sqref="C3:K27">
    <cfRule type="cellIs" dxfId="3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90" zoomScaleNormal="90" workbookViewId="0">
      <selection activeCell="C3" sqref="C3:K27"/>
    </sheetView>
  </sheetViews>
  <sheetFormatPr defaultColWidth="9" defaultRowHeight="14.25"/>
  <cols>
    <col min="1" max="1" width="12.75" style="9" customWidth="1"/>
    <col min="2" max="16384" width="9" style="9"/>
  </cols>
  <sheetData>
    <row r="1" ht="30" customHeight="1" spans="1:14">
      <c r="A1" s="1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>
      <c r="A3" s="8">
        <v>1203001</v>
      </c>
      <c r="B3" s="8" t="s">
        <v>67</v>
      </c>
      <c r="C3" s="8">
        <v>78.3</v>
      </c>
      <c r="D3" s="8">
        <v>89.6</v>
      </c>
      <c r="E3" s="8">
        <v>90.5</v>
      </c>
      <c r="F3" s="8">
        <v>71.6</v>
      </c>
      <c r="G3" s="8">
        <v>85</v>
      </c>
      <c r="H3" s="8">
        <v>75</v>
      </c>
      <c r="I3" s="8">
        <v>76.9</v>
      </c>
      <c r="J3" s="8">
        <v>85.1</v>
      </c>
      <c r="K3" s="8">
        <v>88.4</v>
      </c>
      <c r="L3" s="10">
        <f t="shared" ref="L3:L28" si="0">SUM(C3:K3)</f>
        <v>740.4</v>
      </c>
      <c r="M3" s="10">
        <f t="shared" ref="M3:M28" si="1">AVERAGE(C3:K3)</f>
        <v>82.2666666666667</v>
      </c>
      <c r="N3" s="11">
        <f t="shared" ref="N3:N28" si="2">RANK(L3,$L$3:$L$27)</f>
        <v>16</v>
      </c>
    </row>
    <row r="4" spans="1:14">
      <c r="A4" s="8">
        <v>1203002</v>
      </c>
      <c r="B4" s="8" t="s">
        <v>68</v>
      </c>
      <c r="C4" s="8">
        <v>81.7</v>
      </c>
      <c r="D4" s="8">
        <v>89.1</v>
      </c>
      <c r="E4" s="8">
        <v>76.3</v>
      </c>
      <c r="F4" s="8">
        <v>79.4</v>
      </c>
      <c r="G4" s="8">
        <v>86.2</v>
      </c>
      <c r="H4" s="8">
        <v>88.7</v>
      </c>
      <c r="I4" s="8">
        <v>84.6</v>
      </c>
      <c r="J4" s="8">
        <v>85.5</v>
      </c>
      <c r="K4" s="8">
        <v>88.1</v>
      </c>
      <c r="L4" s="10">
        <f t="shared" si="0"/>
        <v>759.6</v>
      </c>
      <c r="M4" s="10">
        <f t="shared" si="1"/>
        <v>84.4</v>
      </c>
      <c r="N4" s="11">
        <f t="shared" si="2"/>
        <v>6</v>
      </c>
    </row>
    <row r="5" spans="1:14">
      <c r="A5" s="8">
        <v>1203003</v>
      </c>
      <c r="B5" s="8" t="s">
        <v>69</v>
      </c>
      <c r="C5" s="8">
        <v>82</v>
      </c>
      <c r="D5" s="8">
        <v>80.2</v>
      </c>
      <c r="E5" s="8">
        <v>86.3</v>
      </c>
      <c r="F5" s="8">
        <v>75.2</v>
      </c>
      <c r="G5" s="8">
        <v>83.1</v>
      </c>
      <c r="H5" s="8">
        <v>81.8</v>
      </c>
      <c r="I5" s="8">
        <v>80.4</v>
      </c>
      <c r="J5" s="8">
        <v>73.4</v>
      </c>
      <c r="K5" s="8">
        <v>89.3</v>
      </c>
      <c r="L5" s="10">
        <f t="shared" si="0"/>
        <v>731.7</v>
      </c>
      <c r="M5" s="10">
        <f t="shared" si="1"/>
        <v>81.3</v>
      </c>
      <c r="N5" s="11">
        <f t="shared" si="2"/>
        <v>17</v>
      </c>
    </row>
    <row r="6" spans="1:14">
      <c r="A6" s="8">
        <v>1203004</v>
      </c>
      <c r="B6" s="8" t="s">
        <v>70</v>
      </c>
      <c r="C6" s="8">
        <v>93.4</v>
      </c>
      <c r="D6" s="8">
        <v>90.1</v>
      </c>
      <c r="E6" s="8">
        <v>78.6</v>
      </c>
      <c r="F6" s="8">
        <v>83.6</v>
      </c>
      <c r="G6" s="8">
        <v>69.4</v>
      </c>
      <c r="H6" s="8">
        <v>70.4</v>
      </c>
      <c r="I6" s="8">
        <v>74.8</v>
      </c>
      <c r="J6" s="8">
        <v>80.6</v>
      </c>
      <c r="K6" s="8">
        <v>89.9</v>
      </c>
      <c r="L6" s="10">
        <f t="shared" si="0"/>
        <v>730.8</v>
      </c>
      <c r="M6" s="10">
        <f t="shared" si="1"/>
        <v>81.2</v>
      </c>
      <c r="N6" s="11">
        <f t="shared" si="2"/>
        <v>18</v>
      </c>
    </row>
    <row r="7" spans="1:14">
      <c r="A7" s="8">
        <v>1203005</v>
      </c>
      <c r="B7" s="8" t="s">
        <v>71</v>
      </c>
      <c r="C7" s="8">
        <v>69.9</v>
      </c>
      <c r="D7" s="8">
        <v>89.3</v>
      </c>
      <c r="E7" s="8">
        <v>91.2</v>
      </c>
      <c r="F7" s="8">
        <v>87.2</v>
      </c>
      <c r="G7" s="8">
        <v>86.4</v>
      </c>
      <c r="H7" s="8">
        <v>81</v>
      </c>
      <c r="I7" s="8">
        <v>79</v>
      </c>
      <c r="J7" s="8">
        <v>81</v>
      </c>
      <c r="K7" s="8">
        <v>90.3</v>
      </c>
      <c r="L7" s="10">
        <f t="shared" si="0"/>
        <v>755.3</v>
      </c>
      <c r="M7" s="10">
        <f t="shared" si="1"/>
        <v>83.9222222222222</v>
      </c>
      <c r="N7" s="11">
        <f t="shared" si="2"/>
        <v>8</v>
      </c>
    </row>
    <row r="8" spans="1:14">
      <c r="A8" s="8">
        <v>1203006</v>
      </c>
      <c r="B8" s="8" t="s">
        <v>72</v>
      </c>
      <c r="C8" s="8">
        <v>70</v>
      </c>
      <c r="D8" s="8">
        <v>85.5</v>
      </c>
      <c r="E8" s="8">
        <v>68.6</v>
      </c>
      <c r="F8" s="8">
        <v>66</v>
      </c>
      <c r="G8" s="8">
        <v>71.1</v>
      </c>
      <c r="H8" s="8">
        <v>69</v>
      </c>
      <c r="I8" s="8">
        <v>54</v>
      </c>
      <c r="J8" s="8">
        <v>68.4</v>
      </c>
      <c r="K8" s="8">
        <v>85.7</v>
      </c>
      <c r="L8" s="10">
        <f t="shared" si="0"/>
        <v>638.3</v>
      </c>
      <c r="M8" s="10">
        <f t="shared" si="1"/>
        <v>70.9222222222222</v>
      </c>
      <c r="N8" s="11">
        <f t="shared" si="2"/>
        <v>25</v>
      </c>
    </row>
    <row r="9" spans="1:14">
      <c r="A9" s="8">
        <v>1203007</v>
      </c>
      <c r="B9" s="8" t="s">
        <v>73</v>
      </c>
      <c r="C9" s="8">
        <v>85.2</v>
      </c>
      <c r="D9" s="8">
        <v>86.5</v>
      </c>
      <c r="E9" s="8">
        <v>76.5</v>
      </c>
      <c r="F9" s="8">
        <v>75.2</v>
      </c>
      <c r="G9" s="8">
        <v>70.4</v>
      </c>
      <c r="H9" s="8">
        <v>77.6</v>
      </c>
      <c r="I9" s="8">
        <v>75.5</v>
      </c>
      <c r="J9" s="8">
        <v>79.5</v>
      </c>
      <c r="K9" s="8">
        <v>88.3</v>
      </c>
      <c r="L9" s="10">
        <f t="shared" si="0"/>
        <v>714.7</v>
      </c>
      <c r="M9" s="10">
        <f t="shared" si="1"/>
        <v>79.4111111111111</v>
      </c>
      <c r="N9" s="11">
        <f t="shared" si="2"/>
        <v>22</v>
      </c>
    </row>
    <row r="10" spans="1:14">
      <c r="A10" s="8">
        <v>1203008</v>
      </c>
      <c r="B10" s="8" t="s">
        <v>74</v>
      </c>
      <c r="C10" s="8">
        <v>89.6</v>
      </c>
      <c r="D10" s="8">
        <v>93.6</v>
      </c>
      <c r="E10" s="8">
        <v>81.4</v>
      </c>
      <c r="F10" s="8">
        <v>87.2</v>
      </c>
      <c r="G10" s="8">
        <v>71.4</v>
      </c>
      <c r="H10" s="8">
        <v>88</v>
      </c>
      <c r="I10" s="8">
        <v>81.8</v>
      </c>
      <c r="J10" s="8">
        <v>85</v>
      </c>
      <c r="K10" s="8">
        <v>89.9</v>
      </c>
      <c r="L10" s="10">
        <f t="shared" si="0"/>
        <v>767.9</v>
      </c>
      <c r="M10" s="10">
        <f t="shared" si="1"/>
        <v>85.3222222222222</v>
      </c>
      <c r="N10" s="11">
        <f t="shared" si="2"/>
        <v>4</v>
      </c>
    </row>
    <row r="11" spans="1:14">
      <c r="A11" s="8">
        <v>1203009</v>
      </c>
      <c r="B11" s="8" t="s">
        <v>75</v>
      </c>
      <c r="C11" s="8">
        <v>85.7</v>
      </c>
      <c r="D11" s="8">
        <v>49.5</v>
      </c>
      <c r="E11" s="8">
        <v>65.8</v>
      </c>
      <c r="F11" s="8">
        <v>76.6</v>
      </c>
      <c r="G11" s="8">
        <v>70.7</v>
      </c>
      <c r="H11" s="8">
        <v>81.1</v>
      </c>
      <c r="I11" s="8">
        <v>79</v>
      </c>
      <c r="J11" s="8">
        <v>80.6</v>
      </c>
      <c r="K11" s="8">
        <v>87.6</v>
      </c>
      <c r="L11" s="10">
        <f t="shared" si="0"/>
        <v>676.6</v>
      </c>
      <c r="M11" s="10">
        <f t="shared" si="1"/>
        <v>75.1777777777778</v>
      </c>
      <c r="N11" s="11">
        <f t="shared" si="2"/>
        <v>24</v>
      </c>
    </row>
    <row r="12" spans="1:14">
      <c r="A12" s="8">
        <v>1203010</v>
      </c>
      <c r="B12" s="8" t="s">
        <v>76</v>
      </c>
      <c r="C12" s="8">
        <v>84</v>
      </c>
      <c r="D12" s="8">
        <v>80.6</v>
      </c>
      <c r="E12" s="8">
        <v>76.5</v>
      </c>
      <c r="F12" s="8">
        <v>75.1</v>
      </c>
      <c r="G12" s="8">
        <v>71.5</v>
      </c>
      <c r="H12" s="8">
        <v>69.7</v>
      </c>
      <c r="I12" s="8">
        <v>83.2</v>
      </c>
      <c r="J12" s="8">
        <v>87.6</v>
      </c>
      <c r="K12" s="8">
        <v>88.2</v>
      </c>
      <c r="L12" s="10">
        <f t="shared" si="0"/>
        <v>716.4</v>
      </c>
      <c r="M12" s="10">
        <f t="shared" si="1"/>
        <v>79.6</v>
      </c>
      <c r="N12" s="11">
        <f t="shared" si="2"/>
        <v>21</v>
      </c>
    </row>
    <row r="13" spans="1:14">
      <c r="A13" s="8">
        <v>1203011</v>
      </c>
      <c r="B13" s="8" t="s">
        <v>77</v>
      </c>
      <c r="C13" s="8">
        <v>85.6</v>
      </c>
      <c r="D13" s="8">
        <v>90</v>
      </c>
      <c r="E13" s="8">
        <v>82.8</v>
      </c>
      <c r="F13" s="8">
        <v>70.2</v>
      </c>
      <c r="G13" s="8">
        <v>88.6</v>
      </c>
      <c r="H13" s="8">
        <v>82.5</v>
      </c>
      <c r="I13" s="8">
        <v>84.6</v>
      </c>
      <c r="J13" s="8">
        <v>86.5</v>
      </c>
      <c r="K13" s="8">
        <v>90.7</v>
      </c>
      <c r="L13" s="10">
        <f t="shared" si="0"/>
        <v>761.5</v>
      </c>
      <c r="M13" s="10">
        <f t="shared" si="1"/>
        <v>84.6111111111111</v>
      </c>
      <c r="N13" s="11">
        <f t="shared" si="2"/>
        <v>5</v>
      </c>
    </row>
    <row r="14" spans="1:14">
      <c r="A14" s="8">
        <v>1203012</v>
      </c>
      <c r="B14" s="8" t="s">
        <v>78</v>
      </c>
      <c r="C14" s="8">
        <v>83.4</v>
      </c>
      <c r="D14" s="8">
        <v>84.9</v>
      </c>
      <c r="E14" s="8">
        <v>77.2</v>
      </c>
      <c r="F14" s="8">
        <v>68.9</v>
      </c>
      <c r="G14" s="8">
        <v>88.7</v>
      </c>
      <c r="H14" s="8">
        <v>87.3</v>
      </c>
      <c r="I14" s="8">
        <v>72</v>
      </c>
      <c r="J14" s="8">
        <v>78</v>
      </c>
      <c r="K14" s="8">
        <v>86.2</v>
      </c>
      <c r="L14" s="10">
        <f t="shared" si="0"/>
        <v>726.6</v>
      </c>
      <c r="M14" s="10">
        <f t="shared" si="1"/>
        <v>80.7333333333333</v>
      </c>
      <c r="N14" s="11">
        <f t="shared" si="2"/>
        <v>19</v>
      </c>
    </row>
    <row r="15" spans="1:14">
      <c r="A15" s="8">
        <v>1203013</v>
      </c>
      <c r="B15" s="8" t="s">
        <v>79</v>
      </c>
      <c r="C15" s="8">
        <v>87.6</v>
      </c>
      <c r="D15" s="8">
        <v>93.3</v>
      </c>
      <c r="E15" s="8">
        <v>66.5</v>
      </c>
      <c r="F15" s="8">
        <v>85.8</v>
      </c>
      <c r="G15" s="8">
        <v>95.2</v>
      </c>
      <c r="H15" s="8">
        <v>81.1</v>
      </c>
      <c r="I15" s="8">
        <v>80.4</v>
      </c>
      <c r="J15" s="8">
        <v>87.5</v>
      </c>
      <c r="K15" s="8">
        <v>92.3</v>
      </c>
      <c r="L15" s="10">
        <f t="shared" si="0"/>
        <v>769.7</v>
      </c>
      <c r="M15" s="10">
        <f t="shared" si="1"/>
        <v>85.5222222222222</v>
      </c>
      <c r="N15" s="11">
        <f t="shared" si="2"/>
        <v>3</v>
      </c>
    </row>
    <row r="16" spans="1:14">
      <c r="A16" s="8">
        <v>1203014</v>
      </c>
      <c r="B16" s="8" t="s">
        <v>80</v>
      </c>
      <c r="C16" s="8">
        <v>76.9</v>
      </c>
      <c r="D16" s="8">
        <v>87.9</v>
      </c>
      <c r="E16" s="8">
        <v>84.2</v>
      </c>
      <c r="F16" s="8">
        <v>78.7</v>
      </c>
      <c r="G16" s="8">
        <v>85.5</v>
      </c>
      <c r="H16" s="8">
        <v>82.5</v>
      </c>
      <c r="I16" s="8">
        <v>79.7</v>
      </c>
      <c r="J16" s="8">
        <v>87.3</v>
      </c>
      <c r="K16" s="8">
        <v>88.6</v>
      </c>
      <c r="L16" s="10">
        <f t="shared" si="0"/>
        <v>751.3</v>
      </c>
      <c r="M16" s="10">
        <f t="shared" si="1"/>
        <v>83.4777777777778</v>
      </c>
      <c r="N16" s="11">
        <f t="shared" si="2"/>
        <v>11</v>
      </c>
    </row>
    <row r="17" spans="1:14">
      <c r="A17" s="8">
        <v>1203015</v>
      </c>
      <c r="B17" s="8" t="s">
        <v>81</v>
      </c>
      <c r="C17" s="8">
        <v>83.1</v>
      </c>
      <c r="D17" s="8">
        <v>84.8</v>
      </c>
      <c r="E17" s="8">
        <v>83.5</v>
      </c>
      <c r="F17" s="8">
        <v>79.4</v>
      </c>
      <c r="G17" s="8">
        <v>82.8</v>
      </c>
      <c r="H17" s="8">
        <v>88</v>
      </c>
      <c r="I17" s="8">
        <v>83.2</v>
      </c>
      <c r="J17" s="8">
        <v>83.5</v>
      </c>
      <c r="K17" s="8">
        <v>88.4</v>
      </c>
      <c r="L17" s="10">
        <f t="shared" si="0"/>
        <v>756.7</v>
      </c>
      <c r="M17" s="10">
        <f t="shared" si="1"/>
        <v>84.0777777777778</v>
      </c>
      <c r="N17" s="11">
        <f t="shared" si="2"/>
        <v>7</v>
      </c>
    </row>
    <row r="18" spans="1:14">
      <c r="A18" s="8">
        <v>1203016</v>
      </c>
      <c r="B18" s="8" t="s">
        <v>82</v>
      </c>
      <c r="C18" s="8">
        <v>75.7</v>
      </c>
      <c r="D18" s="8">
        <v>88.1</v>
      </c>
      <c r="E18" s="8">
        <v>78.6</v>
      </c>
      <c r="F18" s="8">
        <v>87.9</v>
      </c>
      <c r="G18" s="8">
        <v>71.7</v>
      </c>
      <c r="H18" s="8">
        <v>89.4</v>
      </c>
      <c r="I18" s="8">
        <v>57</v>
      </c>
      <c r="J18" s="8">
        <v>85.9</v>
      </c>
      <c r="K18" s="8">
        <v>91.1</v>
      </c>
      <c r="L18" s="10">
        <f t="shared" si="0"/>
        <v>725.4</v>
      </c>
      <c r="M18" s="10">
        <f t="shared" si="1"/>
        <v>80.6</v>
      </c>
      <c r="N18" s="11">
        <f t="shared" si="2"/>
        <v>20</v>
      </c>
    </row>
    <row r="19" spans="1:14">
      <c r="A19" s="8">
        <v>1203017</v>
      </c>
      <c r="B19" s="8" t="s">
        <v>83</v>
      </c>
      <c r="C19" s="8">
        <v>86.9</v>
      </c>
      <c r="D19" s="8">
        <v>87.6</v>
      </c>
      <c r="E19" s="8">
        <v>87</v>
      </c>
      <c r="F19" s="8">
        <v>80.1</v>
      </c>
      <c r="G19" s="8">
        <v>95.1</v>
      </c>
      <c r="H19" s="8">
        <v>88</v>
      </c>
      <c r="I19" s="8">
        <v>81.1</v>
      </c>
      <c r="J19" s="8">
        <v>93.9</v>
      </c>
      <c r="K19" s="8">
        <v>90.4</v>
      </c>
      <c r="L19" s="10">
        <f t="shared" si="0"/>
        <v>790.1</v>
      </c>
      <c r="M19" s="10">
        <f t="shared" si="1"/>
        <v>87.7888888888889</v>
      </c>
      <c r="N19" s="11">
        <f t="shared" si="2"/>
        <v>2</v>
      </c>
    </row>
    <row r="20" spans="1:14">
      <c r="A20" s="8">
        <v>1203018</v>
      </c>
      <c r="B20" s="8" t="s">
        <v>84</v>
      </c>
      <c r="C20" s="8">
        <v>81.4</v>
      </c>
      <c r="D20" s="8">
        <v>82.8</v>
      </c>
      <c r="E20" s="8">
        <v>82.8</v>
      </c>
      <c r="F20" s="8">
        <v>71.7</v>
      </c>
      <c r="G20" s="8">
        <v>84.5</v>
      </c>
      <c r="H20" s="8">
        <v>79.7</v>
      </c>
      <c r="I20" s="8">
        <v>83.9</v>
      </c>
      <c r="J20" s="8">
        <v>91.1</v>
      </c>
      <c r="K20" s="8">
        <v>87</v>
      </c>
      <c r="L20" s="10">
        <f t="shared" si="0"/>
        <v>744.9</v>
      </c>
      <c r="M20" s="10">
        <f t="shared" si="1"/>
        <v>82.7666666666667</v>
      </c>
      <c r="N20" s="11">
        <f t="shared" si="2"/>
        <v>12</v>
      </c>
    </row>
    <row r="21" spans="1:14">
      <c r="A21" s="8">
        <v>1203019</v>
      </c>
      <c r="B21" s="8" t="s">
        <v>85</v>
      </c>
      <c r="C21" s="8">
        <v>84.8</v>
      </c>
      <c r="D21" s="8">
        <v>86.3</v>
      </c>
      <c r="E21" s="8">
        <v>92.8</v>
      </c>
      <c r="F21" s="8">
        <v>84.4</v>
      </c>
      <c r="G21" s="8">
        <v>95.1</v>
      </c>
      <c r="H21" s="8">
        <v>92.9</v>
      </c>
      <c r="I21" s="8">
        <v>85.3</v>
      </c>
      <c r="J21" s="8">
        <v>93.2</v>
      </c>
      <c r="K21" s="8">
        <v>89.8</v>
      </c>
      <c r="L21" s="10">
        <f t="shared" si="0"/>
        <v>804.6</v>
      </c>
      <c r="M21" s="10">
        <f t="shared" si="1"/>
        <v>89.4</v>
      </c>
      <c r="N21" s="11">
        <f t="shared" si="2"/>
        <v>1</v>
      </c>
    </row>
    <row r="22" spans="1:14">
      <c r="A22" s="8">
        <v>1203020</v>
      </c>
      <c r="B22" s="8" t="s">
        <v>86</v>
      </c>
      <c r="C22" s="8">
        <v>82.8</v>
      </c>
      <c r="D22" s="8">
        <v>84.8</v>
      </c>
      <c r="E22" s="8">
        <v>79.3</v>
      </c>
      <c r="F22" s="8">
        <v>72.4</v>
      </c>
      <c r="G22" s="8">
        <v>81.4</v>
      </c>
      <c r="H22" s="8">
        <v>79</v>
      </c>
      <c r="I22" s="8">
        <v>81.8</v>
      </c>
      <c r="J22" s="8">
        <v>92.9</v>
      </c>
      <c r="K22" s="8">
        <v>88.5</v>
      </c>
      <c r="L22" s="10">
        <f t="shared" si="0"/>
        <v>742.9</v>
      </c>
      <c r="M22" s="10">
        <f t="shared" si="1"/>
        <v>82.5444444444444</v>
      </c>
      <c r="N22" s="11">
        <f t="shared" si="2"/>
        <v>15</v>
      </c>
    </row>
    <row r="23" spans="1:14">
      <c r="A23" s="8">
        <v>1203021</v>
      </c>
      <c r="B23" s="8" t="s">
        <v>87</v>
      </c>
      <c r="C23" s="8">
        <v>77.2</v>
      </c>
      <c r="D23" s="8">
        <v>89.5</v>
      </c>
      <c r="E23" s="8">
        <v>86.3</v>
      </c>
      <c r="F23" s="8">
        <v>73.1</v>
      </c>
      <c r="G23" s="8">
        <v>82.9</v>
      </c>
      <c r="H23" s="8">
        <v>76.9</v>
      </c>
      <c r="I23" s="8">
        <v>79.7</v>
      </c>
      <c r="J23" s="8">
        <v>87.5</v>
      </c>
      <c r="K23" s="8">
        <v>91.7</v>
      </c>
      <c r="L23" s="10">
        <f t="shared" si="0"/>
        <v>744.8</v>
      </c>
      <c r="M23" s="10">
        <f t="shared" si="1"/>
        <v>82.7555555555556</v>
      </c>
      <c r="N23" s="11">
        <f t="shared" si="2"/>
        <v>13</v>
      </c>
    </row>
    <row r="24" spans="1:14">
      <c r="A24" s="8">
        <v>1203022</v>
      </c>
      <c r="B24" s="8" t="s">
        <v>88</v>
      </c>
      <c r="C24" s="8">
        <v>77.2</v>
      </c>
      <c r="D24" s="8">
        <v>84.8</v>
      </c>
      <c r="E24" s="8">
        <v>85.6</v>
      </c>
      <c r="F24" s="8">
        <v>80.1</v>
      </c>
      <c r="G24" s="8">
        <v>72.5</v>
      </c>
      <c r="H24" s="8">
        <v>88.7</v>
      </c>
      <c r="I24" s="8">
        <v>81.1</v>
      </c>
      <c r="J24" s="8">
        <v>94.3</v>
      </c>
      <c r="K24" s="8">
        <v>90.4</v>
      </c>
      <c r="L24" s="10">
        <f t="shared" si="0"/>
        <v>754.7</v>
      </c>
      <c r="M24" s="10">
        <f t="shared" si="1"/>
        <v>83.8555555555556</v>
      </c>
      <c r="N24" s="11">
        <f t="shared" si="2"/>
        <v>9</v>
      </c>
    </row>
    <row r="25" spans="1:14">
      <c r="A25" s="8">
        <v>1203023</v>
      </c>
      <c r="B25" s="8" t="s">
        <v>89</v>
      </c>
      <c r="C25" s="8">
        <v>91.4</v>
      </c>
      <c r="D25" s="8">
        <v>84</v>
      </c>
      <c r="E25" s="8">
        <v>78.6</v>
      </c>
      <c r="F25" s="8">
        <v>83.8</v>
      </c>
      <c r="G25" s="8">
        <v>72.1</v>
      </c>
      <c r="H25" s="8">
        <v>86.6</v>
      </c>
      <c r="I25" s="8">
        <v>79.7</v>
      </c>
      <c r="J25" s="8">
        <v>81</v>
      </c>
      <c r="K25" s="8">
        <v>87.6</v>
      </c>
      <c r="L25" s="10">
        <f t="shared" si="0"/>
        <v>744.8</v>
      </c>
      <c r="M25" s="10">
        <f t="shared" si="1"/>
        <v>82.7555555555556</v>
      </c>
      <c r="N25" s="11">
        <f t="shared" si="2"/>
        <v>13</v>
      </c>
    </row>
    <row r="26" spans="1:14">
      <c r="A26" s="8">
        <v>1203024</v>
      </c>
      <c r="B26" s="8" t="s">
        <v>90</v>
      </c>
      <c r="C26" s="8">
        <v>82.4</v>
      </c>
      <c r="D26" s="8">
        <v>88.8</v>
      </c>
      <c r="E26" s="8">
        <v>68.6</v>
      </c>
      <c r="F26" s="8">
        <v>78.7</v>
      </c>
      <c r="G26" s="8">
        <v>86.6</v>
      </c>
      <c r="H26" s="8">
        <v>82.3</v>
      </c>
      <c r="I26" s="8">
        <v>83.9</v>
      </c>
      <c r="J26" s="8">
        <v>90.8</v>
      </c>
      <c r="K26" s="8">
        <v>91.3</v>
      </c>
      <c r="L26" s="10">
        <f t="shared" si="0"/>
        <v>753.4</v>
      </c>
      <c r="M26" s="10">
        <f t="shared" si="1"/>
        <v>83.7111111111111</v>
      </c>
      <c r="N26" s="11">
        <f t="shared" si="2"/>
        <v>10</v>
      </c>
    </row>
    <row r="27" spans="1:14">
      <c r="A27" s="8">
        <v>1203025</v>
      </c>
      <c r="B27" s="8" t="s">
        <v>91</v>
      </c>
      <c r="C27" s="8">
        <v>52.2</v>
      </c>
      <c r="D27" s="8">
        <v>93.2</v>
      </c>
      <c r="E27" s="8">
        <v>78.4</v>
      </c>
      <c r="F27" s="8">
        <v>74.8</v>
      </c>
      <c r="G27" s="8">
        <v>69.5</v>
      </c>
      <c r="H27" s="8">
        <v>81.4</v>
      </c>
      <c r="I27" s="8">
        <v>88.1</v>
      </c>
      <c r="J27" s="8">
        <v>61.9</v>
      </c>
      <c r="K27" s="8">
        <v>84.3</v>
      </c>
      <c r="L27" s="10">
        <f t="shared" si="0"/>
        <v>683.8</v>
      </c>
      <c r="M27" s="10">
        <f t="shared" si="1"/>
        <v>75.9777777777778</v>
      </c>
      <c r="N27" s="11">
        <f t="shared" si="2"/>
        <v>23</v>
      </c>
    </row>
    <row r="28" spans="1:14">
      <c r="A28" s="8"/>
      <c r="B28" s="8" t="s">
        <v>13</v>
      </c>
      <c r="C28" s="10">
        <f>AVERAGE(C3:C27)</f>
        <v>81.136</v>
      </c>
      <c r="D28" s="10">
        <f t="shared" ref="D28:K28" si="3">AVERAGE(D3:D27)</f>
        <v>85.792</v>
      </c>
      <c r="E28" s="10">
        <f t="shared" si="3"/>
        <v>80.156</v>
      </c>
      <c r="F28" s="10">
        <f t="shared" si="3"/>
        <v>77.884</v>
      </c>
      <c r="G28" s="10">
        <f t="shared" si="3"/>
        <v>80.696</v>
      </c>
      <c r="H28" s="10">
        <f t="shared" si="3"/>
        <v>81.944</v>
      </c>
      <c r="I28" s="10">
        <f t="shared" si="3"/>
        <v>78.828</v>
      </c>
      <c r="J28" s="10">
        <f t="shared" si="3"/>
        <v>84.08</v>
      </c>
      <c r="K28" s="10">
        <f t="shared" si="3"/>
        <v>88.96</v>
      </c>
      <c r="L28" s="10">
        <f t="shared" si="0"/>
        <v>739.476</v>
      </c>
      <c r="M28" s="10">
        <f t="shared" si="1"/>
        <v>82.164</v>
      </c>
      <c r="N28" s="11"/>
    </row>
  </sheetData>
  <sheetProtection selectLockedCells="1" selectUnlockedCells="1"/>
  <mergeCells count="1">
    <mergeCell ref="A1:N1"/>
  </mergeCells>
  <conditionalFormatting sqref="C3:K27">
    <cfRule type="cellIs" dxfId="3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90" zoomScaleNormal="90" workbookViewId="0">
      <selection activeCell="C3" sqref="C3:K27"/>
    </sheetView>
  </sheetViews>
  <sheetFormatPr defaultColWidth="9" defaultRowHeight="14.25"/>
  <cols>
    <col min="1" max="1" width="12.75" customWidth="1"/>
  </cols>
  <sheetData>
    <row r="1" ht="30" customHeight="1" spans="1:14">
      <c r="A1" s="1" t="s">
        <v>92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6</v>
      </c>
      <c r="F2" s="8" t="s">
        <v>5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3" t="s">
        <v>12</v>
      </c>
      <c r="M2" s="3" t="s">
        <v>13</v>
      </c>
      <c r="N2" s="3" t="s">
        <v>14</v>
      </c>
    </row>
    <row r="3" spans="1:14">
      <c r="A3" s="8">
        <v>1204001</v>
      </c>
      <c r="B3" s="8" t="s">
        <v>93</v>
      </c>
      <c r="C3" s="8">
        <v>73.4</v>
      </c>
      <c r="D3" s="8">
        <v>83.5</v>
      </c>
      <c r="E3" s="8">
        <v>73.5</v>
      </c>
      <c r="F3" s="8">
        <v>79.4</v>
      </c>
      <c r="G3" s="8">
        <v>72</v>
      </c>
      <c r="H3" s="8">
        <v>89.4</v>
      </c>
      <c r="I3" s="8">
        <v>82.5</v>
      </c>
      <c r="J3" s="8">
        <v>76.5</v>
      </c>
      <c r="K3" s="8">
        <v>88.5</v>
      </c>
      <c r="L3" s="4">
        <f t="shared" ref="L3:L28" si="0">SUM(C3:K3)</f>
        <v>718.7</v>
      </c>
      <c r="M3" s="4">
        <f t="shared" ref="M3:M28" si="1">AVERAGE(C3:K3)</f>
        <v>79.8555555555556</v>
      </c>
      <c r="N3" s="6">
        <f t="shared" ref="N3:N28" si="2">RANK(L3,$L$3:$L$27)</f>
        <v>23</v>
      </c>
    </row>
    <row r="4" spans="1:14">
      <c r="A4" s="8">
        <v>1204002</v>
      </c>
      <c r="B4" s="8" t="s">
        <v>94</v>
      </c>
      <c r="C4" s="8">
        <v>90</v>
      </c>
      <c r="D4" s="8">
        <v>83.6</v>
      </c>
      <c r="E4" s="8">
        <v>94.2</v>
      </c>
      <c r="F4" s="8">
        <v>73.8</v>
      </c>
      <c r="G4" s="8">
        <v>86.6</v>
      </c>
      <c r="H4" s="8">
        <v>86.6</v>
      </c>
      <c r="I4" s="8">
        <v>87.4</v>
      </c>
      <c r="J4" s="8">
        <v>92.9</v>
      </c>
      <c r="K4" s="8">
        <v>92.7</v>
      </c>
      <c r="L4" s="4">
        <f t="shared" si="0"/>
        <v>787.8</v>
      </c>
      <c r="M4" s="4">
        <f t="shared" si="1"/>
        <v>87.5333333333333</v>
      </c>
      <c r="N4" s="6">
        <f t="shared" si="2"/>
        <v>2</v>
      </c>
    </row>
    <row r="5" spans="1:14">
      <c r="A5" s="8">
        <v>1204003</v>
      </c>
      <c r="B5" s="8" t="s">
        <v>95</v>
      </c>
      <c r="C5" s="8">
        <v>85.9</v>
      </c>
      <c r="D5" s="8">
        <v>82.1</v>
      </c>
      <c r="E5" s="8">
        <v>84.9</v>
      </c>
      <c r="F5" s="8">
        <v>78.7</v>
      </c>
      <c r="G5" s="8">
        <v>93</v>
      </c>
      <c r="H5" s="8">
        <v>75.2</v>
      </c>
      <c r="I5" s="8">
        <v>79</v>
      </c>
      <c r="J5" s="8">
        <v>80.6</v>
      </c>
      <c r="K5" s="8">
        <v>89.2</v>
      </c>
      <c r="L5" s="4">
        <f t="shared" si="0"/>
        <v>748.6</v>
      </c>
      <c r="M5" s="4">
        <f t="shared" si="1"/>
        <v>83.1777777777778</v>
      </c>
      <c r="N5" s="6">
        <f t="shared" si="2"/>
        <v>8</v>
      </c>
    </row>
    <row r="6" spans="1:14">
      <c r="A6" s="8">
        <v>1204004</v>
      </c>
      <c r="B6" s="8" t="s">
        <v>96</v>
      </c>
      <c r="C6" s="8">
        <v>80.3</v>
      </c>
      <c r="D6" s="8">
        <v>85.1</v>
      </c>
      <c r="E6" s="8">
        <v>84.2</v>
      </c>
      <c r="F6" s="8">
        <v>74.4</v>
      </c>
      <c r="G6" s="8">
        <v>81.2</v>
      </c>
      <c r="H6" s="8">
        <v>75</v>
      </c>
      <c r="I6" s="8">
        <v>72.7</v>
      </c>
      <c r="J6" s="8">
        <v>84.1</v>
      </c>
      <c r="K6" s="8">
        <v>86.9</v>
      </c>
      <c r="L6" s="4">
        <f t="shared" si="0"/>
        <v>723.9</v>
      </c>
      <c r="M6" s="4">
        <f t="shared" si="1"/>
        <v>80.4333333333333</v>
      </c>
      <c r="N6" s="6">
        <f t="shared" si="2"/>
        <v>19</v>
      </c>
    </row>
    <row r="7" spans="1:14">
      <c r="A7" s="8">
        <v>1204005</v>
      </c>
      <c r="B7" s="8" t="s">
        <v>97</v>
      </c>
      <c r="C7" s="8">
        <v>81</v>
      </c>
      <c r="D7" s="8">
        <v>87</v>
      </c>
      <c r="E7" s="8">
        <v>83.5</v>
      </c>
      <c r="F7" s="8">
        <v>68.8</v>
      </c>
      <c r="G7" s="8">
        <v>73.5</v>
      </c>
      <c r="H7" s="8">
        <v>80.4</v>
      </c>
      <c r="I7" s="8">
        <v>76.9</v>
      </c>
      <c r="J7" s="8">
        <v>80.6</v>
      </c>
      <c r="K7" s="8">
        <v>87.4</v>
      </c>
      <c r="L7" s="4">
        <f t="shared" si="0"/>
        <v>719.1</v>
      </c>
      <c r="M7" s="4">
        <f t="shared" si="1"/>
        <v>79.9</v>
      </c>
      <c r="N7" s="6">
        <f t="shared" si="2"/>
        <v>22</v>
      </c>
    </row>
    <row r="8" spans="1:14">
      <c r="A8" s="8">
        <v>1204006</v>
      </c>
      <c r="B8" s="8" t="s">
        <v>98</v>
      </c>
      <c r="C8" s="8">
        <v>87.6</v>
      </c>
      <c r="D8" s="8">
        <v>86.3</v>
      </c>
      <c r="E8" s="8">
        <v>81.4</v>
      </c>
      <c r="F8" s="8">
        <v>71.7</v>
      </c>
      <c r="G8" s="8">
        <v>85</v>
      </c>
      <c r="H8" s="8">
        <v>82.5</v>
      </c>
      <c r="I8" s="8">
        <v>86</v>
      </c>
      <c r="J8" s="8">
        <v>80.9</v>
      </c>
      <c r="K8" s="8">
        <v>86.3</v>
      </c>
      <c r="L8" s="4">
        <f t="shared" si="0"/>
        <v>747.7</v>
      </c>
      <c r="M8" s="4">
        <f t="shared" si="1"/>
        <v>83.0777777777778</v>
      </c>
      <c r="N8" s="6">
        <f t="shared" si="2"/>
        <v>9</v>
      </c>
    </row>
    <row r="9" spans="1:14">
      <c r="A9" s="8">
        <v>1204007</v>
      </c>
      <c r="B9" s="8" t="s">
        <v>99</v>
      </c>
      <c r="C9" s="8">
        <v>79.7</v>
      </c>
      <c r="D9" s="8">
        <v>94.8</v>
      </c>
      <c r="E9" s="8">
        <v>92.7</v>
      </c>
      <c r="F9" s="8">
        <v>85.1</v>
      </c>
      <c r="G9" s="8">
        <v>94.4</v>
      </c>
      <c r="H9" s="8">
        <v>88.7</v>
      </c>
      <c r="I9" s="8">
        <v>84.6</v>
      </c>
      <c r="J9" s="8">
        <v>91.1</v>
      </c>
      <c r="K9" s="8">
        <v>91.7</v>
      </c>
      <c r="L9" s="4">
        <f t="shared" si="0"/>
        <v>802.8</v>
      </c>
      <c r="M9" s="4">
        <f t="shared" si="1"/>
        <v>89.2</v>
      </c>
      <c r="N9" s="6">
        <f t="shared" si="2"/>
        <v>1</v>
      </c>
    </row>
    <row r="10" spans="1:14">
      <c r="A10" s="8">
        <v>1204008</v>
      </c>
      <c r="B10" s="8" t="s">
        <v>100</v>
      </c>
      <c r="C10" s="8">
        <v>73.4</v>
      </c>
      <c r="D10" s="8">
        <v>90</v>
      </c>
      <c r="E10" s="8">
        <v>80.7</v>
      </c>
      <c r="F10" s="8">
        <v>73.1</v>
      </c>
      <c r="G10" s="8">
        <v>84.9</v>
      </c>
      <c r="H10" s="8">
        <v>81.8</v>
      </c>
      <c r="I10" s="8">
        <v>79</v>
      </c>
      <c r="J10" s="8">
        <v>85.5</v>
      </c>
      <c r="K10" s="8">
        <v>86.3</v>
      </c>
      <c r="L10" s="4">
        <f t="shared" si="0"/>
        <v>734.7</v>
      </c>
      <c r="M10" s="4">
        <f t="shared" si="1"/>
        <v>81.6333333333333</v>
      </c>
      <c r="N10" s="6">
        <f t="shared" si="2"/>
        <v>15</v>
      </c>
    </row>
    <row r="11" spans="1:14">
      <c r="A11" s="8">
        <v>1204009</v>
      </c>
      <c r="B11" s="8" t="s">
        <v>101</v>
      </c>
      <c r="C11" s="8">
        <v>83.5</v>
      </c>
      <c r="D11" s="8">
        <v>84.5</v>
      </c>
      <c r="E11" s="8">
        <v>73.5</v>
      </c>
      <c r="F11" s="8">
        <v>78.7</v>
      </c>
      <c r="G11" s="8">
        <v>84.8</v>
      </c>
      <c r="H11" s="8">
        <v>88.7</v>
      </c>
      <c r="I11" s="8">
        <v>80.4</v>
      </c>
      <c r="J11" s="8">
        <v>92.9</v>
      </c>
      <c r="K11" s="8">
        <v>89.4</v>
      </c>
      <c r="L11" s="4">
        <f t="shared" si="0"/>
        <v>756.4</v>
      </c>
      <c r="M11" s="4">
        <f t="shared" si="1"/>
        <v>84.0444444444444</v>
      </c>
      <c r="N11" s="6">
        <f t="shared" si="2"/>
        <v>5</v>
      </c>
    </row>
    <row r="12" spans="1:14">
      <c r="A12" s="8">
        <v>1204010</v>
      </c>
      <c r="B12" s="8" t="s">
        <v>102</v>
      </c>
      <c r="C12" s="8">
        <v>69.1</v>
      </c>
      <c r="D12" s="8">
        <v>88.5</v>
      </c>
      <c r="E12" s="8">
        <v>85.6</v>
      </c>
      <c r="F12" s="8">
        <v>71.7</v>
      </c>
      <c r="G12" s="8">
        <v>84.5</v>
      </c>
      <c r="H12" s="8">
        <v>75</v>
      </c>
      <c r="I12" s="8">
        <v>59</v>
      </c>
      <c r="J12" s="8">
        <v>82.7</v>
      </c>
      <c r="K12" s="8">
        <v>87.9</v>
      </c>
      <c r="L12" s="4">
        <f t="shared" si="0"/>
        <v>704</v>
      </c>
      <c r="M12" s="4">
        <f t="shared" si="1"/>
        <v>78.2222222222222</v>
      </c>
      <c r="N12" s="6">
        <f t="shared" si="2"/>
        <v>25</v>
      </c>
    </row>
    <row r="13" spans="1:14">
      <c r="A13" s="8">
        <v>1204011</v>
      </c>
      <c r="B13" s="8" t="s">
        <v>103</v>
      </c>
      <c r="C13" s="8">
        <v>84.8</v>
      </c>
      <c r="D13" s="8">
        <v>51.8</v>
      </c>
      <c r="E13" s="8">
        <v>91.4</v>
      </c>
      <c r="F13" s="8">
        <v>73.7</v>
      </c>
      <c r="G13" s="8">
        <v>84.9</v>
      </c>
      <c r="H13" s="8">
        <v>86.6</v>
      </c>
      <c r="I13" s="8">
        <v>79.7</v>
      </c>
      <c r="J13" s="8">
        <v>84.1</v>
      </c>
      <c r="K13" s="8">
        <v>85.9</v>
      </c>
      <c r="L13" s="4">
        <f t="shared" si="0"/>
        <v>722.9</v>
      </c>
      <c r="M13" s="4">
        <f t="shared" si="1"/>
        <v>80.3222222222222</v>
      </c>
      <c r="N13" s="6">
        <f t="shared" si="2"/>
        <v>20</v>
      </c>
    </row>
    <row r="14" spans="1:14">
      <c r="A14" s="8">
        <v>1204012</v>
      </c>
      <c r="B14" s="8" t="s">
        <v>104</v>
      </c>
      <c r="C14" s="8">
        <v>78.2</v>
      </c>
      <c r="D14" s="8">
        <v>75.1</v>
      </c>
      <c r="E14" s="8">
        <v>77.2</v>
      </c>
      <c r="F14" s="8">
        <v>80.1</v>
      </c>
      <c r="G14" s="8">
        <v>84.4</v>
      </c>
      <c r="H14" s="8">
        <v>81.8</v>
      </c>
      <c r="I14" s="8">
        <v>83.2</v>
      </c>
      <c r="J14" s="8">
        <v>84.5</v>
      </c>
      <c r="K14" s="8">
        <v>89.6</v>
      </c>
      <c r="L14" s="4">
        <f t="shared" si="0"/>
        <v>734.1</v>
      </c>
      <c r="M14" s="4">
        <f t="shared" si="1"/>
        <v>81.5666666666667</v>
      </c>
      <c r="N14" s="6">
        <f t="shared" si="2"/>
        <v>16</v>
      </c>
    </row>
    <row r="15" spans="1:14">
      <c r="A15" s="8">
        <v>1204013</v>
      </c>
      <c r="B15" s="8" t="s">
        <v>105</v>
      </c>
      <c r="C15" s="8">
        <v>84.1</v>
      </c>
      <c r="D15" s="8">
        <v>76</v>
      </c>
      <c r="E15" s="8">
        <v>76.5</v>
      </c>
      <c r="F15" s="8">
        <v>77.3</v>
      </c>
      <c r="G15" s="8">
        <v>79.4</v>
      </c>
      <c r="H15" s="8">
        <v>75</v>
      </c>
      <c r="I15" s="8">
        <v>79.7</v>
      </c>
      <c r="J15" s="8">
        <v>87.4</v>
      </c>
      <c r="K15" s="8">
        <v>90.1</v>
      </c>
      <c r="L15" s="4">
        <f t="shared" si="0"/>
        <v>725.5</v>
      </c>
      <c r="M15" s="4">
        <f t="shared" si="1"/>
        <v>80.6111111111111</v>
      </c>
      <c r="N15" s="6">
        <f t="shared" si="2"/>
        <v>18</v>
      </c>
    </row>
    <row r="16" spans="1:14">
      <c r="A16" s="8">
        <v>1204014</v>
      </c>
      <c r="B16" s="8" t="s">
        <v>106</v>
      </c>
      <c r="C16" s="8">
        <v>89</v>
      </c>
      <c r="D16" s="8">
        <v>85.5</v>
      </c>
      <c r="E16" s="8">
        <v>68.6</v>
      </c>
      <c r="F16" s="8">
        <v>75.2</v>
      </c>
      <c r="G16" s="8">
        <v>80.7</v>
      </c>
      <c r="H16" s="8">
        <v>84.5</v>
      </c>
      <c r="I16" s="8">
        <v>79</v>
      </c>
      <c r="J16" s="8">
        <v>86</v>
      </c>
      <c r="K16" s="8">
        <v>86.9</v>
      </c>
      <c r="L16" s="4">
        <f t="shared" si="0"/>
        <v>735.4</v>
      </c>
      <c r="M16" s="4">
        <f t="shared" si="1"/>
        <v>81.7111111111111</v>
      </c>
      <c r="N16" s="6">
        <f t="shared" si="2"/>
        <v>13</v>
      </c>
    </row>
    <row r="17" spans="1:14">
      <c r="A17" s="8">
        <v>1204015</v>
      </c>
      <c r="B17" s="8" t="s">
        <v>107</v>
      </c>
      <c r="C17" s="8">
        <v>83.8</v>
      </c>
      <c r="D17" s="8">
        <v>94.2</v>
      </c>
      <c r="E17" s="8">
        <v>78.6</v>
      </c>
      <c r="F17" s="8">
        <v>82.9</v>
      </c>
      <c r="G17" s="8">
        <v>81.5</v>
      </c>
      <c r="H17" s="8">
        <v>94.3</v>
      </c>
      <c r="I17" s="8">
        <v>87.4</v>
      </c>
      <c r="J17" s="8">
        <v>89</v>
      </c>
      <c r="K17" s="8">
        <v>89.4</v>
      </c>
      <c r="L17" s="4">
        <f t="shared" si="0"/>
        <v>781.1</v>
      </c>
      <c r="M17" s="4">
        <f t="shared" si="1"/>
        <v>86.7888888888889</v>
      </c>
      <c r="N17" s="6">
        <f t="shared" si="2"/>
        <v>3</v>
      </c>
    </row>
    <row r="18" spans="1:14">
      <c r="A18" s="8">
        <v>1204016</v>
      </c>
      <c r="B18" s="8" t="s">
        <v>108</v>
      </c>
      <c r="C18" s="8">
        <v>86.6</v>
      </c>
      <c r="D18" s="8">
        <v>84</v>
      </c>
      <c r="E18" s="8">
        <v>66.5</v>
      </c>
      <c r="F18" s="8">
        <v>77.3</v>
      </c>
      <c r="G18" s="8">
        <v>82.3</v>
      </c>
      <c r="H18" s="8">
        <v>84.5</v>
      </c>
      <c r="I18" s="8">
        <v>80.4</v>
      </c>
      <c r="J18" s="8">
        <v>86</v>
      </c>
      <c r="K18" s="8">
        <v>88.4</v>
      </c>
      <c r="L18" s="4">
        <f t="shared" si="0"/>
        <v>736</v>
      </c>
      <c r="M18" s="4">
        <f t="shared" si="1"/>
        <v>81.7777777777778</v>
      </c>
      <c r="N18" s="6">
        <f t="shared" si="2"/>
        <v>12</v>
      </c>
    </row>
    <row r="19" spans="1:14">
      <c r="A19" s="8">
        <v>1204017</v>
      </c>
      <c r="B19" s="8" t="s">
        <v>109</v>
      </c>
      <c r="C19" s="8">
        <v>77.8</v>
      </c>
      <c r="D19" s="8">
        <v>84.4</v>
      </c>
      <c r="E19" s="8">
        <v>79.3</v>
      </c>
      <c r="F19" s="8">
        <v>78</v>
      </c>
      <c r="G19" s="8">
        <v>81.5</v>
      </c>
      <c r="H19" s="8">
        <v>85.9</v>
      </c>
      <c r="I19" s="8">
        <v>82.5</v>
      </c>
      <c r="J19" s="8">
        <v>90.8</v>
      </c>
      <c r="K19" s="8">
        <v>90.3</v>
      </c>
      <c r="L19" s="4">
        <f t="shared" si="0"/>
        <v>750.5</v>
      </c>
      <c r="M19" s="4">
        <f t="shared" si="1"/>
        <v>83.3888888888889</v>
      </c>
      <c r="N19" s="6">
        <f t="shared" si="2"/>
        <v>7</v>
      </c>
    </row>
    <row r="20" spans="1:14">
      <c r="A20" s="8">
        <v>1204018</v>
      </c>
      <c r="B20" s="8" t="s">
        <v>110</v>
      </c>
      <c r="C20" s="8">
        <v>86.9</v>
      </c>
      <c r="D20" s="8">
        <v>87.1</v>
      </c>
      <c r="E20" s="8">
        <v>66.5</v>
      </c>
      <c r="F20" s="8">
        <v>76.5</v>
      </c>
      <c r="G20" s="8">
        <v>80.7</v>
      </c>
      <c r="H20" s="8">
        <v>84.5</v>
      </c>
      <c r="I20" s="8">
        <v>79</v>
      </c>
      <c r="J20" s="8">
        <v>86.7</v>
      </c>
      <c r="K20" s="8">
        <v>87.1</v>
      </c>
      <c r="L20" s="4">
        <f t="shared" si="0"/>
        <v>735</v>
      </c>
      <c r="M20" s="4">
        <f t="shared" si="1"/>
        <v>81.6666666666667</v>
      </c>
      <c r="N20" s="6">
        <f t="shared" si="2"/>
        <v>14</v>
      </c>
    </row>
    <row r="21" spans="1:14">
      <c r="A21" s="8">
        <v>1204019</v>
      </c>
      <c r="B21" s="8" t="s">
        <v>111</v>
      </c>
      <c r="C21" s="8">
        <v>81.4</v>
      </c>
      <c r="D21" s="8">
        <v>83</v>
      </c>
      <c r="E21" s="8">
        <v>84.2</v>
      </c>
      <c r="F21" s="8">
        <v>83.6</v>
      </c>
      <c r="G21" s="8">
        <v>72.8</v>
      </c>
      <c r="H21" s="8">
        <v>77.6</v>
      </c>
      <c r="I21" s="8">
        <v>79</v>
      </c>
      <c r="J21" s="8">
        <v>88.8</v>
      </c>
      <c r="K21" s="8">
        <v>88.4</v>
      </c>
      <c r="L21" s="4">
        <f t="shared" si="0"/>
        <v>738.8</v>
      </c>
      <c r="M21" s="4">
        <f t="shared" si="1"/>
        <v>82.0888888888889</v>
      </c>
      <c r="N21" s="6">
        <f t="shared" si="2"/>
        <v>11</v>
      </c>
    </row>
    <row r="22" spans="1:14">
      <c r="A22" s="8">
        <v>1204020</v>
      </c>
      <c r="B22" s="8" t="s">
        <v>112</v>
      </c>
      <c r="C22" s="8">
        <v>84.2</v>
      </c>
      <c r="D22" s="8">
        <v>87.5</v>
      </c>
      <c r="E22" s="8">
        <v>84.2</v>
      </c>
      <c r="F22" s="8">
        <v>78.7</v>
      </c>
      <c r="G22" s="8">
        <v>71.4</v>
      </c>
      <c r="H22" s="8">
        <v>75.4</v>
      </c>
      <c r="I22" s="8">
        <v>76.9</v>
      </c>
      <c r="J22" s="8">
        <v>86</v>
      </c>
      <c r="K22" s="8">
        <v>89.3</v>
      </c>
      <c r="L22" s="4">
        <f t="shared" si="0"/>
        <v>733.6</v>
      </c>
      <c r="M22" s="4">
        <f t="shared" si="1"/>
        <v>81.5111111111111</v>
      </c>
      <c r="N22" s="6">
        <f t="shared" si="2"/>
        <v>17</v>
      </c>
    </row>
    <row r="23" spans="1:14">
      <c r="A23" s="8">
        <v>1204021</v>
      </c>
      <c r="B23" s="8" t="s">
        <v>113</v>
      </c>
      <c r="C23" s="8">
        <v>84.9</v>
      </c>
      <c r="D23" s="8">
        <v>87.1</v>
      </c>
      <c r="E23" s="8">
        <v>76.3</v>
      </c>
      <c r="F23" s="8">
        <v>85.1</v>
      </c>
      <c r="G23" s="8">
        <v>72.1</v>
      </c>
      <c r="H23" s="8">
        <v>83.2</v>
      </c>
      <c r="I23" s="8">
        <v>83.2</v>
      </c>
      <c r="J23" s="8">
        <v>90.2</v>
      </c>
      <c r="K23" s="8">
        <v>90.1</v>
      </c>
      <c r="L23" s="4">
        <f t="shared" si="0"/>
        <v>752.2</v>
      </c>
      <c r="M23" s="4">
        <f t="shared" si="1"/>
        <v>83.5777777777778</v>
      </c>
      <c r="N23" s="6">
        <f t="shared" si="2"/>
        <v>6</v>
      </c>
    </row>
    <row r="24" spans="1:14">
      <c r="A24" s="8">
        <v>1204022</v>
      </c>
      <c r="B24" s="8" t="s">
        <v>114</v>
      </c>
      <c r="C24" s="8">
        <v>74.3</v>
      </c>
      <c r="D24" s="8">
        <v>84.4</v>
      </c>
      <c r="E24" s="8">
        <v>82.8</v>
      </c>
      <c r="F24" s="8">
        <v>78.7</v>
      </c>
      <c r="G24" s="8">
        <v>80.7</v>
      </c>
      <c r="H24" s="8">
        <v>75.2</v>
      </c>
      <c r="I24" s="8">
        <v>58</v>
      </c>
      <c r="J24" s="8">
        <v>87.4</v>
      </c>
      <c r="K24" s="8">
        <v>91.7</v>
      </c>
      <c r="L24" s="4">
        <f t="shared" si="0"/>
        <v>713.2</v>
      </c>
      <c r="M24" s="4">
        <f t="shared" si="1"/>
        <v>79.2444444444444</v>
      </c>
      <c r="N24" s="6">
        <f t="shared" si="2"/>
        <v>24</v>
      </c>
    </row>
    <row r="25" spans="1:14">
      <c r="A25" s="8">
        <v>1204023</v>
      </c>
      <c r="B25" s="8" t="s">
        <v>115</v>
      </c>
      <c r="C25" s="8">
        <v>80.4</v>
      </c>
      <c r="D25" s="8">
        <v>90.9</v>
      </c>
      <c r="E25" s="8">
        <v>69.3</v>
      </c>
      <c r="F25" s="8">
        <v>72.4</v>
      </c>
      <c r="G25" s="8">
        <v>81.4</v>
      </c>
      <c r="H25" s="8">
        <v>75</v>
      </c>
      <c r="I25" s="8">
        <v>78.3</v>
      </c>
      <c r="J25" s="8">
        <v>85.6</v>
      </c>
      <c r="K25" s="8">
        <v>87.7</v>
      </c>
      <c r="L25" s="4">
        <f t="shared" si="0"/>
        <v>721</v>
      </c>
      <c r="M25" s="4">
        <f t="shared" si="1"/>
        <v>80.1111111111111</v>
      </c>
      <c r="N25" s="6">
        <f t="shared" si="2"/>
        <v>21</v>
      </c>
    </row>
    <row r="26" spans="1:14">
      <c r="A26" s="8">
        <v>1204024</v>
      </c>
      <c r="B26" s="8" t="s">
        <v>116</v>
      </c>
      <c r="C26" s="8">
        <v>83.8</v>
      </c>
      <c r="D26" s="8">
        <v>87.5</v>
      </c>
      <c r="E26" s="8">
        <v>72.1</v>
      </c>
      <c r="F26" s="8">
        <v>78.8</v>
      </c>
      <c r="G26" s="8">
        <v>77.7</v>
      </c>
      <c r="H26" s="8">
        <v>85.2</v>
      </c>
      <c r="I26" s="8">
        <v>82.5</v>
      </c>
      <c r="J26" s="8">
        <v>84.8</v>
      </c>
      <c r="K26" s="8">
        <v>91.7</v>
      </c>
      <c r="L26" s="4">
        <f t="shared" si="0"/>
        <v>744.1</v>
      </c>
      <c r="M26" s="4">
        <f t="shared" si="1"/>
        <v>82.6777777777778</v>
      </c>
      <c r="N26" s="6">
        <f t="shared" si="2"/>
        <v>10</v>
      </c>
    </row>
    <row r="27" spans="1:14">
      <c r="A27" s="8">
        <v>1204025</v>
      </c>
      <c r="B27" s="8" t="s">
        <v>117</v>
      </c>
      <c r="C27" s="8">
        <v>89.3</v>
      </c>
      <c r="D27" s="8">
        <v>77.4</v>
      </c>
      <c r="E27" s="8">
        <v>73.5</v>
      </c>
      <c r="F27" s="8">
        <v>75.9</v>
      </c>
      <c r="G27" s="8">
        <v>94.4</v>
      </c>
      <c r="H27" s="8">
        <v>88</v>
      </c>
      <c r="I27" s="8">
        <v>83.2</v>
      </c>
      <c r="J27" s="8">
        <v>88.8</v>
      </c>
      <c r="K27" s="8">
        <v>86.3</v>
      </c>
      <c r="L27" s="4">
        <f t="shared" si="0"/>
        <v>756.8</v>
      </c>
      <c r="M27" s="4">
        <f t="shared" si="1"/>
        <v>84.0888888888889</v>
      </c>
      <c r="N27" s="6">
        <f t="shared" si="2"/>
        <v>4</v>
      </c>
    </row>
    <row r="28" spans="1:14">
      <c r="A28" s="3"/>
      <c r="B28" s="3" t="s">
        <v>13</v>
      </c>
      <c r="C28" s="4">
        <f>AVERAGE(C3:C27)</f>
        <v>82.136</v>
      </c>
      <c r="D28" s="4">
        <f t="shared" ref="D28:K28" si="3">AVERAGE(D3:D27)</f>
        <v>84.052</v>
      </c>
      <c r="E28" s="4">
        <f t="shared" si="3"/>
        <v>79.248</v>
      </c>
      <c r="F28" s="4">
        <f t="shared" si="3"/>
        <v>77.184</v>
      </c>
      <c r="G28" s="4">
        <f t="shared" si="3"/>
        <v>81.832</v>
      </c>
      <c r="H28" s="4">
        <f t="shared" si="3"/>
        <v>82.4</v>
      </c>
      <c r="I28" s="4">
        <f t="shared" si="3"/>
        <v>79.18</v>
      </c>
      <c r="J28" s="4">
        <f t="shared" si="3"/>
        <v>86.156</v>
      </c>
      <c r="K28" s="4">
        <f t="shared" si="3"/>
        <v>88.768</v>
      </c>
      <c r="L28" s="4">
        <f t="shared" si="0"/>
        <v>740.956</v>
      </c>
      <c r="M28" s="4">
        <f t="shared" si="1"/>
        <v>82.3284444444445</v>
      </c>
      <c r="N28" s="6"/>
    </row>
  </sheetData>
  <sheetProtection selectLockedCells="1" selectUnlockedCells="1"/>
  <mergeCells count="1">
    <mergeCell ref="A1:N1"/>
  </mergeCells>
  <conditionalFormatting sqref="C3:K27">
    <cfRule type="cellIs" dxfId="3" priority="1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7"/>
  <sheetViews>
    <sheetView tabSelected="1" workbookViewId="0">
      <selection activeCell="K14" sqref="K14"/>
    </sheetView>
  </sheetViews>
  <sheetFormatPr defaultColWidth="9" defaultRowHeight="14.25" outlineLevelRow="6"/>
  <sheetData>
    <row r="1" ht="30" customHeight="1" spans="1:14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5"/>
    </row>
    <row r="2" spans="1:13">
      <c r="A2" s="2" t="s">
        <v>119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 t="s">
        <v>12</v>
      </c>
      <c r="L2" s="2" t="s">
        <v>13</v>
      </c>
      <c r="M2" s="2" t="s">
        <v>120</v>
      </c>
    </row>
    <row r="3" spans="1:13">
      <c r="A3" s="2" t="s">
        <v>121</v>
      </c>
      <c r="B3" s="4">
        <f>AVERAGE(法一!C3:C27)</f>
        <v>80.3</v>
      </c>
      <c r="C3" s="4">
        <f>AVERAGE(法一!D3:D27)</f>
        <v>85.852</v>
      </c>
      <c r="D3" s="4">
        <f>AVERAGE(法一!E3:E27)</f>
        <v>80.144</v>
      </c>
      <c r="E3" s="4">
        <f>AVERAGE(法一!F3:F27)</f>
        <v>77.936</v>
      </c>
      <c r="F3" s="4">
        <f>AVERAGE(法一!G3:G27)</f>
        <v>88.176</v>
      </c>
      <c r="G3" s="4">
        <f>AVERAGE(法一!H3:H27)</f>
        <v>79.068</v>
      </c>
      <c r="H3" s="4">
        <f>AVERAGE(法一!I3:I27)</f>
        <v>82.304</v>
      </c>
      <c r="I3" s="4">
        <f>AVERAGE(法一!J3:J27)</f>
        <v>86.108</v>
      </c>
      <c r="J3" s="4">
        <f>AVERAGE(法一!K3:K27)</f>
        <v>88.604</v>
      </c>
      <c r="K3" s="4">
        <f>SUM(B3:J3)</f>
        <v>748.492</v>
      </c>
      <c r="L3" s="4">
        <f>AVERAGE(B3:J3)</f>
        <v>83.1657777777778</v>
      </c>
      <c r="M3" s="6">
        <f>RANK(K3,$K$3:$K$6)</f>
        <v>2</v>
      </c>
    </row>
    <row r="4" spans="1:13">
      <c r="A4" s="2" t="s">
        <v>122</v>
      </c>
      <c r="B4" s="4">
        <f>AVERAGE(法二!C3:C27)</f>
        <v>83.008</v>
      </c>
      <c r="C4" s="4">
        <f>AVERAGE(法二!D3:D27)</f>
        <v>88.584</v>
      </c>
      <c r="D4" s="4">
        <f>AVERAGE(法二!E3:E27)</f>
        <v>80.176</v>
      </c>
      <c r="E4" s="4">
        <f>AVERAGE(法二!F3:F27)</f>
        <v>80.884</v>
      </c>
      <c r="F4" s="4">
        <f>AVERAGE(法二!G3:G27)</f>
        <v>87.916</v>
      </c>
      <c r="G4" s="4">
        <f>AVERAGE(法二!H3:H27)</f>
        <v>81.276</v>
      </c>
      <c r="H4" s="4">
        <f>AVERAGE(法二!I3:I27)</f>
        <v>81.94</v>
      </c>
      <c r="I4" s="4">
        <f>AVERAGE(法二!J3:J27)</f>
        <v>87.448</v>
      </c>
      <c r="J4" s="4">
        <f>AVERAGE(法二!K3:K27)</f>
        <v>89.204</v>
      </c>
      <c r="K4" s="4">
        <f>SUM(B4:J4)</f>
        <v>760.436</v>
      </c>
      <c r="L4" s="4">
        <f>AVERAGE(B4:J4)</f>
        <v>84.4928888888889</v>
      </c>
      <c r="M4" s="6">
        <f>RANK(K4,$K$3:$K$6)</f>
        <v>1</v>
      </c>
    </row>
    <row r="5" spans="1:13">
      <c r="A5" s="2" t="s">
        <v>123</v>
      </c>
      <c r="B5" s="4">
        <f>AVERAGE(法三!C3:C27)</f>
        <v>81.136</v>
      </c>
      <c r="C5" s="4">
        <f>AVERAGE(法三!D3:D27)</f>
        <v>85.792</v>
      </c>
      <c r="D5" s="4">
        <f>AVERAGE(法三!E3:E27)</f>
        <v>80.156</v>
      </c>
      <c r="E5" s="4">
        <f>AVERAGE(法三!F3:F27)</f>
        <v>77.884</v>
      </c>
      <c r="F5" s="4">
        <f>AVERAGE(法三!G3:G27)</f>
        <v>80.696</v>
      </c>
      <c r="G5" s="4">
        <f>AVERAGE(法三!H3:H27)</f>
        <v>81.944</v>
      </c>
      <c r="H5" s="4">
        <f>AVERAGE(法三!I3:I27)</f>
        <v>78.828</v>
      </c>
      <c r="I5" s="4">
        <f>AVERAGE(法三!J3:J27)</f>
        <v>84.08</v>
      </c>
      <c r="J5" s="4">
        <f>AVERAGE(法三!K3:K27)</f>
        <v>88.96</v>
      </c>
      <c r="K5" s="4">
        <f>SUM(B5:J5)</f>
        <v>739.476</v>
      </c>
      <c r="L5" s="4">
        <f>AVERAGE(B5:J5)</f>
        <v>82.164</v>
      </c>
      <c r="M5" s="6">
        <f>RANK(K5,$K$3:$K$6)</f>
        <v>4</v>
      </c>
    </row>
    <row r="6" spans="1:13">
      <c r="A6" s="2" t="s">
        <v>124</v>
      </c>
      <c r="B6" s="4">
        <f>AVERAGE(法四!C3:C27)</f>
        <v>82.136</v>
      </c>
      <c r="C6" s="4">
        <f>AVERAGE(法四!D3:D27)</f>
        <v>84.052</v>
      </c>
      <c r="D6" s="4">
        <f>AVERAGE(法四!E3:E27)</f>
        <v>79.248</v>
      </c>
      <c r="E6" s="4">
        <f>AVERAGE(法四!F3:F27)</f>
        <v>77.184</v>
      </c>
      <c r="F6" s="4">
        <f>AVERAGE(法四!G3:G27)</f>
        <v>81.832</v>
      </c>
      <c r="G6" s="4">
        <f>AVERAGE(法四!H3:H27)</f>
        <v>82.4</v>
      </c>
      <c r="H6" s="4">
        <f>AVERAGE(法四!I3:I27)</f>
        <v>79.18</v>
      </c>
      <c r="I6" s="4">
        <f>AVERAGE(法四!J3:J27)</f>
        <v>86.156</v>
      </c>
      <c r="J6" s="4">
        <f>AVERAGE(法四!K3:K27)</f>
        <v>88.768</v>
      </c>
      <c r="K6" s="4">
        <f>SUM(B6:J6)</f>
        <v>740.956</v>
      </c>
      <c r="L6" s="4">
        <f>AVERAGE(B6:J6)</f>
        <v>82.3284444444445</v>
      </c>
      <c r="M6" s="6">
        <f>RANK(K6,$K$3:$K$6)</f>
        <v>3</v>
      </c>
    </row>
    <row r="7" spans="1:13">
      <c r="A7" s="2" t="s">
        <v>125</v>
      </c>
      <c r="B7" s="4">
        <f>AVERAGE(B2:B6)</f>
        <v>81.645</v>
      </c>
      <c r="C7" s="4">
        <f t="shared" ref="C7:J7" si="0">AVERAGE(C2:C6)</f>
        <v>86.07</v>
      </c>
      <c r="D7" s="4">
        <f t="shared" si="0"/>
        <v>79.931</v>
      </c>
      <c r="E7" s="4">
        <f t="shared" si="0"/>
        <v>78.472</v>
      </c>
      <c r="F7" s="4">
        <f t="shared" si="0"/>
        <v>84.655</v>
      </c>
      <c r="G7" s="4">
        <f t="shared" si="0"/>
        <v>81.172</v>
      </c>
      <c r="H7" s="4">
        <f t="shared" si="0"/>
        <v>80.563</v>
      </c>
      <c r="I7" s="4">
        <f t="shared" si="0"/>
        <v>85.948</v>
      </c>
      <c r="J7" s="4">
        <f t="shared" si="0"/>
        <v>88.884</v>
      </c>
      <c r="K7" s="4">
        <f>SUM(B7:J7)</f>
        <v>747.34</v>
      </c>
      <c r="L7" s="4">
        <f>AVERAGE(B7:J7)</f>
        <v>83.0377777777778</v>
      </c>
      <c r="M7" s="6"/>
    </row>
  </sheetData>
  <mergeCells count="1">
    <mergeCell ref="A1:M1"/>
  </mergeCells>
  <pageMargins left="0.7" right="0.7" top="0.75" bottom="0.75" header="0.3" footer="0.3"/>
  <headerFooter/>
  <ignoredErrors>
    <ignoredError sqref="B6:B7 B3:B4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法一</vt:lpstr>
      <vt:lpstr>法二</vt:lpstr>
      <vt:lpstr>法三</vt:lpstr>
      <vt:lpstr>法四</vt:lpstr>
      <vt:lpstr>总体情况表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微信用户</cp:lastModifiedBy>
  <dcterms:created xsi:type="dcterms:W3CDTF">2013-09-24T00:14:00Z</dcterms:created>
  <dcterms:modified xsi:type="dcterms:W3CDTF">2024-11-25T05:29:12Z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8FD471913A564DD4B4CEDFFDC9201255_12</vt:lpwstr>
  </property>
</Properties>
</file>
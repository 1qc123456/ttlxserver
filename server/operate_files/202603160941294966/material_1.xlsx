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员工业绩汇总表" sheetId="1" r:id="rId1"/>
    <sheet name="考勤" sheetId="4" r:id="rId2"/>
    <sheet name="排序" sheetId="5" r:id="rId3"/>
    <sheet name="员工业绩评价表" sheetId="2" r:id="rId4"/>
    <sheet name="Sheet3" sheetId="3" r:id="rId5"/>
  </sheets>
  <calcPr calcId="144525"/>
  <pivotCaches>
    <pivotCache cacheId="0" r:id="rId6"/>
  </pivotCaches>
</workbook>
</file>

<file path=xl/sharedStrings.xml><?xml version="1.0" encoding="utf-8"?>
<sst xmlns="http://schemas.openxmlformats.org/spreadsheetml/2006/main" count="248" uniqueCount="32">
  <si>
    <t>员工业绩汇总表</t>
  </si>
  <si>
    <t>序号</t>
  </si>
  <si>
    <t>产品名称</t>
  </si>
  <si>
    <t>单位</t>
  </si>
  <si>
    <t>单价</t>
  </si>
  <si>
    <t>销量</t>
  </si>
  <si>
    <t>销售额</t>
  </si>
  <si>
    <t>销售员</t>
  </si>
  <si>
    <t>D产品</t>
  </si>
  <si>
    <t>箱</t>
  </si>
  <si>
    <t>周晓敏</t>
  </si>
  <si>
    <t>B产品</t>
  </si>
  <si>
    <t>张宝强</t>
  </si>
  <si>
    <t>A产品</t>
  </si>
  <si>
    <t>台</t>
  </si>
  <si>
    <t>王新林</t>
  </si>
  <si>
    <t>C产品</t>
  </si>
  <si>
    <t>盒</t>
  </si>
  <si>
    <t>滕念</t>
  </si>
  <si>
    <t>罗晓云</t>
  </si>
  <si>
    <t>江丽丽</t>
  </si>
  <si>
    <t>请假人员</t>
  </si>
  <si>
    <t>请假时</t>
  </si>
  <si>
    <t>请假分</t>
  </si>
  <si>
    <t>请假秒</t>
  </si>
  <si>
    <t>请假起始时间</t>
  </si>
  <si>
    <t>请假结束时间</t>
  </si>
  <si>
    <t>请假时长/小时</t>
  </si>
  <si>
    <t>员工业绩评价表</t>
  </si>
  <si>
    <t>员工业绩</t>
  </si>
  <si>
    <t>业绩评价</t>
  </si>
  <si>
    <t>求和项:销售额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</si>
</sst>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[Red][&gt;=5]General;[Green]General"/>
  </numFmts>
  <fonts count="25">
    <font>
      <sz val="11"/>
      <color theme="1"/>
      <name val="宋体"/>
      <charset val="134"/>
      <scheme val="minor"/>
    </font>
    <font>
      <sz val="22"/>
      <color theme="1"/>
      <name val="华文中宋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22"/>
      <color theme="1"/>
      <name val="等线"/>
      <charset val="134"/>
    </font>
    <font>
      <b/>
      <sz val="12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7" applyNumberFormat="0" applyAlignment="0" applyProtection="0">
      <alignment vertical="center"/>
    </xf>
    <xf numFmtId="0" fontId="15" fillId="6" borderId="28" applyNumberFormat="0" applyAlignment="0" applyProtection="0">
      <alignment vertical="center"/>
    </xf>
    <xf numFmtId="0" fontId="16" fillId="6" borderId="27" applyNumberFormat="0" applyAlignment="0" applyProtection="0">
      <alignment vertical="center"/>
    </xf>
    <xf numFmtId="0" fontId="17" fillId="7" borderId="29" applyNumberFormat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4" fontId="0" fillId="0" borderId="1" xfId="0" applyNumberFormat="1" applyBorder="1">
      <alignment vertical="center"/>
    </xf>
    <xf numFmtId="44" fontId="0" fillId="0" borderId="4" xfId="0" applyNumberFormat="1" applyBorder="1">
      <alignment vertical="center"/>
    </xf>
    <xf numFmtId="44" fontId="0" fillId="0" borderId="5" xfId="0" applyNumberForma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44" fontId="0" fillId="0" borderId="7" xfId="0" applyNumberFormat="1" applyBorder="1">
      <alignment vertical="center"/>
    </xf>
    <xf numFmtId="44" fontId="0" fillId="0" borderId="0" xfId="0" applyNumberFormat="1">
      <alignment vertical="center"/>
    </xf>
    <xf numFmtId="44" fontId="0" fillId="0" borderId="8" xfId="0" applyNumberForma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4" fontId="0" fillId="0" borderId="10" xfId="0" applyNumberFormat="1" applyBorder="1">
      <alignment vertical="center"/>
    </xf>
    <xf numFmtId="44" fontId="0" fillId="0" borderId="11" xfId="0" applyNumberFormat="1" applyBorder="1">
      <alignment vertical="center"/>
    </xf>
    <xf numFmtId="44" fontId="0" fillId="0" borderId="12" xfId="0" applyNumberFormat="1" applyBorder="1">
      <alignment vertical="center"/>
    </xf>
    <xf numFmtId="0" fontId="0" fillId="0" borderId="7" xfId="0" applyBorder="1">
      <alignment vertical="center"/>
    </xf>
    <xf numFmtId="0" fontId="1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4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5" fontId="0" fillId="0" borderId="1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5" fontId="0" fillId="0" borderId="2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C000"/>
      </font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员工业绩分布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员工业绩评价表!$B$2</c:f>
              <c:strCache>
                <c:ptCount val="1"/>
                <c:pt idx="0">
                  <c:v>员工业绩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strRef>
              <c:f>员工业绩评价表!$A$3:$A$8</c:f>
              <c:strCache>
                <c:ptCount val="6"/>
                <c:pt idx="0">
                  <c:v>周晓敏</c:v>
                </c:pt>
                <c:pt idx="1">
                  <c:v>张宝强</c:v>
                </c:pt>
                <c:pt idx="2">
                  <c:v>王新林</c:v>
                </c:pt>
                <c:pt idx="3">
                  <c:v>滕念</c:v>
                </c:pt>
                <c:pt idx="4">
                  <c:v>罗晓云</c:v>
                </c:pt>
                <c:pt idx="5">
                  <c:v>江丽丽</c:v>
                </c:pt>
              </c:strCache>
            </c:strRef>
          </c:xVal>
          <c:yVal>
            <c:numRef>
              <c:f>员工业绩评价表!$B$3:$B$8</c:f>
              <c:numCache>
                <c:formatCode>_ "￥"* #,##0.00_ ;_ "￥"* \-#,##0.00_ ;_ "￥"* "-"??_ ;_ @_ </c:formatCode>
                <c:ptCount val="6"/>
                <c:pt idx="0">
                  <c:v>70440</c:v>
                </c:pt>
                <c:pt idx="1">
                  <c:v>194826</c:v>
                </c:pt>
                <c:pt idx="2">
                  <c:v>162594</c:v>
                </c:pt>
                <c:pt idx="3">
                  <c:v>79515</c:v>
                </c:pt>
                <c:pt idx="4">
                  <c:v>94835</c:v>
                </c:pt>
                <c:pt idx="5">
                  <c:v>166830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988447"/>
        <c:axId val="436669134"/>
      </c:scatterChart>
      <c:valAx>
        <c:axId val="50898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669134"/>
        <c:crosses val="autoZero"/>
        <c:crossBetween val="midCat"/>
      </c:valAx>
      <c:valAx>
        <c:axId val="4366691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_ &quot;￥&quot;* #,##0.00_ ;_ &quot;￥&quot;* \-#,##0.00_ ;_ &quot;￥&quot;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89884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34925</xdr:colOff>
      <xdr:row>1</xdr:row>
      <xdr:rowOff>3175</xdr:rowOff>
    </xdr:from>
    <xdr:to>
      <xdr:col>11</xdr:col>
      <xdr:colOff>60960</xdr:colOff>
      <xdr:row>11</xdr:row>
      <xdr:rowOff>19050</xdr:rowOff>
    </xdr:to>
    <xdr:graphicFrame>
      <xdr:nvGraphicFramePr>
        <xdr:cNvPr id="2" name="图表 1"/>
        <xdr:cNvGraphicFramePr/>
      </xdr:nvGraphicFramePr>
      <xdr:xfrm>
        <a:off x="5055870" y="469900"/>
        <a:ext cx="4826635" cy="274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7.4313425926" refreshedBy="25472" recordCount="30">
  <cacheSource type="worksheet">
    <worksheetSource ref="A3:G33" sheet="员工业绩汇总表"/>
  </cacheSource>
  <cacheFields count="7">
    <cacheField name="序号" numFmtId="0">
      <sharedItems containsSemiMixedTypes="0" containsString="0" containsNumber="1" containsInteger="1" minValue="0" maxValue="30" count="30">
        <n v="6"/>
        <n v="19"/>
        <n v="12"/>
        <n v="1"/>
        <n v="9"/>
        <n v="16"/>
        <n v="28"/>
        <n v="20"/>
        <n v="18"/>
        <n v="21"/>
        <n v="3"/>
        <n v="8"/>
        <n v="27"/>
        <n v="25"/>
        <n v="4"/>
        <n v="10"/>
        <n v="29"/>
        <n v="15"/>
        <n v="23"/>
        <n v="26"/>
        <n v="17"/>
        <n v="5"/>
        <n v="22"/>
        <n v="14"/>
        <n v="24"/>
        <n v="11"/>
        <n v="13"/>
        <n v="30"/>
        <n v="2"/>
        <n v="7"/>
      </sharedItems>
    </cacheField>
    <cacheField name="产品名称" numFmtId="0">
      <sharedItems count="4">
        <s v="D产品"/>
        <s v="B产品"/>
        <s v="A产品"/>
        <s v="C产品"/>
      </sharedItems>
    </cacheField>
    <cacheField name="单位" numFmtId="0">
      <sharedItems count="3">
        <s v="箱"/>
        <s v="台"/>
        <s v="盒"/>
      </sharedItems>
    </cacheField>
    <cacheField name="单价" numFmtId="0">
      <sharedItems containsSemiMixedTypes="0" containsString="0" containsNumber="1" containsInteger="1" minValue="0" maxValue="2400" count="4">
        <n v="2400"/>
        <n v="1230"/>
        <n v="1589"/>
        <n v="856"/>
      </sharedItems>
    </cacheField>
    <cacheField name="销量" numFmtId="0">
      <sharedItems containsSemiMixedTypes="0" containsString="0" containsNumber="1" containsInteger="1" minValue="0" maxValue="50" count="19">
        <n v="15"/>
        <n v="28"/>
        <n v="23"/>
        <n v="5"/>
        <n v="34"/>
        <n v="25"/>
        <n v="10"/>
        <n v="24"/>
        <n v="7"/>
        <n v="26"/>
        <n v="21"/>
        <n v="8"/>
        <n v="16"/>
        <n v="30"/>
        <n v="12"/>
        <n v="11"/>
        <n v="50"/>
        <n v="6"/>
        <n v="20"/>
      </sharedItems>
    </cacheField>
    <cacheField name="销售额" numFmtId="5">
      <sharedItems containsSemiMixedTypes="0" containsString="0" containsNumber="1" containsInteger="1" minValue="0" maxValue="61500" count="27">
        <n v="36000"/>
        <n v="34440"/>
        <n v="55200"/>
        <n v="6150"/>
        <n v="54026"/>
        <n v="39725"/>
        <n v="23835"/>
        <n v="15890"/>
        <n v="57600"/>
        <n v="16800"/>
        <n v="20544"/>
        <n v="31980"/>
        <n v="25830"/>
        <n v="9840"/>
        <n v="12840"/>
        <n v="4280"/>
        <n v="18450"/>
        <n v="7945"/>
        <n v="12000"/>
        <n v="13696"/>
        <n v="36900"/>
        <n v="14760"/>
        <n v="17479"/>
        <n v="8560"/>
        <n v="61500"/>
        <n v="7380"/>
        <n v="31780"/>
      </sharedItems>
    </cacheField>
    <cacheField name="销售员" numFmtId="0">
      <sharedItems count="6">
        <s v="周晓敏"/>
        <s v="张宝强"/>
        <s v="王新林"/>
        <s v="滕念"/>
        <s v="罗晓云"/>
        <s v="江丽丽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x v="0"/>
    <x v="0"/>
    <x v="0"/>
  </r>
  <r>
    <x v="1"/>
    <x v="1"/>
    <x v="0"/>
    <x v="1"/>
    <x v="1"/>
    <x v="1"/>
    <x v="0"/>
  </r>
  <r>
    <x v="2"/>
    <x v="0"/>
    <x v="0"/>
    <x v="0"/>
    <x v="2"/>
    <x v="2"/>
    <x v="1"/>
  </r>
  <r>
    <x v="3"/>
    <x v="1"/>
    <x v="0"/>
    <x v="1"/>
    <x v="3"/>
    <x v="3"/>
    <x v="1"/>
  </r>
  <r>
    <x v="4"/>
    <x v="2"/>
    <x v="1"/>
    <x v="2"/>
    <x v="4"/>
    <x v="4"/>
    <x v="1"/>
  </r>
  <r>
    <x v="5"/>
    <x v="2"/>
    <x v="1"/>
    <x v="2"/>
    <x v="5"/>
    <x v="5"/>
    <x v="1"/>
  </r>
  <r>
    <x v="6"/>
    <x v="2"/>
    <x v="1"/>
    <x v="2"/>
    <x v="0"/>
    <x v="6"/>
    <x v="1"/>
  </r>
  <r>
    <x v="7"/>
    <x v="2"/>
    <x v="1"/>
    <x v="2"/>
    <x v="6"/>
    <x v="7"/>
    <x v="1"/>
  </r>
  <r>
    <x v="8"/>
    <x v="0"/>
    <x v="0"/>
    <x v="0"/>
    <x v="7"/>
    <x v="8"/>
    <x v="2"/>
  </r>
  <r>
    <x v="9"/>
    <x v="0"/>
    <x v="0"/>
    <x v="0"/>
    <x v="8"/>
    <x v="9"/>
    <x v="2"/>
  </r>
  <r>
    <x v="10"/>
    <x v="3"/>
    <x v="2"/>
    <x v="3"/>
    <x v="7"/>
    <x v="10"/>
    <x v="2"/>
  </r>
  <r>
    <x v="11"/>
    <x v="1"/>
    <x v="0"/>
    <x v="1"/>
    <x v="9"/>
    <x v="11"/>
    <x v="2"/>
  </r>
  <r>
    <x v="12"/>
    <x v="1"/>
    <x v="0"/>
    <x v="1"/>
    <x v="10"/>
    <x v="12"/>
    <x v="2"/>
  </r>
  <r>
    <x v="13"/>
    <x v="1"/>
    <x v="0"/>
    <x v="1"/>
    <x v="11"/>
    <x v="13"/>
    <x v="2"/>
  </r>
  <r>
    <x v="14"/>
    <x v="0"/>
    <x v="0"/>
    <x v="0"/>
    <x v="0"/>
    <x v="0"/>
    <x v="3"/>
  </r>
  <r>
    <x v="15"/>
    <x v="3"/>
    <x v="2"/>
    <x v="3"/>
    <x v="0"/>
    <x v="14"/>
    <x v="3"/>
  </r>
  <r>
    <x v="16"/>
    <x v="3"/>
    <x v="2"/>
    <x v="3"/>
    <x v="3"/>
    <x v="15"/>
    <x v="3"/>
  </r>
  <r>
    <x v="17"/>
    <x v="1"/>
    <x v="0"/>
    <x v="1"/>
    <x v="0"/>
    <x v="16"/>
    <x v="3"/>
  </r>
  <r>
    <x v="18"/>
    <x v="2"/>
    <x v="1"/>
    <x v="2"/>
    <x v="3"/>
    <x v="17"/>
    <x v="3"/>
  </r>
  <r>
    <x v="19"/>
    <x v="0"/>
    <x v="0"/>
    <x v="0"/>
    <x v="3"/>
    <x v="18"/>
    <x v="4"/>
  </r>
  <r>
    <x v="20"/>
    <x v="3"/>
    <x v="2"/>
    <x v="3"/>
    <x v="12"/>
    <x v="19"/>
    <x v="4"/>
  </r>
  <r>
    <x v="21"/>
    <x v="1"/>
    <x v="0"/>
    <x v="1"/>
    <x v="13"/>
    <x v="20"/>
    <x v="4"/>
  </r>
  <r>
    <x v="22"/>
    <x v="1"/>
    <x v="0"/>
    <x v="1"/>
    <x v="14"/>
    <x v="21"/>
    <x v="4"/>
  </r>
  <r>
    <x v="23"/>
    <x v="2"/>
    <x v="1"/>
    <x v="2"/>
    <x v="15"/>
    <x v="22"/>
    <x v="4"/>
  </r>
  <r>
    <x v="24"/>
    <x v="3"/>
    <x v="2"/>
    <x v="3"/>
    <x v="6"/>
    <x v="23"/>
    <x v="5"/>
  </r>
  <r>
    <x v="25"/>
    <x v="1"/>
    <x v="0"/>
    <x v="1"/>
    <x v="16"/>
    <x v="24"/>
    <x v="5"/>
  </r>
  <r>
    <x v="26"/>
    <x v="1"/>
    <x v="0"/>
    <x v="1"/>
    <x v="10"/>
    <x v="12"/>
    <x v="5"/>
  </r>
  <r>
    <x v="27"/>
    <x v="1"/>
    <x v="0"/>
    <x v="1"/>
    <x v="17"/>
    <x v="25"/>
    <x v="5"/>
  </r>
  <r>
    <x v="28"/>
    <x v="2"/>
    <x v="1"/>
    <x v="2"/>
    <x v="18"/>
    <x v="26"/>
    <x v="5"/>
  </r>
  <r>
    <x v="29"/>
    <x v="2"/>
    <x v="1"/>
    <x v="2"/>
    <x v="18"/>
    <x v="2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rowGrandTotals="0" colGrandTotals="0" compact="0" indent="0" compactData="0" showDrill="1" multipleFieldFilters="0">
  <location ref="B3:F23" firstHeaderRow="1" firstDataRow="2" firstDataCol="2"/>
  <pivotFields count="7">
    <pivotField compact="0" defaultSubtotal="0" outline="0" showAll="0">
      <items count="30">
        <item x="3"/>
        <item x="28"/>
        <item x="10"/>
        <item x="14"/>
        <item x="21"/>
        <item x="0"/>
        <item x="29"/>
        <item x="11"/>
        <item x="4"/>
        <item x="15"/>
        <item x="25"/>
        <item x="2"/>
        <item x="26"/>
        <item x="23"/>
        <item x="17"/>
        <item x="5"/>
        <item x="20"/>
        <item x="8"/>
        <item x="1"/>
        <item x="7"/>
        <item x="9"/>
        <item x="22"/>
        <item x="18"/>
        <item x="24"/>
        <item x="13"/>
        <item x="19"/>
        <item x="12"/>
        <item x="6"/>
        <item x="16"/>
        <item x="27"/>
      </items>
    </pivotField>
    <pivotField axis="axisRow" compact="0" defaultSubtotal="0" outline="0" showAll="0">
      <items count="4">
        <item x="2"/>
        <item x="1"/>
        <item x="3"/>
        <item x="0"/>
      </items>
    </pivotField>
    <pivotField axis="axisCol" compact="0" defaultSubtotal="0" outline="0" showAll="0">
      <items count="3">
        <item x="2"/>
        <item x="1"/>
        <item x="0"/>
      </items>
    </pivotField>
    <pivotField compact="0" defaultSubtotal="0" outline="0" showAll="0"/>
    <pivotField compact="0" defaultSubtotal="0" outline="0" showAll="0"/>
    <pivotField dataField="1" compact="0" defaultSubtotal="0" outline="0" numFmtId="5" showAll="0">
      <items count="27">
        <item x="15"/>
        <item x="3"/>
        <item x="25"/>
        <item x="17"/>
        <item x="23"/>
        <item x="13"/>
        <item x="18"/>
        <item x="14"/>
        <item x="19"/>
        <item x="21"/>
        <item x="7"/>
        <item x="9"/>
        <item x="22"/>
        <item x="16"/>
        <item x="10"/>
        <item x="6"/>
        <item x="12"/>
        <item x="26"/>
        <item x="11"/>
        <item x="1"/>
        <item x="0"/>
        <item x="20"/>
        <item x="5"/>
        <item x="4"/>
        <item x="2"/>
        <item x="8"/>
        <item x="24"/>
      </items>
    </pivotField>
    <pivotField axis="axisRow" compact="0" defaultSubtotal="0" outline="0" showAll="0">
      <items count="6">
        <item x="5"/>
        <item x="4"/>
        <item x="3"/>
        <item x="2"/>
        <item x="1"/>
        <item x="0"/>
      </items>
    </pivotField>
  </pivotFields>
  <rowFields count="2">
    <field x="1"/>
    <field x="6"/>
  </rowFields>
  <rowItems count="19">
    <i>
      <x/>
      <x/>
    </i>
    <i r="1">
      <x v="1"/>
    </i>
    <i r="1">
      <x v="2"/>
    </i>
    <i r="1">
      <x v="4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>
      <x v="3"/>
      <x v="1"/>
    </i>
    <i r="1">
      <x v="2"/>
    </i>
    <i r="1">
      <x v="3"/>
    </i>
    <i r="1">
      <x v="4"/>
    </i>
    <i r="1">
      <x v="5"/>
    </i>
  </rowItems>
  <colFields count="1">
    <field x="2"/>
  </colFields>
  <colItems count="3">
    <i>
      <x/>
    </i>
    <i>
      <x v="1"/>
    </i>
    <i>
      <x v="2"/>
    </i>
  </colItems>
  <dataFields count="1">
    <dataField name="求和项:销售额" fld="5" baseField="0" baseItem="0" numFmtId="44"/>
  </dataFields>
  <pivotTableStyleInfo showRow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按产品名称排序" displayName="按产品名称排序" ref="A1:G31" totalsRowShown="0">
  <autoFilter ref="A1:G31"/>
  <tableColumns count="7">
    <tableColumn id="1" name="序号"/>
    <tableColumn id="2" name="产品名称"/>
    <tableColumn id="3" name="单位"/>
    <tableColumn id="4" name="单价"/>
    <tableColumn id="5" name="销量"/>
    <tableColumn id="6" name="销售额"/>
    <tableColumn id="7" name="销售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J8" sqref="J8"/>
    </sheetView>
  </sheetViews>
  <sheetFormatPr defaultColWidth="9" defaultRowHeight="13.5" outlineLevelCol="6"/>
  <cols>
    <col min="6" max="6" width="9.25"/>
  </cols>
  <sheetData>
    <row r="1" ht="28.5" spans="1:7">
      <c r="A1" s="34" t="s">
        <v>0</v>
      </c>
      <c r="B1" s="34"/>
      <c r="C1" s="34"/>
      <c r="D1" s="34"/>
      <c r="E1" s="34"/>
      <c r="F1" s="34"/>
      <c r="G1" s="34"/>
    </row>
    <row r="2" ht="15" customHeight="1"/>
    <row r="3" ht="14.25" spans="1:7">
      <c r="A3" s="35" t="s">
        <v>1</v>
      </c>
      <c r="B3" s="36" t="s">
        <v>2</v>
      </c>
      <c r="C3" s="36" t="s">
        <v>3</v>
      </c>
      <c r="D3" s="36" t="s">
        <v>4</v>
      </c>
      <c r="E3" s="36" t="s">
        <v>5</v>
      </c>
      <c r="F3" s="36" t="s">
        <v>6</v>
      </c>
      <c r="G3" s="37" t="s">
        <v>7</v>
      </c>
    </row>
    <row r="4" spans="1:7">
      <c r="A4" s="38">
        <v>6</v>
      </c>
      <c r="B4" s="31" t="s">
        <v>8</v>
      </c>
      <c r="C4" s="31" t="s">
        <v>9</v>
      </c>
      <c r="D4" s="31">
        <v>2400</v>
      </c>
      <c r="E4" s="31">
        <v>15</v>
      </c>
      <c r="F4" s="39">
        <f>D4*E4</f>
        <v>36000</v>
      </c>
      <c r="G4" s="27" t="s">
        <v>10</v>
      </c>
    </row>
    <row r="5" spans="1:7">
      <c r="A5" s="38">
        <v>19</v>
      </c>
      <c r="B5" s="31" t="s">
        <v>11</v>
      </c>
      <c r="C5" s="31" t="s">
        <v>9</v>
      </c>
      <c r="D5" s="31">
        <v>1230</v>
      </c>
      <c r="E5" s="31">
        <v>28</v>
      </c>
      <c r="F5" s="39">
        <f t="shared" ref="F5:F33" si="0">D5*E5</f>
        <v>34440</v>
      </c>
      <c r="G5" s="27" t="s">
        <v>10</v>
      </c>
    </row>
    <row r="6" spans="1:7">
      <c r="A6" s="38">
        <v>12</v>
      </c>
      <c r="B6" s="31" t="s">
        <v>8</v>
      </c>
      <c r="C6" s="31" t="s">
        <v>9</v>
      </c>
      <c r="D6" s="31">
        <v>2400</v>
      </c>
      <c r="E6" s="31">
        <v>23</v>
      </c>
      <c r="F6" s="39">
        <f t="shared" si="0"/>
        <v>55200</v>
      </c>
      <c r="G6" s="27" t="s">
        <v>12</v>
      </c>
    </row>
    <row r="7" spans="1:7">
      <c r="A7" s="38">
        <v>1</v>
      </c>
      <c r="B7" s="31" t="s">
        <v>11</v>
      </c>
      <c r="C7" s="31" t="s">
        <v>9</v>
      </c>
      <c r="D7" s="31">
        <v>1230</v>
      </c>
      <c r="E7" s="31">
        <v>5</v>
      </c>
      <c r="F7" s="39">
        <f t="shared" si="0"/>
        <v>6150</v>
      </c>
      <c r="G7" s="27" t="s">
        <v>12</v>
      </c>
    </row>
    <row r="8" spans="1:7">
      <c r="A8" s="38">
        <v>9</v>
      </c>
      <c r="B8" s="31" t="s">
        <v>13</v>
      </c>
      <c r="C8" s="31" t="s">
        <v>14</v>
      </c>
      <c r="D8" s="31">
        <v>1589</v>
      </c>
      <c r="E8" s="31">
        <v>34</v>
      </c>
      <c r="F8" s="39">
        <f t="shared" si="0"/>
        <v>54026</v>
      </c>
      <c r="G8" s="27" t="s">
        <v>12</v>
      </c>
    </row>
    <row r="9" spans="1:7">
      <c r="A9" s="38">
        <v>16</v>
      </c>
      <c r="B9" s="31" t="s">
        <v>13</v>
      </c>
      <c r="C9" s="31" t="s">
        <v>14</v>
      </c>
      <c r="D9" s="31">
        <v>1589</v>
      </c>
      <c r="E9" s="31">
        <v>25</v>
      </c>
      <c r="F9" s="39">
        <f t="shared" si="0"/>
        <v>39725</v>
      </c>
      <c r="G9" s="27" t="s">
        <v>12</v>
      </c>
    </row>
    <row r="10" spans="1:7">
      <c r="A10" s="38">
        <v>28</v>
      </c>
      <c r="B10" s="31" t="s">
        <v>13</v>
      </c>
      <c r="C10" s="31" t="s">
        <v>14</v>
      </c>
      <c r="D10" s="31">
        <v>1589</v>
      </c>
      <c r="E10" s="31">
        <v>15</v>
      </c>
      <c r="F10" s="39">
        <f t="shared" si="0"/>
        <v>23835</v>
      </c>
      <c r="G10" s="27" t="s">
        <v>12</v>
      </c>
    </row>
    <row r="11" spans="1:7">
      <c r="A11" s="38">
        <v>20</v>
      </c>
      <c r="B11" s="31" t="s">
        <v>13</v>
      </c>
      <c r="C11" s="31" t="s">
        <v>14</v>
      </c>
      <c r="D11" s="31">
        <v>1589</v>
      </c>
      <c r="E11" s="31">
        <v>10</v>
      </c>
      <c r="F11" s="39">
        <f t="shared" si="0"/>
        <v>15890</v>
      </c>
      <c r="G11" s="27" t="s">
        <v>12</v>
      </c>
    </row>
    <row r="12" spans="1:7">
      <c r="A12" s="38">
        <v>18</v>
      </c>
      <c r="B12" s="31" t="s">
        <v>8</v>
      </c>
      <c r="C12" s="31" t="s">
        <v>9</v>
      </c>
      <c r="D12" s="31">
        <v>2400</v>
      </c>
      <c r="E12" s="31">
        <v>24</v>
      </c>
      <c r="F12" s="39">
        <f t="shared" si="0"/>
        <v>57600</v>
      </c>
      <c r="G12" s="27" t="s">
        <v>15</v>
      </c>
    </row>
    <row r="13" spans="1:7">
      <c r="A13" s="38">
        <v>21</v>
      </c>
      <c r="B13" s="31" t="s">
        <v>8</v>
      </c>
      <c r="C13" s="31" t="s">
        <v>9</v>
      </c>
      <c r="D13" s="31">
        <v>2400</v>
      </c>
      <c r="E13" s="31">
        <v>7</v>
      </c>
      <c r="F13" s="39">
        <f t="shared" si="0"/>
        <v>16800</v>
      </c>
      <c r="G13" s="27" t="s">
        <v>15</v>
      </c>
    </row>
    <row r="14" spans="1:7">
      <c r="A14" s="38">
        <v>3</v>
      </c>
      <c r="B14" s="31" t="s">
        <v>16</v>
      </c>
      <c r="C14" s="31" t="s">
        <v>17</v>
      </c>
      <c r="D14" s="31">
        <v>856</v>
      </c>
      <c r="E14" s="31">
        <v>24</v>
      </c>
      <c r="F14" s="39">
        <f t="shared" si="0"/>
        <v>20544</v>
      </c>
      <c r="G14" s="27" t="s">
        <v>15</v>
      </c>
    </row>
    <row r="15" spans="1:7">
      <c r="A15" s="38">
        <v>8</v>
      </c>
      <c r="B15" s="31" t="s">
        <v>11</v>
      </c>
      <c r="C15" s="31" t="s">
        <v>9</v>
      </c>
      <c r="D15" s="31">
        <v>1230</v>
      </c>
      <c r="E15" s="31">
        <v>26</v>
      </c>
      <c r="F15" s="39">
        <f t="shared" si="0"/>
        <v>31980</v>
      </c>
      <c r="G15" s="27" t="s">
        <v>15</v>
      </c>
    </row>
    <row r="16" spans="1:7">
      <c r="A16" s="38">
        <v>27</v>
      </c>
      <c r="B16" s="31" t="s">
        <v>11</v>
      </c>
      <c r="C16" s="31" t="s">
        <v>9</v>
      </c>
      <c r="D16" s="31">
        <v>1230</v>
      </c>
      <c r="E16" s="31">
        <v>21</v>
      </c>
      <c r="F16" s="39">
        <f t="shared" si="0"/>
        <v>25830</v>
      </c>
      <c r="G16" s="27" t="s">
        <v>15</v>
      </c>
    </row>
    <row r="17" spans="1:7">
      <c r="A17" s="38">
        <v>25</v>
      </c>
      <c r="B17" s="31" t="s">
        <v>11</v>
      </c>
      <c r="C17" s="31" t="s">
        <v>9</v>
      </c>
      <c r="D17" s="31">
        <v>1230</v>
      </c>
      <c r="E17" s="31">
        <v>8</v>
      </c>
      <c r="F17" s="39">
        <f t="shared" si="0"/>
        <v>9840</v>
      </c>
      <c r="G17" s="27" t="s">
        <v>15</v>
      </c>
    </row>
    <row r="18" spans="1:7">
      <c r="A18" s="38">
        <v>4</v>
      </c>
      <c r="B18" s="31" t="s">
        <v>8</v>
      </c>
      <c r="C18" s="31" t="s">
        <v>9</v>
      </c>
      <c r="D18" s="31">
        <v>2400</v>
      </c>
      <c r="E18" s="31">
        <v>15</v>
      </c>
      <c r="F18" s="39">
        <f t="shared" si="0"/>
        <v>36000</v>
      </c>
      <c r="G18" s="27" t="s">
        <v>18</v>
      </c>
    </row>
    <row r="19" spans="1:7">
      <c r="A19" s="38">
        <v>10</v>
      </c>
      <c r="B19" s="31" t="s">
        <v>16</v>
      </c>
      <c r="C19" s="31" t="s">
        <v>17</v>
      </c>
      <c r="D19" s="31">
        <v>856</v>
      </c>
      <c r="E19" s="31">
        <v>15</v>
      </c>
      <c r="F19" s="39">
        <f t="shared" si="0"/>
        <v>12840</v>
      </c>
      <c r="G19" s="27" t="s">
        <v>18</v>
      </c>
    </row>
    <row r="20" spans="1:7">
      <c r="A20" s="38">
        <v>29</v>
      </c>
      <c r="B20" s="31" t="s">
        <v>16</v>
      </c>
      <c r="C20" s="31" t="s">
        <v>17</v>
      </c>
      <c r="D20" s="31">
        <v>856</v>
      </c>
      <c r="E20" s="31">
        <v>5</v>
      </c>
      <c r="F20" s="39">
        <f t="shared" si="0"/>
        <v>4280</v>
      </c>
      <c r="G20" s="27" t="s">
        <v>18</v>
      </c>
    </row>
    <row r="21" spans="1:7">
      <c r="A21" s="38">
        <v>15</v>
      </c>
      <c r="B21" s="31" t="s">
        <v>11</v>
      </c>
      <c r="C21" s="31" t="s">
        <v>9</v>
      </c>
      <c r="D21" s="31">
        <v>1230</v>
      </c>
      <c r="E21" s="31">
        <v>15</v>
      </c>
      <c r="F21" s="39">
        <f t="shared" si="0"/>
        <v>18450</v>
      </c>
      <c r="G21" s="27" t="s">
        <v>18</v>
      </c>
    </row>
    <row r="22" spans="1:7">
      <c r="A22" s="38">
        <v>23</v>
      </c>
      <c r="B22" s="31" t="s">
        <v>13</v>
      </c>
      <c r="C22" s="31" t="s">
        <v>14</v>
      </c>
      <c r="D22" s="31">
        <v>1589</v>
      </c>
      <c r="E22" s="31">
        <v>5</v>
      </c>
      <c r="F22" s="39">
        <f t="shared" si="0"/>
        <v>7945</v>
      </c>
      <c r="G22" s="27" t="s">
        <v>18</v>
      </c>
    </row>
    <row r="23" spans="1:7">
      <c r="A23" s="38">
        <v>26</v>
      </c>
      <c r="B23" s="31" t="s">
        <v>8</v>
      </c>
      <c r="C23" s="31" t="s">
        <v>9</v>
      </c>
      <c r="D23" s="31">
        <v>2400</v>
      </c>
      <c r="E23" s="31">
        <v>5</v>
      </c>
      <c r="F23" s="39">
        <f t="shared" si="0"/>
        <v>12000</v>
      </c>
      <c r="G23" s="27" t="s">
        <v>19</v>
      </c>
    </row>
    <row r="24" spans="1:7">
      <c r="A24" s="38">
        <v>17</v>
      </c>
      <c r="B24" s="31" t="s">
        <v>16</v>
      </c>
      <c r="C24" s="31" t="s">
        <v>17</v>
      </c>
      <c r="D24" s="31">
        <v>856</v>
      </c>
      <c r="E24" s="31">
        <v>16</v>
      </c>
      <c r="F24" s="39">
        <f t="shared" si="0"/>
        <v>13696</v>
      </c>
      <c r="G24" s="27" t="s">
        <v>19</v>
      </c>
    </row>
    <row r="25" spans="1:7">
      <c r="A25" s="38">
        <v>5</v>
      </c>
      <c r="B25" s="31" t="s">
        <v>11</v>
      </c>
      <c r="C25" s="31" t="s">
        <v>9</v>
      </c>
      <c r="D25" s="31">
        <v>1230</v>
      </c>
      <c r="E25" s="31">
        <v>30</v>
      </c>
      <c r="F25" s="39">
        <f t="shared" si="0"/>
        <v>36900</v>
      </c>
      <c r="G25" s="27" t="s">
        <v>19</v>
      </c>
    </row>
    <row r="26" spans="1:7">
      <c r="A26" s="38">
        <v>22</v>
      </c>
      <c r="B26" s="31" t="s">
        <v>11</v>
      </c>
      <c r="C26" s="31" t="s">
        <v>9</v>
      </c>
      <c r="D26" s="31">
        <v>1230</v>
      </c>
      <c r="E26" s="31">
        <v>12</v>
      </c>
      <c r="F26" s="39">
        <f t="shared" si="0"/>
        <v>14760</v>
      </c>
      <c r="G26" s="27" t="s">
        <v>19</v>
      </c>
    </row>
    <row r="27" spans="1:7">
      <c r="A27" s="38">
        <v>14</v>
      </c>
      <c r="B27" s="31" t="s">
        <v>13</v>
      </c>
      <c r="C27" s="31" t="s">
        <v>14</v>
      </c>
      <c r="D27" s="31">
        <v>1589</v>
      </c>
      <c r="E27" s="31">
        <v>11</v>
      </c>
      <c r="F27" s="39">
        <f t="shared" si="0"/>
        <v>17479</v>
      </c>
      <c r="G27" s="27" t="s">
        <v>19</v>
      </c>
    </row>
    <row r="28" spans="1:7">
      <c r="A28" s="38">
        <v>24</v>
      </c>
      <c r="B28" s="31" t="s">
        <v>16</v>
      </c>
      <c r="C28" s="31" t="s">
        <v>17</v>
      </c>
      <c r="D28" s="31">
        <v>856</v>
      </c>
      <c r="E28" s="31">
        <v>10</v>
      </c>
      <c r="F28" s="39">
        <f t="shared" si="0"/>
        <v>8560</v>
      </c>
      <c r="G28" s="27" t="s">
        <v>20</v>
      </c>
    </row>
    <row r="29" spans="1:7">
      <c r="A29" s="38">
        <v>11</v>
      </c>
      <c r="B29" s="31" t="s">
        <v>11</v>
      </c>
      <c r="C29" s="31" t="s">
        <v>9</v>
      </c>
      <c r="D29" s="31">
        <v>1230</v>
      </c>
      <c r="E29" s="31">
        <v>50</v>
      </c>
      <c r="F29" s="39">
        <f t="shared" si="0"/>
        <v>61500</v>
      </c>
      <c r="G29" s="27" t="s">
        <v>20</v>
      </c>
    </row>
    <row r="30" spans="1:7">
      <c r="A30" s="38">
        <v>13</v>
      </c>
      <c r="B30" s="31" t="s">
        <v>11</v>
      </c>
      <c r="C30" s="31" t="s">
        <v>9</v>
      </c>
      <c r="D30" s="31">
        <v>1230</v>
      </c>
      <c r="E30" s="31">
        <v>21</v>
      </c>
      <c r="F30" s="39">
        <f t="shared" si="0"/>
        <v>25830</v>
      </c>
      <c r="G30" s="27" t="s">
        <v>20</v>
      </c>
    </row>
    <row r="31" spans="1:7">
      <c r="A31" s="38">
        <v>30</v>
      </c>
      <c r="B31" s="31" t="s">
        <v>11</v>
      </c>
      <c r="C31" s="31" t="s">
        <v>9</v>
      </c>
      <c r="D31" s="31">
        <v>1230</v>
      </c>
      <c r="E31" s="31">
        <v>6</v>
      </c>
      <c r="F31" s="39">
        <f t="shared" si="0"/>
        <v>7380</v>
      </c>
      <c r="G31" s="27" t="s">
        <v>20</v>
      </c>
    </row>
    <row r="32" spans="1:7">
      <c r="A32" s="38">
        <v>2</v>
      </c>
      <c r="B32" s="31" t="s">
        <v>13</v>
      </c>
      <c r="C32" s="31" t="s">
        <v>14</v>
      </c>
      <c r="D32" s="31">
        <v>1589</v>
      </c>
      <c r="E32" s="31">
        <v>20</v>
      </c>
      <c r="F32" s="39">
        <f t="shared" si="0"/>
        <v>31780</v>
      </c>
      <c r="G32" s="27" t="s">
        <v>20</v>
      </c>
    </row>
    <row r="33" ht="14.25" spans="1:7">
      <c r="A33" s="40">
        <v>7</v>
      </c>
      <c r="B33" s="41" t="s">
        <v>13</v>
      </c>
      <c r="C33" s="41" t="s">
        <v>14</v>
      </c>
      <c r="D33" s="41">
        <v>1589</v>
      </c>
      <c r="E33" s="41">
        <v>20</v>
      </c>
      <c r="F33" s="42">
        <f t="shared" si="0"/>
        <v>31780</v>
      </c>
      <c r="G33" s="30" t="s">
        <v>20</v>
      </c>
    </row>
  </sheetData>
  <mergeCells count="1">
    <mergeCell ref="A1:G1"/>
  </mergeCells>
  <conditionalFormatting sqref="A4:G33">
    <cfRule type="expression" dxfId="0" priority="1">
      <formula>AND($F4&gt;=20000,$F4&lt;=40000)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H24" sqref="H24"/>
    </sheetView>
  </sheetViews>
  <sheetFormatPr defaultColWidth="9" defaultRowHeight="13.5" outlineLevelRow="6" outlineLevelCol="6"/>
  <cols>
    <col min="5" max="5" width="12" customWidth="1"/>
    <col min="6" max="6" width="12.25" customWidth="1"/>
    <col min="7" max="7" width="13.625" customWidth="1"/>
  </cols>
  <sheetData>
    <row r="1" spans="1:7">
      <c r="A1" s="31" t="s">
        <v>21</v>
      </c>
      <c r="B1" s="31" t="s">
        <v>22</v>
      </c>
      <c r="C1" s="31" t="s">
        <v>23</v>
      </c>
      <c r="D1" s="31" t="s">
        <v>24</v>
      </c>
      <c r="E1" s="31" t="s">
        <v>25</v>
      </c>
      <c r="F1" s="31" t="s">
        <v>26</v>
      </c>
      <c r="G1" s="31" t="s">
        <v>27</v>
      </c>
    </row>
    <row r="2" spans="1:7">
      <c r="A2" s="31" t="s">
        <v>10</v>
      </c>
      <c r="B2" s="31">
        <v>10</v>
      </c>
      <c r="C2" s="31">
        <v>0</v>
      </c>
      <c r="D2" s="31">
        <v>0</v>
      </c>
      <c r="E2" s="32">
        <f t="shared" ref="E2:E7" si="0">TIME(B2,C2,D2)</f>
        <v>0.416666666666667</v>
      </c>
      <c r="F2" s="32">
        <v>0.708333333333333</v>
      </c>
      <c r="G2" s="33">
        <f t="shared" ref="G2:G7" si="1">HOUR(F2-E2)</f>
        <v>7</v>
      </c>
    </row>
    <row r="3" spans="1:7">
      <c r="A3" s="31" t="s">
        <v>12</v>
      </c>
      <c r="B3" s="31">
        <v>11</v>
      </c>
      <c r="C3" s="31">
        <v>0</v>
      </c>
      <c r="D3" s="31">
        <v>0</v>
      </c>
      <c r="E3" s="32">
        <f t="shared" si="0"/>
        <v>0.458333333333333</v>
      </c>
      <c r="F3" s="32">
        <v>0.625</v>
      </c>
      <c r="G3" s="33">
        <f t="shared" si="1"/>
        <v>4</v>
      </c>
    </row>
    <row r="4" spans="1:7">
      <c r="A4" s="31" t="s">
        <v>15</v>
      </c>
      <c r="B4" s="31">
        <v>14</v>
      </c>
      <c r="C4" s="31">
        <v>30</v>
      </c>
      <c r="D4" s="31">
        <v>0</v>
      </c>
      <c r="E4" s="32">
        <f t="shared" si="0"/>
        <v>0.604166666666667</v>
      </c>
      <c r="F4" s="32">
        <v>0.729166666666667</v>
      </c>
      <c r="G4" s="33">
        <f t="shared" si="1"/>
        <v>3</v>
      </c>
    </row>
    <row r="5" spans="1:7">
      <c r="A5" s="31" t="s">
        <v>18</v>
      </c>
      <c r="B5" s="31">
        <v>15</v>
      </c>
      <c r="C5" s="31">
        <v>0</v>
      </c>
      <c r="D5" s="31">
        <v>0</v>
      </c>
      <c r="E5" s="32">
        <f t="shared" si="0"/>
        <v>0.625</v>
      </c>
      <c r="F5" s="32">
        <v>0.875</v>
      </c>
      <c r="G5" s="33">
        <f t="shared" si="1"/>
        <v>6</v>
      </c>
    </row>
    <row r="6" spans="1:7">
      <c r="A6" s="31" t="s">
        <v>19</v>
      </c>
      <c r="B6" s="31">
        <v>15</v>
      </c>
      <c r="C6" s="31">
        <v>30</v>
      </c>
      <c r="D6" s="31">
        <v>0</v>
      </c>
      <c r="E6" s="32">
        <f t="shared" si="0"/>
        <v>0.645833333333333</v>
      </c>
      <c r="F6" s="32">
        <v>0.9375</v>
      </c>
      <c r="G6" s="33">
        <f t="shared" si="1"/>
        <v>7</v>
      </c>
    </row>
    <row r="7" spans="1:7">
      <c r="A7" s="31" t="s">
        <v>20</v>
      </c>
      <c r="B7" s="31">
        <v>12</v>
      </c>
      <c r="C7" s="31">
        <v>0</v>
      </c>
      <c r="D7" s="31">
        <v>0</v>
      </c>
      <c r="E7" s="32">
        <f t="shared" si="0"/>
        <v>0.5</v>
      </c>
      <c r="F7" s="32">
        <v>0.541666666666667</v>
      </c>
      <c r="G7" s="33">
        <f t="shared" si="1"/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19" sqref="E19"/>
    </sheetView>
  </sheetViews>
  <sheetFormatPr defaultColWidth="9" defaultRowHeight="13.5" outlineLevelCol="6"/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>
        <v>9</v>
      </c>
      <c r="B2" t="s">
        <v>13</v>
      </c>
      <c r="C2" t="s">
        <v>14</v>
      </c>
      <c r="D2">
        <v>1589</v>
      </c>
      <c r="E2">
        <v>34</v>
      </c>
      <c r="F2">
        <v>54026</v>
      </c>
      <c r="G2" t="s">
        <v>12</v>
      </c>
    </row>
    <row r="3" spans="1:7">
      <c r="A3">
        <v>16</v>
      </c>
      <c r="B3" t="s">
        <v>13</v>
      </c>
      <c r="C3" t="s">
        <v>14</v>
      </c>
      <c r="D3">
        <v>1589</v>
      </c>
      <c r="E3">
        <v>25</v>
      </c>
      <c r="F3">
        <v>39725</v>
      </c>
      <c r="G3" t="s">
        <v>12</v>
      </c>
    </row>
    <row r="4" spans="1:7">
      <c r="A4">
        <v>28</v>
      </c>
      <c r="B4" t="s">
        <v>13</v>
      </c>
      <c r="C4" t="s">
        <v>14</v>
      </c>
      <c r="D4">
        <v>1589</v>
      </c>
      <c r="E4">
        <v>15</v>
      </c>
      <c r="F4">
        <v>23835</v>
      </c>
      <c r="G4" t="s">
        <v>12</v>
      </c>
    </row>
    <row r="5" spans="1:7">
      <c r="A5">
        <v>20</v>
      </c>
      <c r="B5" t="s">
        <v>13</v>
      </c>
      <c r="C5" t="s">
        <v>14</v>
      </c>
      <c r="D5">
        <v>1589</v>
      </c>
      <c r="E5">
        <v>10</v>
      </c>
      <c r="F5">
        <v>15890</v>
      </c>
      <c r="G5" t="s">
        <v>12</v>
      </c>
    </row>
    <row r="6" spans="1:7">
      <c r="A6">
        <v>23</v>
      </c>
      <c r="B6" t="s">
        <v>13</v>
      </c>
      <c r="C6" t="s">
        <v>14</v>
      </c>
      <c r="D6">
        <v>1589</v>
      </c>
      <c r="E6">
        <v>5</v>
      </c>
      <c r="F6">
        <v>7945</v>
      </c>
      <c r="G6" t="s">
        <v>18</v>
      </c>
    </row>
    <row r="7" spans="1:7">
      <c r="A7">
        <v>14</v>
      </c>
      <c r="B7" t="s">
        <v>13</v>
      </c>
      <c r="C7" t="s">
        <v>14</v>
      </c>
      <c r="D7">
        <v>1589</v>
      </c>
      <c r="E7">
        <v>11</v>
      </c>
      <c r="F7">
        <v>17479</v>
      </c>
      <c r="G7" t="s">
        <v>19</v>
      </c>
    </row>
    <row r="8" spans="1:7">
      <c r="A8">
        <v>2</v>
      </c>
      <c r="B8" t="s">
        <v>13</v>
      </c>
      <c r="C8" t="s">
        <v>14</v>
      </c>
      <c r="D8">
        <v>1589</v>
      </c>
      <c r="E8">
        <v>20</v>
      </c>
      <c r="F8">
        <v>31780</v>
      </c>
      <c r="G8" t="s">
        <v>20</v>
      </c>
    </row>
    <row r="9" spans="1:7">
      <c r="A9">
        <v>7</v>
      </c>
      <c r="B9" t="s">
        <v>13</v>
      </c>
      <c r="C9" t="s">
        <v>14</v>
      </c>
      <c r="D9">
        <v>1589</v>
      </c>
      <c r="E9">
        <v>20</v>
      </c>
      <c r="F9">
        <v>31780</v>
      </c>
      <c r="G9" t="s">
        <v>20</v>
      </c>
    </row>
    <row r="10" spans="1:7">
      <c r="A10">
        <v>19</v>
      </c>
      <c r="B10" t="s">
        <v>11</v>
      </c>
      <c r="C10" t="s">
        <v>9</v>
      </c>
      <c r="D10">
        <v>1230</v>
      </c>
      <c r="E10">
        <v>28</v>
      </c>
      <c r="F10">
        <v>34440</v>
      </c>
      <c r="G10" t="s">
        <v>10</v>
      </c>
    </row>
    <row r="11" spans="1:7">
      <c r="A11">
        <v>1</v>
      </c>
      <c r="B11" t="s">
        <v>11</v>
      </c>
      <c r="C11" t="s">
        <v>9</v>
      </c>
      <c r="D11">
        <v>1230</v>
      </c>
      <c r="E11">
        <v>5</v>
      </c>
      <c r="F11">
        <v>6150</v>
      </c>
      <c r="G11" t="s">
        <v>12</v>
      </c>
    </row>
    <row r="12" spans="1:7">
      <c r="A12">
        <v>8</v>
      </c>
      <c r="B12" t="s">
        <v>11</v>
      </c>
      <c r="C12" t="s">
        <v>9</v>
      </c>
      <c r="D12">
        <v>1230</v>
      </c>
      <c r="E12">
        <v>26</v>
      </c>
      <c r="F12">
        <v>31980</v>
      </c>
      <c r="G12" t="s">
        <v>15</v>
      </c>
    </row>
    <row r="13" spans="1:7">
      <c r="A13">
        <v>27</v>
      </c>
      <c r="B13" t="s">
        <v>11</v>
      </c>
      <c r="C13" t="s">
        <v>9</v>
      </c>
      <c r="D13">
        <v>1230</v>
      </c>
      <c r="E13">
        <v>21</v>
      </c>
      <c r="F13">
        <v>25830</v>
      </c>
      <c r="G13" t="s">
        <v>15</v>
      </c>
    </row>
    <row r="14" spans="1:7">
      <c r="A14">
        <v>25</v>
      </c>
      <c r="B14" t="s">
        <v>11</v>
      </c>
      <c r="C14" t="s">
        <v>9</v>
      </c>
      <c r="D14">
        <v>1230</v>
      </c>
      <c r="E14">
        <v>8</v>
      </c>
      <c r="F14">
        <v>9840</v>
      </c>
      <c r="G14" t="s">
        <v>15</v>
      </c>
    </row>
    <row r="15" spans="1:7">
      <c r="A15">
        <v>15</v>
      </c>
      <c r="B15" t="s">
        <v>11</v>
      </c>
      <c r="C15" t="s">
        <v>9</v>
      </c>
      <c r="D15">
        <v>1230</v>
      </c>
      <c r="E15">
        <v>15</v>
      </c>
      <c r="F15">
        <v>18450</v>
      </c>
      <c r="G15" t="s">
        <v>18</v>
      </c>
    </row>
    <row r="16" spans="1:7">
      <c r="A16">
        <v>5</v>
      </c>
      <c r="B16" t="s">
        <v>11</v>
      </c>
      <c r="C16" t="s">
        <v>9</v>
      </c>
      <c r="D16">
        <v>1230</v>
      </c>
      <c r="E16">
        <v>30</v>
      </c>
      <c r="F16">
        <v>36900</v>
      </c>
      <c r="G16" t="s">
        <v>19</v>
      </c>
    </row>
    <row r="17" spans="1:7">
      <c r="A17">
        <v>22</v>
      </c>
      <c r="B17" t="s">
        <v>11</v>
      </c>
      <c r="C17" t="s">
        <v>9</v>
      </c>
      <c r="D17">
        <v>1230</v>
      </c>
      <c r="E17">
        <v>12</v>
      </c>
      <c r="F17">
        <v>14760</v>
      </c>
      <c r="G17" t="s">
        <v>19</v>
      </c>
    </row>
    <row r="18" spans="1:7">
      <c r="A18">
        <v>11</v>
      </c>
      <c r="B18" t="s">
        <v>11</v>
      </c>
      <c r="C18" t="s">
        <v>9</v>
      </c>
      <c r="D18">
        <v>1230</v>
      </c>
      <c r="E18">
        <v>50</v>
      </c>
      <c r="F18">
        <v>61500</v>
      </c>
      <c r="G18" t="s">
        <v>20</v>
      </c>
    </row>
    <row r="19" spans="1:7">
      <c r="A19">
        <v>13</v>
      </c>
      <c r="B19" t="s">
        <v>11</v>
      </c>
      <c r="C19" t="s">
        <v>9</v>
      </c>
      <c r="D19">
        <v>1230</v>
      </c>
      <c r="E19">
        <v>21</v>
      </c>
      <c r="F19">
        <v>25830</v>
      </c>
      <c r="G19" t="s">
        <v>20</v>
      </c>
    </row>
    <row r="20" spans="1:7">
      <c r="A20">
        <v>30</v>
      </c>
      <c r="B20" t="s">
        <v>11</v>
      </c>
      <c r="C20" t="s">
        <v>9</v>
      </c>
      <c r="D20">
        <v>1230</v>
      </c>
      <c r="E20">
        <v>6</v>
      </c>
      <c r="F20">
        <v>7380</v>
      </c>
      <c r="G20" t="s">
        <v>20</v>
      </c>
    </row>
    <row r="21" spans="1:7">
      <c r="A21">
        <v>3</v>
      </c>
      <c r="B21" t="s">
        <v>16</v>
      </c>
      <c r="C21" t="s">
        <v>17</v>
      </c>
      <c r="D21">
        <v>856</v>
      </c>
      <c r="E21">
        <v>24</v>
      </c>
      <c r="F21">
        <v>20544</v>
      </c>
      <c r="G21" t="s">
        <v>15</v>
      </c>
    </row>
    <row r="22" spans="1:7">
      <c r="A22">
        <v>10</v>
      </c>
      <c r="B22" t="s">
        <v>16</v>
      </c>
      <c r="C22" t="s">
        <v>17</v>
      </c>
      <c r="D22">
        <v>856</v>
      </c>
      <c r="E22">
        <v>15</v>
      </c>
      <c r="F22">
        <v>12840</v>
      </c>
      <c r="G22" t="s">
        <v>18</v>
      </c>
    </row>
    <row r="23" spans="1:7">
      <c r="A23">
        <v>29</v>
      </c>
      <c r="B23" t="s">
        <v>16</v>
      </c>
      <c r="C23" t="s">
        <v>17</v>
      </c>
      <c r="D23">
        <v>856</v>
      </c>
      <c r="E23">
        <v>5</v>
      </c>
      <c r="F23">
        <v>4280</v>
      </c>
      <c r="G23" t="s">
        <v>18</v>
      </c>
    </row>
    <row r="24" spans="1:7">
      <c r="A24">
        <v>17</v>
      </c>
      <c r="B24" t="s">
        <v>16</v>
      </c>
      <c r="C24" t="s">
        <v>17</v>
      </c>
      <c r="D24">
        <v>856</v>
      </c>
      <c r="E24">
        <v>16</v>
      </c>
      <c r="F24">
        <v>13696</v>
      </c>
      <c r="G24" t="s">
        <v>19</v>
      </c>
    </row>
    <row r="25" spans="1:7">
      <c r="A25">
        <v>24</v>
      </c>
      <c r="B25" t="s">
        <v>16</v>
      </c>
      <c r="C25" t="s">
        <v>17</v>
      </c>
      <c r="D25">
        <v>856</v>
      </c>
      <c r="E25">
        <v>10</v>
      </c>
      <c r="F25">
        <v>8560</v>
      </c>
      <c r="G25" t="s">
        <v>20</v>
      </c>
    </row>
    <row r="26" spans="1:7">
      <c r="A26">
        <v>6</v>
      </c>
      <c r="B26" t="s">
        <v>8</v>
      </c>
      <c r="C26" t="s">
        <v>9</v>
      </c>
      <c r="D26">
        <v>2400</v>
      </c>
      <c r="E26">
        <v>15</v>
      </c>
      <c r="F26">
        <v>36000</v>
      </c>
      <c r="G26" t="s">
        <v>10</v>
      </c>
    </row>
    <row r="27" spans="1:7">
      <c r="A27">
        <v>12</v>
      </c>
      <c r="B27" t="s">
        <v>8</v>
      </c>
      <c r="C27" t="s">
        <v>9</v>
      </c>
      <c r="D27">
        <v>2400</v>
      </c>
      <c r="E27">
        <v>23</v>
      </c>
      <c r="F27">
        <v>55200</v>
      </c>
      <c r="G27" t="s">
        <v>12</v>
      </c>
    </row>
    <row r="28" spans="1:7">
      <c r="A28">
        <v>18</v>
      </c>
      <c r="B28" t="s">
        <v>8</v>
      </c>
      <c r="C28" t="s">
        <v>9</v>
      </c>
      <c r="D28">
        <v>2400</v>
      </c>
      <c r="E28">
        <v>24</v>
      </c>
      <c r="F28">
        <v>57600</v>
      </c>
      <c r="G28" t="s">
        <v>15</v>
      </c>
    </row>
    <row r="29" spans="1:7">
      <c r="A29">
        <v>21</v>
      </c>
      <c r="B29" t="s">
        <v>8</v>
      </c>
      <c r="C29" t="s">
        <v>9</v>
      </c>
      <c r="D29">
        <v>2400</v>
      </c>
      <c r="E29">
        <v>7</v>
      </c>
      <c r="F29">
        <v>16800</v>
      </c>
      <c r="G29" t="s">
        <v>15</v>
      </c>
    </row>
    <row r="30" spans="1:7">
      <c r="A30">
        <v>4</v>
      </c>
      <c r="B30" t="s">
        <v>8</v>
      </c>
      <c r="C30" t="s">
        <v>9</v>
      </c>
      <c r="D30">
        <v>2400</v>
      </c>
      <c r="E30">
        <v>15</v>
      </c>
      <c r="F30">
        <v>36000</v>
      </c>
      <c r="G30" t="s">
        <v>18</v>
      </c>
    </row>
    <row r="31" spans="1:7">
      <c r="A31">
        <v>26</v>
      </c>
      <c r="B31" t="s">
        <v>8</v>
      </c>
      <c r="C31" t="s">
        <v>9</v>
      </c>
      <c r="D31">
        <v>2400</v>
      </c>
      <c r="E31">
        <v>5</v>
      </c>
      <c r="F31">
        <v>12000</v>
      </c>
      <c r="G31" t="s">
        <v>19</v>
      </c>
    </row>
  </sheetData>
  <sortState ref="A2:G31" sortMethod="stroke">
    <sortCondition ref="B2:B31"/>
    <sortCondition ref="C2:C31"/>
  </sortState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H21" sqref="H21"/>
    </sheetView>
  </sheetViews>
  <sheetFormatPr defaultColWidth="9" defaultRowHeight="13.5" outlineLevelRow="7" outlineLevelCol="2"/>
  <cols>
    <col min="1" max="2" width="18.2583333333333" customWidth="1"/>
    <col min="3" max="3" width="20.375" customWidth="1"/>
  </cols>
  <sheetData>
    <row r="1" ht="36.75" customHeight="1" spans="1:3">
      <c r="A1" s="21" t="s">
        <v>28</v>
      </c>
      <c r="B1" s="21"/>
      <c r="C1" s="21"/>
    </row>
    <row r="2" ht="24.95" customHeight="1" spans="1:3">
      <c r="A2" s="22" t="s">
        <v>7</v>
      </c>
      <c r="B2" s="23" t="s">
        <v>29</v>
      </c>
      <c r="C2" s="24" t="s">
        <v>30</v>
      </c>
    </row>
    <row r="3" ht="24.95" customHeight="1" spans="1:3">
      <c r="A3" s="25" t="s">
        <v>10</v>
      </c>
      <c r="B3" s="26">
        <f>SUMIF(员工业绩汇总表!$G$4:$G$33,A3,员工业绩汇总表!$F$4:$F$33)</f>
        <v>70440</v>
      </c>
      <c r="C3" s="27" t="str">
        <f t="shared" ref="C3:C8" si="0">IF(B3&gt;=160000,"优",IF(B3&gt;=100000,"良",IF(B3&gt;=80000,"中","差")))</f>
        <v>差</v>
      </c>
    </row>
    <row r="4" ht="24.95" customHeight="1" spans="1:3">
      <c r="A4" s="25" t="s">
        <v>12</v>
      </c>
      <c r="B4" s="26">
        <f>SUMIF(员工业绩汇总表!$G$4:$G$33,A4,员工业绩汇总表!$F$4:$F$33)</f>
        <v>194826</v>
      </c>
      <c r="C4" s="27" t="str">
        <f t="shared" si="0"/>
        <v>优</v>
      </c>
    </row>
    <row r="5" ht="24.95" customHeight="1" spans="1:3">
      <c r="A5" s="25" t="s">
        <v>15</v>
      </c>
      <c r="B5" s="26">
        <f>SUMIF(员工业绩汇总表!$G$4:$G$33,A5,员工业绩汇总表!$F$4:$F$33)</f>
        <v>162594</v>
      </c>
      <c r="C5" s="27" t="str">
        <f t="shared" si="0"/>
        <v>优</v>
      </c>
    </row>
    <row r="6" ht="24.95" customHeight="1" spans="1:3">
      <c r="A6" s="25" t="s">
        <v>18</v>
      </c>
      <c r="B6" s="26">
        <f>SUMIF(员工业绩汇总表!$G$4:$G$33,A6,员工业绩汇总表!$F$4:$F$33)</f>
        <v>79515</v>
      </c>
      <c r="C6" s="27" t="str">
        <f t="shared" si="0"/>
        <v>差</v>
      </c>
    </row>
    <row r="7" ht="24.95" customHeight="1" spans="1:3">
      <c r="A7" s="25" t="s">
        <v>19</v>
      </c>
      <c r="B7" s="26">
        <f>SUMIF(员工业绩汇总表!$G$4:$G$33,A7,员工业绩汇总表!$F$4:$F$33)</f>
        <v>94835</v>
      </c>
      <c r="C7" s="27" t="str">
        <f t="shared" si="0"/>
        <v>中</v>
      </c>
    </row>
    <row r="8" ht="24.95" customHeight="1" spans="1:3">
      <c r="A8" s="28" t="s">
        <v>20</v>
      </c>
      <c r="B8" s="29">
        <f>SUMIF(员工业绩汇总表!$G$4:$G$33,A8,员工业绩汇总表!$F$4:$F$33)</f>
        <v>166830</v>
      </c>
      <c r="C8" s="30" t="str">
        <f t="shared" si="0"/>
        <v>优</v>
      </c>
    </row>
  </sheetData>
  <mergeCells count="1">
    <mergeCell ref="A1:C1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3:F24"/>
  <sheetViews>
    <sheetView workbookViewId="0">
      <selection activeCell="E11" sqref="E11"/>
    </sheetView>
  </sheetViews>
  <sheetFormatPr defaultColWidth="9" defaultRowHeight="13.5" outlineLevelCol="5"/>
  <cols>
    <col min="2" max="2" width="11.375"/>
    <col min="3" max="3" width="11"/>
    <col min="4" max="4" width="14.75"/>
    <col min="5" max="5" width="15.875"/>
    <col min="6" max="6" width="14.75"/>
    <col min="7" max="7" width="15.875"/>
  </cols>
  <sheetData>
    <row r="3" spans="2:6">
      <c r="B3" s="1" t="s">
        <v>31</v>
      </c>
      <c r="C3" s="2"/>
      <c r="D3" s="1" t="s">
        <v>3</v>
      </c>
      <c r="E3" s="1"/>
      <c r="F3" s="3"/>
    </row>
    <row r="4" spans="2:6">
      <c r="B4" s="1" t="s">
        <v>2</v>
      </c>
      <c r="C4" s="1" t="s">
        <v>7</v>
      </c>
      <c r="D4" s="4" t="s">
        <v>17</v>
      </c>
      <c r="E4" s="5" t="s">
        <v>14</v>
      </c>
      <c r="F4" s="6" t="s">
        <v>9</v>
      </c>
    </row>
    <row r="5" spans="2:6">
      <c r="B5" s="4" t="s">
        <v>13</v>
      </c>
      <c r="C5" s="4" t="s">
        <v>20</v>
      </c>
      <c r="D5" s="7"/>
      <c r="E5" s="8">
        <v>63560</v>
      </c>
      <c r="F5" s="9"/>
    </row>
    <row r="6" spans="2:6">
      <c r="B6" s="10"/>
      <c r="C6" s="11" t="s">
        <v>19</v>
      </c>
      <c r="D6" s="12"/>
      <c r="E6" s="13">
        <v>17479</v>
      </c>
      <c r="F6" s="14"/>
    </row>
    <row r="7" spans="2:6">
      <c r="B7" s="10"/>
      <c r="C7" s="11" t="s">
        <v>18</v>
      </c>
      <c r="D7" s="12"/>
      <c r="E7" s="13">
        <v>7945</v>
      </c>
      <c r="F7" s="14"/>
    </row>
    <row r="8" spans="2:6">
      <c r="B8" s="10"/>
      <c r="C8" s="11" t="s">
        <v>12</v>
      </c>
      <c r="D8" s="12"/>
      <c r="E8" s="13">
        <v>133476</v>
      </c>
      <c r="F8" s="14"/>
    </row>
    <row r="9" spans="2:6">
      <c r="B9" s="4" t="s">
        <v>11</v>
      </c>
      <c r="C9" s="4" t="s">
        <v>20</v>
      </c>
      <c r="D9" s="7"/>
      <c r="E9" s="8"/>
      <c r="F9" s="9">
        <v>94710</v>
      </c>
    </row>
    <row r="10" spans="2:6">
      <c r="B10" s="10"/>
      <c r="C10" s="11" t="s">
        <v>19</v>
      </c>
      <c r="D10" s="12"/>
      <c r="E10" s="13"/>
      <c r="F10" s="14">
        <v>51660</v>
      </c>
    </row>
    <row r="11" spans="2:6">
      <c r="B11" s="10"/>
      <c r="C11" s="11" t="s">
        <v>18</v>
      </c>
      <c r="D11" s="12"/>
      <c r="E11" s="13"/>
      <c r="F11" s="14">
        <v>18450</v>
      </c>
    </row>
    <row r="12" spans="2:6">
      <c r="B12" s="10"/>
      <c r="C12" s="11" t="s">
        <v>15</v>
      </c>
      <c r="D12" s="12"/>
      <c r="E12" s="13"/>
      <c r="F12" s="14">
        <v>67650</v>
      </c>
    </row>
    <row r="13" spans="2:6">
      <c r="B13" s="10"/>
      <c r="C13" s="11" t="s">
        <v>12</v>
      </c>
      <c r="D13" s="12"/>
      <c r="E13" s="13"/>
      <c r="F13" s="14">
        <v>6150</v>
      </c>
    </row>
    <row r="14" spans="2:6">
      <c r="B14" s="10"/>
      <c r="C14" s="11" t="s">
        <v>10</v>
      </c>
      <c r="D14" s="12"/>
      <c r="E14" s="13"/>
      <c r="F14" s="14">
        <v>34440</v>
      </c>
    </row>
    <row r="15" spans="2:6">
      <c r="B15" s="4" t="s">
        <v>16</v>
      </c>
      <c r="C15" s="4" t="s">
        <v>20</v>
      </c>
      <c r="D15" s="7">
        <v>8560</v>
      </c>
      <c r="E15" s="8"/>
      <c r="F15" s="9"/>
    </row>
    <row r="16" spans="2:6">
      <c r="B16" s="10"/>
      <c r="C16" s="11" t="s">
        <v>19</v>
      </c>
      <c r="D16" s="12">
        <v>13696</v>
      </c>
      <c r="E16" s="13"/>
      <c r="F16" s="14"/>
    </row>
    <row r="17" spans="2:6">
      <c r="B17" s="10"/>
      <c r="C17" s="11" t="s">
        <v>18</v>
      </c>
      <c r="D17" s="12">
        <v>17120</v>
      </c>
      <c r="E17" s="13"/>
      <c r="F17" s="14"/>
    </row>
    <row r="18" spans="2:6">
      <c r="B18" s="10"/>
      <c r="C18" s="11" t="s">
        <v>15</v>
      </c>
      <c r="D18" s="12">
        <v>20544</v>
      </c>
      <c r="E18" s="13"/>
      <c r="F18" s="14"/>
    </row>
    <row r="19" spans="2:6">
      <c r="B19" s="4" t="s">
        <v>8</v>
      </c>
      <c r="C19" s="4" t="s">
        <v>19</v>
      </c>
      <c r="D19" s="7"/>
      <c r="E19" s="8"/>
      <c r="F19" s="9">
        <v>12000</v>
      </c>
    </row>
    <row r="20" spans="2:6">
      <c r="B20" s="10"/>
      <c r="C20" s="11" t="s">
        <v>18</v>
      </c>
      <c r="D20" s="12"/>
      <c r="E20" s="13"/>
      <c r="F20" s="14">
        <v>36000</v>
      </c>
    </row>
    <row r="21" spans="2:6">
      <c r="B21" s="10"/>
      <c r="C21" s="11" t="s">
        <v>15</v>
      </c>
      <c r="D21" s="12"/>
      <c r="E21" s="13"/>
      <c r="F21" s="14">
        <v>74400</v>
      </c>
    </row>
    <row r="22" spans="2:6">
      <c r="B22" s="10"/>
      <c r="C22" s="11" t="s">
        <v>12</v>
      </c>
      <c r="D22" s="12"/>
      <c r="E22" s="13"/>
      <c r="F22" s="14">
        <v>55200</v>
      </c>
    </row>
    <row r="23" spans="2:6">
      <c r="B23" s="15"/>
      <c r="C23" s="16" t="s">
        <v>10</v>
      </c>
      <c r="D23" s="17"/>
      <c r="E23" s="18"/>
      <c r="F23" s="19">
        <v>36000</v>
      </c>
    </row>
    <row r="24" spans="2:2">
      <c r="B24" s="20"/>
    </row>
  </sheetData>
  <mergeCells count="4">
    <mergeCell ref="B5:B8"/>
    <mergeCell ref="B9:B14"/>
    <mergeCell ref="B15:B18"/>
    <mergeCell ref="B19:B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员工业绩汇总表</vt:lpstr>
      <vt:lpstr>考勤</vt:lpstr>
      <vt:lpstr>排序</vt:lpstr>
      <vt:lpstr>员工业绩评价表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2026-03-16T02:39:05Z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
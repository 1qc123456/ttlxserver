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2870" windowHeight="9900" activeTab="4"/>
  </bookViews>
  <sheets>
    <sheet name="产品销售情况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_FilterDatabase" localSheetId="0" hidden="1">产品销售情况表!$B$2:$G$49</definedName>
    <definedName name="_xlnm.Criteria" localSheetId="2">筛选!$A$1:$B$2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<sst xmlns="http://schemas.openxmlformats.org/spreadsheetml/2006/main" count="488" uniqueCount="39">
  <si>
    <t>某公司产品销售情况表</t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</si>
  <si>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</si>
  <si>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</si>
  <si>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</si>
  <si>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</si>
  <si>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</si>
  <si>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</si>
  <si>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</si>
  <si>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西部1</t>
  </si>
  <si>
    <t>D-1</t>
  </si>
  <si>
    <t>电视</t>
  </si>
  <si>
    <t>东部2</t>
  </si>
  <si>
    <t>K-1</t>
  </si>
  <si>
    <t>空调</t>
  </si>
  <si>
    <t>南部1</t>
  </si>
  <si>
    <t>北部2</t>
  </si>
  <si>
    <t>东部3</t>
  </si>
  <si>
    <t>D-2</t>
  </si>
  <si>
    <t>电冰箱</t>
  </si>
  <si>
    <t>北部3</t>
  </si>
  <si>
    <t>南部3</t>
  </si>
  <si>
    <t>南部2</t>
  </si>
  <si>
    <t>东部1</t>
  </si>
  <si>
    <t>西部2</t>
  </si>
  <si>
    <t>西部3</t>
  </si>
  <si>
    <t>北部1</t>
  </si>
  <si>
    <t>西部4</t>
  </si>
  <si>
    <t>S-1</t>
  </si>
  <si>
    <t>手机</t>
  </si>
  <si>
    <t>东部4</t>
  </si>
  <si>
    <t>北部4</t>
  </si>
  <si>
    <t>南部4</t>
  </si>
  <si>
    <t>总和</t>
  </si>
  <si>
    <t>&gt;60</t>
  </si>
  <si>
    <t>手机 平均值</t>
  </si>
  <si>
    <t>空调 平均值</t>
  </si>
  <si>
    <t>电视 平均值</t>
  </si>
  <si>
    <t>电冰箱 平均值</t>
  </si>
  <si>
    <t>总平均值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</si>
</sst>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2"/>
      <name val="宋体"/>
      <charset val="134"/>
    </font>
    <font>
      <b/>
      <sz val="12"/>
      <name val="宋体"/>
      <charset val="134"/>
    </font>
    <font>
      <b/>
      <i/>
      <sz val="17"/>
      <color theme="5" tint="-0.25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销售情况统计图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Sheet2!$C$3:$D$3</c:f>
              <c:strCache>
                <c:ptCount val="1"/>
                <c:pt idx="0">
                  <c:v>D-1 电视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</c:f>
              <c:strCache>
                <c:ptCount val="1"/>
                <c:pt idx="0">
                  <c:v>销售数量</c:v>
                </c:pt>
              </c:strCache>
            </c:strRef>
          </c:cat>
          <c:val>
            <c:numRef>
              <c:f>Sheet2!$E$3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ser>
          <c:idx val="1"/>
          <c:order val="1"/>
          <c:tx>
            <c:strRef>
              <c:f>Sheet2!$C$4:$D$4</c:f>
              <c:strCache>
                <c:ptCount val="1"/>
                <c:pt idx="0">
                  <c:v>K-1 空调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</c:f>
              <c:strCache>
                <c:ptCount val="1"/>
                <c:pt idx="0">
                  <c:v>销售数量</c:v>
                </c:pt>
              </c:strCache>
            </c:strRef>
          </c:cat>
          <c:val>
            <c:numRef>
              <c:f>Sheet2!$E$4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2"/>
          <c:order val="2"/>
          <c:tx>
            <c:strRef>
              <c:f>Sheet2!$C$5:$D$5</c:f>
              <c:strCache>
                <c:ptCount val="1"/>
                <c:pt idx="0">
                  <c:v>D-1 电视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</c:f>
              <c:strCache>
                <c:ptCount val="1"/>
                <c:pt idx="0">
                  <c:v>销售数量</c:v>
                </c:pt>
              </c:strCache>
            </c:strRef>
          </c:cat>
          <c:val>
            <c:numRef>
              <c:f>Sheet2!$E$5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</c:ser>
        <c:ser>
          <c:idx val="3"/>
          <c:order val="3"/>
          <c:tx>
            <c:strRef>
              <c:f>Sheet2!$C$6:$D$6</c:f>
              <c:strCache>
                <c:ptCount val="1"/>
                <c:pt idx="0">
                  <c:v>K-1 空调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</c:f>
              <c:strCache>
                <c:ptCount val="1"/>
                <c:pt idx="0">
                  <c:v>销售数量</c:v>
                </c:pt>
              </c:strCache>
            </c:strRef>
          </c:cat>
          <c:val>
            <c:numRef>
              <c:f>Sheet2!$E$6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</c:ser>
        <c:ser>
          <c:idx val="4"/>
          <c:order val="4"/>
          <c:tx>
            <c:strRef>
              <c:f>Sheet2!$C$7:$D$7</c:f>
              <c:strCache>
                <c:ptCount val="1"/>
                <c:pt idx="0">
                  <c:v>D-2 电冰箱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</c:f>
              <c:strCache>
                <c:ptCount val="1"/>
                <c:pt idx="0">
                  <c:v>销售数量</c:v>
                </c:pt>
              </c:strCache>
            </c:strRef>
          </c:cat>
          <c:val>
            <c:numRef>
              <c:f>Sheet2!$E$7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</c:ser>
        <c:ser>
          <c:idx val="5"/>
          <c:order val="5"/>
          <c:tx>
            <c:strRef>
              <c:f>Sheet2!$C$8:$D$8</c:f>
              <c:strCache>
                <c:ptCount val="1"/>
                <c:pt idx="0">
                  <c:v>D-1 电视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</c:f>
              <c:strCache>
                <c:ptCount val="1"/>
                <c:pt idx="0">
                  <c:v>销售数量</c:v>
                </c:pt>
              </c:strCache>
            </c:strRef>
          </c:cat>
          <c:val>
            <c:numRef>
              <c:f>Sheet2!$E$8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9476628"/>
        <c:axId val="416332326"/>
      </c:barChart>
      <c:catAx>
        <c:axId val="994766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332326"/>
        <c:crosses val="autoZero"/>
        <c:auto val="1"/>
        <c:lblAlgn val="ctr"/>
        <c:lblOffset val="100"/>
        <c:noMultiLvlLbl val="0"/>
      </c:catAx>
      <c:valAx>
        <c:axId val="41633232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766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444500</xdr:colOff>
      <xdr:row>8</xdr:row>
      <xdr:rowOff>88900</xdr:rowOff>
    </xdr:from>
    <xdr:to>
      <xdr:col>9</xdr:col>
      <xdr:colOff>469900</xdr:colOff>
      <xdr:row>23</xdr:row>
      <xdr:rowOff>117475</xdr:rowOff>
    </xdr:to>
    <xdr:graphicFrame>
      <xdr:nvGraphicFramePr>
        <xdr:cNvPr id="3" name="图表 2"/>
        <xdr:cNvGraphicFramePr/>
      </xdr:nvGraphicFramePr>
      <xdr:xfrm>
        <a:off x="1816100" y="1536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:G51"/>
    </sheetView>
  </sheetViews>
  <sheetFormatPr defaultColWidth="9" defaultRowHeight="14.25" outlineLevelCol="6"/>
  <cols>
    <col min="1" max="1" width="5.25" customWidth="1"/>
    <col min="2" max="2" width="10.375" customWidth="1"/>
    <col min="5" max="5" width="8.875" customWidth="1"/>
    <col min="6" max="6" width="14.875" customWidth="1"/>
    <col min="7" max="7" width="11.5" customWidth="1"/>
  </cols>
  <sheetData>
    <row r="1" ht="21.75" spans="1:7">
      <c r="A1" s="3" t="s">
        <v>0</v>
      </c>
      <c r="B1" s="3"/>
      <c r="C1" s="3"/>
      <c r="D1" s="3"/>
      <c r="E1" s="3"/>
      <c r="F1" s="3"/>
      <c r="G1" s="3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6">
      <c r="A3">
        <v>1</v>
      </c>
      <c r="B3" t="s">
        <v>8</v>
      </c>
      <c r="C3" t="s">
        <v>9</v>
      </c>
      <c r="D3" t="s">
        <v>10</v>
      </c>
      <c r="E3">
        <v>21</v>
      </c>
      <c r="F3" s="2">
        <v>9.366</v>
      </c>
    </row>
    <row r="4" spans="1:6">
      <c r="A4">
        <v>1</v>
      </c>
      <c r="B4" t="s">
        <v>11</v>
      </c>
      <c r="C4" t="s">
        <v>12</v>
      </c>
      <c r="D4" t="s">
        <v>13</v>
      </c>
      <c r="E4">
        <v>24</v>
      </c>
      <c r="F4" s="2">
        <v>8.496</v>
      </c>
    </row>
    <row r="5" spans="1:6">
      <c r="A5">
        <v>2</v>
      </c>
      <c r="B5" t="s">
        <v>14</v>
      </c>
      <c r="C5" t="s">
        <v>9</v>
      </c>
      <c r="D5" t="s">
        <v>10</v>
      </c>
      <c r="E5">
        <v>27</v>
      </c>
      <c r="F5" s="2">
        <v>7.425</v>
      </c>
    </row>
    <row r="6" spans="1:6">
      <c r="A6">
        <v>2</v>
      </c>
      <c r="B6" t="s">
        <v>15</v>
      </c>
      <c r="C6" t="s">
        <v>12</v>
      </c>
      <c r="D6" t="s">
        <v>13</v>
      </c>
      <c r="E6">
        <v>37</v>
      </c>
      <c r="F6" s="2">
        <v>5.106</v>
      </c>
    </row>
    <row r="7" spans="1:6">
      <c r="A7">
        <v>3</v>
      </c>
      <c r="B7" t="s">
        <v>16</v>
      </c>
      <c r="C7" t="s">
        <v>17</v>
      </c>
      <c r="D7" t="s">
        <v>18</v>
      </c>
      <c r="E7">
        <v>39</v>
      </c>
      <c r="F7" s="2">
        <v>9.126</v>
      </c>
    </row>
    <row r="8" spans="1:6">
      <c r="A8">
        <v>2</v>
      </c>
      <c r="B8" t="s">
        <v>8</v>
      </c>
      <c r="C8" t="s">
        <v>9</v>
      </c>
      <c r="D8" t="s">
        <v>10</v>
      </c>
      <c r="E8">
        <v>42</v>
      </c>
      <c r="F8" s="2">
        <v>18.732</v>
      </c>
    </row>
    <row r="9" spans="1:6">
      <c r="A9">
        <v>1</v>
      </c>
      <c r="B9" t="s">
        <v>19</v>
      </c>
      <c r="C9" t="s">
        <v>17</v>
      </c>
      <c r="D9" t="s">
        <v>18</v>
      </c>
      <c r="E9">
        <v>43</v>
      </c>
      <c r="F9" s="2">
        <v>13.803</v>
      </c>
    </row>
    <row r="10" spans="1:6">
      <c r="A10">
        <v>3</v>
      </c>
      <c r="B10" t="s">
        <v>11</v>
      </c>
      <c r="C10" t="s">
        <v>12</v>
      </c>
      <c r="D10" t="s">
        <v>13</v>
      </c>
      <c r="E10">
        <v>45</v>
      </c>
      <c r="F10" s="2">
        <v>15.93</v>
      </c>
    </row>
    <row r="11" spans="1:6">
      <c r="A11">
        <v>2</v>
      </c>
      <c r="B11" t="s">
        <v>20</v>
      </c>
      <c r="C11" t="s">
        <v>17</v>
      </c>
      <c r="D11" t="s">
        <v>18</v>
      </c>
      <c r="E11">
        <v>45</v>
      </c>
      <c r="F11" s="2">
        <v>10.53</v>
      </c>
    </row>
    <row r="12" spans="1:6">
      <c r="A12">
        <v>3</v>
      </c>
      <c r="B12" t="s">
        <v>14</v>
      </c>
      <c r="C12" t="s">
        <v>9</v>
      </c>
      <c r="D12" t="s">
        <v>10</v>
      </c>
      <c r="E12">
        <v>46</v>
      </c>
      <c r="F12" s="2">
        <v>12.65</v>
      </c>
    </row>
    <row r="13" spans="1:6">
      <c r="A13">
        <v>2</v>
      </c>
      <c r="B13" t="s">
        <v>19</v>
      </c>
      <c r="C13" t="s">
        <v>17</v>
      </c>
      <c r="D13" t="s">
        <v>18</v>
      </c>
      <c r="E13">
        <v>48</v>
      </c>
      <c r="F13" s="2">
        <v>15.408</v>
      </c>
    </row>
    <row r="14" spans="1:6">
      <c r="A14">
        <v>3</v>
      </c>
      <c r="B14" t="s">
        <v>15</v>
      </c>
      <c r="C14" t="s">
        <v>12</v>
      </c>
      <c r="D14" t="s">
        <v>13</v>
      </c>
      <c r="E14">
        <v>53</v>
      </c>
      <c r="F14" s="2">
        <v>7.314</v>
      </c>
    </row>
    <row r="15" spans="1:6">
      <c r="A15">
        <v>3</v>
      </c>
      <c r="B15" t="s">
        <v>19</v>
      </c>
      <c r="C15" t="s">
        <v>17</v>
      </c>
      <c r="D15" t="s">
        <v>18</v>
      </c>
      <c r="E15">
        <v>54</v>
      </c>
      <c r="F15" s="2">
        <v>17.334</v>
      </c>
    </row>
    <row r="16" spans="1:6">
      <c r="A16">
        <v>1</v>
      </c>
      <c r="B16" t="s">
        <v>21</v>
      </c>
      <c r="C16" t="s">
        <v>12</v>
      </c>
      <c r="D16" t="s">
        <v>13</v>
      </c>
      <c r="E16">
        <v>54</v>
      </c>
      <c r="F16" s="2">
        <v>19.116</v>
      </c>
    </row>
    <row r="17" spans="1:6">
      <c r="A17">
        <v>2</v>
      </c>
      <c r="B17" t="s">
        <v>22</v>
      </c>
      <c r="C17" t="s">
        <v>9</v>
      </c>
      <c r="D17" t="s">
        <v>10</v>
      </c>
      <c r="E17">
        <v>56</v>
      </c>
      <c r="F17" s="2">
        <v>15.4</v>
      </c>
    </row>
    <row r="18" spans="1:6">
      <c r="A18">
        <v>2</v>
      </c>
      <c r="B18" t="s">
        <v>23</v>
      </c>
      <c r="C18" t="s">
        <v>12</v>
      </c>
      <c r="D18" t="s">
        <v>13</v>
      </c>
      <c r="E18">
        <v>56</v>
      </c>
      <c r="F18" s="2">
        <v>7.728</v>
      </c>
    </row>
    <row r="19" spans="1:6">
      <c r="A19">
        <v>3</v>
      </c>
      <c r="B19" t="s">
        <v>24</v>
      </c>
      <c r="C19" t="s">
        <v>17</v>
      </c>
      <c r="D19" t="s">
        <v>18</v>
      </c>
      <c r="E19">
        <v>57</v>
      </c>
      <c r="F19" s="2">
        <v>18.297</v>
      </c>
    </row>
    <row r="20" spans="1:6">
      <c r="A20">
        <v>1</v>
      </c>
      <c r="B20" t="s">
        <v>24</v>
      </c>
      <c r="C20" t="s">
        <v>17</v>
      </c>
      <c r="D20" t="s">
        <v>18</v>
      </c>
      <c r="E20">
        <v>58</v>
      </c>
      <c r="F20" s="2">
        <v>18.618</v>
      </c>
    </row>
    <row r="21" spans="1:6">
      <c r="A21">
        <v>2</v>
      </c>
      <c r="B21" t="s">
        <v>21</v>
      </c>
      <c r="C21" t="s">
        <v>12</v>
      </c>
      <c r="D21" t="s">
        <v>13</v>
      </c>
      <c r="E21">
        <v>63</v>
      </c>
      <c r="F21" s="2">
        <v>22.302</v>
      </c>
    </row>
    <row r="22" spans="1:6">
      <c r="A22">
        <v>3</v>
      </c>
      <c r="B22" t="s">
        <v>25</v>
      </c>
      <c r="C22" t="s">
        <v>9</v>
      </c>
      <c r="D22" t="s">
        <v>10</v>
      </c>
      <c r="E22">
        <v>64</v>
      </c>
      <c r="F22" s="2">
        <v>28.544</v>
      </c>
    </row>
    <row r="23" spans="1:6">
      <c r="A23">
        <v>2</v>
      </c>
      <c r="B23" t="s">
        <v>16</v>
      </c>
      <c r="C23" t="s">
        <v>17</v>
      </c>
      <c r="D23" t="s">
        <v>18</v>
      </c>
      <c r="E23">
        <v>65</v>
      </c>
      <c r="F23" s="2">
        <v>15.21</v>
      </c>
    </row>
    <row r="24" spans="1:6">
      <c r="A24">
        <v>3</v>
      </c>
      <c r="B24" t="s">
        <v>22</v>
      </c>
      <c r="C24" t="s">
        <v>9</v>
      </c>
      <c r="D24" t="s">
        <v>10</v>
      </c>
      <c r="E24">
        <v>66</v>
      </c>
      <c r="F24" s="2">
        <v>18.15</v>
      </c>
    </row>
    <row r="25" spans="1:6">
      <c r="A25">
        <v>1</v>
      </c>
      <c r="B25" t="s">
        <v>22</v>
      </c>
      <c r="C25" t="s">
        <v>9</v>
      </c>
      <c r="D25" t="s">
        <v>10</v>
      </c>
      <c r="E25">
        <v>67</v>
      </c>
      <c r="F25" s="2">
        <v>18.425</v>
      </c>
    </row>
    <row r="26" spans="1:6">
      <c r="A26">
        <v>2</v>
      </c>
      <c r="B26" t="s">
        <v>24</v>
      </c>
      <c r="C26" t="s">
        <v>17</v>
      </c>
      <c r="D26" t="s">
        <v>18</v>
      </c>
      <c r="E26">
        <v>69</v>
      </c>
      <c r="F26" s="2">
        <v>22.149</v>
      </c>
    </row>
    <row r="27" spans="1:6">
      <c r="A27">
        <v>2</v>
      </c>
      <c r="B27" t="s">
        <v>25</v>
      </c>
      <c r="C27" t="s">
        <v>9</v>
      </c>
      <c r="D27" t="s">
        <v>10</v>
      </c>
      <c r="E27">
        <v>73</v>
      </c>
      <c r="F27" s="2">
        <v>32.558</v>
      </c>
    </row>
    <row r="28" spans="1:6">
      <c r="A28">
        <v>3</v>
      </c>
      <c r="B28" t="s">
        <v>20</v>
      </c>
      <c r="C28" t="s">
        <v>17</v>
      </c>
      <c r="D28" t="s">
        <v>18</v>
      </c>
      <c r="E28">
        <v>75</v>
      </c>
      <c r="F28" s="2">
        <v>17.55</v>
      </c>
    </row>
    <row r="29" spans="1:6">
      <c r="A29">
        <v>3</v>
      </c>
      <c r="B29" t="s">
        <v>8</v>
      </c>
      <c r="C29" t="s">
        <v>9</v>
      </c>
      <c r="D29" t="s">
        <v>10</v>
      </c>
      <c r="E29">
        <v>78</v>
      </c>
      <c r="F29" s="2">
        <v>34.788</v>
      </c>
    </row>
    <row r="30" spans="1:6">
      <c r="A30">
        <v>3</v>
      </c>
      <c r="B30" t="s">
        <v>26</v>
      </c>
      <c r="C30" t="s">
        <v>27</v>
      </c>
      <c r="D30" t="s">
        <v>28</v>
      </c>
      <c r="E30">
        <v>78</v>
      </c>
      <c r="F30" s="2">
        <v>2.34</v>
      </c>
    </row>
    <row r="31" spans="1:6">
      <c r="A31">
        <v>2</v>
      </c>
      <c r="B31" t="s">
        <v>11</v>
      </c>
      <c r="C31" t="s">
        <v>12</v>
      </c>
      <c r="D31" t="s">
        <v>13</v>
      </c>
      <c r="E31">
        <v>79</v>
      </c>
      <c r="F31" s="2">
        <v>27.966</v>
      </c>
    </row>
    <row r="32" spans="1:6">
      <c r="A32">
        <v>3</v>
      </c>
      <c r="B32" t="s">
        <v>23</v>
      </c>
      <c r="C32" t="s">
        <v>12</v>
      </c>
      <c r="D32" t="s">
        <v>13</v>
      </c>
      <c r="E32">
        <v>84</v>
      </c>
      <c r="F32" s="2">
        <v>11.592</v>
      </c>
    </row>
    <row r="33" spans="1:6">
      <c r="A33">
        <v>1</v>
      </c>
      <c r="B33" t="s">
        <v>25</v>
      </c>
      <c r="C33" t="s">
        <v>9</v>
      </c>
      <c r="D33" t="s">
        <v>10</v>
      </c>
      <c r="E33">
        <v>86</v>
      </c>
      <c r="F33" s="2">
        <v>38.356</v>
      </c>
    </row>
    <row r="34" spans="1:6">
      <c r="A34">
        <v>1</v>
      </c>
      <c r="B34" t="s">
        <v>16</v>
      </c>
      <c r="C34" t="s">
        <v>17</v>
      </c>
      <c r="D34" t="s">
        <v>18</v>
      </c>
      <c r="E34">
        <v>86</v>
      </c>
      <c r="F34" s="2">
        <v>20.124</v>
      </c>
    </row>
    <row r="35" spans="1:6">
      <c r="A35">
        <v>3</v>
      </c>
      <c r="B35" t="s">
        <v>21</v>
      </c>
      <c r="C35" t="s">
        <v>12</v>
      </c>
      <c r="D35" t="s">
        <v>13</v>
      </c>
      <c r="E35">
        <v>86</v>
      </c>
      <c r="F35" s="2">
        <v>30.444</v>
      </c>
    </row>
    <row r="36" spans="1:6">
      <c r="A36">
        <v>3</v>
      </c>
      <c r="B36" t="s">
        <v>29</v>
      </c>
      <c r="C36" t="s">
        <v>27</v>
      </c>
      <c r="D36" t="s">
        <v>28</v>
      </c>
      <c r="E36">
        <v>88</v>
      </c>
      <c r="F36" s="2">
        <v>2.64</v>
      </c>
    </row>
    <row r="37" spans="1:6">
      <c r="A37">
        <v>2</v>
      </c>
      <c r="B37" t="s">
        <v>30</v>
      </c>
      <c r="C37" t="s">
        <v>27</v>
      </c>
      <c r="D37" t="s">
        <v>28</v>
      </c>
      <c r="E37">
        <v>89</v>
      </c>
      <c r="F37" s="2">
        <v>2.67</v>
      </c>
    </row>
    <row r="38" spans="1:6">
      <c r="A38">
        <v>1</v>
      </c>
      <c r="B38" t="s">
        <v>29</v>
      </c>
      <c r="C38" t="s">
        <v>27</v>
      </c>
      <c r="D38" t="s">
        <v>28</v>
      </c>
      <c r="E38">
        <v>89</v>
      </c>
      <c r="F38" s="2">
        <v>2.67</v>
      </c>
    </row>
    <row r="39" spans="1:6">
      <c r="A39">
        <v>1</v>
      </c>
      <c r="B39" t="s">
        <v>20</v>
      </c>
      <c r="C39" t="s">
        <v>17</v>
      </c>
      <c r="D39" t="s">
        <v>18</v>
      </c>
      <c r="E39">
        <v>89</v>
      </c>
      <c r="F39" s="2">
        <v>20.826</v>
      </c>
    </row>
    <row r="40" spans="1:6">
      <c r="A40">
        <v>1</v>
      </c>
      <c r="B40" t="s">
        <v>23</v>
      </c>
      <c r="C40" t="s">
        <v>12</v>
      </c>
      <c r="D40" t="s">
        <v>13</v>
      </c>
      <c r="E40">
        <v>89</v>
      </c>
      <c r="F40" s="2">
        <v>12.282</v>
      </c>
    </row>
    <row r="41" spans="1:6">
      <c r="A41">
        <v>2</v>
      </c>
      <c r="B41" t="s">
        <v>31</v>
      </c>
      <c r="C41" t="s">
        <v>27</v>
      </c>
      <c r="D41" t="s">
        <v>28</v>
      </c>
      <c r="E41">
        <v>97</v>
      </c>
      <c r="F41" s="2">
        <v>2.91</v>
      </c>
    </row>
    <row r="42" spans="1:6">
      <c r="A42">
        <v>1</v>
      </c>
      <c r="B42" t="s">
        <v>30</v>
      </c>
      <c r="C42" t="s">
        <v>27</v>
      </c>
      <c r="D42" t="s">
        <v>28</v>
      </c>
      <c r="E42">
        <v>112</v>
      </c>
      <c r="F42" s="2">
        <v>3.36</v>
      </c>
    </row>
    <row r="43" spans="1:6">
      <c r="A43">
        <v>3</v>
      </c>
      <c r="B43" t="s">
        <v>30</v>
      </c>
      <c r="C43" t="s">
        <v>27</v>
      </c>
      <c r="D43" t="s">
        <v>28</v>
      </c>
      <c r="E43">
        <v>112</v>
      </c>
      <c r="F43" s="2">
        <v>3.36</v>
      </c>
    </row>
    <row r="44" spans="1:6">
      <c r="A44">
        <v>2</v>
      </c>
      <c r="B44" t="s">
        <v>26</v>
      </c>
      <c r="C44" t="s">
        <v>27</v>
      </c>
      <c r="D44" t="s">
        <v>28</v>
      </c>
      <c r="E44">
        <v>131</v>
      </c>
      <c r="F44" s="2">
        <v>3.93</v>
      </c>
    </row>
    <row r="45" spans="1:6">
      <c r="A45">
        <v>1</v>
      </c>
      <c r="B45" t="s">
        <v>31</v>
      </c>
      <c r="C45" t="s">
        <v>27</v>
      </c>
      <c r="D45" t="s">
        <v>28</v>
      </c>
      <c r="E45">
        <v>132</v>
      </c>
      <c r="F45" s="2">
        <v>3.96</v>
      </c>
    </row>
    <row r="46" spans="1:6">
      <c r="A46">
        <v>1</v>
      </c>
      <c r="B46" t="s">
        <v>15</v>
      </c>
      <c r="C46" t="s">
        <v>12</v>
      </c>
      <c r="D46" t="s">
        <v>13</v>
      </c>
      <c r="E46">
        <v>156</v>
      </c>
      <c r="F46" s="2">
        <v>25.282</v>
      </c>
    </row>
    <row r="47" spans="1:6">
      <c r="A47">
        <v>1</v>
      </c>
      <c r="B47" t="s">
        <v>14</v>
      </c>
      <c r="C47" t="s">
        <v>9</v>
      </c>
      <c r="D47" t="s">
        <v>10</v>
      </c>
      <c r="E47">
        <v>164</v>
      </c>
      <c r="F47" s="2">
        <v>17.6</v>
      </c>
    </row>
    <row r="48" spans="1:6">
      <c r="A48">
        <v>1</v>
      </c>
      <c r="B48" t="s">
        <v>26</v>
      </c>
      <c r="C48" t="s">
        <v>27</v>
      </c>
      <c r="D48" t="s">
        <v>28</v>
      </c>
      <c r="E48">
        <v>165</v>
      </c>
      <c r="F48" s="2">
        <v>4.95</v>
      </c>
    </row>
    <row r="49" spans="1:6">
      <c r="A49">
        <v>3</v>
      </c>
      <c r="B49" t="s">
        <v>31</v>
      </c>
      <c r="C49" t="s">
        <v>27</v>
      </c>
      <c r="D49" t="s">
        <v>28</v>
      </c>
      <c r="E49">
        <v>167</v>
      </c>
      <c r="F49" s="2">
        <v>5.01</v>
      </c>
    </row>
    <row r="50" spans="1:6">
      <c r="A50">
        <v>2</v>
      </c>
      <c r="B50" t="s">
        <v>16</v>
      </c>
      <c r="C50" t="s">
        <v>27</v>
      </c>
      <c r="D50" t="s">
        <v>28</v>
      </c>
      <c r="E50">
        <v>176</v>
      </c>
      <c r="F50" s="2">
        <v>5.28</v>
      </c>
    </row>
    <row r="51" spans="5:5">
      <c r="E51" s="4" t="s">
        <v>32</v>
      </c>
    </row>
  </sheetData>
  <mergeCells count="1">
    <mergeCell ref="A1:G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2" sqref="A2:G50"/>
    </sheetView>
  </sheetViews>
  <sheetFormatPr defaultColWidth="9" defaultRowHeight="14.25" outlineLevelCol="6"/>
  <cols>
    <col min="1" max="1" width="5.375" customWidth="1"/>
    <col min="2" max="2" width="7.375" customWidth="1"/>
    <col min="3" max="5" width="9.375" customWidth="1"/>
    <col min="6" max="6" width="16" customWidth="1"/>
    <col min="7" max="7" width="11.5" customWidth="1"/>
  </cols>
  <sheetData>
    <row r="1" ht="21.75" spans="1:7">
      <c r="A1" s="3" t="s">
        <v>0</v>
      </c>
      <c r="B1" s="3"/>
      <c r="C1" s="3"/>
      <c r="D1" s="3"/>
      <c r="E1" s="3"/>
      <c r="F1" s="3"/>
      <c r="G1" s="3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>
        <v>21</v>
      </c>
      <c r="F3" s="2">
        <v>9.366</v>
      </c>
      <c r="G3">
        <f>RANK(F3,$F$3:$F$50,0)</f>
        <v>30</v>
      </c>
    </row>
    <row r="4" spans="1:7">
      <c r="A4">
        <v>1</v>
      </c>
      <c r="B4" t="s">
        <v>11</v>
      </c>
      <c r="C4" t="s">
        <v>12</v>
      </c>
      <c r="D4" t="s">
        <v>13</v>
      </c>
      <c r="E4">
        <v>24</v>
      </c>
      <c r="F4" s="2">
        <v>8.496</v>
      </c>
      <c r="G4">
        <f t="shared" ref="G4:G51" si="0">RANK(F4,$F$3:$F$50,0)</f>
        <v>32</v>
      </c>
    </row>
    <row r="5" spans="1:7">
      <c r="A5">
        <v>2</v>
      </c>
      <c r="B5" t="s">
        <v>14</v>
      </c>
      <c r="C5" t="s">
        <v>9</v>
      </c>
      <c r="D5" t="s">
        <v>10</v>
      </c>
      <c r="E5">
        <v>27</v>
      </c>
      <c r="F5" s="2">
        <v>7.425</v>
      </c>
      <c r="G5">
        <f t="shared" si="0"/>
        <v>34</v>
      </c>
    </row>
    <row r="6" spans="1:7">
      <c r="A6">
        <v>2</v>
      </c>
      <c r="B6" t="s">
        <v>15</v>
      </c>
      <c r="C6" t="s">
        <v>12</v>
      </c>
      <c r="D6" t="s">
        <v>13</v>
      </c>
      <c r="E6">
        <v>37</v>
      </c>
      <c r="F6" s="2">
        <v>5.106</v>
      </c>
      <c r="G6">
        <f t="shared" si="0"/>
        <v>37</v>
      </c>
    </row>
    <row r="7" spans="1:7">
      <c r="A7">
        <v>3</v>
      </c>
      <c r="B7" t="s">
        <v>16</v>
      </c>
      <c r="C7" t="s">
        <v>17</v>
      </c>
      <c r="D7" t="s">
        <v>18</v>
      </c>
      <c r="E7">
        <v>39</v>
      </c>
      <c r="F7" s="2">
        <v>9.126</v>
      </c>
      <c r="G7">
        <f t="shared" si="0"/>
        <v>31</v>
      </c>
    </row>
    <row r="8" spans="1:7">
      <c r="A8">
        <v>2</v>
      </c>
      <c r="B8" t="s">
        <v>8</v>
      </c>
      <c r="C8" t="s">
        <v>9</v>
      </c>
      <c r="D8" t="s">
        <v>10</v>
      </c>
      <c r="E8">
        <v>42</v>
      </c>
      <c r="F8" s="2">
        <v>18.732</v>
      </c>
      <c r="G8">
        <f t="shared" si="0"/>
        <v>13</v>
      </c>
    </row>
    <row r="9" spans="1:7">
      <c r="A9">
        <v>1</v>
      </c>
      <c r="B9" t="s">
        <v>19</v>
      </c>
      <c r="C9" t="s">
        <v>17</v>
      </c>
      <c r="D9" t="s">
        <v>18</v>
      </c>
      <c r="E9">
        <v>43</v>
      </c>
      <c r="F9" s="2">
        <v>13.803</v>
      </c>
      <c r="G9">
        <f t="shared" si="0"/>
        <v>25</v>
      </c>
    </row>
    <row r="10" spans="1:7">
      <c r="A10">
        <v>3</v>
      </c>
      <c r="B10" t="s">
        <v>11</v>
      </c>
      <c r="C10" t="s">
        <v>12</v>
      </c>
      <c r="D10" t="s">
        <v>13</v>
      </c>
      <c r="E10">
        <v>45</v>
      </c>
      <c r="F10" s="2">
        <v>15.93</v>
      </c>
      <c r="G10">
        <f t="shared" si="0"/>
        <v>21</v>
      </c>
    </row>
    <row r="11" spans="1:7">
      <c r="A11">
        <v>2</v>
      </c>
      <c r="B11" t="s">
        <v>20</v>
      </c>
      <c r="C11" t="s">
        <v>17</v>
      </c>
      <c r="D11" t="s">
        <v>18</v>
      </c>
      <c r="E11">
        <v>45</v>
      </c>
      <c r="F11" s="2">
        <v>10.53</v>
      </c>
      <c r="G11">
        <f t="shared" si="0"/>
        <v>29</v>
      </c>
    </row>
    <row r="12" spans="1:7">
      <c r="A12">
        <v>3</v>
      </c>
      <c r="B12" t="s">
        <v>14</v>
      </c>
      <c r="C12" t="s">
        <v>9</v>
      </c>
      <c r="D12" t="s">
        <v>10</v>
      </c>
      <c r="E12">
        <v>46</v>
      </c>
      <c r="F12" s="2">
        <v>12.65</v>
      </c>
      <c r="G12">
        <f t="shared" si="0"/>
        <v>26</v>
      </c>
    </row>
    <row r="13" spans="1:7">
      <c r="A13">
        <v>2</v>
      </c>
      <c r="B13" t="s">
        <v>19</v>
      </c>
      <c r="C13" t="s">
        <v>17</v>
      </c>
      <c r="D13" t="s">
        <v>18</v>
      </c>
      <c r="E13">
        <v>48</v>
      </c>
      <c r="F13" s="2">
        <v>15.408</v>
      </c>
      <c r="G13">
        <f t="shared" si="0"/>
        <v>22</v>
      </c>
    </row>
    <row r="14" spans="1:7">
      <c r="A14">
        <v>3</v>
      </c>
      <c r="B14" t="s">
        <v>15</v>
      </c>
      <c r="C14" t="s">
        <v>12</v>
      </c>
      <c r="D14" t="s">
        <v>13</v>
      </c>
      <c r="E14">
        <v>53</v>
      </c>
      <c r="F14" s="2">
        <v>7.314</v>
      </c>
      <c r="G14">
        <f t="shared" si="0"/>
        <v>35</v>
      </c>
    </row>
    <row r="15" spans="1:7">
      <c r="A15">
        <v>3</v>
      </c>
      <c r="B15" t="s">
        <v>19</v>
      </c>
      <c r="C15" t="s">
        <v>17</v>
      </c>
      <c r="D15" t="s">
        <v>18</v>
      </c>
      <c r="E15">
        <v>54</v>
      </c>
      <c r="F15" s="2">
        <v>17.334</v>
      </c>
      <c r="G15">
        <f t="shared" si="0"/>
        <v>20</v>
      </c>
    </row>
    <row r="16" spans="1:7">
      <c r="A16">
        <v>1</v>
      </c>
      <c r="B16" t="s">
        <v>21</v>
      </c>
      <c r="C16" t="s">
        <v>12</v>
      </c>
      <c r="D16" t="s">
        <v>13</v>
      </c>
      <c r="E16">
        <v>54</v>
      </c>
      <c r="F16" s="2">
        <v>19.116</v>
      </c>
      <c r="G16">
        <f t="shared" si="0"/>
        <v>12</v>
      </c>
    </row>
    <row r="17" spans="1:7">
      <c r="A17">
        <v>2</v>
      </c>
      <c r="B17" t="s">
        <v>22</v>
      </c>
      <c r="C17" t="s">
        <v>9</v>
      </c>
      <c r="D17" t="s">
        <v>10</v>
      </c>
      <c r="E17">
        <v>56</v>
      </c>
      <c r="F17" s="2">
        <v>15.4</v>
      </c>
      <c r="G17">
        <f t="shared" si="0"/>
        <v>23</v>
      </c>
    </row>
    <row r="18" spans="1:7">
      <c r="A18">
        <v>2</v>
      </c>
      <c r="B18" t="s">
        <v>23</v>
      </c>
      <c r="C18" t="s">
        <v>12</v>
      </c>
      <c r="D18" t="s">
        <v>13</v>
      </c>
      <c r="E18">
        <v>56</v>
      </c>
      <c r="F18" s="2">
        <v>7.728</v>
      </c>
      <c r="G18">
        <f t="shared" si="0"/>
        <v>33</v>
      </c>
    </row>
    <row r="19" spans="1:7">
      <c r="A19">
        <v>3</v>
      </c>
      <c r="B19" t="s">
        <v>24</v>
      </c>
      <c r="C19" t="s">
        <v>17</v>
      </c>
      <c r="D19" t="s">
        <v>18</v>
      </c>
      <c r="E19">
        <v>57</v>
      </c>
      <c r="F19" s="2">
        <v>18.297</v>
      </c>
      <c r="G19">
        <f t="shared" si="0"/>
        <v>16</v>
      </c>
    </row>
    <row r="20" spans="1:7">
      <c r="A20">
        <v>1</v>
      </c>
      <c r="B20" t="s">
        <v>24</v>
      </c>
      <c r="C20" t="s">
        <v>17</v>
      </c>
      <c r="D20" t="s">
        <v>18</v>
      </c>
      <c r="E20">
        <v>58</v>
      </c>
      <c r="F20" s="2">
        <v>18.618</v>
      </c>
      <c r="G20">
        <f t="shared" si="0"/>
        <v>14</v>
      </c>
    </row>
    <row r="21" spans="1:7">
      <c r="A21">
        <v>2</v>
      </c>
      <c r="B21" t="s">
        <v>21</v>
      </c>
      <c r="C21" t="s">
        <v>12</v>
      </c>
      <c r="D21" t="s">
        <v>13</v>
      </c>
      <c r="E21">
        <v>63</v>
      </c>
      <c r="F21" s="2">
        <v>22.302</v>
      </c>
      <c r="G21">
        <f t="shared" si="0"/>
        <v>8</v>
      </c>
    </row>
    <row r="22" spans="1:7">
      <c r="A22">
        <v>3</v>
      </c>
      <c r="B22" t="s">
        <v>25</v>
      </c>
      <c r="C22" t="s">
        <v>9</v>
      </c>
      <c r="D22" t="s">
        <v>10</v>
      </c>
      <c r="E22">
        <v>64</v>
      </c>
      <c r="F22" s="2">
        <v>28.544</v>
      </c>
      <c r="G22">
        <f t="shared" si="0"/>
        <v>5</v>
      </c>
    </row>
    <row r="23" spans="1:7">
      <c r="A23">
        <v>2</v>
      </c>
      <c r="B23" t="s">
        <v>16</v>
      </c>
      <c r="C23" t="s">
        <v>17</v>
      </c>
      <c r="D23" t="s">
        <v>18</v>
      </c>
      <c r="E23">
        <v>65</v>
      </c>
      <c r="F23" s="2">
        <v>15.21</v>
      </c>
      <c r="G23">
        <f t="shared" si="0"/>
        <v>24</v>
      </c>
    </row>
    <row r="24" spans="1:7">
      <c r="A24">
        <v>3</v>
      </c>
      <c r="B24" t="s">
        <v>22</v>
      </c>
      <c r="C24" t="s">
        <v>9</v>
      </c>
      <c r="D24" t="s">
        <v>10</v>
      </c>
      <c r="E24">
        <v>66</v>
      </c>
      <c r="F24" s="2">
        <v>18.15</v>
      </c>
      <c r="G24">
        <f t="shared" si="0"/>
        <v>17</v>
      </c>
    </row>
    <row r="25" spans="1:7">
      <c r="A25">
        <v>1</v>
      </c>
      <c r="B25" t="s">
        <v>22</v>
      </c>
      <c r="C25" t="s">
        <v>9</v>
      </c>
      <c r="D25" t="s">
        <v>10</v>
      </c>
      <c r="E25">
        <v>67</v>
      </c>
      <c r="F25" s="2">
        <v>18.425</v>
      </c>
      <c r="G25">
        <f t="shared" si="0"/>
        <v>15</v>
      </c>
    </row>
    <row r="26" spans="1:7">
      <c r="A26">
        <v>2</v>
      </c>
      <c r="B26" t="s">
        <v>24</v>
      </c>
      <c r="C26" t="s">
        <v>17</v>
      </c>
      <c r="D26" t="s">
        <v>18</v>
      </c>
      <c r="E26">
        <v>69</v>
      </c>
      <c r="F26" s="2">
        <v>22.149</v>
      </c>
      <c r="G26">
        <f t="shared" si="0"/>
        <v>9</v>
      </c>
    </row>
    <row r="27" spans="1:7">
      <c r="A27">
        <v>2</v>
      </c>
      <c r="B27" t="s">
        <v>25</v>
      </c>
      <c r="C27" t="s">
        <v>9</v>
      </c>
      <c r="D27" t="s">
        <v>10</v>
      </c>
      <c r="E27">
        <v>73</v>
      </c>
      <c r="F27" s="2">
        <v>32.558</v>
      </c>
      <c r="G27">
        <f t="shared" si="0"/>
        <v>3</v>
      </c>
    </row>
    <row r="28" spans="1:7">
      <c r="A28">
        <v>3</v>
      </c>
      <c r="B28" t="s">
        <v>20</v>
      </c>
      <c r="C28" t="s">
        <v>17</v>
      </c>
      <c r="D28" t="s">
        <v>18</v>
      </c>
      <c r="E28">
        <v>75</v>
      </c>
      <c r="F28" s="2">
        <v>17.55</v>
      </c>
      <c r="G28">
        <f t="shared" si="0"/>
        <v>19</v>
      </c>
    </row>
    <row r="29" spans="1:7">
      <c r="A29">
        <v>3</v>
      </c>
      <c r="B29" t="s">
        <v>8</v>
      </c>
      <c r="C29" t="s">
        <v>9</v>
      </c>
      <c r="D29" t="s">
        <v>10</v>
      </c>
      <c r="E29">
        <v>78</v>
      </c>
      <c r="F29" s="2">
        <v>34.788</v>
      </c>
      <c r="G29">
        <f t="shared" si="0"/>
        <v>2</v>
      </c>
    </row>
    <row r="30" spans="1:7">
      <c r="A30">
        <v>3</v>
      </c>
      <c r="B30" t="s">
        <v>26</v>
      </c>
      <c r="C30" t="s">
        <v>27</v>
      </c>
      <c r="D30" t="s">
        <v>28</v>
      </c>
      <c r="E30">
        <v>78</v>
      </c>
      <c r="F30" s="2">
        <v>2.34</v>
      </c>
      <c r="G30">
        <f t="shared" si="0"/>
        <v>48</v>
      </c>
    </row>
    <row r="31" spans="1:7">
      <c r="A31">
        <v>2</v>
      </c>
      <c r="B31" t="s">
        <v>11</v>
      </c>
      <c r="C31" t="s">
        <v>12</v>
      </c>
      <c r="D31" t="s">
        <v>13</v>
      </c>
      <c r="E31">
        <v>79</v>
      </c>
      <c r="F31" s="2">
        <v>27.966</v>
      </c>
      <c r="G31">
        <f t="shared" si="0"/>
        <v>6</v>
      </c>
    </row>
    <row r="32" spans="1:7">
      <c r="A32">
        <v>3</v>
      </c>
      <c r="B32" t="s">
        <v>23</v>
      </c>
      <c r="C32" t="s">
        <v>12</v>
      </c>
      <c r="D32" t="s">
        <v>13</v>
      </c>
      <c r="E32">
        <v>84</v>
      </c>
      <c r="F32" s="2">
        <v>11.592</v>
      </c>
      <c r="G32">
        <f t="shared" si="0"/>
        <v>28</v>
      </c>
    </row>
    <row r="33" spans="1:7">
      <c r="A33">
        <v>1</v>
      </c>
      <c r="B33" t="s">
        <v>25</v>
      </c>
      <c r="C33" t="s">
        <v>9</v>
      </c>
      <c r="D33" t="s">
        <v>10</v>
      </c>
      <c r="E33">
        <v>86</v>
      </c>
      <c r="F33" s="2">
        <v>38.356</v>
      </c>
      <c r="G33">
        <f t="shared" si="0"/>
        <v>1</v>
      </c>
    </row>
    <row r="34" spans="1:7">
      <c r="A34">
        <v>1</v>
      </c>
      <c r="B34" t="s">
        <v>16</v>
      </c>
      <c r="C34" t="s">
        <v>17</v>
      </c>
      <c r="D34" t="s">
        <v>18</v>
      </c>
      <c r="E34">
        <v>86</v>
      </c>
      <c r="F34" s="2">
        <v>20.124</v>
      </c>
      <c r="G34">
        <f t="shared" si="0"/>
        <v>11</v>
      </c>
    </row>
    <row r="35" spans="1:7">
      <c r="A35">
        <v>3</v>
      </c>
      <c r="B35" t="s">
        <v>21</v>
      </c>
      <c r="C35" t="s">
        <v>12</v>
      </c>
      <c r="D35" t="s">
        <v>13</v>
      </c>
      <c r="E35">
        <v>86</v>
      </c>
      <c r="F35" s="2">
        <v>30.444</v>
      </c>
      <c r="G35">
        <f t="shared" si="0"/>
        <v>4</v>
      </c>
    </row>
    <row r="36" spans="1:7">
      <c r="A36">
        <v>3</v>
      </c>
      <c r="B36" t="s">
        <v>29</v>
      </c>
      <c r="C36" t="s">
        <v>27</v>
      </c>
      <c r="D36" t="s">
        <v>28</v>
      </c>
      <c r="E36">
        <v>88</v>
      </c>
      <c r="F36" s="2">
        <v>2.64</v>
      </c>
      <c r="G36">
        <f t="shared" si="0"/>
        <v>47</v>
      </c>
    </row>
    <row r="37" spans="1:7">
      <c r="A37">
        <v>2</v>
      </c>
      <c r="B37" t="s">
        <v>30</v>
      </c>
      <c r="C37" t="s">
        <v>27</v>
      </c>
      <c r="D37" t="s">
        <v>28</v>
      </c>
      <c r="E37">
        <v>89</v>
      </c>
      <c r="F37" s="2">
        <v>2.67</v>
      </c>
      <c r="G37">
        <f t="shared" si="0"/>
        <v>45</v>
      </c>
    </row>
    <row r="38" spans="1:7">
      <c r="A38">
        <v>1</v>
      </c>
      <c r="B38" t="s">
        <v>29</v>
      </c>
      <c r="C38" t="s">
        <v>27</v>
      </c>
      <c r="D38" t="s">
        <v>28</v>
      </c>
      <c r="E38">
        <v>89</v>
      </c>
      <c r="F38" s="2">
        <v>2.67</v>
      </c>
      <c r="G38">
        <f t="shared" si="0"/>
        <v>45</v>
      </c>
    </row>
    <row r="39" spans="1:7">
      <c r="A39">
        <v>1</v>
      </c>
      <c r="B39" t="s">
        <v>20</v>
      </c>
      <c r="C39" t="s">
        <v>17</v>
      </c>
      <c r="D39" t="s">
        <v>18</v>
      </c>
      <c r="E39">
        <v>89</v>
      </c>
      <c r="F39" s="2">
        <v>20.826</v>
      </c>
      <c r="G39">
        <f t="shared" si="0"/>
        <v>10</v>
      </c>
    </row>
    <row r="40" spans="1:7">
      <c r="A40">
        <v>1</v>
      </c>
      <c r="B40" t="s">
        <v>23</v>
      </c>
      <c r="C40" t="s">
        <v>12</v>
      </c>
      <c r="D40" t="s">
        <v>13</v>
      </c>
      <c r="E40">
        <v>89</v>
      </c>
      <c r="F40" s="2">
        <v>12.282</v>
      </c>
      <c r="G40">
        <f t="shared" si="0"/>
        <v>27</v>
      </c>
    </row>
    <row r="41" spans="1:7">
      <c r="A41">
        <v>2</v>
      </c>
      <c r="B41" t="s">
        <v>31</v>
      </c>
      <c r="C41" t="s">
        <v>27</v>
      </c>
      <c r="D41" t="s">
        <v>28</v>
      </c>
      <c r="E41">
        <v>97</v>
      </c>
      <c r="F41" s="2">
        <v>2.91</v>
      </c>
      <c r="G41">
        <f t="shared" si="0"/>
        <v>44</v>
      </c>
    </row>
    <row r="42" spans="1:7">
      <c r="A42">
        <v>1</v>
      </c>
      <c r="B42" t="s">
        <v>30</v>
      </c>
      <c r="C42" t="s">
        <v>27</v>
      </c>
      <c r="D42" t="s">
        <v>28</v>
      </c>
      <c r="E42">
        <v>112</v>
      </c>
      <c r="F42" s="2">
        <v>3.36</v>
      </c>
      <c r="G42">
        <f t="shared" si="0"/>
        <v>42</v>
      </c>
    </row>
    <row r="43" spans="1:7">
      <c r="A43">
        <v>3</v>
      </c>
      <c r="B43" t="s">
        <v>30</v>
      </c>
      <c r="C43" t="s">
        <v>27</v>
      </c>
      <c r="D43" t="s">
        <v>28</v>
      </c>
      <c r="E43">
        <v>112</v>
      </c>
      <c r="F43" s="2">
        <v>3.36</v>
      </c>
      <c r="G43">
        <f t="shared" si="0"/>
        <v>42</v>
      </c>
    </row>
    <row r="44" spans="1:7">
      <c r="A44">
        <v>2</v>
      </c>
      <c r="B44" t="s">
        <v>26</v>
      </c>
      <c r="C44" t="s">
        <v>27</v>
      </c>
      <c r="D44" t="s">
        <v>28</v>
      </c>
      <c r="E44">
        <v>131</v>
      </c>
      <c r="F44" s="2">
        <v>3.93</v>
      </c>
      <c r="G44">
        <f t="shared" si="0"/>
        <v>41</v>
      </c>
    </row>
    <row r="45" spans="1:7">
      <c r="A45">
        <v>1</v>
      </c>
      <c r="B45" t="s">
        <v>31</v>
      </c>
      <c r="C45" t="s">
        <v>27</v>
      </c>
      <c r="D45" t="s">
        <v>28</v>
      </c>
      <c r="E45">
        <v>132</v>
      </c>
      <c r="F45" s="2">
        <v>3.96</v>
      </c>
      <c r="G45">
        <f t="shared" si="0"/>
        <v>40</v>
      </c>
    </row>
    <row r="46" spans="1:7">
      <c r="A46">
        <v>1</v>
      </c>
      <c r="B46" t="s">
        <v>15</v>
      </c>
      <c r="C46" t="s">
        <v>12</v>
      </c>
      <c r="D46" t="s">
        <v>13</v>
      </c>
      <c r="E46">
        <v>156</v>
      </c>
      <c r="F46" s="2">
        <v>25.282</v>
      </c>
      <c r="G46">
        <f t="shared" si="0"/>
        <v>7</v>
      </c>
    </row>
    <row r="47" spans="1:7">
      <c r="A47">
        <v>1</v>
      </c>
      <c r="B47" t="s">
        <v>14</v>
      </c>
      <c r="C47" t="s">
        <v>9</v>
      </c>
      <c r="D47" t="s">
        <v>10</v>
      </c>
      <c r="E47">
        <v>164</v>
      </c>
      <c r="F47" s="2">
        <v>17.6</v>
      </c>
      <c r="G47">
        <f t="shared" si="0"/>
        <v>18</v>
      </c>
    </row>
    <row r="48" spans="1:7">
      <c r="A48">
        <v>1</v>
      </c>
      <c r="B48" t="s">
        <v>26</v>
      </c>
      <c r="C48" t="s">
        <v>27</v>
      </c>
      <c r="D48" t="s">
        <v>28</v>
      </c>
      <c r="E48">
        <v>165</v>
      </c>
      <c r="F48" s="2">
        <v>4.95</v>
      </c>
      <c r="G48">
        <f t="shared" si="0"/>
        <v>39</v>
      </c>
    </row>
    <row r="49" spans="1:7">
      <c r="A49">
        <v>3</v>
      </c>
      <c r="B49" t="s">
        <v>31</v>
      </c>
      <c r="C49" t="s">
        <v>27</v>
      </c>
      <c r="D49" t="s">
        <v>28</v>
      </c>
      <c r="E49">
        <v>167</v>
      </c>
      <c r="F49" s="2">
        <v>5.01</v>
      </c>
      <c r="G49">
        <f t="shared" si="0"/>
        <v>38</v>
      </c>
    </row>
    <row r="50" spans="1:7">
      <c r="A50">
        <v>2</v>
      </c>
      <c r="B50" t="s">
        <v>16</v>
      </c>
      <c r="C50" t="s">
        <v>27</v>
      </c>
      <c r="D50" t="s">
        <v>28</v>
      </c>
      <c r="E50">
        <v>176</v>
      </c>
      <c r="F50" s="2">
        <v>5.28</v>
      </c>
      <c r="G50">
        <f t="shared" si="0"/>
        <v>36</v>
      </c>
    </row>
    <row r="51" spans="5:6">
      <c r="E51" s="4" t="s">
        <v>32</v>
      </c>
      <c r="F51" s="2">
        <f>SUM(F3:F50)</f>
        <v>687.607</v>
      </c>
    </row>
  </sheetData>
  <mergeCells count="1">
    <mergeCell ref="A1:G1"/>
  </mergeCells>
  <conditionalFormatting sqref="F3:F50">
    <cfRule type="cellIs" dxfId="0" priority="2" operator="greaterThan">
      <formula>30</formula>
    </cfRule>
    <cfRule type="cellIs" dxfId="1" priority="1" operator="lessThan">
      <formula>12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5" sqref="A5"/>
    </sheetView>
  </sheetViews>
  <sheetFormatPr defaultColWidth="9" defaultRowHeight="14.25" outlineLevelCol="6"/>
  <sheetData>
    <row r="1" spans="1:2">
      <c r="A1" t="s">
        <v>4</v>
      </c>
      <c r="B1" t="s">
        <v>5</v>
      </c>
    </row>
    <row r="2" spans="1:2">
      <c r="A2" t="s">
        <v>18</v>
      </c>
      <c r="B2" t="s">
        <v>33</v>
      </c>
    </row>
    <row r="5" spans="1:7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</row>
    <row r="6" spans="1:7">
      <c r="A6">
        <v>2</v>
      </c>
      <c r="B6" t="s">
        <v>16</v>
      </c>
      <c r="C6" t="s">
        <v>17</v>
      </c>
      <c r="D6" t="s">
        <v>18</v>
      </c>
      <c r="E6">
        <v>65</v>
      </c>
      <c r="F6" s="2">
        <v>15.21</v>
      </c>
      <c r="G6">
        <v>24</v>
      </c>
    </row>
    <row r="7" spans="1:7">
      <c r="A7">
        <v>2</v>
      </c>
      <c r="B7" t="s">
        <v>24</v>
      </c>
      <c r="C7" t="s">
        <v>17</v>
      </c>
      <c r="D7" t="s">
        <v>18</v>
      </c>
      <c r="E7">
        <v>69</v>
      </c>
      <c r="F7" s="2">
        <v>22.149</v>
      </c>
      <c r="G7">
        <v>9</v>
      </c>
    </row>
    <row r="8" spans="1:7">
      <c r="A8">
        <v>3</v>
      </c>
      <c r="B8" t="s">
        <v>20</v>
      </c>
      <c r="C8" t="s">
        <v>17</v>
      </c>
      <c r="D8" t="s">
        <v>18</v>
      </c>
      <c r="E8">
        <v>75</v>
      </c>
      <c r="F8" s="2">
        <v>17.55</v>
      </c>
      <c r="G8">
        <v>19</v>
      </c>
    </row>
    <row r="9" spans="1:7">
      <c r="A9">
        <v>1</v>
      </c>
      <c r="B9" t="s">
        <v>16</v>
      </c>
      <c r="C9" t="s">
        <v>17</v>
      </c>
      <c r="D9" t="s">
        <v>18</v>
      </c>
      <c r="E9">
        <v>86</v>
      </c>
      <c r="F9" s="2">
        <v>20.124</v>
      </c>
      <c r="G9">
        <v>11</v>
      </c>
    </row>
    <row r="10" spans="1:7">
      <c r="A10">
        <v>1</v>
      </c>
      <c r="B10" t="s">
        <v>20</v>
      </c>
      <c r="C10" t="s">
        <v>17</v>
      </c>
      <c r="D10" t="s">
        <v>18</v>
      </c>
      <c r="E10">
        <v>89</v>
      </c>
      <c r="F10" s="2">
        <v>20.826</v>
      </c>
      <c r="G10">
        <v>10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A1" sqref="A1:G54"/>
    </sheetView>
  </sheetViews>
  <sheetFormatPr defaultColWidth="9" defaultRowHeight="14.25" outlineLevelCol="6"/>
  <cols>
    <col min="1" max="1" width="5.375" customWidth="1"/>
    <col min="2" max="2" width="7.375" customWidth="1"/>
    <col min="3" max="5" width="9.375" customWidth="1"/>
    <col min="6" max="6" width="16" customWidth="1"/>
    <col min="7" max="7" width="11.5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outlineLevel="2" spans="1:7">
      <c r="A2">
        <v>3</v>
      </c>
      <c r="B2" t="s">
        <v>26</v>
      </c>
      <c r="C2" t="s">
        <v>27</v>
      </c>
      <c r="D2" t="s">
        <v>28</v>
      </c>
      <c r="E2">
        <v>78</v>
      </c>
      <c r="F2">
        <v>2.34</v>
      </c>
      <c r="G2">
        <v>48</v>
      </c>
    </row>
    <row r="3" outlineLevel="2" spans="1:7">
      <c r="A3">
        <v>3</v>
      </c>
      <c r="B3" t="s">
        <v>29</v>
      </c>
      <c r="C3" t="s">
        <v>27</v>
      </c>
      <c r="D3" t="s">
        <v>28</v>
      </c>
      <c r="E3">
        <v>88</v>
      </c>
      <c r="F3">
        <v>2.64</v>
      </c>
      <c r="G3">
        <v>47</v>
      </c>
    </row>
    <row r="4" outlineLevel="2" spans="1:7">
      <c r="A4">
        <v>2</v>
      </c>
      <c r="B4" t="s">
        <v>30</v>
      </c>
      <c r="C4" t="s">
        <v>27</v>
      </c>
      <c r="D4" t="s">
        <v>28</v>
      </c>
      <c r="E4">
        <v>89</v>
      </c>
      <c r="F4">
        <v>2.67</v>
      </c>
      <c r="G4">
        <v>45</v>
      </c>
    </row>
    <row r="5" outlineLevel="2" spans="1:7">
      <c r="A5">
        <v>1</v>
      </c>
      <c r="B5" t="s">
        <v>29</v>
      </c>
      <c r="C5" t="s">
        <v>27</v>
      </c>
      <c r="D5" t="s">
        <v>28</v>
      </c>
      <c r="E5">
        <v>89</v>
      </c>
      <c r="F5">
        <v>2.67</v>
      </c>
      <c r="G5">
        <v>45</v>
      </c>
    </row>
    <row r="6" outlineLevel="2" spans="1:7">
      <c r="A6">
        <v>2</v>
      </c>
      <c r="B6" t="s">
        <v>31</v>
      </c>
      <c r="C6" t="s">
        <v>27</v>
      </c>
      <c r="D6" t="s">
        <v>28</v>
      </c>
      <c r="E6">
        <v>97</v>
      </c>
      <c r="F6">
        <v>2.91</v>
      </c>
      <c r="G6">
        <v>44</v>
      </c>
    </row>
    <row r="7" outlineLevel="2" spans="1:7">
      <c r="A7">
        <v>1</v>
      </c>
      <c r="B7" t="s">
        <v>30</v>
      </c>
      <c r="C7" t="s">
        <v>27</v>
      </c>
      <c r="D7" t="s">
        <v>28</v>
      </c>
      <c r="E7">
        <v>112</v>
      </c>
      <c r="F7">
        <v>3.36</v>
      </c>
      <c r="G7">
        <v>42</v>
      </c>
    </row>
    <row r="8" outlineLevel="2" spans="1:7">
      <c r="A8">
        <v>3</v>
      </c>
      <c r="B8" t="s">
        <v>30</v>
      </c>
      <c r="C8" t="s">
        <v>27</v>
      </c>
      <c r="D8" t="s">
        <v>28</v>
      </c>
      <c r="E8">
        <v>112</v>
      </c>
      <c r="F8">
        <v>3.36</v>
      </c>
      <c r="G8">
        <v>42</v>
      </c>
    </row>
    <row r="9" outlineLevel="2" spans="1:7">
      <c r="A9">
        <v>2</v>
      </c>
      <c r="B9" t="s">
        <v>26</v>
      </c>
      <c r="C9" t="s">
        <v>27</v>
      </c>
      <c r="D9" t="s">
        <v>28</v>
      </c>
      <c r="E9">
        <v>131</v>
      </c>
      <c r="F9">
        <v>3.93</v>
      </c>
      <c r="G9">
        <v>41</v>
      </c>
    </row>
    <row r="10" outlineLevel="2" spans="1:7">
      <c r="A10">
        <v>1</v>
      </c>
      <c r="B10" t="s">
        <v>31</v>
      </c>
      <c r="C10" t="s">
        <v>27</v>
      </c>
      <c r="D10" t="s">
        <v>28</v>
      </c>
      <c r="E10">
        <v>132</v>
      </c>
      <c r="F10">
        <v>3.96</v>
      </c>
      <c r="G10">
        <v>40</v>
      </c>
    </row>
    <row r="11" outlineLevel="2" spans="1:7">
      <c r="A11">
        <v>1</v>
      </c>
      <c r="B11" t="s">
        <v>26</v>
      </c>
      <c r="C11" t="s">
        <v>27</v>
      </c>
      <c r="D11" t="s">
        <v>28</v>
      </c>
      <c r="E11">
        <v>165</v>
      </c>
      <c r="F11">
        <v>4.95</v>
      </c>
      <c r="G11">
        <v>39</v>
      </c>
    </row>
    <row r="12" outlineLevel="2" spans="1:7">
      <c r="A12">
        <v>3</v>
      </c>
      <c r="B12" t="s">
        <v>31</v>
      </c>
      <c r="C12" t="s">
        <v>27</v>
      </c>
      <c r="D12" t="s">
        <v>28</v>
      </c>
      <c r="E12">
        <v>167</v>
      </c>
      <c r="F12">
        <v>5.01</v>
      </c>
      <c r="G12">
        <v>38</v>
      </c>
    </row>
    <row r="13" outlineLevel="2" spans="1:7">
      <c r="A13">
        <v>2</v>
      </c>
      <c r="B13" t="s">
        <v>16</v>
      </c>
      <c r="C13" t="s">
        <v>27</v>
      </c>
      <c r="D13" t="s">
        <v>28</v>
      </c>
      <c r="E13">
        <v>176</v>
      </c>
      <c r="F13">
        <v>5.28</v>
      </c>
      <c r="G13">
        <v>36</v>
      </c>
    </row>
    <row r="14" outlineLevel="1" spans="4:6">
      <c r="D14" s="1" t="s">
        <v>34</v>
      </c>
      <c r="F14">
        <f>SUBTOTAL(1,F2:F13)</f>
        <v>3.59</v>
      </c>
    </row>
    <row r="15" outlineLevel="2" spans="1:7">
      <c r="A15">
        <v>1</v>
      </c>
      <c r="B15" t="s">
        <v>11</v>
      </c>
      <c r="C15" t="s">
        <v>12</v>
      </c>
      <c r="D15" t="s">
        <v>13</v>
      </c>
      <c r="E15">
        <v>24</v>
      </c>
      <c r="F15">
        <v>8.496</v>
      </c>
      <c r="G15">
        <v>32</v>
      </c>
    </row>
    <row r="16" outlineLevel="2" spans="1:7">
      <c r="A16">
        <v>2</v>
      </c>
      <c r="B16" t="s">
        <v>15</v>
      </c>
      <c r="C16" t="s">
        <v>12</v>
      </c>
      <c r="D16" t="s">
        <v>13</v>
      </c>
      <c r="E16">
        <v>37</v>
      </c>
      <c r="F16">
        <v>5.106</v>
      </c>
      <c r="G16">
        <v>37</v>
      </c>
    </row>
    <row r="17" outlineLevel="2" spans="1:7">
      <c r="A17">
        <v>3</v>
      </c>
      <c r="B17" t="s">
        <v>11</v>
      </c>
      <c r="C17" t="s">
        <v>12</v>
      </c>
      <c r="D17" t="s">
        <v>13</v>
      </c>
      <c r="E17">
        <v>45</v>
      </c>
      <c r="F17">
        <v>15.93</v>
      </c>
      <c r="G17">
        <v>21</v>
      </c>
    </row>
    <row r="18" outlineLevel="2" spans="1:7">
      <c r="A18">
        <v>3</v>
      </c>
      <c r="B18" t="s">
        <v>15</v>
      </c>
      <c r="C18" t="s">
        <v>12</v>
      </c>
      <c r="D18" t="s">
        <v>13</v>
      </c>
      <c r="E18">
        <v>53</v>
      </c>
      <c r="F18">
        <v>7.314</v>
      </c>
      <c r="G18">
        <v>35</v>
      </c>
    </row>
    <row r="19" outlineLevel="2" spans="1:7">
      <c r="A19">
        <v>1</v>
      </c>
      <c r="B19" t="s">
        <v>21</v>
      </c>
      <c r="C19" t="s">
        <v>12</v>
      </c>
      <c r="D19" t="s">
        <v>13</v>
      </c>
      <c r="E19">
        <v>54</v>
      </c>
      <c r="F19">
        <v>19.116</v>
      </c>
      <c r="G19">
        <v>12</v>
      </c>
    </row>
    <row r="20" outlineLevel="2" spans="1:7">
      <c r="A20">
        <v>2</v>
      </c>
      <c r="B20" t="s">
        <v>23</v>
      </c>
      <c r="C20" t="s">
        <v>12</v>
      </c>
      <c r="D20" t="s">
        <v>13</v>
      </c>
      <c r="E20">
        <v>56</v>
      </c>
      <c r="F20">
        <v>7.728</v>
      </c>
      <c r="G20">
        <v>33</v>
      </c>
    </row>
    <row r="21" outlineLevel="2" spans="1:7">
      <c r="A21">
        <v>2</v>
      </c>
      <c r="B21" t="s">
        <v>21</v>
      </c>
      <c r="C21" t="s">
        <v>12</v>
      </c>
      <c r="D21" t="s">
        <v>13</v>
      </c>
      <c r="E21">
        <v>63</v>
      </c>
      <c r="F21">
        <v>22.302</v>
      </c>
      <c r="G21">
        <v>8</v>
      </c>
    </row>
    <row r="22" outlineLevel="2" spans="1:7">
      <c r="A22">
        <v>2</v>
      </c>
      <c r="B22" t="s">
        <v>11</v>
      </c>
      <c r="C22" t="s">
        <v>12</v>
      </c>
      <c r="D22" t="s">
        <v>13</v>
      </c>
      <c r="E22">
        <v>79</v>
      </c>
      <c r="F22">
        <v>27.966</v>
      </c>
      <c r="G22">
        <v>6</v>
      </c>
    </row>
    <row r="23" outlineLevel="2" spans="1:7">
      <c r="A23">
        <v>3</v>
      </c>
      <c r="B23" t="s">
        <v>23</v>
      </c>
      <c r="C23" t="s">
        <v>12</v>
      </c>
      <c r="D23" t="s">
        <v>13</v>
      </c>
      <c r="E23">
        <v>84</v>
      </c>
      <c r="F23">
        <v>11.592</v>
      </c>
      <c r="G23">
        <v>28</v>
      </c>
    </row>
    <row r="24" outlineLevel="2" spans="1:7">
      <c r="A24">
        <v>3</v>
      </c>
      <c r="B24" t="s">
        <v>21</v>
      </c>
      <c r="C24" t="s">
        <v>12</v>
      </c>
      <c r="D24" t="s">
        <v>13</v>
      </c>
      <c r="E24">
        <v>86</v>
      </c>
      <c r="F24">
        <v>30.444</v>
      </c>
      <c r="G24">
        <v>4</v>
      </c>
    </row>
    <row r="25" outlineLevel="2" spans="1:7">
      <c r="A25">
        <v>1</v>
      </c>
      <c r="B25" t="s">
        <v>23</v>
      </c>
      <c r="C25" t="s">
        <v>12</v>
      </c>
      <c r="D25" t="s">
        <v>13</v>
      </c>
      <c r="E25">
        <v>89</v>
      </c>
      <c r="F25">
        <v>12.282</v>
      </c>
      <c r="G25">
        <v>27</v>
      </c>
    </row>
    <row r="26" outlineLevel="2" spans="1:7">
      <c r="A26">
        <v>1</v>
      </c>
      <c r="B26" t="s">
        <v>15</v>
      </c>
      <c r="C26" t="s">
        <v>12</v>
      </c>
      <c r="D26" t="s">
        <v>13</v>
      </c>
      <c r="E26">
        <v>156</v>
      </c>
      <c r="F26">
        <v>25.282</v>
      </c>
      <c r="G26">
        <v>7</v>
      </c>
    </row>
    <row r="27" outlineLevel="1" spans="4:6">
      <c r="D27" s="1" t="s">
        <v>35</v>
      </c>
      <c r="F27">
        <f>SUBTOTAL(1,F15:F26)</f>
        <v>16.1298333333333</v>
      </c>
    </row>
    <row r="28" outlineLevel="2" spans="1:7">
      <c r="A28">
        <v>1</v>
      </c>
      <c r="B28" t="s">
        <v>8</v>
      </c>
      <c r="C28" t="s">
        <v>9</v>
      </c>
      <c r="D28" t="s">
        <v>10</v>
      </c>
      <c r="E28">
        <v>21</v>
      </c>
      <c r="F28">
        <v>9.366</v>
      </c>
      <c r="G28">
        <v>30</v>
      </c>
    </row>
    <row r="29" outlineLevel="2" spans="1:7">
      <c r="A29">
        <v>2</v>
      </c>
      <c r="B29" t="s">
        <v>14</v>
      </c>
      <c r="C29" t="s">
        <v>9</v>
      </c>
      <c r="D29" t="s">
        <v>10</v>
      </c>
      <c r="E29">
        <v>27</v>
      </c>
      <c r="F29">
        <v>7.425</v>
      </c>
      <c r="G29">
        <v>34</v>
      </c>
    </row>
    <row r="30" outlineLevel="2" spans="1:7">
      <c r="A30">
        <v>2</v>
      </c>
      <c r="B30" t="s">
        <v>8</v>
      </c>
      <c r="C30" t="s">
        <v>9</v>
      </c>
      <c r="D30" t="s">
        <v>10</v>
      </c>
      <c r="E30">
        <v>42</v>
      </c>
      <c r="F30">
        <v>18.732</v>
      </c>
      <c r="G30">
        <v>13</v>
      </c>
    </row>
    <row r="31" outlineLevel="2" spans="1:7">
      <c r="A31">
        <v>3</v>
      </c>
      <c r="B31" t="s">
        <v>14</v>
      </c>
      <c r="C31" t="s">
        <v>9</v>
      </c>
      <c r="D31" t="s">
        <v>10</v>
      </c>
      <c r="E31">
        <v>46</v>
      </c>
      <c r="F31">
        <v>12.65</v>
      </c>
      <c r="G31">
        <v>26</v>
      </c>
    </row>
    <row r="32" outlineLevel="2" spans="1:7">
      <c r="A32">
        <v>2</v>
      </c>
      <c r="B32" t="s">
        <v>22</v>
      </c>
      <c r="C32" t="s">
        <v>9</v>
      </c>
      <c r="D32" t="s">
        <v>10</v>
      </c>
      <c r="E32">
        <v>56</v>
      </c>
      <c r="F32">
        <v>15.4</v>
      </c>
      <c r="G32">
        <v>23</v>
      </c>
    </row>
    <row r="33" outlineLevel="2" spans="1:7">
      <c r="A33">
        <v>3</v>
      </c>
      <c r="B33" t="s">
        <v>25</v>
      </c>
      <c r="C33" t="s">
        <v>9</v>
      </c>
      <c r="D33" t="s">
        <v>10</v>
      </c>
      <c r="E33">
        <v>64</v>
      </c>
      <c r="F33">
        <v>28.544</v>
      </c>
      <c r="G33">
        <v>5</v>
      </c>
    </row>
    <row r="34" outlineLevel="2" spans="1:7">
      <c r="A34">
        <v>3</v>
      </c>
      <c r="B34" t="s">
        <v>22</v>
      </c>
      <c r="C34" t="s">
        <v>9</v>
      </c>
      <c r="D34" t="s">
        <v>10</v>
      </c>
      <c r="E34">
        <v>66</v>
      </c>
      <c r="F34">
        <v>18.15</v>
      </c>
      <c r="G34">
        <v>17</v>
      </c>
    </row>
    <row r="35" outlineLevel="2" spans="1:7">
      <c r="A35">
        <v>1</v>
      </c>
      <c r="B35" t="s">
        <v>22</v>
      </c>
      <c r="C35" t="s">
        <v>9</v>
      </c>
      <c r="D35" t="s">
        <v>10</v>
      </c>
      <c r="E35">
        <v>67</v>
      </c>
      <c r="F35">
        <v>18.425</v>
      </c>
      <c r="G35">
        <v>15</v>
      </c>
    </row>
    <row r="36" outlineLevel="2" spans="1:7">
      <c r="A36">
        <v>2</v>
      </c>
      <c r="B36" t="s">
        <v>25</v>
      </c>
      <c r="C36" t="s">
        <v>9</v>
      </c>
      <c r="D36" t="s">
        <v>10</v>
      </c>
      <c r="E36">
        <v>73</v>
      </c>
      <c r="F36">
        <v>32.558</v>
      </c>
      <c r="G36">
        <v>3</v>
      </c>
    </row>
    <row r="37" outlineLevel="2" spans="1:7">
      <c r="A37">
        <v>3</v>
      </c>
      <c r="B37" t="s">
        <v>8</v>
      </c>
      <c r="C37" t="s">
        <v>9</v>
      </c>
      <c r="D37" t="s">
        <v>10</v>
      </c>
      <c r="E37">
        <v>78</v>
      </c>
      <c r="F37">
        <v>34.788</v>
      </c>
      <c r="G37">
        <v>2</v>
      </c>
    </row>
    <row r="38" outlineLevel="2" spans="1:7">
      <c r="A38">
        <v>1</v>
      </c>
      <c r="B38" t="s">
        <v>25</v>
      </c>
      <c r="C38" t="s">
        <v>9</v>
      </c>
      <c r="D38" t="s">
        <v>10</v>
      </c>
      <c r="E38">
        <v>86</v>
      </c>
      <c r="F38">
        <v>38.356</v>
      </c>
      <c r="G38">
        <v>1</v>
      </c>
    </row>
    <row r="39" outlineLevel="2" spans="1:7">
      <c r="A39">
        <v>1</v>
      </c>
      <c r="B39" t="s">
        <v>14</v>
      </c>
      <c r="C39" t="s">
        <v>9</v>
      </c>
      <c r="D39" t="s">
        <v>10</v>
      </c>
      <c r="E39">
        <v>164</v>
      </c>
      <c r="F39">
        <v>17.6</v>
      </c>
      <c r="G39">
        <v>18</v>
      </c>
    </row>
    <row r="40" outlineLevel="1" spans="4:6">
      <c r="D40" s="1" t="s">
        <v>36</v>
      </c>
      <c r="F40">
        <f>SUBTOTAL(1,F28:F39)</f>
        <v>20.9995</v>
      </c>
    </row>
    <row r="41" outlineLevel="2" spans="1:7">
      <c r="A41">
        <v>3</v>
      </c>
      <c r="B41" t="s">
        <v>16</v>
      </c>
      <c r="C41" t="s">
        <v>17</v>
      </c>
      <c r="D41" t="s">
        <v>18</v>
      </c>
      <c r="E41">
        <v>39</v>
      </c>
      <c r="F41">
        <v>9.126</v>
      </c>
      <c r="G41">
        <v>31</v>
      </c>
    </row>
    <row r="42" outlineLevel="2" spans="1:7">
      <c r="A42">
        <v>1</v>
      </c>
      <c r="B42" t="s">
        <v>19</v>
      </c>
      <c r="C42" t="s">
        <v>17</v>
      </c>
      <c r="D42" t="s">
        <v>18</v>
      </c>
      <c r="E42">
        <v>43</v>
      </c>
      <c r="F42">
        <v>13.803</v>
      </c>
      <c r="G42">
        <v>25</v>
      </c>
    </row>
    <row r="43" outlineLevel="2" spans="1:7">
      <c r="A43">
        <v>2</v>
      </c>
      <c r="B43" t="s">
        <v>20</v>
      </c>
      <c r="C43" t="s">
        <v>17</v>
      </c>
      <c r="D43" t="s">
        <v>18</v>
      </c>
      <c r="E43">
        <v>45</v>
      </c>
      <c r="F43">
        <v>10.53</v>
      </c>
      <c r="G43">
        <v>29</v>
      </c>
    </row>
    <row r="44" outlineLevel="2" spans="1:7">
      <c r="A44">
        <v>2</v>
      </c>
      <c r="B44" t="s">
        <v>19</v>
      </c>
      <c r="C44" t="s">
        <v>17</v>
      </c>
      <c r="D44" t="s">
        <v>18</v>
      </c>
      <c r="E44">
        <v>48</v>
      </c>
      <c r="F44">
        <v>15.408</v>
      </c>
      <c r="G44">
        <v>22</v>
      </c>
    </row>
    <row r="45" outlineLevel="2" spans="1:7">
      <c r="A45">
        <v>3</v>
      </c>
      <c r="B45" t="s">
        <v>19</v>
      </c>
      <c r="C45" t="s">
        <v>17</v>
      </c>
      <c r="D45" t="s">
        <v>18</v>
      </c>
      <c r="E45">
        <v>54</v>
      </c>
      <c r="F45">
        <v>17.334</v>
      </c>
      <c r="G45">
        <v>20</v>
      </c>
    </row>
    <row r="46" outlineLevel="2" spans="1:7">
      <c r="A46">
        <v>3</v>
      </c>
      <c r="B46" t="s">
        <v>24</v>
      </c>
      <c r="C46" t="s">
        <v>17</v>
      </c>
      <c r="D46" t="s">
        <v>18</v>
      </c>
      <c r="E46">
        <v>57</v>
      </c>
      <c r="F46">
        <v>18.297</v>
      </c>
      <c r="G46">
        <v>16</v>
      </c>
    </row>
    <row r="47" outlineLevel="2" spans="1:7">
      <c r="A47">
        <v>1</v>
      </c>
      <c r="B47" t="s">
        <v>24</v>
      </c>
      <c r="C47" t="s">
        <v>17</v>
      </c>
      <c r="D47" t="s">
        <v>18</v>
      </c>
      <c r="E47">
        <v>58</v>
      </c>
      <c r="F47">
        <v>18.618</v>
      </c>
      <c r="G47">
        <v>14</v>
      </c>
    </row>
    <row r="48" outlineLevel="2" spans="1:7">
      <c r="A48">
        <v>2</v>
      </c>
      <c r="B48" t="s">
        <v>16</v>
      </c>
      <c r="C48" t="s">
        <v>17</v>
      </c>
      <c r="D48" t="s">
        <v>18</v>
      </c>
      <c r="E48">
        <v>65</v>
      </c>
      <c r="F48">
        <v>15.21</v>
      </c>
      <c r="G48">
        <v>24</v>
      </c>
    </row>
    <row r="49" outlineLevel="2" spans="1:7">
      <c r="A49">
        <v>2</v>
      </c>
      <c r="B49" t="s">
        <v>24</v>
      </c>
      <c r="C49" t="s">
        <v>17</v>
      </c>
      <c r="D49" t="s">
        <v>18</v>
      </c>
      <c r="E49">
        <v>69</v>
      </c>
      <c r="F49">
        <v>22.149</v>
      </c>
      <c r="G49">
        <v>9</v>
      </c>
    </row>
    <row r="50" outlineLevel="2" spans="1:7">
      <c r="A50">
        <v>3</v>
      </c>
      <c r="B50" t="s">
        <v>20</v>
      </c>
      <c r="C50" t="s">
        <v>17</v>
      </c>
      <c r="D50" t="s">
        <v>18</v>
      </c>
      <c r="E50">
        <v>75</v>
      </c>
      <c r="F50">
        <v>17.55</v>
      </c>
      <c r="G50">
        <v>19</v>
      </c>
    </row>
    <row r="51" outlineLevel="2" spans="1:7">
      <c r="A51">
        <v>1</v>
      </c>
      <c r="B51" t="s">
        <v>16</v>
      </c>
      <c r="C51" t="s">
        <v>17</v>
      </c>
      <c r="D51" t="s">
        <v>18</v>
      </c>
      <c r="E51">
        <v>86</v>
      </c>
      <c r="F51">
        <v>20.124</v>
      </c>
      <c r="G51">
        <v>11</v>
      </c>
    </row>
    <row r="52" outlineLevel="2" spans="1:7">
      <c r="A52">
        <v>1</v>
      </c>
      <c r="B52" t="s">
        <v>20</v>
      </c>
      <c r="C52" t="s">
        <v>17</v>
      </c>
      <c r="D52" t="s">
        <v>18</v>
      </c>
      <c r="E52">
        <v>89</v>
      </c>
      <c r="F52">
        <v>20.826</v>
      </c>
      <c r="G52">
        <v>10</v>
      </c>
    </row>
    <row r="53" outlineLevel="1" spans="4:6">
      <c r="D53" s="1" t="s">
        <v>37</v>
      </c>
      <c r="F53">
        <f>SUBTOTAL(1,F41:F52)</f>
        <v>16.58125</v>
      </c>
    </row>
    <row r="54" spans="4:6">
      <c r="D54" s="1" t="s">
        <v>38</v>
      </c>
      <c r="F54">
        <f>SUBTOTAL(1,F2:F52)</f>
        <v>14.3251458333333</v>
      </c>
    </row>
  </sheetData>
  <sortState ref="A2:G49">
    <sortCondition ref="D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30" sqref="D30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产品销售情况表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zy</cp:lastModifiedBy>
  <dcterms:created xsi:type="dcterms:W3CDTF">2008-03-08T12:21:00Z</dcterms:created>
  <dcterms:modified xsi:type="dcterms:W3CDTF">2024-01-05T06:00:29Z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C97509A07BFC4652869AF9818383D080_12</vt:lpwstr>
  </property>
  <property fmtid="{D5CDD505-2E9C-101B-9397-08002B2CF9AE}" pid="3" name="KSOProductBuildVer">
    <vt:lpwstr>2052-12.1.0.15712</vt:lpwstr>
  </property>
</Properties>
</file>
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 activeTab="3"/>
  </bookViews>
  <sheets>
    <sheet name="体检表" sheetId="1" r:id="rId1"/>
    <sheet name="体检人信息表" sheetId="2" r:id="rId2"/>
    <sheet name="筛选" sheetId="3" r:id="rId3"/>
    <sheet name="分类汇总" sheetId="4" r:id="rId4"/>
  </sheets>
  <definedNames>
    <definedName name="_xlnm._FilterDatabase" localSheetId="2" hidden="1">筛选!$A$3:$E$68</definedName>
    <definedName name="_xlnm.Criteria" localSheetId="2">筛选!$A$1:$B$2</definedName>
  </definedNames>
  <calcPr calcId="144525"/>
</workbook>
</file>

<file path=xl/sharedStrings.xml><?xml version="1.0" encoding="utf-8"?>
<sst xmlns="http://schemas.openxmlformats.org/spreadsheetml/2006/main" count="355" uniqueCount="144">
  <si>
    <t>姓名</t>
  </si>
  <si>
    <t>出生日期</t>
  </si>
  <si>
    <t>性别</t>
  </si>
  <si>
    <t>身高（厘米）</t>
  </si>
  <si>
    <t>体重（kg）</t>
  </si>
  <si>
    <t>左眼视力</t>
  </si>
  <si>
    <t>右眼视力</t>
  </si>
  <si>
    <t>女生总人数</t>
  </si>
  <si>
    <t>萧建文</t>
  </si>
  <si>
    <t>宋志铭</t>
  </si>
  <si>
    <t>男生总人数</t>
  </si>
  <si>
    <t>王家豪</t>
  </si>
  <si>
    <t>林朝瑜</t>
  </si>
  <si>
    <t>陈柏哲</t>
  </si>
  <si>
    <t>林柏杰</t>
  </si>
  <si>
    <t>林政翰</t>
  </si>
  <si>
    <t>陈宜静</t>
  </si>
  <si>
    <t>陈筱易</t>
  </si>
  <si>
    <t>李伟合</t>
  </si>
  <si>
    <t>郭俊安</t>
  </si>
  <si>
    <t>陈馥卿</t>
  </si>
  <si>
    <t>王雅琪</t>
  </si>
  <si>
    <t>潘芳瑜</t>
  </si>
  <si>
    <t>张博虹</t>
  </si>
  <si>
    <t>赖佳燕</t>
  </si>
  <si>
    <t>萧财容</t>
  </si>
  <si>
    <t>蔡博琇</t>
  </si>
  <si>
    <t>吴睿芝</t>
  </si>
  <si>
    <t>洪瑶恭</t>
  </si>
  <si>
    <t>唐郁新</t>
  </si>
  <si>
    <t>左安琪</t>
  </si>
  <si>
    <t>林建屏</t>
  </si>
  <si>
    <t>张淑峰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</si>
  <si>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</si>
  <si>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</si>
  <si>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</si>
  <si>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</si>
  <si>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</si>
  <si>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</si>
  <si>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</si>
  <si>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</si>
  <si>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</si>
  <si>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</si>
  <si>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</si>
  <si>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</si>
  <si>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</si>
  <si>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</si>
  <si>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</si>
  <si>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</si>
  <si>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</si>
  <si>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</si>
  <si>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</si>
  <si>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</si>
  <si>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</si>
  <si>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</si>
  <si>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</si>
  <si>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</si>
  <si>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</si>
  <si>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</si>
  <si>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</si>
  <si>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</si>
  <si>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</si>
  <si>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</si>
  <si>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</si>
  <si>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</si>
  <si>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</si>
  <si>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</si>
  <si>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</si>
  <si>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</si>
  <si>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</si>
  <si>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</si>
  <si>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</si>
  <si>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</si>
  <si>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</si>
  <si>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身份证号码</t>
  </si>
  <si>
    <t>420101200401051055</t>
  </si>
  <si>
    <t>110102200512191513</t>
  </si>
  <si>
    <t>110102200503292713</t>
  </si>
  <si>
    <t>110102200404271532</t>
  </si>
  <si>
    <t>140302200505240451</t>
  </si>
  <si>
    <t>110102200405281913</t>
  </si>
  <si>
    <t>110103200503040920</t>
  </si>
  <si>
    <t>110103200503270623</t>
  </si>
  <si>
    <t>110103200504290936</t>
  </si>
  <si>
    <t>430103200508171548</t>
  </si>
  <si>
    <t>140104200510261737</t>
  </si>
  <si>
    <t>110104200403051216</t>
  </si>
  <si>
    <t>110105200407142140</t>
  </si>
  <si>
    <t>130105200510054517</t>
  </si>
  <si>
    <t>110105200410212519</t>
  </si>
  <si>
    <t>110105200511111135</t>
  </si>
  <si>
    <t>370105200406036123</t>
  </si>
  <si>
    <t>610106200503293913</t>
  </si>
  <si>
    <t>110106200405133052</t>
  </si>
  <si>
    <t>130106200505174819</t>
  </si>
  <si>
    <t>220106200407250970</t>
  </si>
  <si>
    <t>410107200504230930</t>
  </si>
  <si>
    <t>130108200411063791</t>
  </si>
  <si>
    <t>370108200512284251</t>
  </si>
  <si>
    <t>410108200408013724</t>
  </si>
  <si>
    <t>140108200501295479</t>
  </si>
  <si>
    <t>510109200510240031</t>
  </si>
  <si>
    <t>340109200608070328</t>
  </si>
  <si>
    <t>530111200410014018</t>
  </si>
  <si>
    <t>520111200610042027</t>
  </si>
  <si>
    <t>110111200606163022</t>
  </si>
  <si>
    <t>110221200509293625</t>
  </si>
  <si>
    <t>110221200602048335</t>
  </si>
  <si>
    <t>140223200505060558</t>
  </si>
  <si>
    <t>110223200406235661</t>
  </si>
  <si>
    <t>110223200510136635</t>
  </si>
  <si>
    <t>110223200501116380</t>
  </si>
  <si>
    <t>110224200510234821</t>
  </si>
  <si>
    <t>110224200607042031</t>
  </si>
  <si>
    <t>120224200501280026</t>
  </si>
  <si>
    <t>110226200504111420</t>
  </si>
  <si>
    <t>110226200508090053</t>
  </si>
  <si>
    <t>530226200510021915</t>
  </si>
  <si>
    <t>110226200412221659</t>
  </si>
  <si>
    <t>110226200512240017</t>
  </si>
  <si>
    <t>110227200612061545</t>
  </si>
  <si>
    <t>430227200509040059</t>
  </si>
  <si>
    <t>110229200511140023</t>
  </si>
  <si>
    <t>110229200509011331</t>
  </si>
  <si>
    <t>420229200509060831</t>
  </si>
  <si>
    <t>110112200511263741</t>
  </si>
  <si>
    <t>110630200505210048</t>
  </si>
  <si>
    <t>121182200409163825</t>
  </si>
  <si>
    <t>110404200509074122</t>
  </si>
  <si>
    <t>11040520040531542X</t>
  </si>
  <si>
    <t>110226200406240045</t>
  </si>
  <si>
    <t>110227200512061545</t>
  </si>
  <si>
    <t>430227200609040059</t>
  </si>
  <si>
    <t>110229200411140023</t>
  </si>
  <si>
    <t>110229200609011331</t>
  </si>
  <si>
    <t>420229200409060831</t>
  </si>
  <si>
    <t>110112200611263741</t>
  </si>
  <si>
    <t>110630200605110044</t>
  </si>
  <si>
    <t>121182200509163825</t>
  </si>
  <si>
    <t>530226200412021915</t>
  </si>
  <si>
    <t>&gt;=5.0</t>
  </si>
  <si>
    <t>女 平均值</t>
  </si>
  <si>
    <t>男 平均值</t>
  </si>
  <si>
    <t>总计平均值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</si>
</sst>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sz val="12"/>
      <color theme="1"/>
      <name val="华文楷体"/>
      <charset val="134"/>
    </font>
    <font>
      <b/>
      <sz val="12"/>
      <color theme="1"/>
      <name val="华文楷体"/>
      <charset val="134"/>
    </font>
    <font>
      <sz val="12"/>
      <color theme="1"/>
      <name val="楷体"/>
      <charset val="134"/>
    </font>
    <font>
      <b/>
      <sz val="11"/>
      <color rgb="FF3F3F3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rgb="FFFF0000"/>
      </left>
      <right style="double">
        <color rgb="FF0070C0"/>
      </right>
      <top style="thick">
        <color rgb="FFFF000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thick">
        <color rgb="FFFF0000"/>
      </top>
      <bottom style="double">
        <color rgb="FF0070C0"/>
      </bottom>
      <diagonal/>
    </border>
    <border>
      <left style="double">
        <color rgb="FF0070C0"/>
      </left>
      <right style="thick">
        <color rgb="FFFF0000"/>
      </right>
      <top style="thick">
        <color rgb="FFFF0000"/>
      </top>
      <bottom style="double">
        <color rgb="FF0070C0"/>
      </bottom>
      <diagonal/>
    </border>
    <border>
      <left style="thick">
        <color rgb="FFFF000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thick">
        <color rgb="FFFF0000"/>
      </right>
      <top style="double">
        <color rgb="FF0070C0"/>
      </top>
      <bottom style="double">
        <color rgb="FF0070C0"/>
      </bottom>
      <diagonal/>
    </border>
    <border>
      <left style="thick">
        <color rgb="FFFF0000"/>
      </left>
      <right style="double">
        <color rgb="FF0070C0"/>
      </right>
      <top style="double">
        <color rgb="FF0070C0"/>
      </top>
      <bottom style="thick">
        <color rgb="FFFF000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thick">
        <color rgb="FFFF0000"/>
      </bottom>
      <diagonal/>
    </border>
    <border>
      <left style="double">
        <color rgb="FF0070C0"/>
      </left>
      <right style="thick">
        <color rgb="FFFF0000"/>
      </right>
      <top style="double">
        <color rgb="FF0070C0"/>
      </top>
      <bottom style="thick">
        <color rgb="FFFF000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4" fillId="2" borderId="11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0" fillId="0" borderId="10" xfId="0" applyBorder="1"/>
    <xf numFmtId="176" fontId="0" fillId="0" borderId="10" xfId="0" applyNumberFormat="1" applyBorder="1"/>
    <xf numFmtId="176" fontId="0" fillId="0" borderId="0" xfId="0" applyNumberFormat="1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4" fillId="2" borderId="11" xfId="17" applyAlignmen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view="pageLayout" zoomScale="55" zoomScaleNormal="100" workbookViewId="0">
      <selection activeCell="I6" sqref="I6"/>
    </sheetView>
  </sheetViews>
  <sheetFormatPr defaultColWidth="9" defaultRowHeight="13.5"/>
  <cols>
    <col min="1" max="1" width="7.5" customWidth="1"/>
    <col min="2" max="2" width="16.125" customWidth="1"/>
    <col min="3" max="3" width="5.5" customWidth="1"/>
    <col min="4" max="4" width="13.875" customWidth="1"/>
    <col min="5" max="5" width="11.5" customWidth="1"/>
    <col min="6" max="7" width="9.5" customWidth="1"/>
  </cols>
  <sheetData>
    <row r="1" ht="15.75" spans="1:9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I1" s="27" t="s">
        <v>7</v>
      </c>
    </row>
    <row r="2" ht="15.75" spans="1:9">
      <c r="A2" s="23" t="s">
        <v>8</v>
      </c>
      <c r="B2" s="24" t="str">
        <f>MID(体检人信息表!B2,7,4)&amp;"年"&amp;MID(体检人信息表!B2,11,2)&amp;"月"&amp;MID(体检人信息表!B2,13,2)&amp;"日"</f>
        <v>2004年01月05日</v>
      </c>
      <c r="C2" s="24" t="str">
        <f>IF(MOD(MID(体检人信息表!B2,17,1)/2,1),"男","女")</f>
        <v>男</v>
      </c>
      <c r="D2" s="25">
        <v>181</v>
      </c>
      <c r="E2" s="25">
        <v>70</v>
      </c>
      <c r="F2" s="25">
        <v>5</v>
      </c>
      <c r="G2" s="26">
        <v>5.1</v>
      </c>
      <c r="I2" s="27">
        <f>COUNTIF(C:C,"女")</f>
        <v>28</v>
      </c>
    </row>
    <row r="3" ht="15.75" spans="1:9">
      <c r="A3" s="23" t="s">
        <v>9</v>
      </c>
      <c r="B3" s="24" t="str">
        <f>MID(体检人信息表!B3,7,4)&amp;"年"&amp;MID(体检人信息表!B3,11,2)&amp;"月"&amp;MID(体检人信息表!B3,13,2)&amp;"日"</f>
        <v>2005年12月19日</v>
      </c>
      <c r="C3" s="24" t="str">
        <f>IF(MOD(MID(体检人信息表!B3,17,1)/2,1),"男","女")</f>
        <v>男</v>
      </c>
      <c r="D3" s="25">
        <v>182</v>
      </c>
      <c r="E3" s="25">
        <v>71.3</v>
      </c>
      <c r="F3" s="25">
        <v>4.2</v>
      </c>
      <c r="G3" s="26">
        <v>4.3</v>
      </c>
      <c r="I3" s="27" t="s">
        <v>10</v>
      </c>
    </row>
    <row r="4" ht="15.75" spans="1:9">
      <c r="A4" s="23" t="s">
        <v>11</v>
      </c>
      <c r="B4" s="24" t="str">
        <f>MID(体检人信息表!B4,7,4)&amp;"年"&amp;MID(体检人信息表!B4,11,2)&amp;"月"&amp;MID(体检人信息表!B4,13,2)&amp;"日"</f>
        <v>2005年03月29日</v>
      </c>
      <c r="C4" s="24" t="str">
        <f>IF(MOD(MID(体检人信息表!B4,17,1)/2,1),"男","女")</f>
        <v>男</v>
      </c>
      <c r="D4" s="25">
        <v>171</v>
      </c>
      <c r="E4" s="25">
        <v>75</v>
      </c>
      <c r="F4" s="25">
        <v>5</v>
      </c>
      <c r="G4" s="26">
        <v>5</v>
      </c>
      <c r="I4" s="27">
        <f>COUNTIF(C:C,"男")</f>
        <v>37</v>
      </c>
    </row>
    <row r="5" ht="15.75" spans="1:7">
      <c r="A5" s="23" t="s">
        <v>12</v>
      </c>
      <c r="B5" s="24" t="str">
        <f>MID(体检人信息表!B5,7,4)&amp;"年"&amp;MID(体检人信息表!B5,11,2)&amp;"月"&amp;MID(体检人信息表!B5,13,2)&amp;"日"</f>
        <v>2004年04月27日</v>
      </c>
      <c r="C5" s="24" t="str">
        <f>IF(MOD(MID(体检人信息表!B5,17,1)/2,1),"男","女")</f>
        <v>男</v>
      </c>
      <c r="D5" s="25">
        <v>165</v>
      </c>
      <c r="E5" s="25">
        <v>60</v>
      </c>
      <c r="F5" s="25">
        <v>4.4</v>
      </c>
      <c r="G5" s="26">
        <v>4.5</v>
      </c>
    </row>
    <row r="6" ht="15.75" spans="1:7">
      <c r="A6" s="23" t="s">
        <v>13</v>
      </c>
      <c r="B6" s="24" t="str">
        <f>MID(体检人信息表!B6,7,4)&amp;"年"&amp;MID(体检人信息表!B6,11,2)&amp;"月"&amp;MID(体检人信息表!B6,13,2)&amp;"日"</f>
        <v>2005年05月24日</v>
      </c>
      <c r="C6" s="24" t="str">
        <f>IF(MOD(MID(体检人信息表!B6,17,1)/2,1),"男","女")</f>
        <v>男</v>
      </c>
      <c r="D6" s="25">
        <v>182</v>
      </c>
      <c r="E6" s="25">
        <v>71.3</v>
      </c>
      <c r="F6" s="25">
        <v>4.7</v>
      </c>
      <c r="G6" s="26">
        <v>4.7</v>
      </c>
    </row>
    <row r="7" ht="15.75" spans="1:7">
      <c r="A7" s="23" t="s">
        <v>14</v>
      </c>
      <c r="B7" s="24" t="str">
        <f>MID(体检人信息表!B7,7,4)&amp;"年"&amp;MID(体检人信息表!B7,11,2)&amp;"月"&amp;MID(体检人信息表!B7,13,2)&amp;"日"</f>
        <v>2004年05月28日</v>
      </c>
      <c r="C7" s="24" t="str">
        <f>IF(MOD(MID(体检人信息表!B7,17,1)/2,1),"男","女")</f>
        <v>男</v>
      </c>
      <c r="D7" s="25">
        <v>180</v>
      </c>
      <c r="E7" s="25">
        <v>70.6</v>
      </c>
      <c r="F7" s="25">
        <v>4.8</v>
      </c>
      <c r="G7" s="26">
        <v>4.9</v>
      </c>
    </row>
    <row r="8" ht="15.75" spans="1:7">
      <c r="A8" s="23" t="s">
        <v>15</v>
      </c>
      <c r="B8" s="24" t="str">
        <f>MID(体检人信息表!B8,7,4)&amp;"年"&amp;MID(体检人信息表!B8,11,2)&amp;"月"&amp;MID(体检人信息表!B8,13,2)&amp;"日"</f>
        <v>2005年03月04日</v>
      </c>
      <c r="C8" s="24" t="str">
        <f>IF(MOD(MID(体检人信息表!B8,17,1)/2,1),"男","女")</f>
        <v>女</v>
      </c>
      <c r="D8" s="25">
        <v>178</v>
      </c>
      <c r="E8" s="25">
        <v>79</v>
      </c>
      <c r="F8" s="25">
        <v>5</v>
      </c>
      <c r="G8" s="26">
        <v>5</v>
      </c>
    </row>
    <row r="9" ht="15.75" spans="1:7">
      <c r="A9" s="23" t="s">
        <v>16</v>
      </c>
      <c r="B9" s="24" t="str">
        <f>MID(体检人信息表!B9,7,4)&amp;"年"&amp;MID(体检人信息表!B9,11,2)&amp;"月"&amp;MID(体检人信息表!B9,13,2)&amp;"日"</f>
        <v>2005年03月27日</v>
      </c>
      <c r="C9" s="24" t="str">
        <f>IF(MOD(MID(体检人信息表!B9,17,1)/2,1),"男","女")</f>
        <v>女</v>
      </c>
      <c r="D9" s="25">
        <v>164</v>
      </c>
      <c r="E9" s="25">
        <v>65</v>
      </c>
      <c r="F9" s="25">
        <v>5.1</v>
      </c>
      <c r="G9" s="26">
        <v>5.1</v>
      </c>
    </row>
    <row r="10" ht="15.75" spans="1:7">
      <c r="A10" s="23" t="s">
        <v>17</v>
      </c>
      <c r="B10" s="24" t="str">
        <f>MID(体检人信息表!B10,7,4)&amp;"年"&amp;MID(体检人信息表!B10,11,2)&amp;"月"&amp;MID(体检人信息表!B10,13,2)&amp;"日"</f>
        <v>2005年04月29日</v>
      </c>
      <c r="C10" s="24" t="str">
        <f>IF(MOD(MID(体检人信息表!B10,17,1)/2,1),"男","女")</f>
        <v>男</v>
      </c>
      <c r="D10" s="25">
        <v>176</v>
      </c>
      <c r="E10" s="25">
        <v>78</v>
      </c>
      <c r="F10" s="25">
        <v>5</v>
      </c>
      <c r="G10" s="26">
        <v>5</v>
      </c>
    </row>
    <row r="11" ht="15.75" spans="1:7">
      <c r="A11" s="23" t="s">
        <v>18</v>
      </c>
      <c r="B11" s="24" t="str">
        <f>MID(体检人信息表!B11,7,4)&amp;"年"&amp;MID(体检人信息表!B11,11,2)&amp;"月"&amp;MID(体检人信息表!B11,13,2)&amp;"日"</f>
        <v>2005年08月17日</v>
      </c>
      <c r="C11" s="24" t="str">
        <f>IF(MOD(MID(体检人信息表!B11,17,1)/2,1),"男","女")</f>
        <v>女</v>
      </c>
      <c r="D11" s="25">
        <v>179</v>
      </c>
      <c r="E11" s="25">
        <v>71.6</v>
      </c>
      <c r="F11" s="25">
        <v>5.1</v>
      </c>
      <c r="G11" s="26">
        <v>5.1</v>
      </c>
    </row>
    <row r="12" ht="15.75" spans="1:7">
      <c r="A12" s="23" t="s">
        <v>19</v>
      </c>
      <c r="B12" s="24" t="str">
        <f>MID(体检人信息表!B12,7,4)&amp;"年"&amp;MID(体检人信息表!B12,11,2)&amp;"月"&amp;MID(体检人信息表!B12,13,2)&amp;"日"</f>
        <v>2005年10月26日</v>
      </c>
      <c r="C12" s="24" t="str">
        <f>IF(MOD(MID(体检人信息表!B12,17,1)/2,1),"男","女")</f>
        <v>男</v>
      </c>
      <c r="D12" s="25">
        <v>183</v>
      </c>
      <c r="E12" s="25">
        <v>78</v>
      </c>
      <c r="F12" s="25">
        <v>5</v>
      </c>
      <c r="G12" s="26">
        <v>4.9</v>
      </c>
    </row>
    <row r="13" ht="15.75" spans="1:7">
      <c r="A13" s="23" t="s">
        <v>20</v>
      </c>
      <c r="B13" s="24" t="str">
        <f>MID(体检人信息表!B13,7,4)&amp;"年"&amp;MID(体检人信息表!B13,11,2)&amp;"月"&amp;MID(体检人信息表!B13,13,2)&amp;"日"</f>
        <v>2004年03月05日</v>
      </c>
      <c r="C13" s="24" t="str">
        <f>IF(MOD(MID(体检人信息表!B13,17,1)/2,1),"男","女")</f>
        <v>男</v>
      </c>
      <c r="D13" s="25">
        <v>188</v>
      </c>
      <c r="E13" s="25">
        <v>79</v>
      </c>
      <c r="F13" s="25">
        <v>5</v>
      </c>
      <c r="G13" s="26">
        <v>5.1</v>
      </c>
    </row>
    <row r="14" ht="15.75" spans="1:7">
      <c r="A14" s="23" t="s">
        <v>21</v>
      </c>
      <c r="B14" s="24" t="str">
        <f>MID(体检人信息表!B14,7,4)&amp;"年"&amp;MID(体检人信息表!B14,11,2)&amp;"月"&amp;MID(体检人信息表!B14,13,2)&amp;"日"</f>
        <v>2004年07月14日</v>
      </c>
      <c r="C14" s="24" t="str">
        <f>IF(MOD(MID(体检人信息表!B14,17,1)/2,1),"男","女")</f>
        <v>女</v>
      </c>
      <c r="D14" s="25">
        <v>171</v>
      </c>
      <c r="E14" s="25">
        <v>60</v>
      </c>
      <c r="F14" s="25">
        <v>4.4</v>
      </c>
      <c r="G14" s="26">
        <v>4.5</v>
      </c>
    </row>
    <row r="15" ht="15.75" spans="1:7">
      <c r="A15" s="23" t="s">
        <v>22</v>
      </c>
      <c r="B15" s="24" t="str">
        <f>MID(体检人信息表!B15,7,4)&amp;"年"&amp;MID(体检人信息表!B15,11,2)&amp;"月"&amp;MID(体检人信息表!B15,13,2)&amp;"日"</f>
        <v>2005年10月05日</v>
      </c>
      <c r="C15" s="24" t="str">
        <f>IF(MOD(MID(体检人信息表!B15,17,1)/2,1),"男","女")</f>
        <v>男</v>
      </c>
      <c r="D15" s="25">
        <v>174</v>
      </c>
      <c r="E15" s="25">
        <v>75</v>
      </c>
      <c r="F15" s="25">
        <v>4.7</v>
      </c>
      <c r="G15" s="26">
        <v>4.7</v>
      </c>
    </row>
    <row r="16" ht="15.75" spans="1:7">
      <c r="A16" s="23" t="s">
        <v>23</v>
      </c>
      <c r="B16" s="24" t="str">
        <f>MID(体检人信息表!B16,7,4)&amp;"年"&amp;MID(体检人信息表!B16,11,2)&amp;"月"&amp;MID(体检人信息表!B16,13,2)&amp;"日"</f>
        <v>2004年10月21日</v>
      </c>
      <c r="C16" s="24" t="str">
        <f>IF(MOD(MID(体检人信息表!B16,17,1)/2,1),"男","女")</f>
        <v>男</v>
      </c>
      <c r="D16" s="25">
        <v>167</v>
      </c>
      <c r="E16" s="25">
        <v>68</v>
      </c>
      <c r="F16" s="25">
        <v>4.8</v>
      </c>
      <c r="G16" s="26">
        <v>4.9</v>
      </c>
    </row>
    <row r="17" ht="15.75" spans="1:7">
      <c r="A17" s="23" t="s">
        <v>24</v>
      </c>
      <c r="B17" s="24" t="str">
        <f>MID(体检人信息表!B17,7,4)&amp;"年"&amp;MID(体检人信息表!B17,11,2)&amp;"月"&amp;MID(体检人信息表!B17,13,2)&amp;"日"</f>
        <v>2005年11月11日</v>
      </c>
      <c r="C17" s="24" t="str">
        <f>IF(MOD(MID(体检人信息表!B17,17,1)/2,1),"男","女")</f>
        <v>男</v>
      </c>
      <c r="D17" s="25">
        <v>167</v>
      </c>
      <c r="E17" s="25">
        <v>60</v>
      </c>
      <c r="F17" s="25">
        <v>5</v>
      </c>
      <c r="G17" s="26">
        <v>5</v>
      </c>
    </row>
    <row r="18" ht="15.75" spans="1:7">
      <c r="A18" s="23" t="s">
        <v>25</v>
      </c>
      <c r="B18" s="24" t="str">
        <f>MID(体检人信息表!B18,7,4)&amp;"年"&amp;MID(体检人信息表!B18,11,2)&amp;"月"&amp;MID(体检人信息表!B18,13,2)&amp;"日"</f>
        <v>2004年06月03日</v>
      </c>
      <c r="C18" s="24" t="str">
        <f>IF(MOD(MID(体检人信息表!B18,17,1)/2,1),"男","女")</f>
        <v>女</v>
      </c>
      <c r="D18" s="25">
        <v>187</v>
      </c>
      <c r="E18" s="25">
        <v>74</v>
      </c>
      <c r="F18" s="25">
        <v>5.1</v>
      </c>
      <c r="G18" s="26">
        <v>5.1</v>
      </c>
    </row>
    <row r="19" ht="15.75" spans="1:7">
      <c r="A19" s="23" t="s">
        <v>26</v>
      </c>
      <c r="B19" s="24" t="str">
        <f>MID(体检人信息表!B19,7,4)&amp;"年"&amp;MID(体检人信息表!B19,11,2)&amp;"月"&amp;MID(体检人信息表!B19,13,2)&amp;"日"</f>
        <v>2005年03月29日</v>
      </c>
      <c r="C19" s="24" t="str">
        <f>IF(MOD(MID(体检人信息表!B19,17,1)/2,1),"男","女")</f>
        <v>男</v>
      </c>
      <c r="D19" s="25">
        <v>168</v>
      </c>
      <c r="E19" s="25">
        <v>74</v>
      </c>
      <c r="F19" s="25">
        <v>5</v>
      </c>
      <c r="G19" s="26">
        <v>5</v>
      </c>
    </row>
    <row r="20" ht="15.75" spans="1:7">
      <c r="A20" s="23" t="s">
        <v>27</v>
      </c>
      <c r="B20" s="24" t="str">
        <f>MID(体检人信息表!B20,7,4)&amp;"年"&amp;MID(体检人信息表!B20,11,2)&amp;"月"&amp;MID(体检人信息表!B20,13,2)&amp;"日"</f>
        <v>2004年05月13日</v>
      </c>
      <c r="C20" s="24" t="str">
        <f>IF(MOD(MID(体检人信息表!B20,17,1)/2,1),"男","女")</f>
        <v>男</v>
      </c>
      <c r="D20" s="25">
        <v>181</v>
      </c>
      <c r="E20" s="25">
        <v>76</v>
      </c>
      <c r="F20" s="25">
        <v>5.1</v>
      </c>
      <c r="G20" s="26">
        <v>5.1</v>
      </c>
    </row>
    <row r="21" ht="15.75" spans="1:7">
      <c r="A21" s="23" t="s">
        <v>28</v>
      </c>
      <c r="B21" s="24" t="str">
        <f>MID(体检人信息表!B21,7,4)&amp;"年"&amp;MID(体检人信息表!B21,11,2)&amp;"月"&amp;MID(体检人信息表!B21,13,2)&amp;"日"</f>
        <v>2005年05月17日</v>
      </c>
      <c r="C21" s="24" t="str">
        <f>IF(MOD(MID(体检人信息表!B21,17,1)/2,1),"男","女")</f>
        <v>男</v>
      </c>
      <c r="D21" s="25">
        <v>182</v>
      </c>
      <c r="E21" s="25">
        <v>70</v>
      </c>
      <c r="F21" s="25">
        <v>5</v>
      </c>
      <c r="G21" s="26">
        <v>4.9</v>
      </c>
    </row>
    <row r="22" ht="15.75" spans="1:7">
      <c r="A22" s="23" t="s">
        <v>29</v>
      </c>
      <c r="B22" s="24" t="str">
        <f>MID(体检人信息表!B22,7,4)&amp;"年"&amp;MID(体检人信息表!B22,11,2)&amp;"月"&amp;MID(体检人信息表!B22,13,2)&amp;"日"</f>
        <v>2004年07月25日</v>
      </c>
      <c r="C22" s="24" t="str">
        <f>IF(MOD(MID(体检人信息表!B22,17,1)/2,1),"男","女")</f>
        <v>男</v>
      </c>
      <c r="D22" s="25">
        <v>175</v>
      </c>
      <c r="E22" s="25">
        <v>65</v>
      </c>
      <c r="F22" s="25">
        <v>5</v>
      </c>
      <c r="G22" s="26">
        <v>5.1</v>
      </c>
    </row>
    <row r="23" ht="15.75" spans="1:7">
      <c r="A23" s="23" t="s">
        <v>30</v>
      </c>
      <c r="B23" s="24" t="str">
        <f>MID(体检人信息表!B23,7,4)&amp;"年"&amp;MID(体检人信息表!B23,11,2)&amp;"月"&amp;MID(体检人信息表!B23,13,2)&amp;"日"</f>
        <v>2005年04月23日</v>
      </c>
      <c r="C23" s="24" t="str">
        <f>IF(MOD(MID(体检人信息表!B23,17,1)/2,1),"男","女")</f>
        <v>男</v>
      </c>
      <c r="D23" s="25">
        <v>156</v>
      </c>
      <c r="E23" s="25">
        <v>48</v>
      </c>
      <c r="F23" s="25">
        <v>5</v>
      </c>
      <c r="G23" s="26">
        <v>5</v>
      </c>
    </row>
    <row r="24" ht="15.75" spans="1:7">
      <c r="A24" s="23" t="s">
        <v>31</v>
      </c>
      <c r="B24" s="24" t="str">
        <f>MID(体检人信息表!B24,7,4)&amp;"年"&amp;MID(体检人信息表!B24,11,2)&amp;"月"&amp;MID(体检人信息表!B24,13,2)&amp;"日"</f>
        <v>2004年11月06日</v>
      </c>
      <c r="C24" s="24" t="str">
        <f>IF(MOD(MID(体检人信息表!B24,17,1)/2,1),"男","女")</f>
        <v>男</v>
      </c>
      <c r="D24" s="25">
        <v>175</v>
      </c>
      <c r="E24" s="25">
        <v>50</v>
      </c>
      <c r="F24" s="25">
        <v>5.1</v>
      </c>
      <c r="G24" s="26">
        <v>5.1</v>
      </c>
    </row>
    <row r="25" ht="15.75" spans="1:7">
      <c r="A25" s="23" t="s">
        <v>32</v>
      </c>
      <c r="B25" s="24" t="str">
        <f>MID(体检人信息表!B25,7,4)&amp;"年"&amp;MID(体检人信息表!B25,11,2)&amp;"月"&amp;MID(体检人信息表!B25,13,2)&amp;"日"</f>
        <v>2005年12月28日</v>
      </c>
      <c r="C25" s="24" t="str">
        <f>IF(MOD(MID(体检人信息表!B25,17,1)/2,1),"男","女")</f>
        <v>男</v>
      </c>
      <c r="D25" s="25">
        <v>174</v>
      </c>
      <c r="E25" s="25">
        <v>59</v>
      </c>
      <c r="F25" s="25">
        <v>5</v>
      </c>
      <c r="G25" s="26">
        <v>5</v>
      </c>
    </row>
    <row r="26" ht="15.75" spans="1:7">
      <c r="A26" s="23" t="s">
        <v>33</v>
      </c>
      <c r="B26" s="24" t="str">
        <f>MID(体检人信息表!B26,7,4)&amp;"年"&amp;MID(体检人信息表!B26,11,2)&amp;"月"&amp;MID(体检人信息表!B26,13,2)&amp;"日"</f>
        <v>2004年08月01日</v>
      </c>
      <c r="C26" s="24" t="str">
        <f>IF(MOD(MID(体检人信息表!B26,17,1)/2,1),"男","女")</f>
        <v>女</v>
      </c>
      <c r="D26" s="25">
        <v>161</v>
      </c>
      <c r="E26" s="25">
        <v>50</v>
      </c>
      <c r="F26" s="25">
        <v>5.1</v>
      </c>
      <c r="G26" s="26">
        <v>5.1</v>
      </c>
    </row>
    <row r="27" ht="15.75" spans="1:7">
      <c r="A27" s="23" t="s">
        <v>34</v>
      </c>
      <c r="B27" s="24" t="str">
        <f>MID(体检人信息表!B27,7,4)&amp;"年"&amp;MID(体检人信息表!B27,11,2)&amp;"月"&amp;MID(体检人信息表!B27,13,2)&amp;"日"</f>
        <v>2005年01月29日</v>
      </c>
      <c r="C27" s="24" t="str">
        <f>IF(MOD(MID(体检人信息表!B27,17,1)/2,1),"男","女")</f>
        <v>男</v>
      </c>
      <c r="D27" s="25">
        <v>160</v>
      </c>
      <c r="E27" s="25">
        <v>49</v>
      </c>
      <c r="F27" s="25">
        <v>4.9</v>
      </c>
      <c r="G27" s="26">
        <v>4.9</v>
      </c>
    </row>
    <row r="28" ht="15.75" spans="1:7">
      <c r="A28" s="23" t="s">
        <v>35</v>
      </c>
      <c r="B28" s="24" t="str">
        <f>MID(体检人信息表!B28,7,4)&amp;"年"&amp;MID(体检人信息表!B28,11,2)&amp;"月"&amp;MID(体检人信息表!B28,13,2)&amp;"日"</f>
        <v>2005年10月24日</v>
      </c>
      <c r="C28" s="24" t="str">
        <f>IF(MOD(MID(体检人信息表!B28,17,1)/2,1),"男","女")</f>
        <v>男</v>
      </c>
      <c r="D28" s="25">
        <v>171</v>
      </c>
      <c r="E28" s="25">
        <v>60</v>
      </c>
      <c r="F28" s="25">
        <v>4.5</v>
      </c>
      <c r="G28" s="26">
        <v>4.5</v>
      </c>
    </row>
    <row r="29" ht="15.75" spans="1:7">
      <c r="A29" s="23" t="s">
        <v>36</v>
      </c>
      <c r="B29" s="24" t="str">
        <f>MID(体检人信息表!B29,7,4)&amp;"年"&amp;MID(体检人信息表!B29,11,2)&amp;"月"&amp;MID(体检人信息表!B29,13,2)&amp;"日"</f>
        <v>2006年08月07日</v>
      </c>
      <c r="C29" s="24" t="str">
        <f>IF(MOD(MID(体检人信息表!B29,17,1)/2,1),"男","女")</f>
        <v>女</v>
      </c>
      <c r="D29" s="25">
        <v>170</v>
      </c>
      <c r="E29" s="25">
        <v>61</v>
      </c>
      <c r="F29" s="25">
        <v>4.4</v>
      </c>
      <c r="G29" s="26">
        <v>4.5</v>
      </c>
    </row>
    <row r="30" ht="15.75" spans="1:7">
      <c r="A30" s="23" t="s">
        <v>37</v>
      </c>
      <c r="B30" s="24" t="str">
        <f>MID(体检人信息表!B30,7,4)&amp;"年"&amp;MID(体检人信息表!B30,11,2)&amp;"月"&amp;MID(体检人信息表!B30,13,2)&amp;"日"</f>
        <v>2004年10月01日</v>
      </c>
      <c r="C30" s="24" t="str">
        <f>IF(MOD(MID(体检人信息表!B30,17,1)/2,1),"男","女")</f>
        <v>男</v>
      </c>
      <c r="D30" s="25">
        <v>180</v>
      </c>
      <c r="E30" s="25">
        <v>71.5</v>
      </c>
      <c r="F30" s="25">
        <v>4.7</v>
      </c>
      <c r="G30" s="26">
        <v>4.7</v>
      </c>
    </row>
    <row r="31" ht="15.75" spans="1:7">
      <c r="A31" s="23" t="s">
        <v>38</v>
      </c>
      <c r="B31" s="24" t="str">
        <f>MID(体检人信息表!B31,7,4)&amp;"年"&amp;MID(体检人信息表!B31,11,2)&amp;"月"&amp;MID(体检人信息表!B31,13,2)&amp;"日"</f>
        <v>2006年10月04日</v>
      </c>
      <c r="C31" s="24" t="str">
        <f>IF(MOD(MID(体检人信息表!B31,17,1)/2,1),"男","女")</f>
        <v>女</v>
      </c>
      <c r="D31" s="25">
        <v>181</v>
      </c>
      <c r="E31" s="25">
        <v>71.3</v>
      </c>
      <c r="F31" s="25">
        <v>4.8</v>
      </c>
      <c r="G31" s="26">
        <v>4.9</v>
      </c>
    </row>
    <row r="32" ht="15.75" spans="1:7">
      <c r="A32" s="23" t="s">
        <v>39</v>
      </c>
      <c r="B32" s="24" t="str">
        <f>MID(体检人信息表!B32,7,4)&amp;"年"&amp;MID(体检人信息表!B32,11,2)&amp;"月"&amp;MID(体检人信息表!B32,13,2)&amp;"日"</f>
        <v>2006年06月16日</v>
      </c>
      <c r="C32" s="24" t="str">
        <f>IF(MOD(MID(体检人信息表!B32,17,1)/2,1),"男","女")</f>
        <v>女</v>
      </c>
      <c r="D32" s="25">
        <v>182</v>
      </c>
      <c r="E32" s="25">
        <v>70.6</v>
      </c>
      <c r="F32" s="25">
        <v>5</v>
      </c>
      <c r="G32" s="26">
        <v>5</v>
      </c>
    </row>
    <row r="33" ht="15.75" spans="1:7">
      <c r="A33" s="23" t="s">
        <v>40</v>
      </c>
      <c r="B33" s="24" t="str">
        <f>MID(体检人信息表!B33,7,4)&amp;"年"&amp;MID(体检人信息表!B33,11,2)&amp;"月"&amp;MID(体检人信息表!B33,13,2)&amp;"日"</f>
        <v>2005年09月29日</v>
      </c>
      <c r="C33" s="24" t="str">
        <f>IF(MOD(MID(体检人信息表!B33,17,1)/2,1),"男","女")</f>
        <v>女</v>
      </c>
      <c r="D33" s="25">
        <v>181</v>
      </c>
      <c r="E33" s="25">
        <v>72.6</v>
      </c>
      <c r="F33" s="25">
        <v>4.4</v>
      </c>
      <c r="G33" s="26">
        <v>4.5</v>
      </c>
    </row>
    <row r="34" ht="15.75" spans="1:7">
      <c r="A34" s="23" t="s">
        <v>41</v>
      </c>
      <c r="B34" s="24" t="str">
        <f>MID(体检人信息表!B34,7,4)&amp;"年"&amp;MID(体检人信息表!B34,11,2)&amp;"月"&amp;MID(体检人信息表!B34,13,2)&amp;"日"</f>
        <v>2006年02月04日</v>
      </c>
      <c r="C34" s="24" t="str">
        <f>IF(MOD(MID(体检人信息表!B34,17,1)/2,1),"男","女")</f>
        <v>男</v>
      </c>
      <c r="D34" s="25">
        <v>183</v>
      </c>
      <c r="E34" s="25">
        <v>69.3</v>
      </c>
      <c r="F34" s="25">
        <v>4.7</v>
      </c>
      <c r="G34" s="26">
        <v>4.7</v>
      </c>
    </row>
    <row r="35" ht="15.75" spans="1:7">
      <c r="A35" s="23" t="s">
        <v>42</v>
      </c>
      <c r="B35" s="24" t="str">
        <f>MID(体检人信息表!B35,7,4)&amp;"年"&amp;MID(体检人信息表!B35,11,2)&amp;"月"&amp;MID(体检人信息表!B35,13,2)&amp;"日"</f>
        <v>2005年05月06日</v>
      </c>
      <c r="C35" s="24" t="str">
        <f>IF(MOD(MID(体检人信息表!B35,17,1)/2,1),"男","女")</f>
        <v>男</v>
      </c>
      <c r="D35" s="25">
        <v>165</v>
      </c>
      <c r="E35" s="25">
        <v>58</v>
      </c>
      <c r="F35" s="25">
        <v>4.8</v>
      </c>
      <c r="G35" s="26">
        <v>4.9</v>
      </c>
    </row>
    <row r="36" ht="15.75" spans="1:7">
      <c r="A36" s="23" t="s">
        <v>43</v>
      </c>
      <c r="B36" s="24" t="str">
        <f>MID(体检人信息表!B36,7,4)&amp;"年"&amp;MID(体检人信息表!B36,11,2)&amp;"月"&amp;MID(体检人信息表!B36,13,2)&amp;"日"</f>
        <v>2004年06月23日</v>
      </c>
      <c r="C36" s="24" t="str">
        <f>IF(MOD(MID(体检人信息表!B36,17,1)/2,1),"男","女")</f>
        <v>女</v>
      </c>
      <c r="D36" s="25">
        <v>162</v>
      </c>
      <c r="E36" s="25">
        <v>45</v>
      </c>
      <c r="F36" s="25">
        <v>5.1</v>
      </c>
      <c r="G36" s="26">
        <v>5.1</v>
      </c>
    </row>
    <row r="37" ht="15.75" spans="1:7">
      <c r="A37" s="23" t="s">
        <v>44</v>
      </c>
      <c r="B37" s="24" t="str">
        <f>MID(体检人信息表!B37,7,4)&amp;"年"&amp;MID(体检人信息表!B37,11,2)&amp;"月"&amp;MID(体检人信息表!B37,13,2)&amp;"日"</f>
        <v>2005年10月13日</v>
      </c>
      <c r="C37" s="24" t="str">
        <f>IF(MOD(MID(体检人信息表!B37,17,1)/2,1),"男","女")</f>
        <v>男</v>
      </c>
      <c r="D37" s="25">
        <v>166</v>
      </c>
      <c r="E37" s="25">
        <v>48</v>
      </c>
      <c r="F37" s="25">
        <v>5</v>
      </c>
      <c r="G37" s="26">
        <v>4.9</v>
      </c>
    </row>
    <row r="38" ht="15.75" spans="1:7">
      <c r="A38" s="23" t="s">
        <v>45</v>
      </c>
      <c r="B38" s="24" t="str">
        <f>MID(体检人信息表!B38,7,4)&amp;"年"&amp;MID(体检人信息表!B38,11,2)&amp;"月"&amp;MID(体检人信息表!B38,13,2)&amp;"日"</f>
        <v>2005年01月11日</v>
      </c>
      <c r="C38" s="24" t="str">
        <f>IF(MOD(MID(体检人信息表!B38,17,1)/2,1),"男","女")</f>
        <v>女</v>
      </c>
      <c r="D38" s="25">
        <v>174</v>
      </c>
      <c r="E38" s="25">
        <v>51.3</v>
      </c>
      <c r="F38" s="25">
        <v>5</v>
      </c>
      <c r="G38" s="26">
        <v>5.1</v>
      </c>
    </row>
    <row r="39" ht="15.75" spans="1:7">
      <c r="A39" s="23" t="s">
        <v>46</v>
      </c>
      <c r="B39" s="24" t="str">
        <f>MID(体检人信息表!B39,7,4)&amp;"年"&amp;MID(体检人信息表!B39,11,2)&amp;"月"&amp;MID(体检人信息表!B39,13,2)&amp;"日"</f>
        <v>2005年10月23日</v>
      </c>
      <c r="C39" s="24" t="str">
        <f>IF(MOD(MID(体检人信息表!B39,17,1)/2,1),"男","女")</f>
        <v>女</v>
      </c>
      <c r="D39" s="25">
        <v>158</v>
      </c>
      <c r="E39" s="25">
        <v>52.6</v>
      </c>
      <c r="F39" s="25">
        <v>5</v>
      </c>
      <c r="G39" s="26">
        <v>5</v>
      </c>
    </row>
    <row r="40" ht="15.75" spans="1:7">
      <c r="A40" s="23" t="s">
        <v>47</v>
      </c>
      <c r="B40" s="24" t="str">
        <f>MID(体检人信息表!B40,7,4)&amp;"年"&amp;MID(体检人信息表!B40,11,2)&amp;"月"&amp;MID(体检人信息表!B40,13,2)&amp;"日"</f>
        <v>2006年07月04日</v>
      </c>
      <c r="C40" s="24" t="str">
        <f>IF(MOD(MID(体检人信息表!B40,17,1)/2,1),"男","女")</f>
        <v>男</v>
      </c>
      <c r="D40" s="25">
        <v>174</v>
      </c>
      <c r="E40" s="25">
        <v>64</v>
      </c>
      <c r="F40" s="25">
        <v>5.1</v>
      </c>
      <c r="G40" s="26">
        <v>5.1</v>
      </c>
    </row>
    <row r="41" ht="15.75" spans="1:7">
      <c r="A41" s="23" t="s">
        <v>48</v>
      </c>
      <c r="B41" s="24" t="str">
        <f>MID(体检人信息表!B41,7,4)&amp;"年"&amp;MID(体检人信息表!B41,11,2)&amp;"月"&amp;MID(体检人信息表!B41,13,2)&amp;"日"</f>
        <v>2005年01月28日</v>
      </c>
      <c r="C41" s="24" t="str">
        <f>IF(MOD(MID(体检人信息表!B41,17,1)/2,1),"男","女")</f>
        <v>女</v>
      </c>
      <c r="D41" s="25">
        <v>166</v>
      </c>
      <c r="E41" s="25">
        <v>54</v>
      </c>
      <c r="F41" s="25">
        <v>5</v>
      </c>
      <c r="G41" s="26">
        <v>5</v>
      </c>
    </row>
    <row r="42" ht="15.75" spans="1:7">
      <c r="A42" s="23" t="s">
        <v>49</v>
      </c>
      <c r="B42" s="24" t="str">
        <f>MID(体检人信息表!B42,7,4)&amp;"年"&amp;MID(体检人信息表!B42,11,2)&amp;"月"&amp;MID(体检人信息表!B42,13,2)&amp;"日"</f>
        <v>2005年04月11日</v>
      </c>
      <c r="C42" s="24" t="str">
        <f>IF(MOD(MID(体检人信息表!B42,17,1)/2,1),"男","女")</f>
        <v>女</v>
      </c>
      <c r="D42" s="25">
        <v>180</v>
      </c>
      <c r="E42" s="25">
        <v>74</v>
      </c>
      <c r="F42" s="25">
        <v>5.1</v>
      </c>
      <c r="G42" s="26">
        <v>5.1</v>
      </c>
    </row>
    <row r="43" ht="15.75" spans="1:7">
      <c r="A43" s="23" t="s">
        <v>50</v>
      </c>
      <c r="B43" s="24" t="str">
        <f>MID(体检人信息表!B43,7,4)&amp;"年"&amp;MID(体检人信息表!B43,11,2)&amp;"月"&amp;MID(体检人信息表!B43,13,2)&amp;"日"</f>
        <v>2005年08月09日</v>
      </c>
      <c r="C43" s="24" t="str">
        <f>IF(MOD(MID(体检人信息表!B43,17,1)/2,1),"男","女")</f>
        <v>男</v>
      </c>
      <c r="D43" s="25">
        <v>178</v>
      </c>
      <c r="E43" s="25">
        <v>69</v>
      </c>
      <c r="F43" s="25">
        <v>4.9</v>
      </c>
      <c r="G43" s="26">
        <v>4.9</v>
      </c>
    </row>
    <row r="44" ht="15.75" spans="1:7">
      <c r="A44" s="23" t="s">
        <v>51</v>
      </c>
      <c r="B44" s="24" t="str">
        <f>MID(体检人信息表!B44,7,4)&amp;"年"&amp;MID(体检人信息表!B44,11,2)&amp;"月"&amp;MID(体检人信息表!B44,13,2)&amp;"日"</f>
        <v>2005年10月02日</v>
      </c>
      <c r="C44" s="24" t="str">
        <f>IF(MOD(MID(体检人信息表!B44,17,1)/2,1),"男","女")</f>
        <v>男</v>
      </c>
      <c r="D44" s="25">
        <v>179</v>
      </c>
      <c r="E44" s="25">
        <v>58.6</v>
      </c>
      <c r="F44" s="25">
        <v>4.5</v>
      </c>
      <c r="G44" s="26">
        <v>4.5</v>
      </c>
    </row>
    <row r="45" ht="15.75" spans="1:7">
      <c r="A45" s="23" t="s">
        <v>52</v>
      </c>
      <c r="B45" s="24" t="str">
        <f>MID(体检人信息表!B45,7,4)&amp;"年"&amp;MID(体检人信息表!B45,11,2)&amp;"月"&amp;MID(体检人信息表!B45,13,2)&amp;"日"</f>
        <v>2004年12月22日</v>
      </c>
      <c r="C45" s="24" t="str">
        <f>IF(MOD(MID(体检人信息表!B45,17,1)/2,1),"男","女")</f>
        <v>男</v>
      </c>
      <c r="D45" s="25">
        <v>180</v>
      </c>
      <c r="E45" s="25">
        <v>66.8</v>
      </c>
      <c r="F45" s="25">
        <v>4.7</v>
      </c>
      <c r="G45" s="26">
        <v>4.7</v>
      </c>
    </row>
    <row r="46" ht="15.75" spans="1:7">
      <c r="A46" s="23" t="s">
        <v>53</v>
      </c>
      <c r="B46" s="24" t="str">
        <f>MID(体检人信息表!B46,7,4)&amp;"年"&amp;MID(体检人信息表!B46,11,2)&amp;"月"&amp;MID(体检人信息表!B46,13,2)&amp;"日"</f>
        <v>2005年12月24日</v>
      </c>
      <c r="C46" s="24" t="str">
        <f>IF(MOD(MID(体检人信息表!B46,17,1)/2,1),"男","女")</f>
        <v>男</v>
      </c>
      <c r="D46" s="25">
        <v>163</v>
      </c>
      <c r="E46" s="25">
        <v>54</v>
      </c>
      <c r="F46" s="25">
        <v>4.9</v>
      </c>
      <c r="G46" s="26">
        <v>4.9</v>
      </c>
    </row>
    <row r="47" ht="15.75" spans="1:7">
      <c r="A47" s="23" t="s">
        <v>54</v>
      </c>
      <c r="B47" s="24" t="str">
        <f>MID(体检人信息表!B47,7,4)&amp;"年"&amp;MID(体检人信息表!B47,11,2)&amp;"月"&amp;MID(体检人信息表!B47,13,2)&amp;"日"</f>
        <v>2006年12月06日</v>
      </c>
      <c r="C47" s="24" t="str">
        <f>IF(MOD(MID(体检人信息表!B47,17,1)/2,1),"男","女")</f>
        <v>女</v>
      </c>
      <c r="D47" s="25">
        <v>156</v>
      </c>
      <c r="E47" s="25">
        <v>48</v>
      </c>
      <c r="F47" s="25">
        <v>5</v>
      </c>
      <c r="G47" s="26">
        <v>5</v>
      </c>
    </row>
    <row r="48" ht="15.75" spans="1:7">
      <c r="A48" s="23" t="s">
        <v>55</v>
      </c>
      <c r="B48" s="24" t="str">
        <f>MID(体检人信息表!B48,7,4)&amp;"年"&amp;MID(体检人信息表!B48,11,2)&amp;"月"&amp;MID(体检人信息表!B48,13,2)&amp;"日"</f>
        <v>2005年09月04日</v>
      </c>
      <c r="C48" s="24" t="str">
        <f>IF(MOD(MID(体检人信息表!B48,17,1)/2,1),"男","女")</f>
        <v>男</v>
      </c>
      <c r="D48" s="25">
        <v>174</v>
      </c>
      <c r="E48" s="25">
        <v>65</v>
      </c>
      <c r="F48" s="25">
        <v>5.1</v>
      </c>
      <c r="G48" s="26">
        <v>5.1</v>
      </c>
    </row>
    <row r="49" ht="15.75" spans="1:7">
      <c r="A49" s="23" t="s">
        <v>56</v>
      </c>
      <c r="B49" s="24" t="str">
        <f>MID(体检人信息表!B49,7,4)&amp;"年"&amp;MID(体检人信息表!B49,11,2)&amp;"月"&amp;MID(体检人信息表!B49,13,2)&amp;"日"</f>
        <v>2005年11月14日</v>
      </c>
      <c r="C49" s="24" t="str">
        <f>IF(MOD(MID(体检人信息表!B49,17,1)/2,1),"男","女")</f>
        <v>女</v>
      </c>
      <c r="D49" s="25">
        <v>153</v>
      </c>
      <c r="E49" s="25">
        <v>49</v>
      </c>
      <c r="F49" s="25">
        <v>5</v>
      </c>
      <c r="G49" s="26">
        <v>5</v>
      </c>
    </row>
    <row r="50" ht="15.75" spans="1:7">
      <c r="A50" s="23" t="s">
        <v>57</v>
      </c>
      <c r="B50" s="24" t="str">
        <f>MID(体检人信息表!B50,7,4)&amp;"年"&amp;MID(体检人信息表!B50,11,2)&amp;"月"&amp;MID(体检人信息表!B50,13,2)&amp;"日"</f>
        <v>2005年09月01日</v>
      </c>
      <c r="C50" s="24" t="str">
        <f>IF(MOD(MID(体检人信息表!B50,17,1)/2,1),"男","女")</f>
        <v>男</v>
      </c>
      <c r="D50" s="25">
        <v>154</v>
      </c>
      <c r="E50" s="25">
        <v>47.6</v>
      </c>
      <c r="F50" s="25">
        <v>5.1</v>
      </c>
      <c r="G50" s="26">
        <v>5.1</v>
      </c>
    </row>
    <row r="51" ht="15.75" spans="1:7">
      <c r="A51" s="23" t="s">
        <v>58</v>
      </c>
      <c r="B51" s="24" t="str">
        <f>MID(体检人信息表!B51,7,4)&amp;"年"&amp;MID(体检人信息表!B51,11,2)&amp;"月"&amp;MID(体检人信息表!B51,13,2)&amp;"日"</f>
        <v>2005年09月06日</v>
      </c>
      <c r="C51" s="24" t="str">
        <f>IF(MOD(MID(体检人信息表!B51,17,1)/2,1),"男","女")</f>
        <v>男</v>
      </c>
      <c r="D51" s="25">
        <v>164</v>
      </c>
      <c r="E51" s="25">
        <v>50</v>
      </c>
      <c r="F51" s="25">
        <v>4.2</v>
      </c>
      <c r="G51" s="26">
        <v>4.3</v>
      </c>
    </row>
    <row r="52" ht="15.75" spans="1:7">
      <c r="A52" s="23" t="s">
        <v>59</v>
      </c>
      <c r="B52" s="24" t="str">
        <f>MID(体检人信息表!B52,7,4)&amp;"年"&amp;MID(体检人信息表!B52,11,2)&amp;"月"&amp;MID(体检人信息表!B52,13,2)&amp;"日"</f>
        <v>2005年11月26日</v>
      </c>
      <c r="C52" s="24" t="str">
        <f>IF(MOD(MID(体检人信息表!B52,17,1)/2,1),"男","女")</f>
        <v>女</v>
      </c>
      <c r="D52" s="25">
        <v>168</v>
      </c>
      <c r="E52" s="25">
        <v>49</v>
      </c>
      <c r="F52" s="25">
        <v>5</v>
      </c>
      <c r="G52" s="26">
        <v>5</v>
      </c>
    </row>
    <row r="53" ht="15.75" spans="1:7">
      <c r="A53" s="23" t="s">
        <v>60</v>
      </c>
      <c r="B53" s="24" t="str">
        <f>MID(体检人信息表!B53,7,4)&amp;"年"&amp;MID(体检人信息表!B53,11,2)&amp;"月"&amp;MID(体检人信息表!B53,13,2)&amp;"日"</f>
        <v>2005年05月21日</v>
      </c>
      <c r="C53" s="24" t="str">
        <f>IF(MOD(MID(体检人信息表!B53,17,1)/2,1),"男","女")</f>
        <v>女</v>
      </c>
      <c r="D53" s="25">
        <v>187</v>
      </c>
      <c r="E53" s="25">
        <v>60</v>
      </c>
      <c r="F53" s="25">
        <v>4.4</v>
      </c>
      <c r="G53" s="26">
        <v>4.5</v>
      </c>
    </row>
    <row r="54" ht="15.75" spans="1:7">
      <c r="A54" s="23" t="s">
        <v>61</v>
      </c>
      <c r="B54" s="24" t="str">
        <f>MID(体检人信息表!B54,7,4)&amp;"年"&amp;MID(体检人信息表!B54,11,2)&amp;"月"&amp;MID(体检人信息表!B54,13,2)&amp;"日"</f>
        <v>2004年09月16日</v>
      </c>
      <c r="C54" s="24" t="str">
        <f>IF(MOD(MID(体检人信息表!B54,17,1)/2,1),"男","女")</f>
        <v>女</v>
      </c>
      <c r="D54" s="25">
        <v>165</v>
      </c>
      <c r="E54" s="25">
        <v>45.9</v>
      </c>
      <c r="F54" s="25">
        <v>4.7</v>
      </c>
      <c r="G54" s="26">
        <v>4.7</v>
      </c>
    </row>
    <row r="55" ht="15.75" spans="1:7">
      <c r="A55" s="23" t="s">
        <v>62</v>
      </c>
      <c r="B55" s="24" t="str">
        <f>MID(体检人信息表!B55,7,4)&amp;"年"&amp;MID(体检人信息表!B55,11,2)&amp;"月"&amp;MID(体检人信息表!B55,13,2)&amp;"日"</f>
        <v>2005年09月07日</v>
      </c>
      <c r="C55" s="24" t="str">
        <f>IF(MOD(MID(体检人信息表!B55,17,1)/2,1),"男","女")</f>
        <v>女</v>
      </c>
      <c r="D55" s="25">
        <v>156</v>
      </c>
      <c r="E55" s="25">
        <v>48.6</v>
      </c>
      <c r="F55" s="25">
        <v>4.8</v>
      </c>
      <c r="G55" s="26">
        <v>4.9</v>
      </c>
    </row>
    <row r="56" ht="15.75" spans="1:7">
      <c r="A56" s="23" t="s">
        <v>63</v>
      </c>
      <c r="B56" s="24" t="str">
        <f>MID(体检人信息表!B56,7,4)&amp;"年"&amp;MID(体检人信息表!B56,11,2)&amp;"月"&amp;MID(体检人信息表!B56,13,2)&amp;"日"</f>
        <v>2004年05月31日</v>
      </c>
      <c r="C56" s="24" t="str">
        <f>IF(MOD(MID(体检人信息表!B56,17,1)/2,1),"男","女")</f>
        <v>女</v>
      </c>
      <c r="D56" s="25">
        <v>158</v>
      </c>
      <c r="E56" s="25">
        <v>45.6</v>
      </c>
      <c r="F56" s="25">
        <v>5</v>
      </c>
      <c r="G56" s="26">
        <v>5</v>
      </c>
    </row>
    <row r="57" ht="15.75" spans="1:7">
      <c r="A57" s="23" t="s">
        <v>64</v>
      </c>
      <c r="B57" s="24" t="str">
        <f>MID(体检人信息表!B57,7,4)&amp;"年"&amp;MID(体检人信息表!B57,11,2)&amp;"月"&amp;MID(体检人信息表!B57,13,2)&amp;"日"</f>
        <v>2004年06月24日</v>
      </c>
      <c r="C57" s="24" t="str">
        <f>IF(MOD(MID(体检人信息表!B57,17,1)/2,1),"男","女")</f>
        <v>女</v>
      </c>
      <c r="D57" s="25">
        <v>176</v>
      </c>
      <c r="E57" s="25">
        <v>71.3</v>
      </c>
      <c r="F57" s="25">
        <v>5.1</v>
      </c>
      <c r="G57" s="26">
        <v>5.1</v>
      </c>
    </row>
    <row r="58" ht="15.75" spans="1:7">
      <c r="A58" s="23" t="s">
        <v>65</v>
      </c>
      <c r="B58" s="24" t="str">
        <f>MID(体检人信息表!B58,7,4)&amp;"年"&amp;MID(体检人信息表!B58,11,2)&amp;"月"&amp;MID(体检人信息表!B58,13,2)&amp;"日"</f>
        <v>2005年12月06日</v>
      </c>
      <c r="C58" s="24" t="str">
        <f>IF(MOD(MID(体检人信息表!B58,17,1)/2,1),"男","女")</f>
        <v>女</v>
      </c>
      <c r="D58" s="25">
        <v>175</v>
      </c>
      <c r="E58" s="25">
        <v>71.5</v>
      </c>
      <c r="F58" s="25">
        <v>5</v>
      </c>
      <c r="G58" s="26">
        <v>5</v>
      </c>
    </row>
    <row r="59" ht="15.75" spans="1:7">
      <c r="A59" s="23" t="s">
        <v>66</v>
      </c>
      <c r="B59" s="24" t="str">
        <f>MID(体检人信息表!B59,7,4)&amp;"年"&amp;MID(体检人信息表!B59,11,2)&amp;"月"&amp;MID(体检人信息表!B59,13,2)&amp;"日"</f>
        <v>2006年09月04日</v>
      </c>
      <c r="C59" s="24" t="str">
        <f>IF(MOD(MID(体检人信息表!B59,17,1)/2,1),"男","女")</f>
        <v>男</v>
      </c>
      <c r="D59" s="25">
        <v>176</v>
      </c>
      <c r="E59" s="25">
        <v>69.5</v>
      </c>
      <c r="F59" s="25">
        <v>5.1</v>
      </c>
      <c r="G59" s="26">
        <v>5.1</v>
      </c>
    </row>
    <row r="60" ht="15.75" spans="1:7">
      <c r="A60" s="23" t="s">
        <v>67</v>
      </c>
      <c r="B60" s="24" t="str">
        <f>MID(体检人信息表!B60,7,4)&amp;"年"&amp;MID(体检人信息表!B60,11,2)&amp;"月"&amp;MID(体检人信息表!B60,13,2)&amp;"日"</f>
        <v>2004年11月14日</v>
      </c>
      <c r="C60" s="24" t="str">
        <f>IF(MOD(MID(体检人信息表!B60,17,1)/2,1),"男","女")</f>
        <v>女</v>
      </c>
      <c r="D60" s="25">
        <v>159</v>
      </c>
      <c r="E60" s="25">
        <v>56</v>
      </c>
      <c r="F60" s="25">
        <v>5</v>
      </c>
      <c r="G60" s="26">
        <v>4.9</v>
      </c>
    </row>
    <row r="61" ht="15.75" spans="1:7">
      <c r="A61" s="23" t="s">
        <v>68</v>
      </c>
      <c r="B61" s="24" t="str">
        <f>MID(体检人信息表!B61,7,4)&amp;"年"&amp;MID(体检人信息表!B61,11,2)&amp;"月"&amp;MID(体检人信息表!B61,13,2)&amp;"日"</f>
        <v>2006年09月01日</v>
      </c>
      <c r="C61" s="24" t="str">
        <f>IF(MOD(MID(体检人信息表!B61,17,1)/2,1),"男","女")</f>
        <v>男</v>
      </c>
      <c r="D61" s="25">
        <v>178</v>
      </c>
      <c r="E61" s="25">
        <v>58</v>
      </c>
      <c r="F61" s="25">
        <v>5</v>
      </c>
      <c r="G61" s="26">
        <v>5.1</v>
      </c>
    </row>
    <row r="62" ht="15.75" spans="1:7">
      <c r="A62" s="23" t="s">
        <v>69</v>
      </c>
      <c r="B62" s="24" t="str">
        <f>MID(体检人信息表!B62,7,4)&amp;"年"&amp;MID(体检人信息表!B62,11,2)&amp;"月"&amp;MID(体检人信息表!B62,13,2)&amp;"日"</f>
        <v>2004年09月06日</v>
      </c>
      <c r="C62" s="24" t="str">
        <f>IF(MOD(MID(体检人信息表!B62,17,1)/2,1),"男","女")</f>
        <v>男</v>
      </c>
      <c r="D62" s="25">
        <v>165</v>
      </c>
      <c r="E62" s="25">
        <v>59</v>
      </c>
      <c r="F62" s="25">
        <v>4.4</v>
      </c>
      <c r="G62" s="26">
        <v>4.5</v>
      </c>
    </row>
    <row r="63" ht="15.75" spans="1:7">
      <c r="A63" s="23" t="s">
        <v>70</v>
      </c>
      <c r="B63" s="24" t="str">
        <f>MID(体检人信息表!B63,7,4)&amp;"年"&amp;MID(体检人信息表!B63,11,2)&amp;"月"&amp;MID(体检人信息表!B63,13,2)&amp;"日"</f>
        <v>2006年11月26日</v>
      </c>
      <c r="C63" s="24" t="str">
        <f>IF(MOD(MID(体检人信息表!B63,17,1)/2,1),"男","女")</f>
        <v>女</v>
      </c>
      <c r="D63" s="25">
        <v>184</v>
      </c>
      <c r="E63" s="25">
        <v>69.6</v>
      </c>
      <c r="F63" s="25">
        <v>5</v>
      </c>
      <c r="G63" s="26">
        <v>5</v>
      </c>
    </row>
    <row r="64" ht="15.75" spans="1:7">
      <c r="A64" s="23" t="s">
        <v>71</v>
      </c>
      <c r="B64" s="24" t="str">
        <f>MID(体检人信息表!B64,7,4)&amp;"年"&amp;MID(体检人信息表!B64,11,2)&amp;"月"&amp;MID(体检人信息表!B64,13,2)&amp;"日"</f>
        <v>2006年05月11日</v>
      </c>
      <c r="C64" s="24" t="str">
        <f>IF(MOD(MID(体检人信息表!B64,17,1)/2,1),"男","女")</f>
        <v>女</v>
      </c>
      <c r="D64" s="25">
        <v>165</v>
      </c>
      <c r="E64" s="25">
        <v>56</v>
      </c>
      <c r="F64" s="25">
        <v>5.1</v>
      </c>
      <c r="G64" s="26">
        <v>5.1</v>
      </c>
    </row>
    <row r="65" ht="15.75" spans="1:7">
      <c r="A65" s="23" t="s">
        <v>72</v>
      </c>
      <c r="B65" s="24" t="str">
        <f>MID(体检人信息表!B65,7,4)&amp;"年"&amp;MID(体检人信息表!B65,11,2)&amp;"月"&amp;MID(体检人信息表!B65,13,2)&amp;"日"</f>
        <v>2005年09月16日</v>
      </c>
      <c r="C65" s="24" t="str">
        <f>IF(MOD(MID(体检人信息表!B65,17,1)/2,1),"男","女")</f>
        <v>女</v>
      </c>
      <c r="D65" s="25">
        <v>145</v>
      </c>
      <c r="E65" s="25">
        <v>45</v>
      </c>
      <c r="F65" s="25">
        <v>4.2</v>
      </c>
      <c r="G65" s="26">
        <v>4.3</v>
      </c>
    </row>
    <row r="66" ht="15.75" spans="1:7">
      <c r="A66" s="28" t="s">
        <v>73</v>
      </c>
      <c r="B66" s="29" t="str">
        <f>MID(体检人信息表!B66,7,4)&amp;"年"&amp;MID(体检人信息表!B66,11,2)&amp;"月"&amp;MID(体检人信息表!B66,13,2)&amp;"日"</f>
        <v>2004年12月02日</v>
      </c>
      <c r="C66" s="29" t="str">
        <f>IF(MOD(MID(体检人信息表!B66,17,1)/2,1),"男","女")</f>
        <v>男</v>
      </c>
      <c r="D66" s="30">
        <v>179</v>
      </c>
      <c r="E66" s="30">
        <v>68.6</v>
      </c>
      <c r="F66" s="30">
        <v>5</v>
      </c>
      <c r="G66" s="31">
        <v>5</v>
      </c>
    </row>
  </sheetData>
  <pageMargins left="0.708661417322835" right="0.708661417322835" top="0.748031496062992" bottom="0.748031496062992" header="0.31496062992126" footer="0.31496062992126"/>
  <pageSetup paperSize="9" orientation="portrait" useFirstPageNumber="1"/>
  <headerFooter>
    <oddHeader>&amp;R&amp;10体检表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workbookViewId="0">
      <selection activeCell="D14" sqref="D14"/>
    </sheetView>
  </sheetViews>
  <sheetFormatPr defaultColWidth="9" defaultRowHeight="13.5" outlineLevelCol="1"/>
  <cols>
    <col min="2" max="2" width="39.5" style="19" customWidth="1"/>
  </cols>
  <sheetData>
    <row r="1" spans="1:2">
      <c r="A1" t="s">
        <v>0</v>
      </c>
      <c r="B1" s="19" t="s">
        <v>74</v>
      </c>
    </row>
    <row r="2" spans="1:2">
      <c r="A2" t="s">
        <v>8</v>
      </c>
      <c r="B2" s="19" t="s">
        <v>75</v>
      </c>
    </row>
    <row r="3" spans="1:2">
      <c r="A3" t="s">
        <v>9</v>
      </c>
      <c r="B3" s="19" t="s">
        <v>76</v>
      </c>
    </row>
    <row r="4" spans="1:2">
      <c r="A4" t="s">
        <v>11</v>
      </c>
      <c r="B4" s="19" t="s">
        <v>77</v>
      </c>
    </row>
    <row r="5" spans="1:2">
      <c r="A5" t="s">
        <v>12</v>
      </c>
      <c r="B5" s="19" t="s">
        <v>78</v>
      </c>
    </row>
    <row r="6" spans="1:2">
      <c r="A6" t="s">
        <v>13</v>
      </c>
      <c r="B6" s="19" t="s">
        <v>79</v>
      </c>
    </row>
    <row r="7" spans="1:2">
      <c r="A7" t="s">
        <v>14</v>
      </c>
      <c r="B7" s="19" t="s">
        <v>80</v>
      </c>
    </row>
    <row r="8" spans="1:2">
      <c r="A8" t="s">
        <v>15</v>
      </c>
      <c r="B8" s="19" t="s">
        <v>81</v>
      </c>
    </row>
    <row r="9" spans="1:2">
      <c r="A9" t="s">
        <v>16</v>
      </c>
      <c r="B9" s="19" t="s">
        <v>82</v>
      </c>
    </row>
    <row r="10" spans="1:2">
      <c r="A10" t="s">
        <v>17</v>
      </c>
      <c r="B10" s="19" t="s">
        <v>83</v>
      </c>
    </row>
    <row r="11" spans="1:2">
      <c r="A11" t="s">
        <v>18</v>
      </c>
      <c r="B11" s="19" t="s">
        <v>84</v>
      </c>
    </row>
    <row r="12" spans="1:2">
      <c r="A12" t="s">
        <v>19</v>
      </c>
      <c r="B12" s="19" t="s">
        <v>85</v>
      </c>
    </row>
    <row r="13" spans="1:2">
      <c r="A13" t="s">
        <v>20</v>
      </c>
      <c r="B13" s="19" t="s">
        <v>86</v>
      </c>
    </row>
    <row r="14" spans="1:2">
      <c r="A14" t="s">
        <v>21</v>
      </c>
      <c r="B14" s="19" t="s">
        <v>87</v>
      </c>
    </row>
    <row r="15" spans="1:2">
      <c r="A15" t="s">
        <v>22</v>
      </c>
      <c r="B15" s="19" t="s">
        <v>88</v>
      </c>
    </row>
    <row r="16" spans="1:2">
      <c r="A16" t="s">
        <v>23</v>
      </c>
      <c r="B16" s="19" t="s">
        <v>89</v>
      </c>
    </row>
    <row r="17" spans="1:2">
      <c r="A17" t="s">
        <v>24</v>
      </c>
      <c r="B17" s="19" t="s">
        <v>90</v>
      </c>
    </row>
    <row r="18" spans="1:2">
      <c r="A18" t="s">
        <v>25</v>
      </c>
      <c r="B18" s="19" t="s">
        <v>91</v>
      </c>
    </row>
    <row r="19" spans="1:2">
      <c r="A19" t="s">
        <v>26</v>
      </c>
      <c r="B19" s="19" t="s">
        <v>92</v>
      </c>
    </row>
    <row r="20" spans="1:2">
      <c r="A20" t="s">
        <v>27</v>
      </c>
      <c r="B20" s="19" t="s">
        <v>93</v>
      </c>
    </row>
    <row r="21" spans="1:2">
      <c r="A21" t="s">
        <v>28</v>
      </c>
      <c r="B21" s="19" t="s">
        <v>94</v>
      </c>
    </row>
    <row r="22" spans="1:2">
      <c r="A22" t="s">
        <v>29</v>
      </c>
      <c r="B22" s="19" t="s">
        <v>95</v>
      </c>
    </row>
    <row r="23" spans="1:2">
      <c r="A23" t="s">
        <v>30</v>
      </c>
      <c r="B23" s="19" t="s">
        <v>96</v>
      </c>
    </row>
    <row r="24" spans="1:2">
      <c r="A24" t="s">
        <v>31</v>
      </c>
      <c r="B24" s="19" t="s">
        <v>97</v>
      </c>
    </row>
    <row r="25" spans="1:2">
      <c r="A25" t="s">
        <v>32</v>
      </c>
      <c r="B25" s="19" t="s">
        <v>98</v>
      </c>
    </row>
    <row r="26" spans="1:2">
      <c r="A26" t="s">
        <v>33</v>
      </c>
      <c r="B26" s="19" t="s">
        <v>99</v>
      </c>
    </row>
    <row r="27" spans="1:2">
      <c r="A27" t="s">
        <v>34</v>
      </c>
      <c r="B27" s="19" t="s">
        <v>100</v>
      </c>
    </row>
    <row r="28" spans="1:2">
      <c r="A28" t="s">
        <v>35</v>
      </c>
      <c r="B28" s="19" t="s">
        <v>101</v>
      </c>
    </row>
    <row r="29" spans="1:2">
      <c r="A29" t="s">
        <v>36</v>
      </c>
      <c r="B29" s="19" t="s">
        <v>102</v>
      </c>
    </row>
    <row r="30" spans="1:2">
      <c r="A30" t="s">
        <v>37</v>
      </c>
      <c r="B30" s="19" t="s">
        <v>103</v>
      </c>
    </row>
    <row r="31" spans="1:2">
      <c r="A31" t="s">
        <v>38</v>
      </c>
      <c r="B31" s="19" t="s">
        <v>104</v>
      </c>
    </row>
    <row r="32" spans="1:2">
      <c r="A32" t="s">
        <v>39</v>
      </c>
      <c r="B32" s="19" t="s">
        <v>105</v>
      </c>
    </row>
    <row r="33" spans="1:2">
      <c r="A33" t="s">
        <v>40</v>
      </c>
      <c r="B33" s="19" t="s">
        <v>106</v>
      </c>
    </row>
    <row r="34" spans="1:2">
      <c r="A34" t="s">
        <v>41</v>
      </c>
      <c r="B34" s="19" t="s">
        <v>107</v>
      </c>
    </row>
    <row r="35" spans="1:2">
      <c r="A35" t="s">
        <v>42</v>
      </c>
      <c r="B35" s="19" t="s">
        <v>108</v>
      </c>
    </row>
    <row r="36" spans="1:2">
      <c r="A36" t="s">
        <v>43</v>
      </c>
      <c r="B36" s="19" t="s">
        <v>109</v>
      </c>
    </row>
    <row r="37" spans="1:2">
      <c r="A37" t="s">
        <v>44</v>
      </c>
      <c r="B37" s="19" t="s">
        <v>110</v>
      </c>
    </row>
    <row r="38" spans="1:2">
      <c r="A38" t="s">
        <v>45</v>
      </c>
      <c r="B38" s="19" t="s">
        <v>111</v>
      </c>
    </row>
    <row r="39" spans="1:2">
      <c r="A39" t="s">
        <v>46</v>
      </c>
      <c r="B39" s="19" t="s">
        <v>112</v>
      </c>
    </row>
    <row r="40" spans="1:2">
      <c r="A40" t="s">
        <v>47</v>
      </c>
      <c r="B40" s="19" t="s">
        <v>113</v>
      </c>
    </row>
    <row r="41" spans="1:2">
      <c r="A41" t="s">
        <v>48</v>
      </c>
      <c r="B41" s="19" t="s">
        <v>114</v>
      </c>
    </row>
    <row r="42" spans="1:2">
      <c r="A42" t="s">
        <v>49</v>
      </c>
      <c r="B42" s="19" t="s">
        <v>115</v>
      </c>
    </row>
    <row r="43" spans="1:2">
      <c r="A43" t="s">
        <v>50</v>
      </c>
      <c r="B43" s="19" t="s">
        <v>116</v>
      </c>
    </row>
    <row r="44" spans="1:2">
      <c r="A44" t="s">
        <v>51</v>
      </c>
      <c r="B44" s="19" t="s">
        <v>117</v>
      </c>
    </row>
    <row r="45" spans="1:2">
      <c r="A45" t="s">
        <v>52</v>
      </c>
      <c r="B45" s="19" t="s">
        <v>118</v>
      </c>
    </row>
    <row r="46" spans="1:2">
      <c r="A46" t="s">
        <v>53</v>
      </c>
      <c r="B46" s="19" t="s">
        <v>119</v>
      </c>
    </row>
    <row r="47" spans="1:2">
      <c r="A47" t="s">
        <v>54</v>
      </c>
      <c r="B47" s="19" t="s">
        <v>120</v>
      </c>
    </row>
    <row r="48" spans="1:2">
      <c r="A48" t="s">
        <v>55</v>
      </c>
      <c r="B48" s="19" t="s">
        <v>121</v>
      </c>
    </row>
    <row r="49" spans="1:2">
      <c r="A49" t="s">
        <v>56</v>
      </c>
      <c r="B49" s="19" t="s">
        <v>122</v>
      </c>
    </row>
    <row r="50" spans="1:2">
      <c r="A50" t="s">
        <v>57</v>
      </c>
      <c r="B50" s="19" t="s">
        <v>123</v>
      </c>
    </row>
    <row r="51" spans="1:2">
      <c r="A51" t="s">
        <v>58</v>
      </c>
      <c r="B51" s="19" t="s">
        <v>124</v>
      </c>
    </row>
    <row r="52" spans="1:2">
      <c r="A52" t="s">
        <v>59</v>
      </c>
      <c r="B52" s="19" t="s">
        <v>125</v>
      </c>
    </row>
    <row r="53" spans="1:2">
      <c r="A53" t="s">
        <v>60</v>
      </c>
      <c r="B53" s="19" t="s">
        <v>126</v>
      </c>
    </row>
    <row r="54" spans="1:2">
      <c r="A54" t="s">
        <v>61</v>
      </c>
      <c r="B54" s="19" t="s">
        <v>127</v>
      </c>
    </row>
    <row r="55" spans="1:2">
      <c r="A55" t="s">
        <v>62</v>
      </c>
      <c r="B55" s="19" t="s">
        <v>128</v>
      </c>
    </row>
    <row r="56" spans="1:2">
      <c r="A56" t="s">
        <v>63</v>
      </c>
      <c r="B56" s="19" t="s">
        <v>129</v>
      </c>
    </row>
    <row r="57" spans="1:2">
      <c r="A57" t="s">
        <v>64</v>
      </c>
      <c r="B57" s="19" t="s">
        <v>130</v>
      </c>
    </row>
    <row r="58" spans="1:2">
      <c r="A58" t="s">
        <v>65</v>
      </c>
      <c r="B58" s="19" t="s">
        <v>131</v>
      </c>
    </row>
    <row r="59" spans="1:2">
      <c r="A59" t="s">
        <v>66</v>
      </c>
      <c r="B59" s="19" t="s">
        <v>132</v>
      </c>
    </row>
    <row r="60" spans="1:2">
      <c r="A60" t="s">
        <v>67</v>
      </c>
      <c r="B60" s="19" t="s">
        <v>133</v>
      </c>
    </row>
    <row r="61" spans="1:2">
      <c r="A61" t="s">
        <v>68</v>
      </c>
      <c r="B61" s="19" t="s">
        <v>134</v>
      </c>
    </row>
    <row r="62" spans="1:2">
      <c r="A62" t="s">
        <v>69</v>
      </c>
      <c r="B62" s="19" t="s">
        <v>135</v>
      </c>
    </row>
    <row r="63" spans="1:2">
      <c r="A63" t="s">
        <v>70</v>
      </c>
      <c r="B63" s="19" t="s">
        <v>136</v>
      </c>
    </row>
    <row r="64" spans="1:2">
      <c r="A64" t="s">
        <v>71</v>
      </c>
      <c r="B64" s="19" t="s">
        <v>137</v>
      </c>
    </row>
    <row r="65" spans="1:2">
      <c r="A65" t="s">
        <v>72</v>
      </c>
      <c r="B65" s="19" t="s">
        <v>138</v>
      </c>
    </row>
    <row r="66" spans="1:2">
      <c r="A66" t="s">
        <v>73</v>
      </c>
      <c r="B66" s="19" t="s">
        <v>139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9"/>
  <sheetViews>
    <sheetView zoomScale="70" zoomScaleNormal="70" workbookViewId="0">
      <selection activeCell="P42" sqref="P42"/>
    </sheetView>
  </sheetViews>
  <sheetFormatPr defaultColWidth="9" defaultRowHeight="13.5" outlineLevelCol="4"/>
  <cols>
    <col min="1" max="1" width="9" customWidth="1"/>
    <col min="2" max="2" width="13" customWidth="1"/>
    <col min="3" max="3" width="11.125" customWidth="1"/>
  </cols>
  <sheetData>
    <row r="1" spans="1:2">
      <c r="A1" t="s">
        <v>5</v>
      </c>
      <c r="B1" t="s">
        <v>6</v>
      </c>
    </row>
    <row r="2" ht="14.25" spans="1:2">
      <c r="A2" t="s">
        <v>140</v>
      </c>
      <c r="B2" t="s">
        <v>140</v>
      </c>
    </row>
    <row r="3" ht="15" spans="1:5">
      <c r="A3" s="16" t="s">
        <v>0</v>
      </c>
      <c r="B3" s="16" t="s">
        <v>3</v>
      </c>
      <c r="C3" s="16" t="s">
        <v>4</v>
      </c>
      <c r="D3" s="16" t="s">
        <v>5</v>
      </c>
      <c r="E3" s="16" t="s">
        <v>6</v>
      </c>
    </row>
    <row r="4" ht="15" spans="1:5">
      <c r="A4" s="16" t="s">
        <v>26</v>
      </c>
      <c r="B4" s="17">
        <v>168</v>
      </c>
      <c r="C4" s="17">
        <v>74</v>
      </c>
      <c r="D4" s="17">
        <v>5</v>
      </c>
      <c r="E4" s="17">
        <v>5</v>
      </c>
    </row>
    <row r="5" ht="15" hidden="1" spans="1:5">
      <c r="A5" t="s">
        <v>9</v>
      </c>
      <c r="B5" s="18">
        <v>182</v>
      </c>
      <c r="C5" s="18">
        <v>71.3</v>
      </c>
      <c r="D5" s="18">
        <v>4.2</v>
      </c>
      <c r="E5" s="18">
        <v>4.3</v>
      </c>
    </row>
    <row r="6" ht="15" spans="1:5">
      <c r="A6" s="16" t="s">
        <v>65</v>
      </c>
      <c r="B6" s="17">
        <v>175</v>
      </c>
      <c r="C6" s="17">
        <v>71.5</v>
      </c>
      <c r="D6" s="17">
        <v>5</v>
      </c>
      <c r="E6" s="17">
        <v>5</v>
      </c>
    </row>
    <row r="7" ht="14.25" hidden="1" spans="1:5">
      <c r="A7" t="s">
        <v>12</v>
      </c>
      <c r="B7" s="18">
        <v>165</v>
      </c>
      <c r="C7" s="18">
        <v>60</v>
      </c>
      <c r="D7" s="18">
        <v>4.4</v>
      </c>
      <c r="E7" s="18">
        <v>4.5</v>
      </c>
    </row>
    <row r="8" hidden="1" spans="1:5">
      <c r="A8" t="s">
        <v>13</v>
      </c>
      <c r="B8" s="18">
        <v>182</v>
      </c>
      <c r="C8" s="18">
        <v>71.3</v>
      </c>
      <c r="D8" s="18">
        <v>4.7</v>
      </c>
      <c r="E8" s="18">
        <v>4.7</v>
      </c>
    </row>
    <row r="9" ht="14.25" hidden="1" spans="1:5">
      <c r="A9" t="s">
        <v>14</v>
      </c>
      <c r="B9" s="18">
        <v>180</v>
      </c>
      <c r="C9" s="18">
        <v>70.6</v>
      </c>
      <c r="D9" s="18">
        <v>4.8</v>
      </c>
      <c r="E9" s="18">
        <v>4.9</v>
      </c>
    </row>
    <row r="10" ht="15" spans="1:5">
      <c r="A10" s="16" t="s">
        <v>47</v>
      </c>
      <c r="B10" s="17">
        <v>174</v>
      </c>
      <c r="C10" s="17">
        <v>64</v>
      </c>
      <c r="D10" s="17">
        <v>5.1</v>
      </c>
      <c r="E10" s="17">
        <v>5.1</v>
      </c>
    </row>
    <row r="11" ht="15" spans="1:5">
      <c r="A11" s="16" t="s">
        <v>59</v>
      </c>
      <c r="B11" s="17">
        <v>168</v>
      </c>
      <c r="C11" s="17">
        <v>49</v>
      </c>
      <c r="D11" s="17">
        <v>5</v>
      </c>
      <c r="E11" s="17">
        <v>5</v>
      </c>
    </row>
    <row r="12" ht="15" spans="1:5">
      <c r="A12" s="16" t="s">
        <v>20</v>
      </c>
      <c r="B12" s="17">
        <v>188</v>
      </c>
      <c r="C12" s="17">
        <v>79</v>
      </c>
      <c r="D12" s="17">
        <v>5</v>
      </c>
      <c r="E12" s="17">
        <v>5.1</v>
      </c>
    </row>
    <row r="13" ht="15" spans="1:5">
      <c r="A13" s="16" t="s">
        <v>39</v>
      </c>
      <c r="B13" s="17">
        <v>182</v>
      </c>
      <c r="C13" s="17">
        <v>70.6</v>
      </c>
      <c r="D13" s="17">
        <v>5</v>
      </c>
      <c r="E13" s="17">
        <v>5</v>
      </c>
    </row>
    <row r="14" ht="15" hidden="1" spans="1:5">
      <c r="A14" t="s">
        <v>19</v>
      </c>
      <c r="B14" s="18">
        <v>183</v>
      </c>
      <c r="C14" s="18">
        <v>78</v>
      </c>
      <c r="D14" s="18">
        <v>5</v>
      </c>
      <c r="E14" s="18">
        <v>4.9</v>
      </c>
    </row>
    <row r="15" ht="15" spans="1:5">
      <c r="A15" s="16" t="s">
        <v>55</v>
      </c>
      <c r="B15" s="17">
        <v>174</v>
      </c>
      <c r="C15" s="17">
        <v>65</v>
      </c>
      <c r="D15" s="17">
        <v>5.1</v>
      </c>
      <c r="E15" s="17">
        <v>5.1</v>
      </c>
    </row>
    <row r="16" ht="14.25" hidden="1" spans="1:5">
      <c r="A16" t="s">
        <v>21</v>
      </c>
      <c r="B16" s="18">
        <v>171</v>
      </c>
      <c r="C16" s="18">
        <v>60</v>
      </c>
      <c r="D16" s="18">
        <v>4.4</v>
      </c>
      <c r="E16" s="18">
        <v>4.5</v>
      </c>
    </row>
    <row r="17" hidden="1" spans="1:5">
      <c r="A17" t="s">
        <v>22</v>
      </c>
      <c r="B17" s="18">
        <v>174</v>
      </c>
      <c r="C17" s="18">
        <v>75</v>
      </c>
      <c r="D17" s="18">
        <v>4.7</v>
      </c>
      <c r="E17" s="18">
        <v>4.7</v>
      </c>
    </row>
    <row r="18" ht="14.25" hidden="1" spans="1:5">
      <c r="A18" t="s">
        <v>23</v>
      </c>
      <c r="B18" s="18">
        <v>167</v>
      </c>
      <c r="C18" s="18">
        <v>68</v>
      </c>
      <c r="D18" s="18">
        <v>4.8</v>
      </c>
      <c r="E18" s="18">
        <v>4.9</v>
      </c>
    </row>
    <row r="19" ht="15" spans="1:5">
      <c r="A19" s="16" t="s">
        <v>46</v>
      </c>
      <c r="B19" s="17">
        <v>158</v>
      </c>
      <c r="C19" s="17">
        <v>52.6</v>
      </c>
      <c r="D19" s="17">
        <v>5</v>
      </c>
      <c r="E19" s="17">
        <v>5</v>
      </c>
    </row>
    <row r="20" ht="15" spans="1:5">
      <c r="A20" s="16" t="s">
        <v>17</v>
      </c>
      <c r="B20" s="17">
        <v>176</v>
      </c>
      <c r="C20" s="17">
        <v>78</v>
      </c>
      <c r="D20" s="17">
        <v>5</v>
      </c>
      <c r="E20" s="17">
        <v>5</v>
      </c>
    </row>
    <row r="21" ht="15" spans="1:5">
      <c r="A21" s="16" t="s">
        <v>70</v>
      </c>
      <c r="B21" s="17">
        <v>184</v>
      </c>
      <c r="C21" s="17">
        <v>69.6</v>
      </c>
      <c r="D21" s="17">
        <v>5</v>
      </c>
      <c r="E21" s="17">
        <v>5</v>
      </c>
    </row>
    <row r="22" ht="15" spans="1:5">
      <c r="A22" s="16" t="s">
        <v>16</v>
      </c>
      <c r="B22" s="17">
        <v>164</v>
      </c>
      <c r="C22" s="17">
        <v>65</v>
      </c>
      <c r="D22" s="17">
        <v>5.1</v>
      </c>
      <c r="E22" s="17">
        <v>5.1</v>
      </c>
    </row>
    <row r="23" ht="15" hidden="1" spans="1:5">
      <c r="A23" t="s">
        <v>28</v>
      </c>
      <c r="B23" s="18">
        <v>182</v>
      </c>
      <c r="C23" s="18">
        <v>70</v>
      </c>
      <c r="D23" s="18">
        <v>5</v>
      </c>
      <c r="E23" s="18">
        <v>4.9</v>
      </c>
    </row>
    <row r="24" ht="15" spans="1:5">
      <c r="A24" s="16" t="s">
        <v>56</v>
      </c>
      <c r="B24" s="17">
        <v>153</v>
      </c>
      <c r="C24" s="17">
        <v>49</v>
      </c>
      <c r="D24" s="17">
        <v>5</v>
      </c>
      <c r="E24" s="17">
        <v>5</v>
      </c>
    </row>
    <row r="25" ht="15" spans="1:5">
      <c r="A25" s="16" t="s">
        <v>68</v>
      </c>
      <c r="B25" s="17">
        <v>178</v>
      </c>
      <c r="C25" s="17">
        <v>58</v>
      </c>
      <c r="D25" s="17">
        <v>5</v>
      </c>
      <c r="E25" s="17">
        <v>5.1</v>
      </c>
    </row>
    <row r="26" ht="15" spans="1:5">
      <c r="A26" s="16" t="s">
        <v>54</v>
      </c>
      <c r="B26" s="17">
        <v>156</v>
      </c>
      <c r="C26" s="17">
        <v>48</v>
      </c>
      <c r="D26" s="17">
        <v>5</v>
      </c>
      <c r="E26" s="17">
        <v>5</v>
      </c>
    </row>
    <row r="27" ht="15" spans="1:5">
      <c r="A27" s="16" t="s">
        <v>64</v>
      </c>
      <c r="B27" s="17">
        <v>176</v>
      </c>
      <c r="C27" s="17">
        <v>71.3</v>
      </c>
      <c r="D27" s="17">
        <v>5.1</v>
      </c>
      <c r="E27" s="17">
        <v>5.1</v>
      </c>
    </row>
    <row r="28" ht="15" spans="1:5">
      <c r="A28" s="16" t="s">
        <v>45</v>
      </c>
      <c r="B28" s="17">
        <v>174</v>
      </c>
      <c r="C28" s="17">
        <v>51.3</v>
      </c>
      <c r="D28" s="17">
        <v>5</v>
      </c>
      <c r="E28" s="17">
        <v>5.1</v>
      </c>
    </row>
    <row r="29" ht="14.25" hidden="1" spans="1:5">
      <c r="A29" t="s">
        <v>34</v>
      </c>
      <c r="B29" s="18">
        <v>160</v>
      </c>
      <c r="C29" s="18">
        <v>49</v>
      </c>
      <c r="D29" s="18">
        <v>4.9</v>
      </c>
      <c r="E29" s="18">
        <v>4.9</v>
      </c>
    </row>
    <row r="30" hidden="1" spans="1:5">
      <c r="A30" t="s">
        <v>35</v>
      </c>
      <c r="B30" s="18">
        <v>171</v>
      </c>
      <c r="C30" s="18">
        <v>60</v>
      </c>
      <c r="D30" s="18">
        <v>4.5</v>
      </c>
      <c r="E30" s="18">
        <v>4.5</v>
      </c>
    </row>
    <row r="31" hidden="1" spans="1:5">
      <c r="A31" t="s">
        <v>36</v>
      </c>
      <c r="B31" s="18">
        <v>170</v>
      </c>
      <c r="C31" s="18">
        <v>61</v>
      </c>
      <c r="D31" s="18">
        <v>4.4</v>
      </c>
      <c r="E31" s="18">
        <v>4.5</v>
      </c>
    </row>
    <row r="32" hidden="1" spans="1:5">
      <c r="A32" t="s">
        <v>37</v>
      </c>
      <c r="B32" s="18">
        <v>180</v>
      </c>
      <c r="C32" s="18">
        <v>71.5</v>
      </c>
      <c r="D32" s="18">
        <v>4.7</v>
      </c>
      <c r="E32" s="18">
        <v>4.7</v>
      </c>
    </row>
    <row r="33" ht="14.25" hidden="1" spans="1:5">
      <c r="A33" t="s">
        <v>38</v>
      </c>
      <c r="B33" s="18">
        <v>181</v>
      </c>
      <c r="C33" s="18">
        <v>71.3</v>
      </c>
      <c r="D33" s="18">
        <v>4.8</v>
      </c>
      <c r="E33" s="18">
        <v>4.9</v>
      </c>
    </row>
    <row r="34" ht="15" spans="1:5">
      <c r="A34" s="16" t="s">
        <v>24</v>
      </c>
      <c r="B34" s="17">
        <v>167</v>
      </c>
      <c r="C34" s="17">
        <v>60</v>
      </c>
      <c r="D34" s="17">
        <v>5</v>
      </c>
      <c r="E34" s="17">
        <v>5</v>
      </c>
    </row>
    <row r="35" ht="14.25" hidden="1" spans="1:5">
      <c r="A35" t="s">
        <v>40</v>
      </c>
      <c r="B35" s="18">
        <v>181</v>
      </c>
      <c r="C35" s="18">
        <v>72.6</v>
      </c>
      <c r="D35" s="18">
        <v>4.4</v>
      </c>
      <c r="E35" s="18">
        <v>4.5</v>
      </c>
    </row>
    <row r="36" hidden="1" spans="1:5">
      <c r="A36" t="s">
        <v>41</v>
      </c>
      <c r="B36" s="18">
        <v>183</v>
      </c>
      <c r="C36" s="18">
        <v>69.3</v>
      </c>
      <c r="D36" s="18">
        <v>4.7</v>
      </c>
      <c r="E36" s="18">
        <v>4.7</v>
      </c>
    </row>
    <row r="37" ht="14.25" hidden="1" spans="1:5">
      <c r="A37" t="s">
        <v>42</v>
      </c>
      <c r="B37" s="18">
        <v>165</v>
      </c>
      <c r="C37" s="18">
        <v>58</v>
      </c>
      <c r="D37" s="18">
        <v>4.8</v>
      </c>
      <c r="E37" s="18">
        <v>4.9</v>
      </c>
    </row>
    <row r="38" ht="15" spans="1:5">
      <c r="A38" s="16" t="s">
        <v>18</v>
      </c>
      <c r="B38" s="17">
        <v>179</v>
      </c>
      <c r="C38" s="17">
        <v>71.6</v>
      </c>
      <c r="D38" s="17">
        <v>5.1</v>
      </c>
      <c r="E38" s="17">
        <v>5.1</v>
      </c>
    </row>
    <row r="39" ht="15" hidden="1" spans="1:5">
      <c r="A39" t="s">
        <v>44</v>
      </c>
      <c r="B39" s="18">
        <v>166</v>
      </c>
      <c r="C39" s="18">
        <v>48</v>
      </c>
      <c r="D39" s="18">
        <v>5</v>
      </c>
      <c r="E39" s="18">
        <v>4.9</v>
      </c>
    </row>
    <row r="40" ht="15" spans="1:5">
      <c r="A40" s="16" t="s">
        <v>66</v>
      </c>
      <c r="B40" s="17">
        <v>176</v>
      </c>
      <c r="C40" s="17">
        <v>69.5</v>
      </c>
      <c r="D40" s="17">
        <v>5.1</v>
      </c>
      <c r="E40" s="17">
        <v>5.1</v>
      </c>
    </row>
    <row r="41" ht="15" spans="1:5">
      <c r="A41" s="16" t="s">
        <v>31</v>
      </c>
      <c r="B41" s="17">
        <v>175</v>
      </c>
      <c r="C41" s="17">
        <v>50</v>
      </c>
      <c r="D41" s="17">
        <v>5.1</v>
      </c>
      <c r="E41" s="17">
        <v>5.1</v>
      </c>
    </row>
    <row r="42" ht="15" spans="1:5">
      <c r="A42" s="16" t="s">
        <v>71</v>
      </c>
      <c r="B42" s="17">
        <v>165</v>
      </c>
      <c r="C42" s="17">
        <v>56</v>
      </c>
      <c r="D42" s="17">
        <v>5.1</v>
      </c>
      <c r="E42" s="17">
        <v>5.1</v>
      </c>
    </row>
    <row r="43" ht="15" spans="1:5">
      <c r="A43" s="16" t="s">
        <v>57</v>
      </c>
      <c r="B43" s="17">
        <v>154</v>
      </c>
      <c r="C43" s="17">
        <v>47.6</v>
      </c>
      <c r="D43" s="17">
        <v>5.1</v>
      </c>
      <c r="E43" s="17">
        <v>5.1</v>
      </c>
    </row>
    <row r="44" ht="15" spans="1:5">
      <c r="A44" s="16" t="s">
        <v>15</v>
      </c>
      <c r="B44" s="17">
        <v>178</v>
      </c>
      <c r="C44" s="17">
        <v>79</v>
      </c>
      <c r="D44" s="17">
        <v>5</v>
      </c>
      <c r="E44" s="17">
        <v>5</v>
      </c>
    </row>
    <row r="45" ht="14.25" hidden="1" spans="1:5">
      <c r="A45" t="s">
        <v>50</v>
      </c>
      <c r="B45" s="18">
        <v>178</v>
      </c>
      <c r="C45" s="18">
        <v>69</v>
      </c>
      <c r="D45" s="18">
        <v>4.9</v>
      </c>
      <c r="E45" s="18">
        <v>4.9</v>
      </c>
    </row>
    <row r="46" hidden="1" spans="1:5">
      <c r="A46" t="s">
        <v>51</v>
      </c>
      <c r="B46" s="18">
        <v>179</v>
      </c>
      <c r="C46" s="18">
        <v>58.6</v>
      </c>
      <c r="D46" s="18">
        <v>4.5</v>
      </c>
      <c r="E46" s="18">
        <v>4.5</v>
      </c>
    </row>
    <row r="47" hidden="1" spans="1:5">
      <c r="A47" t="s">
        <v>52</v>
      </c>
      <c r="B47" s="18">
        <v>180</v>
      </c>
      <c r="C47" s="18">
        <v>66.8</v>
      </c>
      <c r="D47" s="18">
        <v>4.7</v>
      </c>
      <c r="E47" s="18">
        <v>4.7</v>
      </c>
    </row>
    <row r="48" ht="14.25" hidden="1" spans="1:5">
      <c r="A48" t="s">
        <v>53</v>
      </c>
      <c r="B48" s="18">
        <v>163</v>
      </c>
      <c r="C48" s="18">
        <v>54</v>
      </c>
      <c r="D48" s="18">
        <v>4.9</v>
      </c>
      <c r="E48" s="18">
        <v>4.9</v>
      </c>
    </row>
    <row r="49" ht="15" spans="1:5">
      <c r="A49" s="16" t="s">
        <v>48</v>
      </c>
      <c r="B49" s="17">
        <v>166</v>
      </c>
      <c r="C49" s="17">
        <v>54</v>
      </c>
      <c r="D49" s="17">
        <v>5</v>
      </c>
      <c r="E49" s="17">
        <v>5</v>
      </c>
    </row>
    <row r="50" ht="15" spans="1:5">
      <c r="A50" s="16" t="s">
        <v>29</v>
      </c>
      <c r="B50" s="17">
        <v>175</v>
      </c>
      <c r="C50" s="17">
        <v>65</v>
      </c>
      <c r="D50" s="17">
        <v>5</v>
      </c>
      <c r="E50" s="17">
        <v>5.1</v>
      </c>
    </row>
    <row r="51" ht="15" spans="1:5">
      <c r="A51" s="16" t="s">
        <v>33</v>
      </c>
      <c r="B51" s="17">
        <v>161</v>
      </c>
      <c r="C51" s="17">
        <v>50</v>
      </c>
      <c r="D51" s="17">
        <v>5.1</v>
      </c>
      <c r="E51" s="17">
        <v>5.1</v>
      </c>
    </row>
    <row r="52" ht="15" spans="1:5">
      <c r="A52" s="16" t="s">
        <v>11</v>
      </c>
      <c r="B52" s="17">
        <v>171</v>
      </c>
      <c r="C52" s="17">
        <v>75</v>
      </c>
      <c r="D52" s="17">
        <v>5</v>
      </c>
      <c r="E52" s="17">
        <v>5</v>
      </c>
    </row>
    <row r="53" ht="15" hidden="1" spans="1:5">
      <c r="A53" t="s">
        <v>58</v>
      </c>
      <c r="B53" s="18">
        <v>164</v>
      </c>
      <c r="C53" s="18">
        <v>50</v>
      </c>
      <c r="D53" s="18">
        <v>4.2</v>
      </c>
      <c r="E53" s="18">
        <v>4.3</v>
      </c>
    </row>
    <row r="54" ht="15" spans="1:5">
      <c r="A54" s="16" t="s">
        <v>49</v>
      </c>
      <c r="B54" s="17">
        <v>180</v>
      </c>
      <c r="C54" s="17">
        <v>74</v>
      </c>
      <c r="D54" s="17">
        <v>5.1</v>
      </c>
      <c r="E54" s="17">
        <v>5.1</v>
      </c>
    </row>
    <row r="55" ht="14.25" hidden="1" spans="1:5">
      <c r="A55" t="s">
        <v>60</v>
      </c>
      <c r="B55" s="18">
        <v>187</v>
      </c>
      <c r="C55" s="18">
        <v>60</v>
      </c>
      <c r="D55" s="18">
        <v>4.4</v>
      </c>
      <c r="E55" s="18">
        <v>4.5</v>
      </c>
    </row>
    <row r="56" hidden="1" spans="1:5">
      <c r="A56" t="s">
        <v>61</v>
      </c>
      <c r="B56" s="18">
        <v>165</v>
      </c>
      <c r="C56" s="18">
        <v>45.9</v>
      </c>
      <c r="D56" s="18">
        <v>4.7</v>
      </c>
      <c r="E56" s="18">
        <v>4.7</v>
      </c>
    </row>
    <row r="57" ht="14.25" hidden="1" spans="1:5">
      <c r="A57" t="s">
        <v>62</v>
      </c>
      <c r="B57" s="18">
        <v>156</v>
      </c>
      <c r="C57" s="18">
        <v>48.6</v>
      </c>
      <c r="D57" s="18">
        <v>4.8</v>
      </c>
      <c r="E57" s="18">
        <v>4.9</v>
      </c>
    </row>
    <row r="58" ht="15" spans="1:5">
      <c r="A58" s="16" t="s">
        <v>27</v>
      </c>
      <c r="B58" s="17">
        <v>181</v>
      </c>
      <c r="C58" s="17">
        <v>76</v>
      </c>
      <c r="D58" s="17">
        <v>5.1</v>
      </c>
      <c r="E58" s="17">
        <v>5.1</v>
      </c>
    </row>
    <row r="59" ht="15" spans="1:5">
      <c r="A59" s="16" t="s">
        <v>25</v>
      </c>
      <c r="B59" s="17">
        <v>187</v>
      </c>
      <c r="C59" s="17">
        <v>74</v>
      </c>
      <c r="D59" s="17">
        <v>5.1</v>
      </c>
      <c r="E59" s="17">
        <v>5.1</v>
      </c>
    </row>
    <row r="60" ht="15" spans="1:5">
      <c r="A60" s="16" t="s">
        <v>8</v>
      </c>
      <c r="B60" s="17">
        <v>181</v>
      </c>
      <c r="C60" s="17">
        <v>70</v>
      </c>
      <c r="D60" s="17">
        <v>5</v>
      </c>
      <c r="E60" s="17">
        <v>5.1</v>
      </c>
    </row>
    <row r="61" ht="15" spans="1:5">
      <c r="A61" s="16" t="s">
        <v>73</v>
      </c>
      <c r="B61" s="17">
        <v>179</v>
      </c>
      <c r="C61" s="17">
        <v>68.6</v>
      </c>
      <c r="D61" s="17">
        <v>5</v>
      </c>
      <c r="E61" s="17">
        <v>5</v>
      </c>
    </row>
    <row r="62" ht="15" hidden="1" spans="1:5">
      <c r="A62" t="s">
        <v>67</v>
      </c>
      <c r="B62" s="18">
        <v>159</v>
      </c>
      <c r="C62" s="18">
        <v>56</v>
      </c>
      <c r="D62" s="18">
        <v>5</v>
      </c>
      <c r="E62" s="18">
        <v>4.9</v>
      </c>
    </row>
    <row r="63" ht="15" spans="1:5">
      <c r="A63" s="16" t="s">
        <v>43</v>
      </c>
      <c r="B63" s="17">
        <v>162</v>
      </c>
      <c r="C63" s="17">
        <v>45</v>
      </c>
      <c r="D63" s="17">
        <v>5.1</v>
      </c>
      <c r="E63" s="17">
        <v>5.1</v>
      </c>
    </row>
    <row r="64" ht="15" hidden="1" spans="1:5">
      <c r="A64" t="s">
        <v>69</v>
      </c>
      <c r="B64" s="18">
        <v>165</v>
      </c>
      <c r="C64" s="18">
        <v>59</v>
      </c>
      <c r="D64" s="18">
        <v>4.4</v>
      </c>
      <c r="E64" s="18">
        <v>4.5</v>
      </c>
    </row>
    <row r="65" ht="15" spans="1:5">
      <c r="A65" s="16" t="s">
        <v>32</v>
      </c>
      <c r="B65" s="17">
        <v>174</v>
      </c>
      <c r="C65" s="17">
        <v>59</v>
      </c>
      <c r="D65" s="17">
        <v>5</v>
      </c>
      <c r="E65" s="17">
        <v>5</v>
      </c>
    </row>
    <row r="66" ht="15" spans="1:5">
      <c r="A66" s="16" t="s">
        <v>63</v>
      </c>
      <c r="B66" s="17">
        <v>158</v>
      </c>
      <c r="C66" s="17">
        <v>45.6</v>
      </c>
      <c r="D66" s="17">
        <v>5</v>
      </c>
      <c r="E66" s="17">
        <v>5</v>
      </c>
    </row>
    <row r="67" ht="15" hidden="1" spans="1:5">
      <c r="A67" t="s">
        <v>72</v>
      </c>
      <c r="B67" s="18">
        <v>145</v>
      </c>
      <c r="C67" s="18">
        <v>45</v>
      </c>
      <c r="D67" s="18">
        <v>4.2</v>
      </c>
      <c r="E67" s="18">
        <v>4.3</v>
      </c>
    </row>
    <row r="68" ht="15" spans="1:5">
      <c r="A68" s="16" t="s">
        <v>30</v>
      </c>
      <c r="B68" s="17">
        <v>156</v>
      </c>
      <c r="C68" s="17">
        <v>48</v>
      </c>
      <c r="D68" s="17">
        <v>5</v>
      </c>
      <c r="E68" s="17">
        <v>5</v>
      </c>
    </row>
    <row r="69" ht="14.25"/>
  </sheetData>
  <sortState ref="A4:E68">
    <sortCondition ref="A4:A68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tabSelected="1" zoomScale="70" zoomScaleNormal="70" workbookViewId="0">
      <selection activeCell="N26" sqref="N26"/>
    </sheetView>
  </sheetViews>
  <sheetFormatPr defaultColWidth="9" defaultRowHeight="13.5" outlineLevelCol="6"/>
  <cols>
    <col min="1" max="1" width="7.5" customWidth="1"/>
    <col min="2" max="2" width="16.125" customWidth="1"/>
    <col min="3" max="3" width="5.5" customWidth="1"/>
    <col min="4" max="4" width="13.875" customWidth="1"/>
    <col min="5" max="5" width="11.5" customWidth="1"/>
    <col min="6" max="7" width="9.5" customWidth="1"/>
  </cols>
  <sheetData>
    <row r="1" ht="15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5.75" outlineLevel="2" spans="1:7">
      <c r="A2" s="4" t="s">
        <v>63</v>
      </c>
      <c r="B2" s="5" t="str">
        <f>MID(体检人信息表!B56,7,4)&amp;"年"&amp;MID(体检人信息表!B56,11,2)&amp;"月"&amp;MID(体检人信息表!B56,13,2)&amp;"日"</f>
        <v>2004年05月31日</v>
      </c>
      <c r="C2" s="5" t="str">
        <f>IF(MOD(MID(体检人信息表!B56,17,1)/2,1),"男","女")</f>
        <v>女</v>
      </c>
      <c r="D2" s="6">
        <v>158</v>
      </c>
      <c r="E2" s="6">
        <v>45.6</v>
      </c>
      <c r="F2" s="6">
        <v>5</v>
      </c>
      <c r="G2" s="7">
        <v>5</v>
      </c>
    </row>
    <row r="3" ht="15.75" outlineLevel="2" spans="1:7">
      <c r="A3" s="4" t="s">
        <v>38</v>
      </c>
      <c r="B3" s="5" t="str">
        <f>MID(体检人信息表!B31,7,4)&amp;"年"&amp;MID(体检人信息表!B31,11,2)&amp;"月"&amp;MID(体检人信息表!B31,13,2)&amp;"日"</f>
        <v>2006年10月04日</v>
      </c>
      <c r="C3" s="5" t="str">
        <f>IF(MOD(MID(体检人信息表!B31,17,1)/2,1),"男","女")</f>
        <v>女</v>
      </c>
      <c r="D3" s="6">
        <v>181</v>
      </c>
      <c r="E3" s="6">
        <v>71.3</v>
      </c>
      <c r="F3" s="6">
        <v>4.8</v>
      </c>
      <c r="G3" s="7">
        <v>4.9</v>
      </c>
    </row>
    <row r="4" ht="15.75" outlineLevel="2" spans="1:7">
      <c r="A4" s="4" t="s">
        <v>43</v>
      </c>
      <c r="B4" s="5" t="str">
        <f>MID(体检人信息表!B36,7,4)&amp;"年"&amp;MID(体检人信息表!B36,11,2)&amp;"月"&amp;MID(体检人信息表!B36,13,2)&amp;"日"</f>
        <v>2004年06月23日</v>
      </c>
      <c r="C4" s="5" t="str">
        <f>IF(MOD(MID(体检人信息表!B36,17,1)/2,1),"男","女")</f>
        <v>女</v>
      </c>
      <c r="D4" s="6">
        <v>162</v>
      </c>
      <c r="E4" s="6">
        <v>45</v>
      </c>
      <c r="F4" s="6">
        <v>5.1</v>
      </c>
      <c r="G4" s="7">
        <v>5.1</v>
      </c>
    </row>
    <row r="5" ht="15.75" outlineLevel="2" spans="1:7">
      <c r="A5" s="4" t="s">
        <v>62</v>
      </c>
      <c r="B5" s="5" t="str">
        <f>MID(体检人信息表!B55,7,4)&amp;"年"&amp;MID(体检人信息表!B55,11,2)&amp;"月"&amp;MID(体检人信息表!B55,13,2)&amp;"日"</f>
        <v>2005年09月07日</v>
      </c>
      <c r="C5" s="5" t="str">
        <f>IF(MOD(MID(体检人信息表!B55,17,1)/2,1),"男","女")</f>
        <v>女</v>
      </c>
      <c r="D5" s="6">
        <v>156</v>
      </c>
      <c r="E5" s="6">
        <v>48.6</v>
      </c>
      <c r="F5" s="6">
        <v>4.8</v>
      </c>
      <c r="G5" s="7">
        <v>4.9</v>
      </c>
    </row>
    <row r="6" ht="15.75" outlineLevel="2" spans="1:7">
      <c r="A6" s="4" t="s">
        <v>25</v>
      </c>
      <c r="B6" s="5" t="str">
        <f>MID(体检人信息表!B18,7,4)&amp;"年"&amp;MID(体检人信息表!B18,11,2)&amp;"月"&amp;MID(体检人信息表!B18,13,2)&amp;"日"</f>
        <v>2004年06月03日</v>
      </c>
      <c r="C6" s="5" t="str">
        <f>IF(MOD(MID(体检人信息表!B18,17,1)/2,1),"男","女")</f>
        <v>女</v>
      </c>
      <c r="D6" s="6">
        <v>187</v>
      </c>
      <c r="E6" s="6">
        <v>74</v>
      </c>
      <c r="F6" s="6">
        <v>5.1</v>
      </c>
      <c r="G6" s="7">
        <v>5.1</v>
      </c>
    </row>
    <row r="7" ht="15.75" outlineLevel="2" spans="1:7">
      <c r="A7" s="4" t="s">
        <v>49</v>
      </c>
      <c r="B7" s="5" t="str">
        <f>MID(体检人信息表!B42,7,4)&amp;"年"&amp;MID(体检人信息表!B42,11,2)&amp;"月"&amp;MID(体检人信息表!B42,13,2)&amp;"日"</f>
        <v>2005年04月11日</v>
      </c>
      <c r="C7" s="5" t="str">
        <f>IF(MOD(MID(体检人信息表!B42,17,1)/2,1),"男","女")</f>
        <v>女</v>
      </c>
      <c r="D7" s="6">
        <v>180</v>
      </c>
      <c r="E7" s="6">
        <v>74</v>
      </c>
      <c r="F7" s="6">
        <v>5.1</v>
      </c>
      <c r="G7" s="7">
        <v>5.1</v>
      </c>
    </row>
    <row r="8" ht="15.75" outlineLevel="2" spans="1:7">
      <c r="A8" s="4" t="s">
        <v>21</v>
      </c>
      <c r="B8" s="5" t="str">
        <f>MID(体检人信息表!B14,7,4)&amp;"年"&amp;MID(体检人信息表!B14,11,2)&amp;"月"&amp;MID(体检人信息表!B14,13,2)&amp;"日"</f>
        <v>2004年07月14日</v>
      </c>
      <c r="C8" s="5" t="str">
        <f>IF(MOD(MID(体检人信息表!B14,17,1)/2,1),"男","女")</f>
        <v>女</v>
      </c>
      <c r="D8" s="6">
        <v>171</v>
      </c>
      <c r="E8" s="6">
        <v>60</v>
      </c>
      <c r="F8" s="6">
        <v>4.4</v>
      </c>
      <c r="G8" s="7">
        <v>4.5</v>
      </c>
    </row>
    <row r="9" ht="15.75" outlineLevel="2" spans="1:7">
      <c r="A9" s="4" t="s">
        <v>33</v>
      </c>
      <c r="B9" s="5" t="str">
        <f>MID(体检人信息表!B26,7,4)&amp;"年"&amp;MID(体检人信息表!B26,11,2)&amp;"月"&amp;MID(体检人信息表!B26,13,2)&amp;"日"</f>
        <v>2004年08月01日</v>
      </c>
      <c r="C9" s="5" t="str">
        <f>IF(MOD(MID(体检人信息表!B26,17,1)/2,1),"男","女")</f>
        <v>女</v>
      </c>
      <c r="D9" s="6">
        <v>161</v>
      </c>
      <c r="E9" s="6">
        <v>50</v>
      </c>
      <c r="F9" s="6">
        <v>5.1</v>
      </c>
      <c r="G9" s="7">
        <v>5.1</v>
      </c>
    </row>
    <row r="10" ht="15.75" outlineLevel="2" spans="1:7">
      <c r="A10" s="4" t="s">
        <v>48</v>
      </c>
      <c r="B10" s="5" t="str">
        <f>MID(体检人信息表!B41,7,4)&amp;"年"&amp;MID(体检人信息表!B41,11,2)&amp;"月"&amp;MID(体检人信息表!B41,13,2)&amp;"日"</f>
        <v>2005年01月28日</v>
      </c>
      <c r="C10" s="5" t="str">
        <f>IF(MOD(MID(体检人信息表!B41,17,1)/2,1),"男","女")</f>
        <v>女</v>
      </c>
      <c r="D10" s="6">
        <v>166</v>
      </c>
      <c r="E10" s="6">
        <v>54</v>
      </c>
      <c r="F10" s="6">
        <v>5</v>
      </c>
      <c r="G10" s="7">
        <v>5</v>
      </c>
    </row>
    <row r="11" ht="15.75" outlineLevel="2" spans="1:7">
      <c r="A11" s="4" t="s">
        <v>15</v>
      </c>
      <c r="B11" s="5" t="str">
        <f>MID(体检人信息表!B8,7,4)&amp;"年"&amp;MID(体检人信息表!B8,11,2)&amp;"月"&amp;MID(体检人信息表!B8,13,2)&amp;"日"</f>
        <v>2005年03月04日</v>
      </c>
      <c r="C11" s="5" t="str">
        <f>IF(MOD(MID(体检人信息表!B8,17,1)/2,1),"男","女")</f>
        <v>女</v>
      </c>
      <c r="D11" s="6">
        <v>178</v>
      </c>
      <c r="E11" s="6">
        <v>79</v>
      </c>
      <c r="F11" s="6">
        <v>5</v>
      </c>
      <c r="G11" s="7">
        <v>5</v>
      </c>
    </row>
    <row r="12" ht="15.75" outlineLevel="2" spans="1:7">
      <c r="A12" s="4" t="s">
        <v>60</v>
      </c>
      <c r="B12" s="5" t="str">
        <f>MID(体检人信息表!B53,7,4)&amp;"年"&amp;MID(体检人信息表!B53,11,2)&amp;"月"&amp;MID(体检人信息表!B53,13,2)&amp;"日"</f>
        <v>2005年05月21日</v>
      </c>
      <c r="C12" s="5" t="str">
        <f>IF(MOD(MID(体检人信息表!B53,17,1)/2,1),"男","女")</f>
        <v>女</v>
      </c>
      <c r="D12" s="6">
        <v>187</v>
      </c>
      <c r="E12" s="6">
        <v>60</v>
      </c>
      <c r="F12" s="6">
        <v>4.4</v>
      </c>
      <c r="G12" s="7">
        <v>4.5</v>
      </c>
    </row>
    <row r="13" ht="15.75" outlineLevel="2" spans="1:7">
      <c r="A13" s="4" t="s">
        <v>71</v>
      </c>
      <c r="B13" s="5" t="str">
        <f>MID(体检人信息表!B64,7,4)&amp;"年"&amp;MID(体检人信息表!B64,11,2)&amp;"月"&amp;MID(体检人信息表!B64,13,2)&amp;"日"</f>
        <v>2006年05月11日</v>
      </c>
      <c r="C13" s="5" t="str">
        <f>IF(MOD(MID(体检人信息表!B64,17,1)/2,1),"男","女")</f>
        <v>女</v>
      </c>
      <c r="D13" s="6">
        <v>165</v>
      </c>
      <c r="E13" s="6">
        <v>56</v>
      </c>
      <c r="F13" s="6">
        <v>5.1</v>
      </c>
      <c r="G13" s="7">
        <v>5.1</v>
      </c>
    </row>
    <row r="14" ht="15.75" outlineLevel="2" spans="1:7">
      <c r="A14" s="4" t="s">
        <v>67</v>
      </c>
      <c r="B14" s="5" t="str">
        <f>MID(体检人信息表!B60,7,4)&amp;"年"&amp;MID(体检人信息表!B60,11,2)&amp;"月"&amp;MID(体检人信息表!B60,13,2)&amp;"日"</f>
        <v>2004年11月14日</v>
      </c>
      <c r="C14" s="5" t="str">
        <f>IF(MOD(MID(体检人信息表!B60,17,1)/2,1),"男","女")</f>
        <v>女</v>
      </c>
      <c r="D14" s="6">
        <v>159</v>
      </c>
      <c r="E14" s="6">
        <v>56</v>
      </c>
      <c r="F14" s="6">
        <v>5</v>
      </c>
      <c r="G14" s="7">
        <v>4.9</v>
      </c>
    </row>
    <row r="15" ht="15.75" outlineLevel="2" spans="1:7">
      <c r="A15" s="4" t="s">
        <v>40</v>
      </c>
      <c r="B15" s="5" t="str">
        <f>MID(体检人信息表!B33,7,4)&amp;"年"&amp;MID(体检人信息表!B33,11,2)&amp;"月"&amp;MID(体检人信息表!B33,13,2)&amp;"日"</f>
        <v>2005年09月29日</v>
      </c>
      <c r="C15" s="5" t="str">
        <f>IF(MOD(MID(体检人信息表!B33,17,1)/2,1),"男","女")</f>
        <v>女</v>
      </c>
      <c r="D15" s="6">
        <v>181</v>
      </c>
      <c r="E15" s="6">
        <v>72.6</v>
      </c>
      <c r="F15" s="6">
        <v>4.4</v>
      </c>
      <c r="G15" s="7">
        <v>4.5</v>
      </c>
    </row>
    <row r="16" ht="15.75" outlineLevel="2" spans="1:7">
      <c r="A16" s="4" t="s">
        <v>18</v>
      </c>
      <c r="B16" s="5" t="str">
        <f>MID(体检人信息表!B11,7,4)&amp;"年"&amp;MID(体检人信息表!B11,11,2)&amp;"月"&amp;MID(体检人信息表!B11,13,2)&amp;"日"</f>
        <v>2005年08月17日</v>
      </c>
      <c r="C16" s="5" t="str">
        <f>IF(MOD(MID(体检人信息表!B11,17,1)/2,1),"男","女")</f>
        <v>女</v>
      </c>
      <c r="D16" s="6">
        <v>179</v>
      </c>
      <c r="E16" s="6">
        <v>71.6</v>
      </c>
      <c r="F16" s="6">
        <v>5.1</v>
      </c>
      <c r="G16" s="7">
        <v>5.1</v>
      </c>
    </row>
    <row r="17" ht="15.75" outlineLevel="2" spans="1:7">
      <c r="A17" s="4" t="s">
        <v>45</v>
      </c>
      <c r="B17" s="5" t="str">
        <f>MID(体检人信息表!B38,7,4)&amp;"年"&amp;MID(体检人信息表!B38,11,2)&amp;"月"&amp;MID(体检人信息表!B38,13,2)&amp;"日"</f>
        <v>2005年01月11日</v>
      </c>
      <c r="C17" s="5" t="str">
        <f>IF(MOD(MID(体检人信息表!B38,17,1)/2,1),"男","女")</f>
        <v>女</v>
      </c>
      <c r="D17" s="6">
        <v>174</v>
      </c>
      <c r="E17" s="6">
        <v>51.3</v>
      </c>
      <c r="F17" s="6">
        <v>5</v>
      </c>
      <c r="G17" s="7">
        <v>5.1</v>
      </c>
    </row>
    <row r="18" ht="15.75" outlineLevel="2" spans="1:7">
      <c r="A18" s="4" t="s">
        <v>64</v>
      </c>
      <c r="B18" s="5" t="str">
        <f>MID(体检人信息表!B57,7,4)&amp;"年"&amp;MID(体检人信息表!B57,11,2)&amp;"月"&amp;MID(体检人信息表!B57,13,2)&amp;"日"</f>
        <v>2004年06月24日</v>
      </c>
      <c r="C18" s="5" t="str">
        <f>IF(MOD(MID(体检人信息表!B57,17,1)/2,1),"男","女")</f>
        <v>女</v>
      </c>
      <c r="D18" s="6">
        <v>176</v>
      </c>
      <c r="E18" s="6">
        <v>71.3</v>
      </c>
      <c r="F18" s="6">
        <v>5.1</v>
      </c>
      <c r="G18" s="7">
        <v>5.1</v>
      </c>
    </row>
    <row r="19" ht="15.75" outlineLevel="2" spans="1:7">
      <c r="A19" s="4" t="s">
        <v>54</v>
      </c>
      <c r="B19" s="5" t="str">
        <f>MID(体检人信息表!B47,7,4)&amp;"年"&amp;MID(体检人信息表!B47,11,2)&amp;"月"&amp;MID(体检人信息表!B47,13,2)&amp;"日"</f>
        <v>2006年12月06日</v>
      </c>
      <c r="C19" s="5" t="str">
        <f>IF(MOD(MID(体检人信息表!B47,17,1)/2,1),"男","女")</f>
        <v>女</v>
      </c>
      <c r="D19" s="6">
        <v>156</v>
      </c>
      <c r="E19" s="6">
        <v>48</v>
      </c>
      <c r="F19" s="6">
        <v>5</v>
      </c>
      <c r="G19" s="7">
        <v>5</v>
      </c>
    </row>
    <row r="20" ht="15.75" outlineLevel="2" spans="1:7">
      <c r="A20" s="4" t="s">
        <v>61</v>
      </c>
      <c r="B20" s="5" t="str">
        <f>MID(体检人信息表!B54,7,4)&amp;"年"&amp;MID(体检人信息表!B54,11,2)&amp;"月"&amp;MID(体检人信息表!B54,13,2)&amp;"日"</f>
        <v>2004年09月16日</v>
      </c>
      <c r="C20" s="5" t="str">
        <f>IF(MOD(MID(体检人信息表!B54,17,1)/2,1),"男","女")</f>
        <v>女</v>
      </c>
      <c r="D20" s="6">
        <v>165</v>
      </c>
      <c r="E20" s="6">
        <v>45.9</v>
      </c>
      <c r="F20" s="6">
        <v>4.7</v>
      </c>
      <c r="G20" s="7">
        <v>4.7</v>
      </c>
    </row>
    <row r="21" ht="15.75" outlineLevel="2" spans="1:7">
      <c r="A21" s="4" t="s">
        <v>36</v>
      </c>
      <c r="B21" s="5" t="str">
        <f>MID(体检人信息表!B29,7,4)&amp;"年"&amp;MID(体检人信息表!B29,11,2)&amp;"月"&amp;MID(体检人信息表!B29,13,2)&amp;"日"</f>
        <v>2006年08月07日</v>
      </c>
      <c r="C21" s="5" t="str">
        <f>IF(MOD(MID(体检人信息表!B29,17,1)/2,1),"男","女")</f>
        <v>女</v>
      </c>
      <c r="D21" s="6">
        <v>170</v>
      </c>
      <c r="E21" s="6">
        <v>61</v>
      </c>
      <c r="F21" s="6">
        <v>4.4</v>
      </c>
      <c r="G21" s="7">
        <v>4.5</v>
      </c>
    </row>
    <row r="22" ht="15.75" outlineLevel="2" spans="1:7">
      <c r="A22" s="4" t="s">
        <v>56</v>
      </c>
      <c r="B22" s="5" t="str">
        <f>MID(体检人信息表!B49,7,4)&amp;"年"&amp;MID(体检人信息表!B49,11,2)&amp;"月"&amp;MID(体检人信息表!B49,13,2)&amp;"日"</f>
        <v>2005年11月14日</v>
      </c>
      <c r="C22" s="5" t="str">
        <f>IF(MOD(MID(体检人信息表!B49,17,1)/2,1),"男","女")</f>
        <v>女</v>
      </c>
      <c r="D22" s="6">
        <v>153</v>
      </c>
      <c r="E22" s="6">
        <v>49</v>
      </c>
      <c r="F22" s="6">
        <v>5</v>
      </c>
      <c r="G22" s="7">
        <v>5</v>
      </c>
    </row>
    <row r="23" ht="15.75" outlineLevel="2" spans="1:7">
      <c r="A23" s="4" t="s">
        <v>16</v>
      </c>
      <c r="B23" s="5" t="str">
        <f>MID(体检人信息表!B9,7,4)&amp;"年"&amp;MID(体检人信息表!B9,11,2)&amp;"月"&amp;MID(体检人信息表!B9,13,2)&amp;"日"</f>
        <v>2005年03月27日</v>
      </c>
      <c r="C23" s="5" t="str">
        <f>IF(MOD(MID(体检人信息表!B9,17,1)/2,1),"男","女")</f>
        <v>女</v>
      </c>
      <c r="D23" s="6">
        <v>164</v>
      </c>
      <c r="E23" s="6">
        <v>65</v>
      </c>
      <c r="F23" s="6">
        <v>5.1</v>
      </c>
      <c r="G23" s="7">
        <v>5.1</v>
      </c>
    </row>
    <row r="24" ht="15.75" outlineLevel="2" spans="1:7">
      <c r="A24" s="4" t="s">
        <v>70</v>
      </c>
      <c r="B24" s="5" t="str">
        <f>MID(体检人信息表!B63,7,4)&amp;"年"&amp;MID(体检人信息表!B63,11,2)&amp;"月"&amp;MID(体检人信息表!B63,13,2)&amp;"日"</f>
        <v>2006年11月26日</v>
      </c>
      <c r="C24" s="5" t="str">
        <f>IF(MOD(MID(体检人信息表!B63,17,1)/2,1),"男","女")</f>
        <v>女</v>
      </c>
      <c r="D24" s="6">
        <v>184</v>
      </c>
      <c r="E24" s="6">
        <v>69.6</v>
      </c>
      <c r="F24" s="6">
        <v>5</v>
      </c>
      <c r="G24" s="7">
        <v>5</v>
      </c>
    </row>
    <row r="25" ht="15.75" outlineLevel="2" spans="1:7">
      <c r="A25" s="4" t="s">
        <v>46</v>
      </c>
      <c r="B25" s="5" t="str">
        <f>MID(体检人信息表!B39,7,4)&amp;"年"&amp;MID(体检人信息表!B39,11,2)&amp;"月"&amp;MID(体检人信息表!B39,13,2)&amp;"日"</f>
        <v>2005年10月23日</v>
      </c>
      <c r="C25" s="5" t="str">
        <f>IF(MOD(MID(体检人信息表!B39,17,1)/2,1),"男","女")</f>
        <v>女</v>
      </c>
      <c r="D25" s="6">
        <v>158</v>
      </c>
      <c r="E25" s="6">
        <v>52.6</v>
      </c>
      <c r="F25" s="6">
        <v>5</v>
      </c>
      <c r="G25" s="7">
        <v>5</v>
      </c>
    </row>
    <row r="26" ht="15.75" outlineLevel="2" spans="1:7">
      <c r="A26" s="4" t="s">
        <v>39</v>
      </c>
      <c r="B26" s="5" t="str">
        <f>MID(体检人信息表!B32,7,4)&amp;"年"&amp;MID(体检人信息表!B32,11,2)&amp;"月"&amp;MID(体检人信息表!B32,13,2)&amp;"日"</f>
        <v>2006年06月16日</v>
      </c>
      <c r="C26" s="5" t="str">
        <f>IF(MOD(MID(体检人信息表!B32,17,1)/2,1),"男","女")</f>
        <v>女</v>
      </c>
      <c r="D26" s="6">
        <v>182</v>
      </c>
      <c r="E26" s="6">
        <v>70.6</v>
      </c>
      <c r="F26" s="6">
        <v>5</v>
      </c>
      <c r="G26" s="7">
        <v>5</v>
      </c>
    </row>
    <row r="27" ht="15.75" outlineLevel="2" spans="1:7">
      <c r="A27" s="4" t="s">
        <v>72</v>
      </c>
      <c r="B27" s="5" t="str">
        <f>MID(体检人信息表!B65,7,4)&amp;"年"&amp;MID(体检人信息表!B65,11,2)&amp;"月"&amp;MID(体检人信息表!B65,13,2)&amp;"日"</f>
        <v>2005年09月16日</v>
      </c>
      <c r="C27" s="5" t="str">
        <f>IF(MOD(MID(体检人信息表!B65,17,1)/2,1),"男","女")</f>
        <v>女</v>
      </c>
      <c r="D27" s="6">
        <v>145</v>
      </c>
      <c r="E27" s="6">
        <v>45</v>
      </c>
      <c r="F27" s="6">
        <v>4.2</v>
      </c>
      <c r="G27" s="7">
        <v>4.3</v>
      </c>
    </row>
    <row r="28" ht="15.75" outlineLevel="2" spans="1:7">
      <c r="A28" s="4" t="s">
        <v>59</v>
      </c>
      <c r="B28" s="5" t="str">
        <f>MID(体检人信息表!B52,7,4)&amp;"年"&amp;MID(体检人信息表!B52,11,2)&amp;"月"&amp;MID(体检人信息表!B52,13,2)&amp;"日"</f>
        <v>2005年11月26日</v>
      </c>
      <c r="C28" s="5" t="str">
        <f>IF(MOD(MID(体检人信息表!B52,17,1)/2,1),"男","女")</f>
        <v>女</v>
      </c>
      <c r="D28" s="6">
        <v>168</v>
      </c>
      <c r="E28" s="6">
        <v>49</v>
      </c>
      <c r="F28" s="6">
        <v>5</v>
      </c>
      <c r="G28" s="7">
        <v>5</v>
      </c>
    </row>
    <row r="29" ht="15.75" outlineLevel="2" spans="1:7">
      <c r="A29" s="4" t="s">
        <v>65</v>
      </c>
      <c r="B29" s="5" t="str">
        <f>MID(体检人信息表!B58,7,4)&amp;"年"&amp;MID(体检人信息表!B58,11,2)&amp;"月"&amp;MID(体检人信息表!B58,13,2)&amp;"日"</f>
        <v>2005年12月06日</v>
      </c>
      <c r="C29" s="5" t="str">
        <f>IF(MOD(MID(体检人信息表!B58,17,1)/2,1),"男","女")</f>
        <v>女</v>
      </c>
      <c r="D29" s="6">
        <v>175</v>
      </c>
      <c r="E29" s="6">
        <v>71.5</v>
      </c>
      <c r="F29" s="6">
        <v>5</v>
      </c>
      <c r="G29" s="7">
        <v>5</v>
      </c>
    </row>
    <row r="30" ht="15.75" outlineLevel="1" spans="1:7">
      <c r="A30" s="4"/>
      <c r="B30" s="5"/>
      <c r="C30" s="8" t="s">
        <v>141</v>
      </c>
      <c r="D30" s="6">
        <f>SUBTOTAL(1,D2:D29)</f>
        <v>169.321428571429</v>
      </c>
      <c r="E30" s="6">
        <f>SUBTOTAL(1,E2:E29)</f>
        <v>59.5535714285714</v>
      </c>
      <c r="F30" s="6"/>
      <c r="G30" s="7"/>
    </row>
    <row r="31" ht="15.75" outlineLevel="2" spans="1:7">
      <c r="A31" s="4" t="s">
        <v>30</v>
      </c>
      <c r="B31" s="5" t="str">
        <f>MID(体检人信息表!B23,7,4)&amp;"年"&amp;MID(体检人信息表!B23,11,2)&amp;"月"&amp;MID(体检人信息表!B23,13,2)&amp;"日"</f>
        <v>2005年04月23日</v>
      </c>
      <c r="C31" s="5" t="str">
        <f>IF(MOD(MID(体检人信息表!B23,17,1)/2,1),"男","女")</f>
        <v>男</v>
      </c>
      <c r="D31" s="6">
        <v>156</v>
      </c>
      <c r="E31" s="6">
        <v>48</v>
      </c>
      <c r="F31" s="6">
        <v>5</v>
      </c>
      <c r="G31" s="7">
        <v>5</v>
      </c>
    </row>
    <row r="32" ht="15.75" outlineLevel="2" spans="1:7">
      <c r="A32" s="4" t="s">
        <v>50</v>
      </c>
      <c r="B32" s="5" t="str">
        <f>MID(体检人信息表!B43,7,4)&amp;"年"&amp;MID(体检人信息表!B43,11,2)&amp;"月"&amp;MID(体检人信息表!B43,13,2)&amp;"日"</f>
        <v>2005年08月09日</v>
      </c>
      <c r="C32" s="5" t="str">
        <f>IF(MOD(MID(体检人信息表!B43,17,1)/2,1),"男","女")</f>
        <v>男</v>
      </c>
      <c r="D32" s="6">
        <v>178</v>
      </c>
      <c r="E32" s="6">
        <v>69</v>
      </c>
      <c r="F32" s="6">
        <v>4.9</v>
      </c>
      <c r="G32" s="7">
        <v>4.9</v>
      </c>
    </row>
    <row r="33" ht="15.75" outlineLevel="2" spans="1:7">
      <c r="A33" s="4" t="s">
        <v>32</v>
      </c>
      <c r="B33" s="5" t="str">
        <f>MID(体检人信息表!B25,7,4)&amp;"年"&amp;MID(体检人信息表!B25,11,2)&amp;"月"&amp;MID(体检人信息表!B25,13,2)&amp;"日"</f>
        <v>2005年12月28日</v>
      </c>
      <c r="C33" s="5" t="str">
        <f>IF(MOD(MID(体检人信息表!B25,17,1)/2,1),"男","女")</f>
        <v>男</v>
      </c>
      <c r="D33" s="6">
        <v>174</v>
      </c>
      <c r="E33" s="6">
        <v>59</v>
      </c>
      <c r="F33" s="6">
        <v>5</v>
      </c>
      <c r="G33" s="7">
        <v>5</v>
      </c>
    </row>
    <row r="34" ht="15.75" outlineLevel="2" spans="1:7">
      <c r="A34" s="4" t="s">
        <v>23</v>
      </c>
      <c r="B34" s="5" t="str">
        <f>MID(体检人信息表!B16,7,4)&amp;"年"&amp;MID(体检人信息表!B16,11,2)&amp;"月"&amp;MID(体检人信息表!B16,13,2)&amp;"日"</f>
        <v>2004年10月21日</v>
      </c>
      <c r="C34" s="5" t="str">
        <f>IF(MOD(MID(体检人信息表!B16,17,1)/2,1),"男","女")</f>
        <v>男</v>
      </c>
      <c r="D34" s="6">
        <v>167</v>
      </c>
      <c r="E34" s="6">
        <v>68</v>
      </c>
      <c r="F34" s="6">
        <v>4.8</v>
      </c>
      <c r="G34" s="7">
        <v>4.9</v>
      </c>
    </row>
    <row r="35" ht="15.75" outlineLevel="2" spans="1:7">
      <c r="A35" s="4" t="s">
        <v>52</v>
      </c>
      <c r="B35" s="5" t="str">
        <f>MID(体检人信息表!B45,7,4)&amp;"年"&amp;MID(体检人信息表!B45,11,2)&amp;"月"&amp;MID(体检人信息表!B45,13,2)&amp;"日"</f>
        <v>2004年12月22日</v>
      </c>
      <c r="C35" s="5" t="str">
        <f>IF(MOD(MID(体检人信息表!B45,17,1)/2,1),"男","女")</f>
        <v>男</v>
      </c>
      <c r="D35" s="6">
        <v>180</v>
      </c>
      <c r="E35" s="6">
        <v>66.8</v>
      </c>
      <c r="F35" s="6">
        <v>4.7</v>
      </c>
      <c r="G35" s="7">
        <v>4.7</v>
      </c>
    </row>
    <row r="36" ht="15.75" outlineLevel="2" spans="1:7">
      <c r="A36" s="4" t="s">
        <v>73</v>
      </c>
      <c r="B36" s="5" t="str">
        <f>MID(体检人信息表!B66,7,4)&amp;"年"&amp;MID(体检人信息表!B66,11,2)&amp;"月"&amp;MID(体检人信息表!B66,13,2)&amp;"日"</f>
        <v>2004年12月02日</v>
      </c>
      <c r="C36" s="5" t="str">
        <f>IF(MOD(MID(体检人信息表!B66,17,1)/2,1),"男","女")</f>
        <v>男</v>
      </c>
      <c r="D36" s="6">
        <v>179</v>
      </c>
      <c r="E36" s="6">
        <v>68.6</v>
      </c>
      <c r="F36" s="6">
        <v>5</v>
      </c>
      <c r="G36" s="7">
        <v>5</v>
      </c>
    </row>
    <row r="37" ht="15.75" outlineLevel="2" spans="1:7">
      <c r="A37" s="4" t="s">
        <v>44</v>
      </c>
      <c r="B37" s="5" t="str">
        <f>MID(体检人信息表!B37,7,4)&amp;"年"&amp;MID(体检人信息表!B37,11,2)&amp;"月"&amp;MID(体检人信息表!B37,13,2)&amp;"日"</f>
        <v>2005年10月13日</v>
      </c>
      <c r="C37" s="5" t="str">
        <f>IF(MOD(MID(体检人信息表!B37,17,1)/2,1),"男","女")</f>
        <v>男</v>
      </c>
      <c r="D37" s="6">
        <v>166</v>
      </c>
      <c r="E37" s="6">
        <v>48</v>
      </c>
      <c r="F37" s="6">
        <v>5</v>
      </c>
      <c r="G37" s="7">
        <v>4.9</v>
      </c>
    </row>
    <row r="38" ht="15.75" outlineLevel="2" spans="1:7">
      <c r="A38" s="4" t="s">
        <v>69</v>
      </c>
      <c r="B38" s="5" t="str">
        <f>MID(体检人信息表!B62,7,4)&amp;"年"&amp;MID(体检人信息表!B62,11,2)&amp;"月"&amp;MID(体检人信息表!B62,13,2)&amp;"日"</f>
        <v>2004年09月06日</v>
      </c>
      <c r="C38" s="5" t="str">
        <f>IF(MOD(MID(体检人信息表!B62,17,1)/2,1),"男","女")</f>
        <v>男</v>
      </c>
      <c r="D38" s="6">
        <v>165</v>
      </c>
      <c r="E38" s="6">
        <v>59</v>
      </c>
      <c r="F38" s="6">
        <v>4.4</v>
      </c>
      <c r="G38" s="7">
        <v>4.5</v>
      </c>
    </row>
    <row r="39" ht="15.75" outlineLevel="2" spans="1:7">
      <c r="A39" s="4" t="s">
        <v>8</v>
      </c>
      <c r="B39" s="5" t="str">
        <f>MID(体检人信息表!B2,7,4)&amp;"年"&amp;MID(体检人信息表!B2,11,2)&amp;"月"&amp;MID(体检人信息表!B2,13,2)&amp;"日"</f>
        <v>2004年01月05日</v>
      </c>
      <c r="C39" s="5" t="str">
        <f>IF(MOD(MID(体检人信息表!B2,17,1)/2,1),"男","女")</f>
        <v>男</v>
      </c>
      <c r="D39" s="6">
        <v>181</v>
      </c>
      <c r="E39" s="6">
        <v>70</v>
      </c>
      <c r="F39" s="6">
        <v>5</v>
      </c>
      <c r="G39" s="7">
        <v>5.1</v>
      </c>
    </row>
    <row r="40" ht="15.75" outlineLevel="2" spans="1:7">
      <c r="A40" s="4" t="s">
        <v>27</v>
      </c>
      <c r="B40" s="5" t="str">
        <f>MID(体检人信息表!B20,7,4)&amp;"年"&amp;MID(体检人信息表!B20,11,2)&amp;"月"&amp;MID(体检人信息表!B20,13,2)&amp;"日"</f>
        <v>2004年05月13日</v>
      </c>
      <c r="C40" s="5" t="str">
        <f>IF(MOD(MID(体检人信息表!B20,17,1)/2,1),"男","女")</f>
        <v>男</v>
      </c>
      <c r="D40" s="6">
        <v>181</v>
      </c>
      <c r="E40" s="6">
        <v>76</v>
      </c>
      <c r="F40" s="6">
        <v>5.1</v>
      </c>
      <c r="G40" s="7">
        <v>5.1</v>
      </c>
    </row>
    <row r="41" ht="15.75" outlineLevel="2" spans="1:7">
      <c r="A41" s="4" t="s">
        <v>37</v>
      </c>
      <c r="B41" s="5" t="str">
        <f>MID(体检人信息表!B30,7,4)&amp;"年"&amp;MID(体检人信息表!B30,11,2)&amp;"月"&amp;MID(体检人信息表!B30,13,2)&amp;"日"</f>
        <v>2004年10月01日</v>
      </c>
      <c r="C41" s="5" t="str">
        <f>IF(MOD(MID(体检人信息表!B30,17,1)/2,1),"男","女")</f>
        <v>男</v>
      </c>
      <c r="D41" s="6">
        <v>180</v>
      </c>
      <c r="E41" s="6">
        <v>71.5</v>
      </c>
      <c r="F41" s="6">
        <v>4.7</v>
      </c>
      <c r="G41" s="7">
        <v>4.7</v>
      </c>
    </row>
    <row r="42" ht="15.75" outlineLevel="2" spans="1:7">
      <c r="A42" s="4" t="s">
        <v>11</v>
      </c>
      <c r="B42" s="5" t="str">
        <f>MID(体检人信息表!B4,7,4)&amp;"年"&amp;MID(体检人信息表!B4,11,2)&amp;"月"&amp;MID(体检人信息表!B4,13,2)&amp;"日"</f>
        <v>2005年03月29日</v>
      </c>
      <c r="C42" s="5" t="str">
        <f>IF(MOD(MID(体检人信息表!B4,17,1)/2,1),"男","女")</f>
        <v>男</v>
      </c>
      <c r="D42" s="6">
        <v>171</v>
      </c>
      <c r="E42" s="6">
        <v>75</v>
      </c>
      <c r="F42" s="6">
        <v>5</v>
      </c>
      <c r="G42" s="7">
        <v>5</v>
      </c>
    </row>
    <row r="43" ht="15.75" outlineLevel="2" spans="1:7">
      <c r="A43" s="4" t="s">
        <v>29</v>
      </c>
      <c r="B43" s="5" t="str">
        <f>MID(体检人信息表!B22,7,4)&amp;"年"&amp;MID(体检人信息表!B22,11,2)&amp;"月"&amp;MID(体检人信息表!B22,13,2)&amp;"日"</f>
        <v>2004年07月25日</v>
      </c>
      <c r="C43" s="5" t="str">
        <f>IF(MOD(MID(体检人信息表!B22,17,1)/2,1),"男","女")</f>
        <v>男</v>
      </c>
      <c r="D43" s="6">
        <v>175</v>
      </c>
      <c r="E43" s="6">
        <v>65</v>
      </c>
      <c r="F43" s="6">
        <v>5</v>
      </c>
      <c r="G43" s="7">
        <v>5.1</v>
      </c>
    </row>
    <row r="44" ht="15.75" outlineLevel="2" spans="1:7">
      <c r="A44" s="4" t="s">
        <v>9</v>
      </c>
      <c r="B44" s="5" t="str">
        <f>MID(体检人信息表!B3,7,4)&amp;"年"&amp;MID(体检人信息表!B3,11,2)&amp;"月"&amp;MID(体检人信息表!B3,13,2)&amp;"日"</f>
        <v>2005年12月19日</v>
      </c>
      <c r="C44" s="5" t="str">
        <f>IF(MOD(MID(体检人信息表!B3,17,1)/2,1),"男","女")</f>
        <v>男</v>
      </c>
      <c r="D44" s="6">
        <v>182</v>
      </c>
      <c r="E44" s="6">
        <v>71.3</v>
      </c>
      <c r="F44" s="6">
        <v>4.2</v>
      </c>
      <c r="G44" s="7">
        <v>4.3</v>
      </c>
    </row>
    <row r="45" ht="15.75" outlineLevel="2" spans="1:7">
      <c r="A45" s="4" t="s">
        <v>53</v>
      </c>
      <c r="B45" s="5" t="str">
        <f>MID(体检人信息表!B46,7,4)&amp;"年"&amp;MID(体检人信息表!B46,11,2)&amp;"月"&amp;MID(体检人信息表!B46,13,2)&amp;"日"</f>
        <v>2005年12月24日</v>
      </c>
      <c r="C45" s="5" t="str">
        <f>IF(MOD(MID(体检人信息表!B46,17,1)/2,1),"男","女")</f>
        <v>男</v>
      </c>
      <c r="D45" s="6">
        <v>163</v>
      </c>
      <c r="E45" s="6">
        <v>54</v>
      </c>
      <c r="F45" s="6">
        <v>4.9</v>
      </c>
      <c r="G45" s="7">
        <v>4.9</v>
      </c>
    </row>
    <row r="46" ht="15.75" outlineLevel="2" spans="1:7">
      <c r="A46" s="4" t="s">
        <v>22</v>
      </c>
      <c r="B46" s="5" t="str">
        <f>MID(体检人信息表!B15,7,4)&amp;"年"&amp;MID(体检人信息表!B15,11,2)&amp;"月"&amp;MID(体检人信息表!B15,13,2)&amp;"日"</f>
        <v>2005年10月05日</v>
      </c>
      <c r="C46" s="5" t="str">
        <f>IF(MOD(MID(体检人信息表!B15,17,1)/2,1),"男","女")</f>
        <v>男</v>
      </c>
      <c r="D46" s="6">
        <v>174</v>
      </c>
      <c r="E46" s="6">
        <v>75</v>
      </c>
      <c r="F46" s="6">
        <v>4.7</v>
      </c>
      <c r="G46" s="7">
        <v>4.7</v>
      </c>
    </row>
    <row r="47" ht="15.75" outlineLevel="2" spans="1:7">
      <c r="A47" s="4" t="s">
        <v>58</v>
      </c>
      <c r="B47" s="5" t="str">
        <f>MID(体检人信息表!B51,7,4)&amp;"年"&amp;MID(体检人信息表!B51,11,2)&amp;"月"&amp;MID(体检人信息表!B51,13,2)&amp;"日"</f>
        <v>2005年09月06日</v>
      </c>
      <c r="C47" s="5" t="str">
        <f>IF(MOD(MID(体检人信息表!B51,17,1)/2,1),"男","女")</f>
        <v>男</v>
      </c>
      <c r="D47" s="6">
        <v>164</v>
      </c>
      <c r="E47" s="6">
        <v>50</v>
      </c>
      <c r="F47" s="6">
        <v>4.2</v>
      </c>
      <c r="G47" s="7">
        <v>4.3</v>
      </c>
    </row>
    <row r="48" ht="15.75" outlineLevel="2" spans="1:7">
      <c r="A48" s="4" t="s">
        <v>57</v>
      </c>
      <c r="B48" s="5" t="str">
        <f>MID(体检人信息表!B50,7,4)&amp;"年"&amp;MID(体检人信息表!B50,11,2)&amp;"月"&amp;MID(体检人信息表!B50,13,2)&amp;"日"</f>
        <v>2005年09月01日</v>
      </c>
      <c r="C48" s="5" t="str">
        <f>IF(MOD(MID(体检人信息表!B50,17,1)/2,1),"男","女")</f>
        <v>男</v>
      </c>
      <c r="D48" s="6">
        <v>154</v>
      </c>
      <c r="E48" s="6">
        <v>47.6</v>
      </c>
      <c r="F48" s="6">
        <v>5.1</v>
      </c>
      <c r="G48" s="7">
        <v>5.1</v>
      </c>
    </row>
    <row r="49" ht="15.75" outlineLevel="2" spans="1:7">
      <c r="A49" s="4" t="s">
        <v>31</v>
      </c>
      <c r="B49" s="5" t="str">
        <f>MID(体检人信息表!B24,7,4)&amp;"年"&amp;MID(体检人信息表!B24,11,2)&amp;"月"&amp;MID(体检人信息表!B24,13,2)&amp;"日"</f>
        <v>2004年11月06日</v>
      </c>
      <c r="C49" s="5" t="str">
        <f>IF(MOD(MID(体检人信息表!B24,17,1)/2,1),"男","女")</f>
        <v>男</v>
      </c>
      <c r="D49" s="6">
        <v>175</v>
      </c>
      <c r="E49" s="6">
        <v>50</v>
      </c>
      <c r="F49" s="6">
        <v>5.1</v>
      </c>
      <c r="G49" s="7">
        <v>5.1</v>
      </c>
    </row>
    <row r="50" ht="15.75" outlineLevel="2" spans="1:7">
      <c r="A50" s="4" t="s">
        <v>66</v>
      </c>
      <c r="B50" s="5" t="str">
        <f>MID(体检人信息表!B59,7,4)&amp;"年"&amp;MID(体检人信息表!B59,11,2)&amp;"月"&amp;MID(体检人信息表!B59,13,2)&amp;"日"</f>
        <v>2006年09月04日</v>
      </c>
      <c r="C50" s="5" t="str">
        <f>IF(MOD(MID(体检人信息表!B59,17,1)/2,1),"男","女")</f>
        <v>男</v>
      </c>
      <c r="D50" s="6">
        <v>176</v>
      </c>
      <c r="E50" s="6">
        <v>69.5</v>
      </c>
      <c r="F50" s="6">
        <v>5.1</v>
      </c>
      <c r="G50" s="7">
        <v>5.1</v>
      </c>
    </row>
    <row r="51" ht="15.75" outlineLevel="2" spans="1:7">
      <c r="A51" s="4" t="s">
        <v>12</v>
      </c>
      <c r="B51" s="5" t="str">
        <f>MID(体检人信息表!B5,7,4)&amp;"年"&amp;MID(体检人信息表!B5,11,2)&amp;"月"&amp;MID(体检人信息表!B5,13,2)&amp;"日"</f>
        <v>2004年04月27日</v>
      </c>
      <c r="C51" s="5" t="str">
        <f>IF(MOD(MID(体检人信息表!B5,17,1)/2,1),"男","女")</f>
        <v>男</v>
      </c>
      <c r="D51" s="6">
        <v>165</v>
      </c>
      <c r="E51" s="6">
        <v>60</v>
      </c>
      <c r="F51" s="6">
        <v>4.4</v>
      </c>
      <c r="G51" s="7">
        <v>4.5</v>
      </c>
    </row>
    <row r="52" ht="15.75" outlineLevel="2" spans="1:7">
      <c r="A52" s="4" t="s">
        <v>14</v>
      </c>
      <c r="B52" s="5" t="str">
        <f>MID(体检人信息表!B7,7,4)&amp;"年"&amp;MID(体检人信息表!B7,11,2)&amp;"月"&amp;MID(体检人信息表!B7,13,2)&amp;"日"</f>
        <v>2004年05月28日</v>
      </c>
      <c r="C52" s="5" t="str">
        <f>IF(MOD(MID(体检人信息表!B7,17,1)/2,1),"男","女")</f>
        <v>男</v>
      </c>
      <c r="D52" s="6">
        <v>180</v>
      </c>
      <c r="E52" s="6">
        <v>70.6</v>
      </c>
      <c r="F52" s="6">
        <v>4.8</v>
      </c>
      <c r="G52" s="7">
        <v>4.9</v>
      </c>
    </row>
    <row r="53" ht="15.75" outlineLevel="2" spans="1:7">
      <c r="A53" s="4" t="s">
        <v>35</v>
      </c>
      <c r="B53" s="5" t="str">
        <f>MID(体检人信息表!B28,7,4)&amp;"年"&amp;MID(体检人信息表!B28,11,2)&amp;"月"&amp;MID(体检人信息表!B28,13,2)&amp;"日"</f>
        <v>2005年10月24日</v>
      </c>
      <c r="C53" s="5" t="str">
        <f>IF(MOD(MID(体检人信息表!B28,17,1)/2,1),"男","女")</f>
        <v>男</v>
      </c>
      <c r="D53" s="6">
        <v>171</v>
      </c>
      <c r="E53" s="6">
        <v>60</v>
      </c>
      <c r="F53" s="6">
        <v>4.5</v>
      </c>
      <c r="G53" s="7">
        <v>4.5</v>
      </c>
    </row>
    <row r="54" ht="15.75" outlineLevel="2" spans="1:7">
      <c r="A54" s="4" t="s">
        <v>34</v>
      </c>
      <c r="B54" s="5" t="str">
        <f>MID(体检人信息表!B27,7,4)&amp;"年"&amp;MID(体检人信息表!B27,11,2)&amp;"月"&amp;MID(体检人信息表!B27,13,2)&amp;"日"</f>
        <v>2005年01月29日</v>
      </c>
      <c r="C54" s="5" t="str">
        <f>IF(MOD(MID(体检人信息表!B27,17,1)/2,1),"男","女")</f>
        <v>男</v>
      </c>
      <c r="D54" s="6">
        <v>160</v>
      </c>
      <c r="E54" s="6">
        <v>49</v>
      </c>
      <c r="F54" s="6">
        <v>4.9</v>
      </c>
      <c r="G54" s="7">
        <v>4.9</v>
      </c>
    </row>
    <row r="55" ht="15.75" outlineLevel="2" spans="1:7">
      <c r="A55" s="4" t="s">
        <v>51</v>
      </c>
      <c r="B55" s="5" t="str">
        <f>MID(体检人信息表!B44,7,4)&amp;"年"&amp;MID(体检人信息表!B44,11,2)&amp;"月"&amp;MID(体检人信息表!B44,13,2)&amp;"日"</f>
        <v>2005年10月02日</v>
      </c>
      <c r="C55" s="5" t="str">
        <f>IF(MOD(MID(体检人信息表!B44,17,1)/2,1),"男","女")</f>
        <v>男</v>
      </c>
      <c r="D55" s="6">
        <v>179</v>
      </c>
      <c r="E55" s="6">
        <v>58.6</v>
      </c>
      <c r="F55" s="6">
        <v>4.5</v>
      </c>
      <c r="G55" s="7">
        <v>4.5</v>
      </c>
    </row>
    <row r="56" ht="15.75" outlineLevel="2" spans="1:7">
      <c r="A56" s="4" t="s">
        <v>24</v>
      </c>
      <c r="B56" s="5" t="str">
        <f>MID(体检人信息表!B17,7,4)&amp;"年"&amp;MID(体检人信息表!B17,11,2)&amp;"月"&amp;MID(体检人信息表!B17,13,2)&amp;"日"</f>
        <v>2005年11月11日</v>
      </c>
      <c r="C56" s="5" t="str">
        <f>IF(MOD(MID(体检人信息表!B17,17,1)/2,1),"男","女")</f>
        <v>男</v>
      </c>
      <c r="D56" s="6">
        <v>167</v>
      </c>
      <c r="E56" s="6">
        <v>60</v>
      </c>
      <c r="F56" s="6">
        <v>5</v>
      </c>
      <c r="G56" s="7">
        <v>5</v>
      </c>
    </row>
    <row r="57" ht="15.75" outlineLevel="2" spans="1:7">
      <c r="A57" s="4" t="s">
        <v>41</v>
      </c>
      <c r="B57" s="5" t="str">
        <f>MID(体检人信息表!B34,7,4)&amp;"年"&amp;MID(体检人信息表!B34,11,2)&amp;"月"&amp;MID(体检人信息表!B34,13,2)&amp;"日"</f>
        <v>2006年02月04日</v>
      </c>
      <c r="C57" s="5" t="str">
        <f>IF(MOD(MID(体检人信息表!B34,17,1)/2,1),"男","女")</f>
        <v>男</v>
      </c>
      <c r="D57" s="6">
        <v>183</v>
      </c>
      <c r="E57" s="6">
        <v>69.3</v>
      </c>
      <c r="F57" s="6">
        <v>4.7</v>
      </c>
      <c r="G57" s="7">
        <v>4.7</v>
      </c>
    </row>
    <row r="58" ht="15.75" outlineLevel="2" spans="1:7">
      <c r="A58" s="4" t="s">
        <v>68</v>
      </c>
      <c r="B58" s="5" t="str">
        <f>MID(体检人信息表!B61,7,4)&amp;"年"&amp;MID(体检人信息表!B61,11,2)&amp;"月"&amp;MID(体检人信息表!B61,13,2)&amp;"日"</f>
        <v>2006年09月01日</v>
      </c>
      <c r="C58" s="5" t="str">
        <f>IF(MOD(MID(体检人信息表!B61,17,1)/2,1),"男","女")</f>
        <v>男</v>
      </c>
      <c r="D58" s="6">
        <v>178</v>
      </c>
      <c r="E58" s="6">
        <v>58</v>
      </c>
      <c r="F58" s="6">
        <v>5</v>
      </c>
      <c r="G58" s="7">
        <v>5.1</v>
      </c>
    </row>
    <row r="59" ht="15.75" outlineLevel="2" spans="1:7">
      <c r="A59" s="4" t="s">
        <v>28</v>
      </c>
      <c r="B59" s="5" t="str">
        <f>MID(体检人信息表!B21,7,4)&amp;"年"&amp;MID(体检人信息表!B21,11,2)&amp;"月"&amp;MID(体检人信息表!B21,13,2)&amp;"日"</f>
        <v>2005年05月17日</v>
      </c>
      <c r="C59" s="5" t="str">
        <f>IF(MOD(MID(体检人信息表!B21,17,1)/2,1),"男","女")</f>
        <v>男</v>
      </c>
      <c r="D59" s="6">
        <v>182</v>
      </c>
      <c r="E59" s="6">
        <v>70</v>
      </c>
      <c r="F59" s="6">
        <v>5</v>
      </c>
      <c r="G59" s="7">
        <v>4.9</v>
      </c>
    </row>
    <row r="60" ht="15.75" outlineLevel="2" spans="1:7">
      <c r="A60" s="4" t="s">
        <v>19</v>
      </c>
      <c r="B60" s="5" t="str">
        <f>MID(体检人信息表!B12,7,4)&amp;"年"&amp;MID(体检人信息表!B12,11,2)&amp;"月"&amp;MID(体检人信息表!B12,13,2)&amp;"日"</f>
        <v>2005年10月26日</v>
      </c>
      <c r="C60" s="5" t="str">
        <f>IF(MOD(MID(体检人信息表!B12,17,1)/2,1),"男","女")</f>
        <v>男</v>
      </c>
      <c r="D60" s="6">
        <v>183</v>
      </c>
      <c r="E60" s="6">
        <v>78</v>
      </c>
      <c r="F60" s="6">
        <v>5</v>
      </c>
      <c r="G60" s="7">
        <v>4.9</v>
      </c>
    </row>
    <row r="61" ht="15.75" outlineLevel="2" spans="1:7">
      <c r="A61" s="4" t="s">
        <v>42</v>
      </c>
      <c r="B61" s="5" t="str">
        <f>MID(体检人信息表!B35,7,4)&amp;"年"&amp;MID(体检人信息表!B35,11,2)&amp;"月"&amp;MID(体检人信息表!B35,13,2)&amp;"日"</f>
        <v>2005年05月06日</v>
      </c>
      <c r="C61" s="5" t="str">
        <f>IF(MOD(MID(体检人信息表!B35,17,1)/2,1),"男","女")</f>
        <v>男</v>
      </c>
      <c r="D61" s="6">
        <v>165</v>
      </c>
      <c r="E61" s="6">
        <v>58</v>
      </c>
      <c r="F61" s="6">
        <v>4.8</v>
      </c>
      <c r="G61" s="7">
        <v>4.9</v>
      </c>
    </row>
    <row r="62" ht="15.75" outlineLevel="2" spans="1:7">
      <c r="A62" s="4" t="s">
        <v>17</v>
      </c>
      <c r="B62" s="5" t="str">
        <f>MID(体检人信息表!B10,7,4)&amp;"年"&amp;MID(体检人信息表!B10,11,2)&amp;"月"&amp;MID(体检人信息表!B10,13,2)&amp;"日"</f>
        <v>2005年04月29日</v>
      </c>
      <c r="C62" s="5" t="str">
        <f>IF(MOD(MID(体检人信息表!B10,17,1)/2,1),"男","女")</f>
        <v>男</v>
      </c>
      <c r="D62" s="6">
        <v>176</v>
      </c>
      <c r="E62" s="6">
        <v>78</v>
      </c>
      <c r="F62" s="6">
        <v>5</v>
      </c>
      <c r="G62" s="7">
        <v>5</v>
      </c>
    </row>
    <row r="63" ht="15.75" outlineLevel="2" spans="1:7">
      <c r="A63" s="4" t="s">
        <v>55</v>
      </c>
      <c r="B63" s="5" t="str">
        <f>MID(体检人信息表!B48,7,4)&amp;"年"&amp;MID(体检人信息表!B48,11,2)&amp;"月"&amp;MID(体检人信息表!B48,13,2)&amp;"日"</f>
        <v>2005年09月04日</v>
      </c>
      <c r="C63" s="5" t="str">
        <f>IF(MOD(MID(体检人信息表!B48,17,1)/2,1),"男","女")</f>
        <v>男</v>
      </c>
      <c r="D63" s="6">
        <v>174</v>
      </c>
      <c r="E63" s="6">
        <v>65</v>
      </c>
      <c r="F63" s="6">
        <v>5.1</v>
      </c>
      <c r="G63" s="7">
        <v>5.1</v>
      </c>
    </row>
    <row r="64" ht="15.75" outlineLevel="2" spans="1:7">
      <c r="A64" s="4" t="s">
        <v>20</v>
      </c>
      <c r="B64" s="5" t="str">
        <f>MID(体检人信息表!B13,7,4)&amp;"年"&amp;MID(体检人信息表!B13,11,2)&amp;"月"&amp;MID(体检人信息表!B13,13,2)&amp;"日"</f>
        <v>2004年03月05日</v>
      </c>
      <c r="C64" s="5" t="str">
        <f>IF(MOD(MID(体检人信息表!B13,17,1)/2,1),"男","女")</f>
        <v>男</v>
      </c>
      <c r="D64" s="6">
        <v>188</v>
      </c>
      <c r="E64" s="6">
        <v>79</v>
      </c>
      <c r="F64" s="6">
        <v>5</v>
      </c>
      <c r="G64" s="7">
        <v>5.1</v>
      </c>
    </row>
    <row r="65" ht="15.75" outlineLevel="2" spans="1:7">
      <c r="A65" s="4" t="s">
        <v>13</v>
      </c>
      <c r="B65" s="5" t="str">
        <f>MID(体检人信息表!B6,7,4)&amp;"年"&amp;MID(体检人信息表!B6,11,2)&amp;"月"&amp;MID(体检人信息表!B6,13,2)&amp;"日"</f>
        <v>2005年05月24日</v>
      </c>
      <c r="C65" s="5" t="str">
        <f>IF(MOD(MID(体检人信息表!B6,17,1)/2,1),"男","女")</f>
        <v>男</v>
      </c>
      <c r="D65" s="6">
        <v>182</v>
      </c>
      <c r="E65" s="6">
        <v>71.3</v>
      </c>
      <c r="F65" s="6">
        <v>4.7</v>
      </c>
      <c r="G65" s="7">
        <v>4.7</v>
      </c>
    </row>
    <row r="66" ht="15.75" outlineLevel="2" spans="1:7">
      <c r="A66" s="4" t="s">
        <v>47</v>
      </c>
      <c r="B66" s="5" t="str">
        <f>MID(体检人信息表!B40,7,4)&amp;"年"&amp;MID(体检人信息表!B40,11,2)&amp;"月"&amp;MID(体检人信息表!B40,13,2)&amp;"日"</f>
        <v>2006年07月04日</v>
      </c>
      <c r="C66" s="5" t="str">
        <f>IF(MOD(MID(体检人信息表!B40,17,1)/2,1),"男","女")</f>
        <v>男</v>
      </c>
      <c r="D66" s="6">
        <v>174</v>
      </c>
      <c r="E66" s="6">
        <v>64</v>
      </c>
      <c r="F66" s="6">
        <v>5.1</v>
      </c>
      <c r="G66" s="7">
        <v>5.1</v>
      </c>
    </row>
    <row r="67" ht="15.75" outlineLevel="2" spans="1:7">
      <c r="A67" s="9" t="s">
        <v>26</v>
      </c>
      <c r="B67" s="10" t="str">
        <f>MID(体检人信息表!B19,7,4)&amp;"年"&amp;MID(体检人信息表!B19,11,2)&amp;"月"&amp;MID(体检人信息表!B19,13,2)&amp;"日"</f>
        <v>2005年03月29日</v>
      </c>
      <c r="C67" s="10" t="str">
        <f>IF(MOD(MID(体检人信息表!B19,17,1)/2,1),"男","女")</f>
        <v>男</v>
      </c>
      <c r="D67" s="11">
        <v>168</v>
      </c>
      <c r="E67" s="11">
        <v>74</v>
      </c>
      <c r="F67" s="11">
        <v>5</v>
      </c>
      <c r="G67" s="12">
        <v>5</v>
      </c>
    </row>
    <row r="68" ht="15" outlineLevel="1" spans="1:7">
      <c r="A68" s="13"/>
      <c r="B68" s="13"/>
      <c r="C68" s="14" t="s">
        <v>142</v>
      </c>
      <c r="D68" s="15">
        <f>SUBTOTAL(1,D31:D67)</f>
        <v>173.405405405405</v>
      </c>
      <c r="E68" s="15">
        <f>SUBTOTAL(1,E31:E67)</f>
        <v>64.4351351351351</v>
      </c>
      <c r="F68" s="15"/>
      <c r="G68" s="15"/>
    </row>
    <row r="69" ht="14.25" spans="1:7">
      <c r="A69" s="13"/>
      <c r="B69" s="13"/>
      <c r="C69" s="14" t="s">
        <v>143</v>
      </c>
      <c r="D69" s="15">
        <f>SUBTOTAL(1,D2:D67)</f>
        <v>171.646153846154</v>
      </c>
      <c r="E69" s="15">
        <f>SUBTOTAL(1,E2:E67)</f>
        <v>62.3323076923077</v>
      </c>
      <c r="F69" s="15"/>
      <c r="G69" s="15"/>
    </row>
  </sheetData>
  <sortState ref="A2:G66">
    <sortCondition ref="C2:C66" descending="1"/>
    <sortCondition ref="A2:A66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体检表</vt:lpstr>
      <vt:lpstr>体检人信息表</vt:lpstr>
      <vt:lpstr>筛选</vt:lpstr>
      <vt:lpstr>分类汇总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28B881CEAEE946529B8DBA7C2A802DA9_12</vt:lpwstr>
  </property>
  <property fmtid="{D5CDD505-2E9C-101B-9397-08002B2CF9AE}" pid="3" name="KSOProductBuildVer">
    <vt:lpwstr>2052-12.1.0.15712</vt:lpwstr>
  </property>
</Properties>
</file>
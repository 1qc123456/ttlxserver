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activeTab="1"/>
  </bookViews>
  <sheets>
    <sheet name="分析" sheetId="4" r:id="rId1"/>
    <sheet name="数据" sheetId="1" r:id="rId2"/>
    <sheet name="离职原因表" sheetId="3" r:id="rId3"/>
    <sheet name="电话号" sheetId="5" r:id="rId4"/>
  </sheets>
  <definedNames>
    <definedName name="_xlnm._FilterDatabase" localSheetId="1" hidden="1">数据!$A$1:$E$38</definedName>
    <definedName name="_xlnm.Criteria" localSheetId="1">数据!$G$2:$I$4</definedName>
    <definedName name="_xlnm.Extract" localSheetId="1">数据!$G$6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<sst xmlns="http://schemas.openxmlformats.org/spreadsheetml/2006/main" count="231" uniqueCount="69">
  <si>
    <t>日期</t>
  </si>
  <si>
    <t>销售部门</t>
  </si>
  <si>
    <t>平均值项:销售额</t>
  </si>
  <si>
    <t>合肥分公司</t>
  </si>
  <si>
    <t>深圳分公司</t>
  </si>
  <si>
    <t>苏州分公司</t>
  </si>
  <si>
    <t>总计</t>
  </si>
  <si>
    <t>销售员</t>
  </si>
  <si>
    <t>销售额</t>
  </si>
  <si>
    <t>销售量</t>
  </si>
  <si>
    <t>王佳</t>
  </si>
  <si>
    <t>总销售额</t>
  </si>
  <si>
    <t>&gt;100000</t>
  </si>
  <si>
    <t>王燕</t>
  </si>
  <si>
    <t>&lt;100000</t>
  </si>
  <si>
    <t>张盼盼</t>
  </si>
  <si>
    <t>王京</t>
  </si>
  <si>
    <t>周国菊</t>
  </si>
  <si>
    <t>刘思思</t>
  </si>
  <si>
    <t>赵明红</t>
  </si>
  <si>
    <t>赵燕</t>
  </si>
  <si>
    <t>吴军</t>
  </si>
  <si>
    <t>刘思宇</t>
  </si>
  <si>
    <t>林艳</t>
  </si>
  <si>
    <t>赵明学</t>
  </si>
  <si>
    <t>刘洪</t>
  </si>
  <si>
    <t>张学红</t>
  </si>
  <si>
    <t>纪敏</t>
  </si>
  <si>
    <t>吴天宇</t>
  </si>
  <si>
    <t>罗成</t>
  </si>
  <si>
    <t>离职原因统计表</t>
  </si>
  <si>
    <t>序号</t>
  </si>
  <si>
    <t>被调查人</t>
  </si>
  <si>
    <t>离职原因</t>
  </si>
  <si>
    <t>统计人数</t>
  </si>
  <si>
    <t>蔡静</t>
  </si>
  <si>
    <t>收入低、福利差</t>
  </si>
  <si>
    <t>陈媛</t>
  </si>
  <si>
    <t>不能实现自我价值</t>
  </si>
  <si>
    <t>王密</t>
  </si>
  <si>
    <t>职业倦怠</t>
  </si>
  <si>
    <t>吕芬芬</t>
  </si>
  <si>
    <t>同工不同酬</t>
  </si>
  <si>
    <t>路高泽</t>
  </si>
  <si>
    <t>陈山</t>
  </si>
  <si>
    <t>廖晓</t>
  </si>
  <si>
    <t>张丽君</t>
  </si>
  <si>
    <t>吴华波</t>
  </si>
  <si>
    <t>黄孝铭</t>
  </si>
  <si>
    <t>丁锐</t>
  </si>
  <si>
    <t>庄霞</t>
  </si>
  <si>
    <t>黄鹂</t>
  </si>
  <si>
    <t>侯娟娟</t>
  </si>
  <si>
    <t>王福鑫</t>
  </si>
  <si>
    <t>王琪</t>
  </si>
  <si>
    <t>陈潇</t>
  </si>
  <si>
    <t>杨浪</t>
  </si>
  <si>
    <t>张点点</t>
  </si>
  <si>
    <t>于青青</t>
  </si>
  <si>
    <t>邓兰兰</t>
  </si>
  <si>
    <t>罗羽</t>
  </si>
  <si>
    <t>杨宽</t>
  </si>
  <si>
    <t>金鑫</t>
  </si>
  <si>
    <t>刘猛</t>
  </si>
  <si>
    <t>郑淑娟</t>
  </si>
  <si>
    <t>王宇</t>
  </si>
  <si>
    <t>陈昊</t>
  </si>
  <si>
    <t>电话号码</t>
  </si>
  <si>
    <t>隐藏后四位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</si>
</sst>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&quot;.&quot;0,&quot;万元&quot;"/>
    <numFmt numFmtId="178" formatCode="#,##0_ "/>
    <numFmt numFmtId="179" formatCode="&quot;￥&quot;#,##0.00_);[Red]\(&quot;￥&quot;#,##0.00\)"/>
  </numFmts>
  <fonts count="25">
    <font>
      <sz val="11"/>
      <color theme="1"/>
      <name val="宋体"/>
      <charset val="134"/>
      <scheme val="minor"/>
    </font>
    <font>
      <b/>
      <sz val="22"/>
      <color theme="1"/>
      <name val="华文中宋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57" fontId="4" fillId="0" borderId="4" xfId="0" applyNumberFormat="1" applyFont="1" applyBorder="1" applyAlignment="1">
      <alignment horizontal="center" vertical="center"/>
    </xf>
    <xf numFmtId="57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179" fontId="4" fillId="0" borderId="0" xfId="0" applyNumberFormat="1" applyFont="1">
      <alignment vertical="center"/>
    </xf>
    <xf numFmtId="57" fontId="0" fillId="0" borderId="0" xfId="0" applyNumberFormat="1">
      <alignment vertical="center"/>
    </xf>
    <xf numFmtId="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5" formatCode="&quot;￥&quot;#,##0;&quot;￥&quot;\-#,##0"/>
    </dxf>
    <dxf>
      <font>
        <color theme="0"/>
      </font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[结果.xlsx]分析!数据透视表1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分析!$C$3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分析!$A$4:$B$16</c:f>
              <c:multiLvlStrCache>
                <c:ptCount val="9"/>
                <c:lvl>
                  <c:pt idx="0">
                    <c:v>合肥分公司</c:v>
                  </c:pt>
                  <c:pt idx="1">
                    <c:v>深圳分公司</c:v>
                  </c:pt>
                  <c:pt idx="2">
                    <c:v>苏州分公司</c:v>
                  </c:pt>
                  <c:pt idx="3">
                    <c:v>合肥分公司</c:v>
                  </c:pt>
                  <c:pt idx="4">
                    <c:v>深圳分公司</c:v>
                  </c:pt>
                  <c:pt idx="5">
                    <c:v>苏州分公司</c:v>
                  </c:pt>
                  <c:pt idx="6">
                    <c:v>合肥分公司</c:v>
                  </c:pt>
                  <c:pt idx="7">
                    <c:v>深圳分公司</c:v>
                  </c:pt>
                  <c:pt idx="8">
                    <c:v>苏州分公司</c:v>
                  </c:pt>
                </c:lvl>
                <c:lvl>
                  <c:pt idx="0">
                    <c:v>2012年4月</c:v>
                  </c:pt>
                  <c:pt idx="3">
                    <c:v>2012年5月</c:v>
                  </c:pt>
                  <c:pt idx="6">
                    <c:v>2012年6月</c:v>
                  </c:pt>
                </c:lvl>
              </c:multiLvlStrCache>
            </c:multiLvlStrRef>
          </c:cat>
          <c:val>
            <c:numRef>
              <c:f>分析!$C$4:$C$16</c:f>
              <c:numCache>
                <c:formatCode>"￥"#,##0;"￥"\-#,##0</c:formatCode>
                <c:ptCount val="9"/>
                <c:pt idx="0">
                  <c:v>91452.66</c:v>
                </c:pt>
                <c:pt idx="1">
                  <c:v>258791.775</c:v>
                </c:pt>
                <c:pt idx="2">
                  <c:v>335868.166666667</c:v>
                </c:pt>
                <c:pt idx="3">
                  <c:v>221533.4</c:v>
                </c:pt>
                <c:pt idx="4">
                  <c:v>110529.875</c:v>
                </c:pt>
                <c:pt idx="5">
                  <c:v>337884.233333333</c:v>
                </c:pt>
                <c:pt idx="6">
                  <c:v>233656.88</c:v>
                </c:pt>
                <c:pt idx="7">
                  <c:v>437291.725</c:v>
                </c:pt>
                <c:pt idx="8">
                  <c:v>86307.8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407905493"/>
        <c:axId val="474188506"/>
      </c:lineChart>
      <c:catAx>
        <c:axId val="40790549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4188506"/>
        <c:crosses val="autoZero"/>
        <c:auto val="1"/>
        <c:lblAlgn val="ctr"/>
        <c:lblOffset val="100"/>
        <c:noMultiLvlLbl val="0"/>
      </c:catAx>
      <c:valAx>
        <c:axId val="474188506"/>
        <c:scaling>
          <c:orientation val="minMax"/>
        </c:scaling>
        <c:delete val="1"/>
        <c:axPos val="l"/>
        <c:numFmt formatCode="&quot;￥&quot;#,##0;&quot;￥&quot;\-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9054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离职原因比较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离职原因表!$G$2</c:f>
              <c:strCache>
                <c:ptCount val="1"/>
                <c:pt idx="0">
                  <c:v>统计人数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离职原因表!$F$3:$F$6</c:f>
              <c:strCache>
                <c:ptCount val="4"/>
                <c:pt idx="0">
                  <c:v>收入低、福利差</c:v>
                </c:pt>
                <c:pt idx="1">
                  <c:v>不能实现自我价值</c:v>
                </c:pt>
                <c:pt idx="2">
                  <c:v>职业倦怠</c:v>
                </c:pt>
                <c:pt idx="3">
                  <c:v>同工不同酬</c:v>
                </c:pt>
              </c:strCache>
            </c:strRef>
          </c:cat>
          <c:val>
            <c:numRef>
              <c:f>离职原因表!$G$3:$G$6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50001214"/>
        <c:axId val="917731684"/>
      </c:barChart>
      <c:catAx>
        <c:axId val="5500012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731684"/>
        <c:crosses val="autoZero"/>
        <c:auto val="1"/>
        <c:lblAlgn val="ctr"/>
        <c:lblOffset val="100"/>
        <c:noMultiLvlLbl val="0"/>
      </c:catAx>
      <c:valAx>
        <c:axId val="9177316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00012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22225</xdr:colOff>
      <xdr:row>17</xdr:row>
      <xdr:rowOff>22225</xdr:rowOff>
    </xdr:from>
    <xdr:to>
      <xdr:col>6</xdr:col>
      <xdr:colOff>583565</xdr:colOff>
      <xdr:row>38</xdr:row>
      <xdr:rowOff>116840</xdr:rowOff>
    </xdr:to>
    <xdr:graphicFrame>
      <xdr:nvGraphicFramePr>
        <xdr:cNvPr id="2" name="各销售部门456月平均销售量"/>
        <xdr:cNvGraphicFramePr/>
      </xdr:nvGraphicFramePr>
      <xdr:xfrm>
        <a:off x="22225" y="2936875"/>
        <a:ext cx="5701665" cy="369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98425</xdr:colOff>
      <xdr:row>8</xdr:row>
      <xdr:rowOff>50800</xdr:rowOff>
    </xdr:from>
    <xdr:to>
      <xdr:col>10</xdr:col>
      <xdr:colOff>419100</xdr:colOff>
      <xdr:row>24</xdr:row>
      <xdr:rowOff>50800</xdr:rowOff>
    </xdr:to>
    <xdr:graphicFrame>
      <xdr:nvGraphicFramePr>
        <xdr:cNvPr id="3" name="图表 1"/>
        <xdr:cNvGraphicFramePr/>
      </xdr:nvGraphicFramePr>
      <xdr:xfrm>
        <a:off x="4575175" y="1708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6.478275463" refreshedBy="25472" recordCount="37">
  <cacheSource type="worksheet">
    <worksheetSource ref="A1:E38" sheet="数据"/>
  </cacheSource>
  <cacheFields count="5">
    <cacheField name="日期" numFmtId="57">
      <sharedItems containsSemiMixedTypes="0" containsString="0" containsNonDate="0" containsDate="1" minDate="2012-04-01T00:00:00" maxDate="2012-06-01T00:00:00" count="3">
        <d v="2012-06-01T00:00:00"/>
        <d v="2012-05-01T00:00:00"/>
        <d v="2012-04-01T00:00:00"/>
      </sharedItems>
    </cacheField>
    <cacheField name="销售部门" numFmtId="49">
      <sharedItems count="3">
        <s v="合肥分公司"/>
        <s v="深圳分公司"/>
        <s v="苏州分公司"/>
      </sharedItems>
    </cacheField>
    <cacheField name="销售员" numFmtId="49">
      <sharedItems count="17">
        <s v="王佳"/>
        <s v="王燕"/>
        <s v="张盼盼"/>
        <s v="王京"/>
        <s v="周国菊"/>
        <s v="刘思思"/>
        <s v="赵明红"/>
        <s v="赵燕"/>
        <s v="吴军"/>
        <s v="刘思宇"/>
        <s v="刘洪"/>
        <s v="张学红"/>
        <s v="纪敏"/>
        <s v="林艳"/>
        <s v="吴天宇"/>
        <s v="罗成"/>
        <s v="赵明学"/>
      </sharedItems>
    </cacheField>
    <cacheField name="销售额" numFmtId="177">
      <sharedItems containsSemiMixedTypes="0" containsString="0" containsNumber="1" minValue="0" maxValue="789562.3" count="10">
        <n v="112045.2"/>
        <n v="69521.2"/>
        <n v="78541.2"/>
        <n v="21521.3"/>
        <n v="18542.6"/>
        <n v="85123.6"/>
        <n v="789562.3"/>
        <n v="148521"/>
        <n v="95632.1"/>
        <n v="85921.2"/>
      </sharedItems>
    </cacheField>
    <cacheField name="销售量" numFmtId="0">
      <sharedItems containsSemiMixedTypes="0" containsString="0" containsNumber="1" containsInteger="1" minValue="0" maxValue="956" count="20">
        <n v="112"/>
        <n v="695"/>
        <n v="785"/>
        <n v="215"/>
        <n v="185"/>
        <n v="85"/>
        <n v="95"/>
        <n v="789"/>
        <n v="78"/>
        <n v="148"/>
        <n v="79"/>
        <n v="89"/>
        <n v="202"/>
        <n v="956"/>
        <n v="123"/>
        <n v="69"/>
        <n v="195"/>
        <n v="204"/>
        <n v="859"/>
        <n v="85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>
  <r>
    <x v="0"/>
    <x v="0"/>
    <x v="0"/>
    <x v="0"/>
    <x v="0"/>
  </r>
  <r>
    <x v="1"/>
    <x v="0"/>
    <x v="0"/>
    <x v="1"/>
    <x v="1"/>
  </r>
  <r>
    <x v="1"/>
    <x v="1"/>
    <x v="1"/>
    <x v="0"/>
    <x v="0"/>
  </r>
  <r>
    <x v="1"/>
    <x v="0"/>
    <x v="2"/>
    <x v="2"/>
    <x v="2"/>
  </r>
  <r>
    <x v="2"/>
    <x v="1"/>
    <x v="1"/>
    <x v="2"/>
    <x v="2"/>
  </r>
  <r>
    <x v="2"/>
    <x v="0"/>
    <x v="0"/>
    <x v="0"/>
    <x v="0"/>
  </r>
  <r>
    <x v="0"/>
    <x v="1"/>
    <x v="3"/>
    <x v="3"/>
    <x v="3"/>
  </r>
  <r>
    <x v="2"/>
    <x v="1"/>
    <x v="4"/>
    <x v="4"/>
    <x v="4"/>
  </r>
  <r>
    <x v="0"/>
    <x v="0"/>
    <x v="5"/>
    <x v="5"/>
    <x v="5"/>
  </r>
  <r>
    <x v="1"/>
    <x v="2"/>
    <x v="6"/>
    <x v="6"/>
    <x v="6"/>
  </r>
  <r>
    <x v="1"/>
    <x v="0"/>
    <x v="5"/>
    <x v="6"/>
    <x v="7"/>
  </r>
  <r>
    <x v="2"/>
    <x v="1"/>
    <x v="7"/>
    <x v="6"/>
    <x v="8"/>
  </r>
  <r>
    <x v="2"/>
    <x v="2"/>
    <x v="8"/>
    <x v="6"/>
    <x v="7"/>
  </r>
  <r>
    <x v="2"/>
    <x v="0"/>
    <x v="9"/>
    <x v="2"/>
    <x v="2"/>
  </r>
  <r>
    <x v="1"/>
    <x v="0"/>
    <x v="9"/>
    <x v="7"/>
    <x v="9"/>
  </r>
  <r>
    <x v="0"/>
    <x v="1"/>
    <x v="7"/>
    <x v="6"/>
    <x v="10"/>
  </r>
  <r>
    <x v="0"/>
    <x v="1"/>
    <x v="10"/>
    <x v="6"/>
    <x v="11"/>
  </r>
  <r>
    <x v="0"/>
    <x v="2"/>
    <x v="11"/>
    <x v="0"/>
    <x v="12"/>
  </r>
  <r>
    <x v="1"/>
    <x v="2"/>
    <x v="12"/>
    <x v="0"/>
    <x v="0"/>
  </r>
  <r>
    <x v="2"/>
    <x v="2"/>
    <x v="13"/>
    <x v="7"/>
    <x v="9"/>
  </r>
  <r>
    <x v="0"/>
    <x v="0"/>
    <x v="9"/>
    <x v="6"/>
    <x v="7"/>
  </r>
  <r>
    <x v="2"/>
    <x v="0"/>
    <x v="2"/>
    <x v="8"/>
    <x v="13"/>
  </r>
  <r>
    <x v="1"/>
    <x v="1"/>
    <x v="14"/>
    <x v="8"/>
    <x v="6"/>
  </r>
  <r>
    <x v="0"/>
    <x v="2"/>
    <x v="6"/>
    <x v="5"/>
    <x v="14"/>
  </r>
  <r>
    <x v="0"/>
    <x v="2"/>
    <x v="12"/>
    <x v="2"/>
    <x v="2"/>
  </r>
  <r>
    <x v="2"/>
    <x v="2"/>
    <x v="6"/>
    <x v="1"/>
    <x v="15"/>
  </r>
  <r>
    <x v="1"/>
    <x v="1"/>
    <x v="7"/>
    <x v="7"/>
    <x v="9"/>
  </r>
  <r>
    <x v="0"/>
    <x v="2"/>
    <x v="15"/>
    <x v="1"/>
    <x v="16"/>
  </r>
  <r>
    <x v="0"/>
    <x v="1"/>
    <x v="1"/>
    <x v="7"/>
    <x v="9"/>
  </r>
  <r>
    <x v="2"/>
    <x v="0"/>
    <x v="16"/>
    <x v="9"/>
    <x v="5"/>
  </r>
  <r>
    <x v="1"/>
    <x v="2"/>
    <x v="15"/>
    <x v="0"/>
    <x v="17"/>
  </r>
  <r>
    <x v="0"/>
    <x v="0"/>
    <x v="2"/>
    <x v="8"/>
    <x v="13"/>
  </r>
  <r>
    <x v="0"/>
    <x v="0"/>
    <x v="16"/>
    <x v="9"/>
    <x v="18"/>
  </r>
  <r>
    <x v="2"/>
    <x v="0"/>
    <x v="5"/>
    <x v="5"/>
    <x v="19"/>
  </r>
  <r>
    <x v="1"/>
    <x v="0"/>
    <x v="16"/>
    <x v="3"/>
    <x v="3"/>
  </r>
  <r>
    <x v="1"/>
    <x v="1"/>
    <x v="4"/>
    <x v="9"/>
    <x v="5"/>
  </r>
  <r>
    <x v="2"/>
    <x v="1"/>
    <x v="3"/>
    <x v="7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C16" firstHeaderRow="1" firstDataRow="1" firstDataCol="2"/>
  <pivotFields count="5">
    <pivotField axis="axisRow" compact="0" numFmtId="57" showAll="0">
      <items count="4">
        <item x="2"/>
        <item x="1"/>
        <item x="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/>
    <pivotField dataField="1" compact="0" numFmtId="177" showAll="0">
      <items count="11">
        <item x="4"/>
        <item x="3"/>
        <item x="1"/>
        <item x="2"/>
        <item x="5"/>
        <item x="9"/>
        <item x="8"/>
        <item x="0"/>
        <item x="7"/>
        <item x="6"/>
        <item t="default"/>
      </items>
    </pivotField>
    <pivotField compact="0"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平均值项:销售额" fld="3" subtotal="average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C10" sqref="A3:C16"/>
    </sheetView>
  </sheetViews>
  <sheetFormatPr defaultColWidth="9" defaultRowHeight="13.5" outlineLevelCol="2"/>
  <cols>
    <col min="1" max="1" width="11.8333333333333"/>
    <col min="2" max="2" width="11.375"/>
    <col min="3" max="3" width="17.25"/>
  </cols>
  <sheetData>
    <row r="3" spans="1:3">
      <c r="A3" t="s">
        <v>0</v>
      </c>
      <c r="B3" t="s">
        <v>1</v>
      </c>
      <c r="C3" t="s">
        <v>2</v>
      </c>
    </row>
    <row r="4" spans="1:3">
      <c r="A4" s="35">
        <v>41000</v>
      </c>
      <c r="C4" s="36">
        <v>208336.241666667</v>
      </c>
    </row>
    <row r="5" spans="2:3">
      <c r="B5" t="s">
        <v>3</v>
      </c>
      <c r="C5" s="36">
        <v>91452.66</v>
      </c>
    </row>
    <row r="6" spans="2:3">
      <c r="B6" t="s">
        <v>4</v>
      </c>
      <c r="C6" s="36">
        <v>258791.775</v>
      </c>
    </row>
    <row r="7" spans="2:3">
      <c r="B7" t="s">
        <v>5</v>
      </c>
      <c r="C7" s="36">
        <v>335868.166666667</v>
      </c>
    </row>
    <row r="8" spans="1:3">
      <c r="A8" s="35">
        <v>41030</v>
      </c>
      <c r="C8" s="36">
        <v>213619.933333333</v>
      </c>
    </row>
    <row r="9" spans="2:3">
      <c r="B9" t="s">
        <v>3</v>
      </c>
      <c r="C9" s="36">
        <v>221533.4</v>
      </c>
    </row>
    <row r="10" spans="2:3">
      <c r="B10" t="s">
        <v>4</v>
      </c>
      <c r="C10" s="36">
        <v>110529.875</v>
      </c>
    </row>
    <row r="11" spans="2:3">
      <c r="B11" t="s">
        <v>5</v>
      </c>
      <c r="C11" s="36">
        <v>337884.233333333</v>
      </c>
    </row>
    <row r="12" spans="1:3">
      <c r="A12" s="35">
        <v>41061</v>
      </c>
      <c r="C12" s="36">
        <v>250975.576923077</v>
      </c>
    </row>
    <row r="13" spans="2:3">
      <c r="B13" t="s">
        <v>3</v>
      </c>
      <c r="C13" s="36">
        <v>233656.88</v>
      </c>
    </row>
    <row r="14" spans="2:3">
      <c r="B14" t="s">
        <v>4</v>
      </c>
      <c r="C14" s="36">
        <v>437291.725</v>
      </c>
    </row>
    <row r="15" spans="2:3">
      <c r="B15" t="s">
        <v>5</v>
      </c>
      <c r="C15" s="36">
        <v>86307.8</v>
      </c>
    </row>
    <row r="16" spans="1:3">
      <c r="A16" t="s">
        <v>6</v>
      </c>
      <c r="C16" s="36">
        <v>225031.25945946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8"/>
  <sheetViews>
    <sheetView tabSelected="1" workbookViewId="0">
      <selection activeCell="N16" sqref="N16"/>
    </sheetView>
  </sheetViews>
  <sheetFormatPr defaultColWidth="9" defaultRowHeight="12"/>
  <cols>
    <col min="1" max="1" width="10.125" style="9" customWidth="1"/>
    <col min="2" max="2" width="11.375" style="9" customWidth="1"/>
    <col min="3" max="3" width="8.625" style="9" customWidth="1"/>
    <col min="4" max="4" width="12.75" style="10" customWidth="1"/>
    <col min="5" max="5" width="10" style="10" customWidth="1"/>
    <col min="6" max="6" width="3.625" style="10" customWidth="1"/>
    <col min="7" max="7" width="10.125" style="10" customWidth="1"/>
    <col min="8" max="8" width="11.25" style="10" customWidth="1"/>
    <col min="9" max="9" width="11" style="10" customWidth="1"/>
    <col min="10" max="10" width="12.5" style="10" customWidth="1"/>
    <col min="11" max="11" width="7.875" style="10" customWidth="1"/>
    <col min="12" max="12" width="9" style="10"/>
    <col min="13" max="13" width="11.625" style="10"/>
    <col min="14" max="14" width="9" style="10"/>
    <col min="15" max="15" width="10.125" style="10"/>
    <col min="16" max="16384" width="9" style="10"/>
  </cols>
  <sheetData>
    <row r="1" ht="20" customHeight="1" spans="1:6">
      <c r="A1" s="11" t="s">
        <v>0</v>
      </c>
      <c r="B1" s="11" t="s">
        <v>1</v>
      </c>
      <c r="C1" s="11" t="s">
        <v>7</v>
      </c>
      <c r="D1" s="12" t="s">
        <v>8</v>
      </c>
      <c r="E1" s="12" t="s">
        <v>9</v>
      </c>
      <c r="F1" s="13"/>
    </row>
    <row r="2" ht="20" customHeight="1" spans="1:15">
      <c r="A2" s="14">
        <v>41061</v>
      </c>
      <c r="B2" s="15" t="s">
        <v>3</v>
      </c>
      <c r="C2" s="15" t="s">
        <v>10</v>
      </c>
      <c r="D2" s="16">
        <v>112045.2</v>
      </c>
      <c r="E2" s="17">
        <v>112</v>
      </c>
      <c r="F2" s="17"/>
      <c r="G2" s="18" t="s">
        <v>0</v>
      </c>
      <c r="H2" s="18" t="s">
        <v>1</v>
      </c>
      <c r="I2" s="18" t="s">
        <v>8</v>
      </c>
      <c r="M2" s="26" t="s">
        <v>0</v>
      </c>
      <c r="N2" s="26" t="s">
        <v>1</v>
      </c>
      <c r="O2" s="26" t="s">
        <v>11</v>
      </c>
    </row>
    <row r="3" ht="20" customHeight="1" spans="1:15">
      <c r="A3" s="14">
        <v>41030</v>
      </c>
      <c r="B3" s="15" t="s">
        <v>3</v>
      </c>
      <c r="C3" s="15" t="s">
        <v>10</v>
      </c>
      <c r="D3" s="16">
        <v>69521.2</v>
      </c>
      <c r="E3" s="17">
        <v>695</v>
      </c>
      <c r="F3" s="17"/>
      <c r="G3" s="19">
        <v>41000</v>
      </c>
      <c r="H3" s="18"/>
      <c r="I3" s="18" t="s">
        <v>12</v>
      </c>
      <c r="M3" s="27">
        <f>A6</f>
        <v>41000</v>
      </c>
      <c r="N3" s="26" t="s">
        <v>3</v>
      </c>
      <c r="O3" s="28">
        <f>SUMIFS($D$2:$D$38,$A$2:$A$38,$A$6,$B$2:$B$38,N3)</f>
        <v>457263.3</v>
      </c>
    </row>
    <row r="4" ht="20" customHeight="1" spans="1:15">
      <c r="A4" s="14">
        <v>41030</v>
      </c>
      <c r="B4" s="15" t="s">
        <v>4</v>
      </c>
      <c r="C4" s="15" t="s">
        <v>13</v>
      </c>
      <c r="D4" s="16">
        <v>112045.2</v>
      </c>
      <c r="E4" s="17">
        <v>112</v>
      </c>
      <c r="F4" s="17"/>
      <c r="G4" s="18"/>
      <c r="H4" s="18" t="s">
        <v>3</v>
      </c>
      <c r="I4" s="18" t="s">
        <v>14</v>
      </c>
      <c r="M4" s="27"/>
      <c r="N4" s="26" t="s">
        <v>4</v>
      </c>
      <c r="O4" s="28">
        <f>SUMIFS($D$2:$D$38,$A$2:$A$38,$A$6,$B$2:$B$38,N4)</f>
        <v>1035167.1</v>
      </c>
    </row>
    <row r="5" ht="20" customHeight="1" spans="1:15">
      <c r="A5" s="14">
        <v>41030</v>
      </c>
      <c r="B5" s="15" t="s">
        <v>3</v>
      </c>
      <c r="C5" s="15" t="s">
        <v>15</v>
      </c>
      <c r="D5" s="16">
        <v>78541.2</v>
      </c>
      <c r="E5" s="17">
        <v>785</v>
      </c>
      <c r="F5" s="17"/>
      <c r="G5" s="20"/>
      <c r="H5" s="20"/>
      <c r="I5" s="20"/>
      <c r="M5" s="27"/>
      <c r="N5" s="26" t="s">
        <v>5</v>
      </c>
      <c r="O5" s="28">
        <f>SUMIFS($D$2:$D$38,$A$2:$A$38,$A$6,$B$2:$B$38,N5)</f>
        <v>1007604.5</v>
      </c>
    </row>
    <row r="6" ht="20" customHeight="1" spans="1:15">
      <c r="A6" s="14">
        <v>41000</v>
      </c>
      <c r="B6" s="15" t="s">
        <v>4</v>
      </c>
      <c r="C6" s="15" t="s">
        <v>13</v>
      </c>
      <c r="D6" s="16">
        <v>78541.2</v>
      </c>
      <c r="E6" s="17">
        <v>785</v>
      </c>
      <c r="F6" s="17"/>
      <c r="G6" s="21" t="s">
        <v>0</v>
      </c>
      <c r="H6" s="22" t="s">
        <v>1</v>
      </c>
      <c r="I6" s="22" t="s">
        <v>7</v>
      </c>
      <c r="J6" s="29" t="s">
        <v>8</v>
      </c>
      <c r="K6" s="30" t="s">
        <v>9</v>
      </c>
      <c r="M6" s="27">
        <f>A3</f>
        <v>41030</v>
      </c>
      <c r="N6" s="26" t="s">
        <v>3</v>
      </c>
      <c r="O6" s="28">
        <f>SUMIFS($D$2:$D$38,$A$2:$A$38,$A$3,$B$2:$B$38,N6)</f>
        <v>1107667</v>
      </c>
    </row>
    <row r="7" ht="20" customHeight="1" spans="1:15">
      <c r="A7" s="14">
        <v>41000</v>
      </c>
      <c r="B7" s="15" t="s">
        <v>3</v>
      </c>
      <c r="C7" s="15" t="s">
        <v>10</v>
      </c>
      <c r="D7" s="16">
        <v>112045.2</v>
      </c>
      <c r="E7" s="17">
        <v>112</v>
      </c>
      <c r="F7" s="17"/>
      <c r="G7" s="23">
        <v>41030</v>
      </c>
      <c r="H7" s="15" t="s">
        <v>3</v>
      </c>
      <c r="I7" s="15" t="s">
        <v>10</v>
      </c>
      <c r="J7" s="16">
        <v>69521.2</v>
      </c>
      <c r="K7" s="31">
        <v>695</v>
      </c>
      <c r="M7" s="27"/>
      <c r="N7" s="26" t="s">
        <v>4</v>
      </c>
      <c r="O7" s="28">
        <f>SUMIFS($D$2:$D$38,$A$2:$A$38,$A$3,$B$2:$B$38,N7)</f>
        <v>442119.5</v>
      </c>
    </row>
    <row r="8" ht="20" customHeight="1" spans="1:15">
      <c r="A8" s="14">
        <v>41061</v>
      </c>
      <c r="B8" s="15" t="s">
        <v>4</v>
      </c>
      <c r="C8" s="15" t="s">
        <v>16</v>
      </c>
      <c r="D8" s="16">
        <v>21521.3</v>
      </c>
      <c r="E8" s="17">
        <v>215</v>
      </c>
      <c r="F8" s="17"/>
      <c r="G8" s="23">
        <v>41030</v>
      </c>
      <c r="H8" s="15" t="s">
        <v>3</v>
      </c>
      <c r="I8" s="15" t="s">
        <v>15</v>
      </c>
      <c r="J8" s="16">
        <v>78541.2</v>
      </c>
      <c r="K8" s="31">
        <v>785</v>
      </c>
      <c r="M8" s="27"/>
      <c r="N8" s="26" t="s">
        <v>5</v>
      </c>
      <c r="O8" s="28">
        <f>SUMIFS($D$2:$D$38,$A$2:$A$38,$A$3,$B$2:$B$38,N8)</f>
        <v>1013652.7</v>
      </c>
    </row>
    <row r="9" ht="20" customHeight="1" spans="1:15">
      <c r="A9" s="14">
        <v>41000</v>
      </c>
      <c r="B9" s="15" t="s">
        <v>4</v>
      </c>
      <c r="C9" s="15" t="s">
        <v>17</v>
      </c>
      <c r="D9" s="16">
        <v>18542.6</v>
      </c>
      <c r="E9" s="17">
        <v>185</v>
      </c>
      <c r="F9" s="17"/>
      <c r="G9" s="23">
        <v>41000</v>
      </c>
      <c r="H9" s="15" t="s">
        <v>3</v>
      </c>
      <c r="I9" s="15" t="s">
        <v>10</v>
      </c>
      <c r="J9" s="16">
        <v>112045.2</v>
      </c>
      <c r="K9" s="31">
        <v>112</v>
      </c>
      <c r="M9" s="27">
        <f>A2</f>
        <v>41061</v>
      </c>
      <c r="N9" s="26" t="s">
        <v>3</v>
      </c>
      <c r="O9" s="28">
        <f>SUMIFS($D$2:$D$38,$A$2:$A$38,$A$2,$B$2:$B$38,N9)</f>
        <v>1168284.4</v>
      </c>
    </row>
    <row r="10" ht="20" customHeight="1" spans="1:15">
      <c r="A10" s="14">
        <v>41061</v>
      </c>
      <c r="B10" s="15" t="s">
        <v>3</v>
      </c>
      <c r="C10" s="15" t="s">
        <v>18</v>
      </c>
      <c r="D10" s="16">
        <v>85123.6</v>
      </c>
      <c r="E10" s="17">
        <v>85</v>
      </c>
      <c r="F10" s="17"/>
      <c r="G10" s="23">
        <v>41061</v>
      </c>
      <c r="H10" s="15" t="s">
        <v>3</v>
      </c>
      <c r="I10" s="15" t="s">
        <v>18</v>
      </c>
      <c r="J10" s="16">
        <v>85123.6</v>
      </c>
      <c r="K10" s="31">
        <v>85</v>
      </c>
      <c r="M10" s="27"/>
      <c r="N10" s="26" t="s">
        <v>4</v>
      </c>
      <c r="O10" s="28">
        <f>SUMIFS($D$2:$D$38,$A$2:$A$38,$A$2,$B$2:$B$38,N10)</f>
        <v>1749166.9</v>
      </c>
    </row>
    <row r="11" ht="20" customHeight="1" spans="1:15">
      <c r="A11" s="14">
        <v>41030</v>
      </c>
      <c r="B11" s="15" t="s">
        <v>5</v>
      </c>
      <c r="C11" s="15" t="s">
        <v>19</v>
      </c>
      <c r="D11" s="16">
        <v>789562.3</v>
      </c>
      <c r="E11" s="17">
        <v>95</v>
      </c>
      <c r="F11" s="17"/>
      <c r="G11" s="23">
        <v>41000</v>
      </c>
      <c r="H11" s="15" t="s">
        <v>4</v>
      </c>
      <c r="I11" s="15" t="s">
        <v>20</v>
      </c>
      <c r="J11" s="16">
        <v>789562.3</v>
      </c>
      <c r="K11" s="31">
        <v>78</v>
      </c>
      <c r="M11" s="27"/>
      <c r="N11" s="26" t="s">
        <v>5</v>
      </c>
      <c r="O11" s="28">
        <f>SUMIFS($D$2:$D$38,$A$2:$A$38,$A$2,$B$2:$B$38,N11)</f>
        <v>345231.2</v>
      </c>
    </row>
    <row r="12" ht="20" customHeight="1" spans="1:11">
      <c r="A12" s="14">
        <v>41030</v>
      </c>
      <c r="B12" s="15" t="s">
        <v>3</v>
      </c>
      <c r="C12" s="15" t="s">
        <v>18</v>
      </c>
      <c r="D12" s="16">
        <v>789562.3</v>
      </c>
      <c r="E12" s="17">
        <v>789</v>
      </c>
      <c r="F12" s="17"/>
      <c r="G12" s="23">
        <v>41000</v>
      </c>
      <c r="H12" s="15" t="s">
        <v>5</v>
      </c>
      <c r="I12" s="15" t="s">
        <v>21</v>
      </c>
      <c r="J12" s="16">
        <v>789562.3</v>
      </c>
      <c r="K12" s="31">
        <v>789</v>
      </c>
    </row>
    <row r="13" ht="20" customHeight="1" spans="1:11">
      <c r="A13" s="14">
        <v>41000</v>
      </c>
      <c r="B13" s="15" t="s">
        <v>4</v>
      </c>
      <c r="C13" s="15" t="s">
        <v>20</v>
      </c>
      <c r="D13" s="16">
        <v>789562.3</v>
      </c>
      <c r="E13" s="17">
        <v>78</v>
      </c>
      <c r="F13" s="17"/>
      <c r="G13" s="23">
        <v>41000</v>
      </c>
      <c r="H13" s="15" t="s">
        <v>3</v>
      </c>
      <c r="I13" s="15" t="s">
        <v>22</v>
      </c>
      <c r="J13" s="16">
        <v>78541.2</v>
      </c>
      <c r="K13" s="31">
        <v>785</v>
      </c>
    </row>
    <row r="14" ht="20" customHeight="1" spans="1:11">
      <c r="A14" s="14">
        <v>41000</v>
      </c>
      <c r="B14" s="15" t="s">
        <v>5</v>
      </c>
      <c r="C14" s="15" t="s">
        <v>21</v>
      </c>
      <c r="D14" s="16">
        <v>789562.3</v>
      </c>
      <c r="E14" s="17">
        <v>789</v>
      </c>
      <c r="F14" s="17"/>
      <c r="G14" s="23">
        <v>41000</v>
      </c>
      <c r="H14" s="15" t="s">
        <v>5</v>
      </c>
      <c r="I14" s="15" t="s">
        <v>23</v>
      </c>
      <c r="J14" s="16">
        <v>148521</v>
      </c>
      <c r="K14" s="31">
        <v>148</v>
      </c>
    </row>
    <row r="15" ht="20" customHeight="1" spans="1:11">
      <c r="A15" s="14">
        <v>41000</v>
      </c>
      <c r="B15" s="15" t="s">
        <v>3</v>
      </c>
      <c r="C15" s="15" t="s">
        <v>22</v>
      </c>
      <c r="D15" s="16">
        <v>78541.2</v>
      </c>
      <c r="E15" s="17">
        <v>785</v>
      </c>
      <c r="F15" s="17"/>
      <c r="G15" s="23">
        <v>41000</v>
      </c>
      <c r="H15" s="15" t="s">
        <v>3</v>
      </c>
      <c r="I15" s="15" t="s">
        <v>15</v>
      </c>
      <c r="J15" s="16">
        <v>95632.1</v>
      </c>
      <c r="K15" s="31">
        <v>956</v>
      </c>
    </row>
    <row r="16" ht="20" customHeight="1" spans="1:11">
      <c r="A16" s="14">
        <v>41030</v>
      </c>
      <c r="B16" s="15" t="s">
        <v>3</v>
      </c>
      <c r="C16" s="15" t="s">
        <v>22</v>
      </c>
      <c r="D16" s="16">
        <v>148521</v>
      </c>
      <c r="E16" s="17">
        <v>148</v>
      </c>
      <c r="F16" s="17"/>
      <c r="G16" s="23">
        <v>41000</v>
      </c>
      <c r="H16" s="15" t="s">
        <v>3</v>
      </c>
      <c r="I16" s="15" t="s">
        <v>24</v>
      </c>
      <c r="J16" s="16">
        <v>85921.2</v>
      </c>
      <c r="K16" s="31">
        <v>85</v>
      </c>
    </row>
    <row r="17" ht="20" customHeight="1" spans="1:11">
      <c r="A17" s="14">
        <v>41061</v>
      </c>
      <c r="B17" s="15" t="s">
        <v>4</v>
      </c>
      <c r="C17" s="15" t="s">
        <v>20</v>
      </c>
      <c r="D17" s="16">
        <v>789562.3</v>
      </c>
      <c r="E17" s="17">
        <v>79</v>
      </c>
      <c r="F17" s="17"/>
      <c r="G17" s="23">
        <v>41061</v>
      </c>
      <c r="H17" s="15" t="s">
        <v>3</v>
      </c>
      <c r="I17" s="15" t="s">
        <v>15</v>
      </c>
      <c r="J17" s="16">
        <v>95632.1</v>
      </c>
      <c r="K17" s="31">
        <v>956</v>
      </c>
    </row>
    <row r="18" ht="20" customHeight="1" spans="1:11">
      <c r="A18" s="14">
        <v>41061</v>
      </c>
      <c r="B18" s="15" t="s">
        <v>4</v>
      </c>
      <c r="C18" s="15" t="s">
        <v>25</v>
      </c>
      <c r="D18" s="16">
        <v>789562.3</v>
      </c>
      <c r="E18" s="17">
        <v>89</v>
      </c>
      <c r="F18" s="17"/>
      <c r="G18" s="23">
        <v>41061</v>
      </c>
      <c r="H18" s="15" t="s">
        <v>3</v>
      </c>
      <c r="I18" s="15" t="s">
        <v>24</v>
      </c>
      <c r="J18" s="16">
        <v>85921.2</v>
      </c>
      <c r="K18" s="31">
        <v>859</v>
      </c>
    </row>
    <row r="19" ht="20" customHeight="1" spans="1:11">
      <c r="A19" s="14">
        <v>41061</v>
      </c>
      <c r="B19" s="15" t="s">
        <v>5</v>
      </c>
      <c r="C19" s="15" t="s">
        <v>26</v>
      </c>
      <c r="D19" s="16">
        <v>112045.2</v>
      </c>
      <c r="E19" s="17">
        <v>202</v>
      </c>
      <c r="F19" s="17"/>
      <c r="G19" s="23">
        <v>41000</v>
      </c>
      <c r="H19" s="15" t="s">
        <v>3</v>
      </c>
      <c r="I19" s="15" t="s">
        <v>18</v>
      </c>
      <c r="J19" s="16">
        <v>85123.6</v>
      </c>
      <c r="K19" s="31">
        <v>851</v>
      </c>
    </row>
    <row r="20" ht="20" customHeight="1" spans="1:11">
      <c r="A20" s="14">
        <v>41030</v>
      </c>
      <c r="B20" s="15" t="s">
        <v>5</v>
      </c>
      <c r="C20" s="15" t="s">
        <v>27</v>
      </c>
      <c r="D20" s="16">
        <v>112045.2</v>
      </c>
      <c r="E20" s="17">
        <v>112</v>
      </c>
      <c r="F20" s="17"/>
      <c r="G20" s="23">
        <v>41030</v>
      </c>
      <c r="H20" s="15" t="s">
        <v>3</v>
      </c>
      <c r="I20" s="15" t="s">
        <v>24</v>
      </c>
      <c r="J20" s="16">
        <v>21521.3</v>
      </c>
      <c r="K20" s="31">
        <v>215</v>
      </c>
    </row>
    <row r="21" ht="20" customHeight="1" spans="1:11">
      <c r="A21" s="14">
        <v>41000</v>
      </c>
      <c r="B21" s="15" t="s">
        <v>5</v>
      </c>
      <c r="C21" s="15" t="s">
        <v>23</v>
      </c>
      <c r="D21" s="16">
        <v>148521</v>
      </c>
      <c r="E21" s="17">
        <v>148</v>
      </c>
      <c r="F21" s="17"/>
      <c r="G21" s="24">
        <v>41000</v>
      </c>
      <c r="H21" s="25" t="s">
        <v>4</v>
      </c>
      <c r="I21" s="25" t="s">
        <v>16</v>
      </c>
      <c r="J21" s="32">
        <v>148521</v>
      </c>
      <c r="K21" s="33">
        <v>148</v>
      </c>
    </row>
    <row r="22" ht="20" customHeight="1" spans="1:6">
      <c r="A22" s="14">
        <v>41061</v>
      </c>
      <c r="B22" s="15" t="s">
        <v>3</v>
      </c>
      <c r="C22" s="15" t="s">
        <v>22</v>
      </c>
      <c r="D22" s="16">
        <v>789562.3</v>
      </c>
      <c r="E22" s="17">
        <v>789</v>
      </c>
      <c r="F22" s="17"/>
    </row>
    <row r="23" ht="20" customHeight="1" spans="1:10">
      <c r="A23" s="14">
        <v>41000</v>
      </c>
      <c r="B23" s="15" t="s">
        <v>3</v>
      </c>
      <c r="C23" s="15" t="s">
        <v>15</v>
      </c>
      <c r="D23" s="16">
        <v>95632.1</v>
      </c>
      <c r="E23" s="17">
        <v>956</v>
      </c>
      <c r="F23" s="17"/>
      <c r="G23" s="9"/>
      <c r="H23" s="9"/>
      <c r="I23" s="9"/>
      <c r="J23" s="34"/>
    </row>
    <row r="24" ht="20" customHeight="1" spans="1:10">
      <c r="A24" s="14">
        <v>41030</v>
      </c>
      <c r="B24" s="15" t="s">
        <v>4</v>
      </c>
      <c r="C24" s="15" t="s">
        <v>28</v>
      </c>
      <c r="D24" s="16">
        <v>95632.1</v>
      </c>
      <c r="E24" s="17">
        <v>95</v>
      </c>
      <c r="F24" s="17"/>
      <c r="G24" s="9"/>
      <c r="H24" s="9"/>
      <c r="I24" s="9"/>
      <c r="J24" s="34"/>
    </row>
    <row r="25" ht="20" customHeight="1" spans="1:10">
      <c r="A25" s="14">
        <v>41061</v>
      </c>
      <c r="B25" s="15" t="s">
        <v>5</v>
      </c>
      <c r="C25" s="15" t="s">
        <v>19</v>
      </c>
      <c r="D25" s="16">
        <v>85123.6</v>
      </c>
      <c r="E25" s="17">
        <v>123</v>
      </c>
      <c r="F25" s="17"/>
      <c r="G25" s="9"/>
      <c r="H25" s="9"/>
      <c r="I25" s="9"/>
      <c r="J25" s="34"/>
    </row>
    <row r="26" ht="20" customHeight="1" spans="1:10">
      <c r="A26" s="14">
        <v>41061</v>
      </c>
      <c r="B26" s="15" t="s">
        <v>5</v>
      </c>
      <c r="C26" s="15" t="s">
        <v>27</v>
      </c>
      <c r="D26" s="16">
        <v>78541.2</v>
      </c>
      <c r="E26" s="17">
        <v>785</v>
      </c>
      <c r="F26" s="17"/>
      <c r="G26" s="9"/>
      <c r="H26" s="9"/>
      <c r="I26" s="9"/>
      <c r="J26" s="34"/>
    </row>
    <row r="27" ht="20" customHeight="1" spans="1:6">
      <c r="A27" s="14">
        <v>41000</v>
      </c>
      <c r="B27" s="15" t="s">
        <v>5</v>
      </c>
      <c r="C27" s="15" t="s">
        <v>19</v>
      </c>
      <c r="D27" s="16">
        <v>69521.2</v>
      </c>
      <c r="E27" s="17">
        <v>69</v>
      </c>
      <c r="F27" s="17"/>
    </row>
    <row r="28" ht="20" customHeight="1" spans="1:6">
      <c r="A28" s="14">
        <v>41030</v>
      </c>
      <c r="B28" s="15" t="s">
        <v>4</v>
      </c>
      <c r="C28" s="15" t="s">
        <v>20</v>
      </c>
      <c r="D28" s="16">
        <v>148521</v>
      </c>
      <c r="E28" s="17">
        <v>148</v>
      </c>
      <c r="F28" s="17"/>
    </row>
    <row r="29" ht="20" customHeight="1" spans="1:6">
      <c r="A29" s="14">
        <v>41061</v>
      </c>
      <c r="B29" s="15" t="s">
        <v>5</v>
      </c>
      <c r="C29" s="15" t="s">
        <v>29</v>
      </c>
      <c r="D29" s="16">
        <v>69521.2</v>
      </c>
      <c r="E29" s="17">
        <v>195</v>
      </c>
      <c r="F29" s="17"/>
    </row>
    <row r="30" ht="20" customHeight="1" spans="1:6">
      <c r="A30" s="14">
        <v>41061</v>
      </c>
      <c r="B30" s="15" t="s">
        <v>4</v>
      </c>
      <c r="C30" s="15" t="s">
        <v>13</v>
      </c>
      <c r="D30" s="16">
        <v>148521</v>
      </c>
      <c r="E30" s="17">
        <v>148</v>
      </c>
      <c r="F30" s="17"/>
    </row>
    <row r="31" ht="20" customHeight="1" spans="1:6">
      <c r="A31" s="14">
        <v>41000</v>
      </c>
      <c r="B31" s="15" t="s">
        <v>3</v>
      </c>
      <c r="C31" s="15" t="s">
        <v>24</v>
      </c>
      <c r="D31" s="16">
        <v>85921.2</v>
      </c>
      <c r="E31" s="17">
        <v>85</v>
      </c>
      <c r="F31" s="17"/>
    </row>
    <row r="32" ht="20" customHeight="1" spans="1:6">
      <c r="A32" s="14">
        <v>41030</v>
      </c>
      <c r="B32" s="15" t="s">
        <v>5</v>
      </c>
      <c r="C32" s="15" t="s">
        <v>29</v>
      </c>
      <c r="D32" s="16">
        <v>112045.2</v>
      </c>
      <c r="E32" s="17">
        <v>204</v>
      </c>
      <c r="F32" s="17"/>
    </row>
    <row r="33" ht="20" customHeight="1" spans="1:6">
      <c r="A33" s="14">
        <v>41061</v>
      </c>
      <c r="B33" s="15" t="s">
        <v>3</v>
      </c>
      <c r="C33" s="15" t="s">
        <v>15</v>
      </c>
      <c r="D33" s="16">
        <v>95632.1</v>
      </c>
      <c r="E33" s="17">
        <v>956</v>
      </c>
      <c r="F33" s="17"/>
    </row>
    <row r="34" ht="20" customHeight="1" spans="1:6">
      <c r="A34" s="14">
        <v>41061</v>
      </c>
      <c r="B34" s="15" t="s">
        <v>3</v>
      </c>
      <c r="C34" s="15" t="s">
        <v>24</v>
      </c>
      <c r="D34" s="16">
        <v>85921.2</v>
      </c>
      <c r="E34" s="17">
        <v>859</v>
      </c>
      <c r="F34" s="17"/>
    </row>
    <row r="35" ht="20" customHeight="1" spans="1:6">
      <c r="A35" s="14">
        <v>41000</v>
      </c>
      <c r="B35" s="15" t="s">
        <v>3</v>
      </c>
      <c r="C35" s="15" t="s">
        <v>18</v>
      </c>
      <c r="D35" s="16">
        <v>85123.6</v>
      </c>
      <c r="E35" s="17">
        <v>851</v>
      </c>
      <c r="F35" s="17"/>
    </row>
    <row r="36" ht="20" customHeight="1" spans="1:6">
      <c r="A36" s="14">
        <v>41030</v>
      </c>
      <c r="B36" s="15" t="s">
        <v>3</v>
      </c>
      <c r="C36" s="15" t="s">
        <v>24</v>
      </c>
      <c r="D36" s="16">
        <v>21521.3</v>
      </c>
      <c r="E36" s="17">
        <v>215</v>
      </c>
      <c r="F36" s="17"/>
    </row>
    <row r="37" ht="20" customHeight="1" spans="1:6">
      <c r="A37" s="14">
        <v>41030</v>
      </c>
      <c r="B37" s="15" t="s">
        <v>4</v>
      </c>
      <c r="C37" s="15" t="s">
        <v>17</v>
      </c>
      <c r="D37" s="16">
        <v>85921.2</v>
      </c>
      <c r="E37" s="17">
        <v>85</v>
      </c>
      <c r="F37" s="17"/>
    </row>
    <row r="38" ht="20" customHeight="1" spans="1:6">
      <c r="A38" s="14">
        <v>41000</v>
      </c>
      <c r="B38" s="15" t="s">
        <v>4</v>
      </c>
      <c r="C38" s="15" t="s">
        <v>16</v>
      </c>
      <c r="D38" s="16">
        <v>148521</v>
      </c>
      <c r="E38" s="17">
        <v>148</v>
      </c>
      <c r="F38" s="17"/>
    </row>
  </sheetData>
  <sortState ref="A2:F38">
    <sortCondition ref="F2:F38"/>
  </sortState>
  <mergeCells count="3">
    <mergeCell ref="M3:M5"/>
    <mergeCell ref="M6:M8"/>
    <mergeCell ref="M9:M11"/>
  </mergeCells>
  <conditionalFormatting sqref="A2:E38">
    <cfRule type="expression" dxfId="1" priority="1">
      <formula>RANK($D2,$D$2:$D$38,1)&lt;=5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0"/>
  <sheetViews>
    <sheetView showGridLines="0" topLeftCell="C1" workbookViewId="0">
      <selection activeCell="G33" sqref="G33"/>
    </sheetView>
  </sheetViews>
  <sheetFormatPr defaultColWidth="9" defaultRowHeight="13.5" outlineLevelCol="6"/>
  <cols>
    <col min="1" max="2" width="9" style="2"/>
    <col min="3" max="3" width="13.125" style="2" customWidth="1"/>
    <col min="4" max="4" width="18.625" style="2" customWidth="1"/>
    <col min="5" max="5" width="9" style="2"/>
    <col min="6" max="6" width="17.625" style="2" customWidth="1"/>
    <col min="7" max="7" width="14.5" style="2" customWidth="1"/>
    <col min="8" max="16384" width="9" style="2"/>
  </cols>
  <sheetData>
    <row r="1" ht="30.75" spans="2:6">
      <c r="B1" s="3" t="s">
        <v>30</v>
      </c>
      <c r="C1" s="3"/>
      <c r="D1" s="3"/>
      <c r="E1" s="4"/>
      <c r="F1" s="5"/>
    </row>
    <row r="2" ht="18.75" customHeight="1" spans="2:7">
      <c r="B2" s="6" t="s">
        <v>31</v>
      </c>
      <c r="C2" s="6" t="s">
        <v>32</v>
      </c>
      <c r="D2" s="6" t="s">
        <v>33</v>
      </c>
      <c r="E2" s="5"/>
      <c r="F2" s="6" t="s">
        <v>33</v>
      </c>
      <c r="G2" s="6" t="s">
        <v>34</v>
      </c>
    </row>
    <row r="3" spans="2:7">
      <c r="B3" s="7">
        <v>1</v>
      </c>
      <c r="C3" s="7" t="s">
        <v>35</v>
      </c>
      <c r="D3" s="7" t="s">
        <v>36</v>
      </c>
      <c r="E3" s="5"/>
      <c r="F3" s="7" t="s">
        <v>36</v>
      </c>
      <c r="G3" s="8">
        <f>COUNTIF($D$3:$D$30,F3)</f>
        <v>8</v>
      </c>
    </row>
    <row r="4" spans="2:7">
      <c r="B4" s="7">
        <v>2</v>
      </c>
      <c r="C4" s="7" t="s">
        <v>37</v>
      </c>
      <c r="D4" s="7" t="s">
        <v>38</v>
      </c>
      <c r="E4" s="5"/>
      <c r="F4" s="7" t="s">
        <v>38</v>
      </c>
      <c r="G4" s="8">
        <f>COUNTIF($D$3:$D$30,F4)</f>
        <v>7</v>
      </c>
    </row>
    <row r="5" spans="2:7">
      <c r="B5" s="7">
        <v>3</v>
      </c>
      <c r="C5" s="7" t="s">
        <v>39</v>
      </c>
      <c r="D5" s="7" t="s">
        <v>40</v>
      </c>
      <c r="E5" s="5"/>
      <c r="F5" s="7" t="s">
        <v>40</v>
      </c>
      <c r="G5" s="8">
        <f>COUNTIF($D$3:$D$30,F5)</f>
        <v>6</v>
      </c>
    </row>
    <row r="6" spans="2:7">
      <c r="B6" s="7">
        <v>4</v>
      </c>
      <c r="C6" s="7" t="s">
        <v>41</v>
      </c>
      <c r="D6" s="7" t="s">
        <v>42</v>
      </c>
      <c r="E6" s="5"/>
      <c r="F6" s="7" t="s">
        <v>42</v>
      </c>
      <c r="G6" s="8">
        <f>COUNTIF($D$3:$D$30,F6)</f>
        <v>7</v>
      </c>
    </row>
    <row r="7" spans="2:5">
      <c r="B7" s="7">
        <v>5</v>
      </c>
      <c r="C7" s="7" t="s">
        <v>43</v>
      </c>
      <c r="D7" s="7" t="s">
        <v>36</v>
      </c>
      <c r="E7" s="5"/>
    </row>
    <row r="8" spans="2:5">
      <c r="B8" s="7">
        <v>6</v>
      </c>
      <c r="C8" s="7" t="s">
        <v>44</v>
      </c>
      <c r="D8" s="7" t="s">
        <v>38</v>
      </c>
      <c r="E8" s="5"/>
    </row>
    <row r="9" spans="2:5">
      <c r="B9" s="7">
        <v>7</v>
      </c>
      <c r="C9" s="7" t="s">
        <v>45</v>
      </c>
      <c r="D9" s="7" t="s">
        <v>40</v>
      </c>
      <c r="E9" s="5"/>
    </row>
    <row r="10" spans="2:5">
      <c r="B10" s="7">
        <v>8</v>
      </c>
      <c r="C10" s="7" t="s">
        <v>46</v>
      </c>
      <c r="D10" s="7" t="s">
        <v>42</v>
      </c>
      <c r="E10" s="5"/>
    </row>
    <row r="11" spans="2:5">
      <c r="B11" s="7">
        <v>9</v>
      </c>
      <c r="C11" s="7" t="s">
        <v>47</v>
      </c>
      <c r="D11" s="7" t="s">
        <v>36</v>
      </c>
      <c r="E11" s="5"/>
    </row>
    <row r="12" spans="2:5">
      <c r="B12" s="7">
        <v>10</v>
      </c>
      <c r="C12" s="7" t="s">
        <v>48</v>
      </c>
      <c r="D12" s="7" t="s">
        <v>36</v>
      </c>
      <c r="E12" s="5"/>
    </row>
    <row r="13" spans="2:5">
      <c r="B13" s="7">
        <v>11</v>
      </c>
      <c r="C13" s="7" t="s">
        <v>49</v>
      </c>
      <c r="D13" s="7" t="s">
        <v>38</v>
      </c>
      <c r="E13" s="5"/>
    </row>
    <row r="14" spans="2:5">
      <c r="B14" s="7">
        <v>12</v>
      </c>
      <c r="C14" s="7" t="s">
        <v>50</v>
      </c>
      <c r="D14" s="7" t="s">
        <v>38</v>
      </c>
      <c r="E14" s="5"/>
    </row>
    <row r="15" spans="2:5">
      <c r="B15" s="7">
        <v>13</v>
      </c>
      <c r="C15" s="7" t="s">
        <v>51</v>
      </c>
      <c r="D15" s="7" t="s">
        <v>38</v>
      </c>
      <c r="E15" s="5"/>
    </row>
    <row r="16" spans="2:5">
      <c r="B16" s="7">
        <v>14</v>
      </c>
      <c r="C16" s="7" t="s">
        <v>52</v>
      </c>
      <c r="D16" s="7" t="s">
        <v>40</v>
      </c>
      <c r="E16" s="5"/>
    </row>
    <row r="17" spans="2:5">
      <c r="B17" s="7">
        <v>15</v>
      </c>
      <c r="C17" s="7" t="s">
        <v>53</v>
      </c>
      <c r="D17" s="7" t="s">
        <v>42</v>
      </c>
      <c r="E17" s="5"/>
    </row>
    <row r="18" spans="2:5">
      <c r="B18" s="7">
        <v>16</v>
      </c>
      <c r="C18" s="7" t="s">
        <v>54</v>
      </c>
      <c r="D18" s="7" t="s">
        <v>36</v>
      </c>
      <c r="E18" s="5"/>
    </row>
    <row r="19" spans="2:5">
      <c r="B19" s="7">
        <v>17</v>
      </c>
      <c r="C19" s="7" t="s">
        <v>55</v>
      </c>
      <c r="D19" s="7" t="s">
        <v>38</v>
      </c>
      <c r="E19" s="5"/>
    </row>
    <row r="20" spans="2:5">
      <c r="B20" s="7">
        <v>18</v>
      </c>
      <c r="C20" s="7" t="s">
        <v>56</v>
      </c>
      <c r="D20" s="7" t="s">
        <v>42</v>
      </c>
      <c r="E20" s="5"/>
    </row>
    <row r="21" spans="2:5">
      <c r="B21" s="7">
        <v>19</v>
      </c>
      <c r="C21" s="7" t="s">
        <v>57</v>
      </c>
      <c r="D21" s="7" t="s">
        <v>36</v>
      </c>
      <c r="E21" s="5"/>
    </row>
    <row r="22" spans="2:5">
      <c r="B22" s="7">
        <v>20</v>
      </c>
      <c r="C22" s="7" t="s">
        <v>58</v>
      </c>
      <c r="D22" s="7" t="s">
        <v>42</v>
      </c>
      <c r="E22" s="5"/>
    </row>
    <row r="23" spans="2:5">
      <c r="B23" s="7">
        <v>21</v>
      </c>
      <c r="C23" s="7" t="s">
        <v>59</v>
      </c>
      <c r="D23" s="7" t="s">
        <v>40</v>
      </c>
      <c r="E23" s="5"/>
    </row>
    <row r="24" spans="2:5">
      <c r="B24" s="7">
        <v>22</v>
      </c>
      <c r="C24" s="7" t="s">
        <v>60</v>
      </c>
      <c r="D24" s="7" t="s">
        <v>36</v>
      </c>
      <c r="E24" s="5"/>
    </row>
    <row r="25" spans="2:5">
      <c r="B25" s="7">
        <v>23</v>
      </c>
      <c r="C25" s="7" t="s">
        <v>61</v>
      </c>
      <c r="D25" s="7" t="s">
        <v>42</v>
      </c>
      <c r="E25" s="5"/>
    </row>
    <row r="26" spans="2:5">
      <c r="B26" s="7">
        <v>24</v>
      </c>
      <c r="C26" s="7" t="s">
        <v>62</v>
      </c>
      <c r="D26" s="7" t="s">
        <v>38</v>
      </c>
      <c r="E26" s="5"/>
    </row>
    <row r="27" spans="2:5">
      <c r="B27" s="7">
        <v>25</v>
      </c>
      <c r="C27" s="7" t="s">
        <v>63</v>
      </c>
      <c r="D27" s="7" t="s">
        <v>40</v>
      </c>
      <c r="E27" s="5"/>
    </row>
    <row r="28" spans="2:5">
      <c r="B28" s="7">
        <v>26</v>
      </c>
      <c r="C28" s="7" t="s">
        <v>64</v>
      </c>
      <c r="D28" s="7" t="s">
        <v>40</v>
      </c>
      <c r="E28" s="5"/>
    </row>
    <row r="29" spans="2:5">
      <c r="B29" s="7">
        <v>27</v>
      </c>
      <c r="C29" s="7" t="s">
        <v>65</v>
      </c>
      <c r="D29" s="7" t="s">
        <v>36</v>
      </c>
      <c r="E29" s="5"/>
    </row>
    <row r="30" spans="2:5">
      <c r="B30" s="7">
        <v>28</v>
      </c>
      <c r="C30" s="7" t="s">
        <v>66</v>
      </c>
      <c r="D30" s="7" t="s">
        <v>42</v>
      </c>
      <c r="E30" s="5"/>
    </row>
  </sheetData>
  <mergeCells count="1">
    <mergeCell ref="B1:D1"/>
  </mergeCells>
  <pageMargins left="0.7" right="0.7" top="0.75" bottom="0.75" header="0.3" footer="0.3"/>
  <pageSetup paperSize="9" orientation="portrait" horizontalDpi="1200" verticalDpi="12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K35" sqref="K35"/>
    </sheetView>
  </sheetViews>
  <sheetFormatPr defaultColWidth="9" defaultRowHeight="13.5" outlineLevelCol="2"/>
  <cols>
    <col min="2" max="2" width="12.625"/>
    <col min="3" max="3" width="12.25" customWidth="1"/>
  </cols>
  <sheetData>
    <row r="1" spans="1:3">
      <c r="A1" t="s">
        <v>7</v>
      </c>
      <c r="B1" t="s">
        <v>67</v>
      </c>
      <c r="C1" t="s">
        <v>68</v>
      </c>
    </row>
    <row r="2" spans="1:3">
      <c r="A2" t="s">
        <v>27</v>
      </c>
      <c r="B2" s="1">
        <v>18940524246</v>
      </c>
      <c r="C2" t="str">
        <f>REPLACE(B2,8,4,"****")</f>
        <v>1894052****</v>
      </c>
    </row>
    <row r="3" spans="1:3">
      <c r="A3" t="s">
        <v>23</v>
      </c>
      <c r="B3" s="1">
        <v>15371685839</v>
      </c>
      <c r="C3" t="str">
        <f t="shared" ref="C3:C18" si="0">REPLACE(B3,8,4,"****")</f>
        <v>1537168****</v>
      </c>
    </row>
    <row r="4" spans="1:3">
      <c r="A4" t="s">
        <v>25</v>
      </c>
      <c r="B4" s="1">
        <v>19827781101</v>
      </c>
      <c r="C4" t="str">
        <f t="shared" si="0"/>
        <v>1982778****</v>
      </c>
    </row>
    <row r="5" spans="1:3">
      <c r="A5" t="s">
        <v>18</v>
      </c>
      <c r="B5" s="1">
        <v>14593744258</v>
      </c>
      <c r="C5" t="str">
        <f t="shared" si="0"/>
        <v>1459374****</v>
      </c>
    </row>
    <row r="6" spans="1:3">
      <c r="A6" t="s">
        <v>22</v>
      </c>
      <c r="B6" s="1">
        <v>16623907129</v>
      </c>
      <c r="C6" t="str">
        <f t="shared" si="0"/>
        <v>1662390****</v>
      </c>
    </row>
    <row r="7" spans="1:3">
      <c r="A7" t="s">
        <v>29</v>
      </c>
      <c r="B7" s="1">
        <v>13911805845</v>
      </c>
      <c r="C7" t="str">
        <f t="shared" si="0"/>
        <v>1391180****</v>
      </c>
    </row>
    <row r="8" spans="1:3">
      <c r="A8" t="s">
        <v>10</v>
      </c>
      <c r="B8" s="1">
        <v>17138759170</v>
      </c>
      <c r="C8" t="str">
        <f t="shared" si="0"/>
        <v>1713875****</v>
      </c>
    </row>
    <row r="9" spans="1:3">
      <c r="A9" t="s">
        <v>16</v>
      </c>
      <c r="B9" s="1">
        <v>17548173318</v>
      </c>
      <c r="C9" t="str">
        <f t="shared" si="0"/>
        <v>1754817****</v>
      </c>
    </row>
    <row r="10" spans="1:3">
      <c r="A10" t="s">
        <v>13</v>
      </c>
      <c r="B10" s="1">
        <v>16573705147</v>
      </c>
      <c r="C10" t="str">
        <f t="shared" si="0"/>
        <v>1657370****</v>
      </c>
    </row>
    <row r="11" spans="1:3">
      <c r="A11" t="s">
        <v>21</v>
      </c>
      <c r="B11" s="1">
        <v>18342131749</v>
      </c>
      <c r="C11" t="str">
        <f t="shared" si="0"/>
        <v>1834213****</v>
      </c>
    </row>
    <row r="12" spans="1:3">
      <c r="A12" t="s">
        <v>28</v>
      </c>
      <c r="B12" s="1">
        <v>18683105525</v>
      </c>
      <c r="C12" t="str">
        <f t="shared" si="0"/>
        <v>1868310****</v>
      </c>
    </row>
    <row r="13" spans="1:3">
      <c r="A13" t="s">
        <v>15</v>
      </c>
      <c r="B13" s="1">
        <v>13583221146</v>
      </c>
      <c r="C13" t="str">
        <f t="shared" si="0"/>
        <v>1358322****</v>
      </c>
    </row>
    <row r="14" spans="1:3">
      <c r="A14" t="s">
        <v>26</v>
      </c>
      <c r="B14" s="1">
        <v>15976991972</v>
      </c>
      <c r="C14" t="str">
        <f t="shared" si="0"/>
        <v>1597699****</v>
      </c>
    </row>
    <row r="15" spans="1:3">
      <c r="A15" t="s">
        <v>19</v>
      </c>
      <c r="B15" s="1">
        <v>18553346697</v>
      </c>
      <c r="C15" t="str">
        <f t="shared" si="0"/>
        <v>1855334****</v>
      </c>
    </row>
    <row r="16" spans="1:3">
      <c r="A16" t="s">
        <v>24</v>
      </c>
      <c r="B16" s="1">
        <v>18072479981</v>
      </c>
      <c r="C16" t="str">
        <f t="shared" si="0"/>
        <v>1807247****</v>
      </c>
    </row>
    <row r="17" spans="1:3">
      <c r="A17" t="s">
        <v>20</v>
      </c>
      <c r="B17" s="1">
        <v>18434652749</v>
      </c>
      <c r="C17" t="str">
        <f t="shared" si="0"/>
        <v>1843465****</v>
      </c>
    </row>
    <row r="18" spans="1:3">
      <c r="A18" t="s">
        <v>17</v>
      </c>
      <c r="B18" s="1">
        <v>15649297849</v>
      </c>
      <c r="C18" t="str">
        <f t="shared" si="0"/>
        <v>1564929****</v>
      </c>
    </row>
    <row r="19" spans="2:2">
      <c r="B19" s="1"/>
    </row>
    <row r="20" spans="2:2">
      <c r="B20" s="1"/>
    </row>
    <row r="21" spans="2:2">
      <c r="B2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分析</vt:lpstr>
      <vt:lpstr>数据</vt:lpstr>
      <vt:lpstr>离职原因表</vt:lpstr>
      <vt:lpstr>电话号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何俊</dc:creator>
  <cp:lastModifiedBy>25472</cp:lastModifiedBy>
  <dcterms:created xsi:type="dcterms:W3CDTF">2011-07-07T09:24:00Z</dcterms:created>
  <dcterms:modified xsi:type="dcterms:W3CDTF">2026-03-06T03:07:15Z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133FB82CB1264F7E8C8BB202F9EE06FA_12</vt:lpwstr>
  </property>
  <property fmtid="{D5CDD505-2E9C-101B-9397-08002B2CF9AE}" pid="3" name="KSOProductBuildVer">
    <vt:lpwstr>2052-12.1.0.15712</vt:lpwstr>
  </property>
</Properties>
</file>
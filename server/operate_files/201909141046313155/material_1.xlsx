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32" windowWidth="14808" windowHeight="798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18" i="1" l="1"/>
  <c r="D17" i="1"/>
  <c r="D16" i="1"/>
  <c r="B18" i="1"/>
  <c r="B17" i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3" i="1"/>
  <c r="I3" i="1" s="1"/>
  <c r="G4" i="1"/>
  <c r="G5" i="1"/>
  <c r="G6" i="1"/>
  <c r="G7" i="1"/>
  <c r="G8" i="1"/>
  <c r="G9" i="1"/>
  <c r="G10" i="1"/>
  <c r="G11" i="1"/>
  <c r="G12" i="1"/>
  <c r="G13" i="1"/>
  <c r="G14" i="1"/>
  <c r="G3" i="1"/>
  <c r="B16" i="1" l="1"/>
</calcChain>
</file>

<file path=xl/sharedStrings.xml><?xml version="1.0" encoding="utf-8"?>
<sst xmlns="http://schemas.openxmlformats.org/spreadsheetml/2006/main" count="49" uniqueCount="39">
  <si>
    <r>
      <t>姓名</t>
    </r>
    <r>
      <rPr>
        <sz val="10.5"/>
        <color theme="1"/>
        <rFont val="Times New Roman"/>
        <family val="1"/>
      </rPr>
      <t xml:space="preserve">  </t>
    </r>
  </si>
  <si>
    <t>性别</t>
  </si>
  <si>
    <t>家庭人数</t>
  </si>
  <si>
    <t>父月收入</t>
  </si>
  <si>
    <r>
      <t>母月收入</t>
    </r>
    <r>
      <rPr>
        <sz val="10.5"/>
        <color theme="1"/>
        <rFont val="Times New Roman"/>
        <family val="1"/>
      </rPr>
      <t xml:space="preserve"> </t>
    </r>
  </si>
  <si>
    <t>合计</t>
  </si>
  <si>
    <t>人均</t>
  </si>
  <si>
    <r>
      <t>备注</t>
    </r>
    <r>
      <rPr>
        <sz val="10.5"/>
        <color theme="1"/>
        <rFont val="Times New Roman"/>
        <family val="1"/>
      </rPr>
      <t xml:space="preserve"> </t>
    </r>
  </si>
  <si>
    <t>赵四安</t>
  </si>
  <si>
    <t>男</t>
  </si>
  <si>
    <t>王树</t>
  </si>
  <si>
    <t>女</t>
  </si>
  <si>
    <t>李勉</t>
  </si>
  <si>
    <t>欧阳天</t>
  </si>
  <si>
    <r>
      <t>魏和</t>
    </r>
    <r>
      <rPr>
        <sz val="10.5"/>
        <color theme="1"/>
        <rFont val="Times New Roman"/>
        <family val="1"/>
      </rPr>
      <t xml:space="preserve"> </t>
    </r>
  </si>
  <si>
    <r>
      <t>赵同</t>
    </r>
    <r>
      <rPr>
        <sz val="10.5"/>
        <color theme="1"/>
        <rFont val="Times New Roman"/>
        <family val="1"/>
      </rPr>
      <t xml:space="preserve"> </t>
    </r>
  </si>
  <si>
    <r>
      <t>赵民</t>
    </r>
    <r>
      <rPr>
        <sz val="10.5"/>
        <color theme="1"/>
        <rFont val="Times New Roman"/>
        <family val="1"/>
      </rPr>
      <t xml:space="preserve"> </t>
    </r>
  </si>
  <si>
    <r>
      <t>李小向</t>
    </r>
    <r>
      <rPr>
        <sz val="10.5"/>
        <color theme="1"/>
        <rFont val="Times New Roman"/>
        <family val="1"/>
      </rPr>
      <t xml:space="preserve"> </t>
    </r>
  </si>
  <si>
    <t>欧阳清</t>
  </si>
  <si>
    <t>肖风</t>
  </si>
  <si>
    <t>白朔</t>
  </si>
  <si>
    <t>王硕</t>
  </si>
  <si>
    <t>富裕</t>
    <phoneticPr fontId="4" type="noConversion"/>
  </si>
  <si>
    <t>中等</t>
    <phoneticPr fontId="4" type="noConversion"/>
  </si>
  <si>
    <t>低保</t>
    <phoneticPr fontId="4" type="noConversion"/>
  </si>
  <si>
    <t>学生家庭情况调查表</t>
    <phoneticPr fontId="4" type="noConversion"/>
  </si>
  <si>
    <t>学号</t>
    <phoneticPr fontId="4" type="noConversion"/>
  </si>
  <si>
    <t>002001</t>
    <phoneticPr fontId="4" type="noConversion"/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</si>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</sst>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5" x14ac:knownFonts="1">
    <font>
      <sz val="11"/>
      <color theme="1"/>
      <name val="宋体"/>
      <family val="2"/>
      <scheme val="minor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49" fontId="0" fillId="0" borderId="0" xfId="0" applyNumberFormat="1"/>
    <xf numFmtId="176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0" fontId="3" fillId="0" borderId="0" xfId="0" applyNumberFormat="1" applyFont="1" applyAlignment="1">
      <alignment horizontal="left" vertical="center"/>
    </xf>
    <xf numFmtId="10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三类家庭占比图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Sheet1!$C$16:$C$18</c:f>
              <c:strCache>
                <c:ptCount val="3"/>
                <c:pt idx="0">
                  <c:v>富裕</c:v>
                </c:pt>
                <c:pt idx="1">
                  <c:v>中等</c:v>
                </c:pt>
                <c:pt idx="2">
                  <c:v>低保</c:v>
                </c:pt>
              </c:strCache>
            </c:strRef>
          </c:cat>
          <c:val>
            <c:numRef>
              <c:f>Sheet1!$D$16:$D$18</c:f>
              <c:numCache>
                <c:formatCode>0.00%</c:formatCode>
                <c:ptCount val="3"/>
                <c:pt idx="0">
                  <c:v>0.16666666666666666</c:v>
                </c:pt>
                <c:pt idx="1">
                  <c:v>0.41666666666666669</c:v>
                </c:pt>
                <c:pt idx="2">
                  <c:v>0.41666666666666669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411480</xdr:colOff>
      <xdr:row>14</xdr:row>
      <xdr:rowOff>171450</xdr:rowOff>
    </xdr:from>
    <xdr:to>
      <xdr:col>12</xdr:col>
      <xdr:colOff>76200</xdr:colOff>
      <xdr:row>29</xdr:row>
      <xdr:rowOff>140970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>
      <selection sqref="A1:I1"/>
    </sheetView>
  </sheetViews>
  <sheetFormatPr defaultRowHeight="14.4" x14ac:dyDescent="0.25"/>
  <cols>
    <col min="8" max="8" width="9.33203125" bestFit="1" customWidth="1"/>
  </cols>
  <sheetData>
    <row r="1" spans="1:9" x14ac:dyDescent="0.25">
      <c r="A1" s="11" t="s">
        <v>25</v>
      </c>
      <c r="B1" s="11"/>
      <c r="C1" s="11"/>
      <c r="D1" s="11"/>
      <c r="E1" s="11"/>
      <c r="F1" s="11"/>
      <c r="G1" s="11"/>
      <c r="H1" s="11"/>
      <c r="I1" s="11"/>
    </row>
    <row r="2" spans="1:9" x14ac:dyDescent="0.25">
      <c r="A2" t="s">
        <v>26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1:9" ht="15.6" x14ac:dyDescent="0.25">
      <c r="A3" s="6" t="s">
        <v>27</v>
      </c>
      <c r="B3" s="1" t="s">
        <v>8</v>
      </c>
      <c r="C3" s="1" t="s">
        <v>9</v>
      </c>
      <c r="D3" s="2">
        <v>3</v>
      </c>
      <c r="E3" s="4">
        <v>1100</v>
      </c>
      <c r="F3" s="4">
        <v>1800</v>
      </c>
      <c r="G3" s="3">
        <f>SUM(E3:F3)</f>
        <v>2900</v>
      </c>
      <c r="H3" s="7">
        <f>SUM(E3:F3)/D3</f>
        <v>966.66666666666663</v>
      </c>
      <c r="I3" s="3" t="str">
        <f>IF(H3&gt;500,"富裕",IF(H3&gt;300,"中等",(IF(H3&lt;300,"低保"))))</f>
        <v>富裕</v>
      </c>
    </row>
    <row r="4" spans="1:9" ht="15.6" x14ac:dyDescent="0.25">
      <c r="A4" s="6" t="s">
        <v>28</v>
      </c>
      <c r="B4" s="1" t="s">
        <v>10</v>
      </c>
      <c r="C4" s="1" t="s">
        <v>11</v>
      </c>
      <c r="D4" s="2">
        <v>4</v>
      </c>
      <c r="E4" s="4">
        <v>1230</v>
      </c>
      <c r="F4" s="4">
        <v>56</v>
      </c>
      <c r="G4" s="3">
        <f t="shared" ref="G4:G14" si="0">SUM(E4:F4)</f>
        <v>1286</v>
      </c>
      <c r="H4" s="7">
        <f t="shared" ref="H4:H14" si="1">SUM(E4:F4)/D4</f>
        <v>321.5</v>
      </c>
      <c r="I4" s="3" t="str">
        <f t="shared" ref="I4:I14" si="2">IF(H4&gt;500,"富裕",IF(H4&gt;300,"中等",(IF(H4&lt;300,"低保"))))</f>
        <v>中等</v>
      </c>
    </row>
    <row r="5" spans="1:9" ht="15.6" x14ac:dyDescent="0.25">
      <c r="A5" s="6" t="s">
        <v>29</v>
      </c>
      <c r="B5" s="1" t="s">
        <v>12</v>
      </c>
      <c r="C5" s="1" t="s">
        <v>9</v>
      </c>
      <c r="D5" s="2">
        <v>5</v>
      </c>
      <c r="E5" s="4">
        <v>1000</v>
      </c>
      <c r="F5" s="4">
        <v>766</v>
      </c>
      <c r="G5" s="3">
        <f t="shared" si="0"/>
        <v>1766</v>
      </c>
      <c r="H5" s="7">
        <f t="shared" si="1"/>
        <v>353.2</v>
      </c>
      <c r="I5" s="3" t="str">
        <f t="shared" si="2"/>
        <v>中等</v>
      </c>
    </row>
    <row r="6" spans="1:9" ht="15.6" x14ac:dyDescent="0.25">
      <c r="A6" s="6" t="s">
        <v>30</v>
      </c>
      <c r="B6" s="1" t="s">
        <v>13</v>
      </c>
      <c r="C6" s="1" t="s">
        <v>9</v>
      </c>
      <c r="D6" s="2">
        <v>3</v>
      </c>
      <c r="E6" s="4">
        <v>800</v>
      </c>
      <c r="F6" s="4">
        <v>756</v>
      </c>
      <c r="G6" s="3">
        <f t="shared" si="0"/>
        <v>1556</v>
      </c>
      <c r="H6" s="7">
        <f t="shared" si="1"/>
        <v>518.66666666666663</v>
      </c>
      <c r="I6" s="3" t="str">
        <f t="shared" si="2"/>
        <v>富裕</v>
      </c>
    </row>
    <row r="7" spans="1:9" ht="15.6" x14ac:dyDescent="0.25">
      <c r="A7" s="6" t="s">
        <v>31</v>
      </c>
      <c r="B7" s="1" t="s">
        <v>14</v>
      </c>
      <c r="C7" s="1" t="s">
        <v>9</v>
      </c>
      <c r="D7" s="2">
        <v>3</v>
      </c>
      <c r="E7" s="4">
        <v>222</v>
      </c>
      <c r="F7" s="4">
        <v>123</v>
      </c>
      <c r="G7" s="3">
        <f t="shared" si="0"/>
        <v>345</v>
      </c>
      <c r="H7" s="7">
        <f t="shared" si="1"/>
        <v>115</v>
      </c>
      <c r="I7" s="3" t="str">
        <f t="shared" si="2"/>
        <v>低保</v>
      </c>
    </row>
    <row r="8" spans="1:9" ht="15.6" x14ac:dyDescent="0.25">
      <c r="A8" s="6" t="s">
        <v>32</v>
      </c>
      <c r="B8" s="1" t="s">
        <v>15</v>
      </c>
      <c r="C8" s="1" t="s">
        <v>11</v>
      </c>
      <c r="D8" s="2">
        <v>5</v>
      </c>
      <c r="E8" s="4">
        <v>147</v>
      </c>
      <c r="F8" s="4">
        <v>46</v>
      </c>
      <c r="G8" s="3">
        <f t="shared" si="0"/>
        <v>193</v>
      </c>
      <c r="H8" s="7">
        <f t="shared" si="1"/>
        <v>38.6</v>
      </c>
      <c r="I8" s="3" t="str">
        <f t="shared" si="2"/>
        <v>低保</v>
      </c>
    </row>
    <row r="9" spans="1:9" ht="15.6" x14ac:dyDescent="0.25">
      <c r="A9" s="6" t="s">
        <v>33</v>
      </c>
      <c r="B9" s="1" t="s">
        <v>16</v>
      </c>
      <c r="C9" s="1" t="s">
        <v>11</v>
      </c>
      <c r="D9" s="2">
        <v>6</v>
      </c>
      <c r="E9" s="4">
        <v>357</v>
      </c>
      <c r="F9" s="4">
        <v>456</v>
      </c>
      <c r="G9" s="3">
        <f t="shared" si="0"/>
        <v>813</v>
      </c>
      <c r="H9" s="7">
        <f t="shared" si="1"/>
        <v>135.5</v>
      </c>
      <c r="I9" s="3" t="str">
        <f t="shared" si="2"/>
        <v>低保</v>
      </c>
    </row>
    <row r="10" spans="1:9" ht="15.6" x14ac:dyDescent="0.25">
      <c r="A10" s="6" t="s">
        <v>34</v>
      </c>
      <c r="B10" s="1" t="s">
        <v>17</v>
      </c>
      <c r="C10" s="1" t="s">
        <v>9</v>
      </c>
      <c r="D10" s="2">
        <v>3</v>
      </c>
      <c r="E10" s="4">
        <v>987</v>
      </c>
      <c r="F10" s="4">
        <v>300</v>
      </c>
      <c r="G10" s="3">
        <f t="shared" si="0"/>
        <v>1287</v>
      </c>
      <c r="H10" s="7">
        <f t="shared" si="1"/>
        <v>429</v>
      </c>
      <c r="I10" s="3" t="str">
        <f t="shared" si="2"/>
        <v>中等</v>
      </c>
    </row>
    <row r="11" spans="1:9" ht="15.6" x14ac:dyDescent="0.25">
      <c r="A11" s="6" t="s">
        <v>35</v>
      </c>
      <c r="B11" s="1" t="s">
        <v>18</v>
      </c>
      <c r="C11" s="1" t="s">
        <v>9</v>
      </c>
      <c r="D11" s="2">
        <v>4</v>
      </c>
      <c r="E11" s="4">
        <v>445</v>
      </c>
      <c r="F11" s="4">
        <v>357</v>
      </c>
      <c r="G11" s="3">
        <f t="shared" si="0"/>
        <v>802</v>
      </c>
      <c r="H11" s="7">
        <f t="shared" si="1"/>
        <v>200.5</v>
      </c>
      <c r="I11" s="3" t="str">
        <f t="shared" si="2"/>
        <v>低保</v>
      </c>
    </row>
    <row r="12" spans="1:9" ht="15.6" x14ac:dyDescent="0.25">
      <c r="A12" s="6" t="s">
        <v>36</v>
      </c>
      <c r="B12" s="1" t="s">
        <v>19</v>
      </c>
      <c r="C12" s="1" t="s">
        <v>11</v>
      </c>
      <c r="D12" s="2">
        <v>3</v>
      </c>
      <c r="E12" s="4">
        <v>258</v>
      </c>
      <c r="F12" s="4">
        <v>159</v>
      </c>
      <c r="G12" s="3">
        <f t="shared" si="0"/>
        <v>417</v>
      </c>
      <c r="H12" s="7">
        <f t="shared" si="1"/>
        <v>139</v>
      </c>
      <c r="I12" s="3" t="str">
        <f t="shared" si="2"/>
        <v>低保</v>
      </c>
    </row>
    <row r="13" spans="1:9" ht="15.6" x14ac:dyDescent="0.25">
      <c r="A13" s="6" t="s">
        <v>37</v>
      </c>
      <c r="B13" s="1" t="s">
        <v>20</v>
      </c>
      <c r="C13" s="1" t="s">
        <v>9</v>
      </c>
      <c r="D13" s="2">
        <v>3</v>
      </c>
      <c r="E13" s="4">
        <v>765</v>
      </c>
      <c r="F13" s="4">
        <v>450</v>
      </c>
      <c r="G13" s="3">
        <f t="shared" si="0"/>
        <v>1215</v>
      </c>
      <c r="H13" s="7">
        <f t="shared" si="1"/>
        <v>405</v>
      </c>
      <c r="I13" s="3" t="str">
        <f t="shared" si="2"/>
        <v>中等</v>
      </c>
    </row>
    <row r="14" spans="1:9" ht="15.6" x14ac:dyDescent="0.25">
      <c r="A14" s="6" t="s">
        <v>38</v>
      </c>
      <c r="B14" s="1" t="s">
        <v>21</v>
      </c>
      <c r="C14" s="1" t="s">
        <v>9</v>
      </c>
      <c r="D14" s="2">
        <v>4</v>
      </c>
      <c r="E14" s="4">
        <v>845</v>
      </c>
      <c r="F14" s="4">
        <v>500</v>
      </c>
      <c r="G14" s="3">
        <f t="shared" si="0"/>
        <v>1345</v>
      </c>
      <c r="H14" s="7">
        <f t="shared" si="1"/>
        <v>336.25</v>
      </c>
      <c r="I14" s="3" t="str">
        <f t="shared" si="2"/>
        <v>中等</v>
      </c>
    </row>
    <row r="15" spans="1:9" ht="15.6" x14ac:dyDescent="0.25">
      <c r="A15" s="3"/>
      <c r="B15" s="3"/>
      <c r="C15" s="1"/>
      <c r="D15" s="3"/>
      <c r="E15" s="3"/>
      <c r="F15" s="3"/>
      <c r="G15" s="3"/>
      <c r="H15" s="3"/>
    </row>
    <row r="16" spans="1:9" ht="15.6" x14ac:dyDescent="0.25">
      <c r="A16" s="3"/>
      <c r="B16" s="8">
        <f>COUNTIF(I3:I14,C16)</f>
        <v>2</v>
      </c>
      <c r="C16" s="3" t="s">
        <v>22</v>
      </c>
      <c r="D16" s="9">
        <f>B16/SUM(B16:B18)</f>
        <v>0.16666666666666666</v>
      </c>
      <c r="E16" s="3"/>
      <c r="F16" s="3"/>
      <c r="G16" s="3"/>
      <c r="H16" s="3"/>
    </row>
    <row r="17" spans="2:4" x14ac:dyDescent="0.25">
      <c r="B17" s="5">
        <f>COUNTIF(I3:I14,C17)</f>
        <v>5</v>
      </c>
      <c r="C17" t="s">
        <v>23</v>
      </c>
      <c r="D17" s="10">
        <f>B17/SUM(B16:B18)</f>
        <v>0.41666666666666669</v>
      </c>
    </row>
    <row r="18" spans="2:4" x14ac:dyDescent="0.25">
      <c r="B18" s="5">
        <f>COUNTIF(I3:I14,C18)</f>
        <v>5</v>
      </c>
      <c r="C18" t="s">
        <v>24</v>
      </c>
      <c r="D18" s="10">
        <f>B18/SUM(B16:B18)</f>
        <v>0.41666666666666669</v>
      </c>
    </row>
  </sheetData>
  <mergeCells count="1">
    <mergeCell ref="A1:I1"/>
  </mergeCells>
  <phoneticPr fontId="4" type="noConversion"/>
  <pageMargins left="0.7" right="0.7" top="0.75" bottom="0.75" header="0.3" footer="0.3"/>
  <pageSetup paperSize="9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2021-04-20T05:43:38Z</dcterms:modified>
</cp:coreProperties>
</file>
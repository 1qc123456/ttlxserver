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90" windowHeight="9765"/>
  </bookViews>
  <sheets>
    <sheet name="Sheet1" sheetId="1" r:id="rId1"/>
    <sheet name="Sheet2" sheetId="2" r:id="rId2"/>
    <sheet name="Sheet3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<sst xmlns="http://schemas.openxmlformats.org/spreadsheetml/2006/main" count="279" uniqueCount="62">
  <si>
    <t>2022年秋季期末考试成绩</t>
  </si>
  <si>
    <t>学号</t>
  </si>
  <si>
    <t>姓名</t>
  </si>
  <si>
    <t>性别</t>
  </si>
  <si>
    <t>班级</t>
  </si>
  <si>
    <t>语文</t>
  </si>
  <si>
    <t>数学</t>
  </si>
  <si>
    <t>英语</t>
  </si>
  <si>
    <t>计算机</t>
  </si>
  <si>
    <t>总分</t>
  </si>
  <si>
    <t>平均分</t>
  </si>
  <si>
    <t>排名</t>
  </si>
  <si>
    <t>李心怡</t>
  </si>
  <si>
    <t>女</t>
  </si>
  <si>
    <t>二班</t>
  </si>
  <si>
    <t>韩珂</t>
  </si>
  <si>
    <t>男</t>
  </si>
  <si>
    <t>一班</t>
  </si>
  <si>
    <t>刘艺涵</t>
  </si>
  <si>
    <t>三班</t>
  </si>
  <si>
    <t>刘俊佟</t>
  </si>
  <si>
    <t>刘佳慧</t>
  </si>
  <si>
    <t>孙舜</t>
  </si>
  <si>
    <t>周米文</t>
  </si>
  <si>
    <t>孙瑜晗</t>
  </si>
  <si>
    <t>赵瑜梦</t>
  </si>
  <si>
    <t>余韬</t>
  </si>
  <si>
    <t>孙芊</t>
  </si>
  <si>
    <t>李秋阳</t>
  </si>
  <si>
    <t>周雨昕</t>
  </si>
  <si>
    <t>赵玥</t>
  </si>
  <si>
    <t>郭玲玲</t>
  </si>
  <si>
    <t>程恬</t>
  </si>
  <si>
    <t>陈温格</t>
  </si>
  <si>
    <t>杨程雁</t>
  </si>
  <si>
    <t>李冰月</t>
  </si>
  <si>
    <t>黄怀中</t>
  </si>
  <si>
    <t>潘国瑞</t>
  </si>
  <si>
    <t>陈标</t>
  </si>
  <si>
    <t>郭潘</t>
  </si>
  <si>
    <t>洪玉敏</t>
  </si>
  <si>
    <t>汪祺钊</t>
  </si>
  <si>
    <t>史婷</t>
  </si>
  <si>
    <t>陈颖</t>
  </si>
  <si>
    <t>李萌</t>
  </si>
  <si>
    <t>李丁</t>
  </si>
  <si>
    <t>梁玮芸</t>
  </si>
  <si>
    <t>高靖扬</t>
  </si>
  <si>
    <t>郝浚伊</t>
  </si>
  <si>
    <t>鲁颜</t>
  </si>
  <si>
    <t>吴天一</t>
  </si>
  <si>
    <t>董婧雯</t>
  </si>
  <si>
    <t>周沫</t>
  </si>
  <si>
    <t>蔡洁</t>
  </si>
  <si>
    <t>蔡昕澎</t>
  </si>
  <si>
    <t>苗凝</t>
  </si>
  <si>
    <t>王同硕</t>
  </si>
  <si>
    <t>计数项:性别</t>
  </si>
  <si>
    <t>列标签</t>
  </si>
  <si>
    <t>行标签</t>
  </si>
  <si>
    <t>总计</t>
  </si>
  <si>
    <t>平均值项:计算机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</si>
</sst>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2">
    <font>
      <sz val="11"/>
      <color theme="1"/>
      <name val="宋体"/>
      <charset val="134"/>
      <scheme val="minor"/>
    </font>
    <font>
      <sz val="22"/>
      <color rgb="FFFF0000"/>
      <name val="微软雅黑"/>
      <charset val="134"/>
    </font>
    <font>
      <sz val="11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numFmt numFmtId="177" formatCode="0.0_ "/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numFmt numFmtId="177" formatCode="0.0_ "/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numFmt numFmtId="177" formatCode="0.0_ "/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numFmt numFmtId="177" formatCode="0.0_ "/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numFmt numFmtId="177" formatCode="0.0_ "/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numFmt numFmtId="177" formatCode="0.0_ "/>
      <alignment horizontal="center" vertical="center"/>
    </dxf>
    <dxf>
      <font>
        <name val="黑体"/>
        <scheme val="none"/>
        <charset val="134"/>
        <family val="3"/>
        <b val="0"/>
        <i val="0"/>
        <strike val="0"/>
        <u val="none"/>
        <sz val="11"/>
        <color theme="1"/>
      </font>
      <numFmt numFmtId="0" formatCode="General"/>
      <alignment horizontal="center" vertical="center"/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5" tint="-0.249977111117893"/>
      </font>
    </dxf>
    <dxf>
      <font>
        <b val="1"/>
        <color theme="5" tint="-0.249977111117893"/>
      </font>
    </dxf>
    <dxf>
      <font>
        <b val="1"/>
        <color theme="5" tint="-0.249977111117893"/>
      </font>
      <border>
        <top style="thin">
          <color theme="5"/>
        </top>
      </border>
    </dxf>
    <dxf>
      <font>
        <b val="1"/>
        <color theme="5" tint="-0.499984740745262"/>
      </font>
      <border>
        <top style="thin">
          <color theme="5"/>
        </top>
        <bottom style="medium">
          <color theme="5"/>
        </bottom>
      </border>
    </dxf>
    <dxf>
      <font>
        <color theme="5" tint="-0.499984740745262"/>
      </font>
      <border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TableStylePreset1_Accent2" pivot="0" count="7" xr9:uid="{B3838B09-31DD-41EE-A1C2-E4259618CD32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[标准文件.xlsx]Sheet2!数据透视表2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高一年级期末考试平均分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Sheet2!$A$52:$A$55</c:f>
              <c:strCache>
                <c:ptCount val="3"/>
                <c:pt idx="0">
                  <c:v>一班</c:v>
                </c:pt>
                <c:pt idx="1">
                  <c:v>二班</c:v>
                </c:pt>
                <c:pt idx="2">
                  <c:v>三班</c:v>
                </c:pt>
              </c:strCache>
            </c:strRef>
          </c:cat>
          <c:val>
            <c:numRef>
              <c:f>Sheet2!$B$52:$B$55</c:f>
              <c:numCache>
                <c:formatCode>0.00_ </c:formatCode>
                <c:ptCount val="3"/>
                <c:pt idx="0">
                  <c:v>76.4583333333333</c:v>
                </c:pt>
                <c:pt idx="1">
                  <c:v>72.1071428571429</c:v>
                </c:pt>
                <c:pt idx="2">
                  <c:v>76.0357142857143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2091890848"/>
        <c:axId val="1453676032"/>
      </c:barChart>
      <c:catAx>
        <c:axId val="209189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53676032"/>
        <c:crosses val="autoZero"/>
        <c:auto val="1"/>
        <c:lblAlgn val="ctr"/>
        <c:lblOffset val="100"/>
        <c:noMultiLvlLbl val="0"/>
      </c:catAx>
      <c:valAx>
        <c:axId val="145367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1890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14287</xdr:colOff>
      <xdr:row>50</xdr:row>
      <xdr:rowOff>0</xdr:rowOff>
    </xdr:from>
    <xdr:to>
      <xdr:col>9</xdr:col>
      <xdr:colOff>528637</xdr:colOff>
      <xdr:row>66</xdr:row>
      <xdr:rowOff>0</xdr:rowOff>
    </xdr:to>
    <xdr:graphicFrame>
      <xdr:nvGraphicFramePr>
        <xdr:cNvPr id="2" name="图表 1"/>
        <xdr:cNvGraphicFramePr/>
      </xdr:nvGraphicFramePr>
      <xdr:xfrm>
        <a:off x="2099945" y="8572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freshedDate="45007.6670826389" refreshedBy="admin" recordCount="40">
  <cacheSource type="worksheet">
    <worksheetSource ref="A1:K41" sheet="Sheet2"/>
  </cacheSource>
  <cacheFields count="11">
    <cacheField name="学号" numFmtId="0"/>
    <cacheField name="姓名" numFmtId="0"/>
    <cacheField name="性别" numFmtId="0">
      <sharedItems count="2">
        <s v="男"/>
        <s v="女"/>
      </sharedItems>
    </cacheField>
    <cacheField name="班级" numFmtId="0">
      <sharedItems count="3">
        <s v="一班"/>
        <s v="二班"/>
        <s v="三班"/>
      </sharedItems>
    </cacheField>
    <cacheField name="语文" numFmtId="0"/>
    <cacheField name="数学" numFmtId="0"/>
    <cacheField name="英语" numFmtId="0"/>
    <cacheField name="计算机" numFmtId="0"/>
    <cacheField name="总分" numFmtId="0"/>
    <cacheField name="平均分" numFmtId="0"/>
    <cacheField name="排名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0002"/>
    <s v="韩珂"/>
    <x v="0"/>
    <x v="0"/>
    <n v="87"/>
    <n v="90"/>
    <n v="97"/>
    <n v="69.5"/>
    <n v="343.5"/>
    <n v="85.875"/>
    <n v="7"/>
  </r>
  <r>
    <n v="10007"/>
    <s v="周米文"/>
    <x v="0"/>
    <x v="0"/>
    <n v="84"/>
    <n v="70.5"/>
    <n v="75"/>
    <n v="73"/>
    <n v="302.5"/>
    <n v="75.625"/>
    <n v="21"/>
  </r>
  <r>
    <n v="10009"/>
    <s v="赵瑜梦"/>
    <x v="0"/>
    <x v="0"/>
    <n v="90.5"/>
    <n v="88"/>
    <n v="95"/>
    <n v="90"/>
    <n v="363.5"/>
    <n v="90.875"/>
    <n v="4"/>
  </r>
  <r>
    <n v="10012"/>
    <s v="李秋阳"/>
    <x v="0"/>
    <x v="0"/>
    <n v="94"/>
    <n v="90"/>
    <n v="96"/>
    <n v="83.5"/>
    <n v="363.5"/>
    <n v="90.875"/>
    <n v="4"/>
  </r>
  <r>
    <n v="10014"/>
    <s v="赵玥"/>
    <x v="0"/>
    <x v="0"/>
    <n v="67"/>
    <n v="86"/>
    <n v="70.5"/>
    <n v="68.5"/>
    <n v="292"/>
    <n v="73"/>
    <n v="27"/>
  </r>
  <r>
    <n v="10016"/>
    <s v="程恬"/>
    <x v="0"/>
    <x v="0"/>
    <n v="89"/>
    <n v="72"/>
    <n v="79"/>
    <n v="87"/>
    <n v="327"/>
    <n v="81.75"/>
    <n v="11"/>
  </r>
  <r>
    <n v="10018"/>
    <s v="杨程雁"/>
    <x v="1"/>
    <x v="0"/>
    <n v="73"/>
    <n v="76"/>
    <n v="56"/>
    <n v="54"/>
    <n v="259"/>
    <n v="64.75"/>
    <n v="38"/>
  </r>
  <r>
    <n v="10023"/>
    <s v="郭潘"/>
    <x v="0"/>
    <x v="0"/>
    <n v="72.5"/>
    <n v="74.5"/>
    <n v="72.5"/>
    <n v="70.5"/>
    <n v="290"/>
    <n v="72.5"/>
    <n v="28"/>
  </r>
  <r>
    <n v="10026"/>
    <s v="史婷"/>
    <x v="1"/>
    <x v="0"/>
    <n v="71.5"/>
    <n v="88"/>
    <n v="81"/>
    <n v="85"/>
    <n v="325.5"/>
    <n v="81.375"/>
    <n v="12"/>
  </r>
  <r>
    <n v="10031"/>
    <s v="高靖扬"/>
    <x v="0"/>
    <x v="0"/>
    <n v="77.5"/>
    <n v="75.5"/>
    <n v="79"/>
    <n v="77"/>
    <n v="309"/>
    <n v="77.25"/>
    <n v="17"/>
  </r>
  <r>
    <n v="10034"/>
    <s v="吴天一"/>
    <x v="0"/>
    <x v="0"/>
    <n v="80"/>
    <n v="76.5"/>
    <n v="89.5"/>
    <n v="87.5"/>
    <n v="333.5"/>
    <n v="83.375"/>
    <n v="9"/>
  </r>
  <r>
    <n v="10040"/>
    <s v="王同硕"/>
    <x v="1"/>
    <x v="0"/>
    <n v="85.5"/>
    <n v="66"/>
    <n v="74"/>
    <n v="72"/>
    <n v="297.5"/>
    <n v="74.375"/>
    <n v="24"/>
  </r>
  <r>
    <n v="10001"/>
    <s v="李心怡"/>
    <x v="1"/>
    <x v="1"/>
    <n v="91"/>
    <n v="98"/>
    <n v="94"/>
    <n v="92"/>
    <n v="375"/>
    <n v="93.75"/>
    <n v="1"/>
  </r>
  <r>
    <n v="10005"/>
    <s v="刘佳慧"/>
    <x v="1"/>
    <x v="1"/>
    <n v="73.5"/>
    <n v="78"/>
    <n v="73"/>
    <n v="71"/>
    <n v="295.5"/>
    <n v="73.875"/>
    <n v="26"/>
  </r>
  <r>
    <n v="10006"/>
    <s v="孙舜"/>
    <x v="0"/>
    <x v="1"/>
    <n v="78"/>
    <n v="86.5"/>
    <n v="67"/>
    <n v="65"/>
    <n v="296.5"/>
    <n v="74.125"/>
    <n v="25"/>
  </r>
  <r>
    <n v="10010"/>
    <s v="余韬"/>
    <x v="1"/>
    <x v="1"/>
    <n v="77"/>
    <n v="90"/>
    <n v="74.5"/>
    <n v="72.5"/>
    <n v="314"/>
    <n v="78.5"/>
    <n v="15"/>
  </r>
  <r>
    <n v="10015"/>
    <s v="郭玲玲"/>
    <x v="1"/>
    <x v="1"/>
    <n v="82.5"/>
    <n v="72"/>
    <n v="67.5"/>
    <n v="65.5"/>
    <n v="287.5"/>
    <n v="71.875"/>
    <n v="31"/>
  </r>
  <r>
    <n v="10021"/>
    <s v="潘国瑞"/>
    <x v="0"/>
    <x v="1"/>
    <n v="91"/>
    <n v="68.5"/>
    <n v="64.5"/>
    <n v="62.5"/>
    <n v="286.5"/>
    <n v="71.625"/>
    <n v="33"/>
  </r>
  <r>
    <n v="10022"/>
    <s v="陈标"/>
    <x v="0"/>
    <x v="1"/>
    <n v="78.5"/>
    <n v="73"/>
    <n v="83"/>
    <n v="81"/>
    <n v="315.5"/>
    <n v="78.875"/>
    <n v="14"/>
  </r>
  <r>
    <n v="10027"/>
    <s v="陈颖"/>
    <x v="0"/>
    <x v="1"/>
    <n v="63.5"/>
    <n v="77.5"/>
    <n v="84.5"/>
    <n v="82.5"/>
    <n v="308"/>
    <n v="77"/>
    <n v="18"/>
  </r>
  <r>
    <n v="10028"/>
    <s v="李萌"/>
    <x v="1"/>
    <x v="1"/>
    <n v="69"/>
    <n v="68.5"/>
    <n v="92"/>
    <n v="90"/>
    <n v="319.5"/>
    <n v="79.875"/>
    <n v="13"/>
  </r>
  <r>
    <n v="10029"/>
    <s v="李丁"/>
    <x v="0"/>
    <x v="1"/>
    <n v="52.5"/>
    <n v="50"/>
    <n v="64"/>
    <n v="62"/>
    <n v="228.5"/>
    <n v="57.125"/>
    <n v="39"/>
  </r>
  <r>
    <n v="10032"/>
    <s v="郝浚伊"/>
    <x v="0"/>
    <x v="1"/>
    <n v="77"/>
    <n v="85.5"/>
    <n v="63.5"/>
    <n v="61.5"/>
    <n v="287.5"/>
    <n v="71.875"/>
    <n v="31"/>
  </r>
  <r>
    <n v="10035"/>
    <s v="董婧雯"/>
    <x v="0"/>
    <x v="1"/>
    <n v="65"/>
    <n v="60"/>
    <n v="50"/>
    <n v="52.5"/>
    <n v="227.5"/>
    <n v="56.875"/>
    <n v="40"/>
  </r>
  <r>
    <n v="10036"/>
    <s v="周沫"/>
    <x v="0"/>
    <x v="1"/>
    <n v="93"/>
    <n v="82"/>
    <n v="97"/>
    <n v="97"/>
    <n v="369"/>
    <n v="92.25"/>
    <n v="2"/>
  </r>
  <r>
    <n v="10039"/>
    <s v="苗凝"/>
    <x v="0"/>
    <x v="1"/>
    <n v="85.5"/>
    <n v="91.5"/>
    <n v="56.5"/>
    <n v="54.5"/>
    <n v="288"/>
    <n v="72"/>
    <n v="30"/>
  </r>
  <r>
    <n v="10003"/>
    <s v="刘艺涵"/>
    <x v="1"/>
    <x v="2"/>
    <n v="66"/>
    <n v="66"/>
    <n v="74"/>
    <n v="72"/>
    <n v="278"/>
    <n v="69.5"/>
    <n v="34"/>
  </r>
  <r>
    <n v="10004"/>
    <s v="刘俊佟"/>
    <x v="1"/>
    <x v="2"/>
    <n v="90.5"/>
    <n v="50"/>
    <n v="88"/>
    <n v="72"/>
    <n v="300.5"/>
    <n v="75.125"/>
    <n v="22"/>
  </r>
  <r>
    <n v="10008"/>
    <s v="孙瑜晗"/>
    <x v="0"/>
    <x v="2"/>
    <n v="86.5"/>
    <n v="65"/>
    <n v="62.5"/>
    <n v="60.5"/>
    <n v="274.5"/>
    <n v="68.625"/>
    <n v="36"/>
  </r>
  <r>
    <n v="10011"/>
    <s v="孙芊"/>
    <x v="1"/>
    <x v="2"/>
    <n v="73.5"/>
    <n v="70"/>
    <n v="80"/>
    <n v="82.5"/>
    <n v="306"/>
    <n v="76.5"/>
    <n v="19"/>
  </r>
  <r>
    <n v="10013"/>
    <s v="周雨昕"/>
    <x v="0"/>
    <x v="2"/>
    <n v="65"/>
    <n v="64"/>
    <n v="75.5"/>
    <n v="73.5"/>
    <n v="278"/>
    <n v="69.5"/>
    <n v="34"/>
  </r>
  <r>
    <n v="10017"/>
    <s v="陈温格"/>
    <x v="0"/>
    <x v="2"/>
    <n v="80"/>
    <n v="90"/>
    <n v="83"/>
    <n v="81"/>
    <n v="334"/>
    <n v="83.5"/>
    <n v="8"/>
  </r>
  <r>
    <n v="10019"/>
    <s v="李冰月"/>
    <x v="1"/>
    <x v="2"/>
    <n v="84"/>
    <n v="73"/>
    <n v="70"/>
    <n v="76"/>
    <n v="303"/>
    <n v="75.75"/>
    <n v="20"/>
  </r>
  <r>
    <n v="10020"/>
    <s v="黄怀中"/>
    <x v="0"/>
    <x v="2"/>
    <n v="71"/>
    <n v="82.5"/>
    <n v="89"/>
    <n v="87"/>
    <n v="329.5"/>
    <n v="82.375"/>
    <n v="10"/>
  </r>
  <r>
    <n v="10024"/>
    <s v="洪玉敏"/>
    <x v="0"/>
    <x v="2"/>
    <n v="78"/>
    <n v="61.5"/>
    <n v="66"/>
    <n v="64"/>
    <n v="269.5"/>
    <n v="67.375"/>
    <n v="37"/>
  </r>
  <r>
    <n v="10025"/>
    <s v="汪祺钊"/>
    <x v="0"/>
    <x v="2"/>
    <n v="93"/>
    <n v="86"/>
    <n v="94.5"/>
    <n v="92.5"/>
    <n v="366"/>
    <n v="91.5"/>
    <n v="3"/>
  </r>
  <r>
    <n v="10030"/>
    <s v="梁玮芸"/>
    <x v="1"/>
    <x v="2"/>
    <n v="69"/>
    <n v="75"/>
    <n v="89"/>
    <n v="80"/>
    <n v="313"/>
    <n v="78.25"/>
    <n v="16"/>
  </r>
  <r>
    <n v="10033"/>
    <s v="鲁颜"/>
    <x v="1"/>
    <x v="2"/>
    <n v="85"/>
    <n v="95"/>
    <n v="94"/>
    <n v="86.5"/>
    <n v="360.5"/>
    <n v="90.125"/>
    <n v="6"/>
  </r>
  <r>
    <n v="10037"/>
    <s v="蔡洁"/>
    <x v="0"/>
    <x v="2"/>
    <n v="76.5"/>
    <n v="79.5"/>
    <n v="68"/>
    <n v="66"/>
    <n v="290"/>
    <n v="72.5"/>
    <n v="28"/>
  </r>
  <r>
    <n v="10038"/>
    <s v="蔡昕澎"/>
    <x v="1"/>
    <x v="2"/>
    <n v="77"/>
    <n v="77"/>
    <n v="73"/>
    <n v="71"/>
    <n v="298"/>
    <n v="74.5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6" minRefreshableVersion="3" createdVersion="6" useAutoFormatting="1" indent="0" outline="1" outlineData="1" showDrill="1" multipleFieldFilters="0" chartFormat="1">
  <location ref="A51:B55" firstHeaderRow="1" firstDataRow="1" firstDataCol="1"/>
  <pivotFields count="1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平均值项:计算机" fld="7" subtotal="average" baseField="3" baseItem="0" numFmtId="176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6" minRefreshableVersion="3" createdVersion="6" useAutoFormatting="1" indent="0" outline="1" outlineData="1" showDrill="1" multipleFieldFilters="0">
  <location ref="A45:E49" firstHeaderRow="1" firstDataRow="2" firstDataCol="1"/>
  <pivotFields count="11">
    <pivotField showAll="0"/>
    <pivotField showAll="0"/>
    <pivotField axis="axisRow" dataField="1" showAll="0">
      <items count="3">
        <item x="0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计数项:性别" fld="2" subtotal="count" baseField="2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2:K42" totalsRowShown="0">
  <tableColumns count="11">
    <tableColumn id="1" name="学号" dataDxfId="0"/>
    <tableColumn id="2" name="姓名" dataDxfId="1"/>
    <tableColumn id="3" name="性别" dataDxfId="2"/>
    <tableColumn id="4" name="班级" dataDxfId="3"/>
    <tableColumn id="5" name="语文" dataDxfId="4"/>
    <tableColumn id="6" name="数学" dataDxfId="5"/>
    <tableColumn id="7" name="英语" dataDxfId="6"/>
    <tableColumn id="8" name="计算机" dataDxfId="7"/>
    <tableColumn id="9" name="总分" dataDxfId="8"/>
    <tableColumn id="10" name="平均分" dataDxfId="9"/>
    <tableColumn id="11" name="排名" dataDxfId="10"/>
  </tableColumns>
  <tableStyleInfo name="TableStylePreset1_Accent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tabSelected="1" zoomScale="70" zoomScaleNormal="70" workbookViewId="0">
      <selection activeCell="A2" sqref="A2:K42"/>
    </sheetView>
  </sheetViews>
  <sheetFormatPr defaultColWidth="9" defaultRowHeight="13.5"/>
  <sheetData>
    <row r="1" ht="30" spans="1:1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spans="1:11">
      <c r="A3" s="6">
        <v>10001</v>
      </c>
      <c r="B3" s="6" t="s">
        <v>12</v>
      </c>
      <c r="C3" s="6" t="s">
        <v>13</v>
      </c>
      <c r="D3" s="6" t="s">
        <v>14</v>
      </c>
      <c r="E3" s="7">
        <v>91</v>
      </c>
      <c r="F3" s="7">
        <v>98</v>
      </c>
      <c r="G3" s="7">
        <v>94</v>
      </c>
      <c r="H3" s="7">
        <v>92</v>
      </c>
      <c r="I3" s="7">
        <f t="shared" ref="I3:I42" si="0">SUM(E3:H3)</f>
        <v>375</v>
      </c>
      <c r="J3" s="7">
        <f t="shared" ref="J3:J42" si="1">AVERAGE(E3:H3)</f>
        <v>93.75</v>
      </c>
      <c r="K3" s="6">
        <f>RANK(表1[[#This Row],[总分]],表1[总分])</f>
        <v>1</v>
      </c>
    </row>
    <row r="4" spans="1:11">
      <c r="A4" s="6">
        <v>10002</v>
      </c>
      <c r="B4" s="6" t="s">
        <v>15</v>
      </c>
      <c r="C4" s="6" t="s">
        <v>16</v>
      </c>
      <c r="D4" s="6" t="s">
        <v>17</v>
      </c>
      <c r="E4" s="7">
        <v>87</v>
      </c>
      <c r="F4" s="7">
        <v>90</v>
      </c>
      <c r="G4" s="7">
        <v>97</v>
      </c>
      <c r="H4" s="7">
        <v>69.5</v>
      </c>
      <c r="I4" s="7">
        <f t="shared" si="0"/>
        <v>343.5</v>
      </c>
      <c r="J4" s="7">
        <f t="shared" si="1"/>
        <v>85.875</v>
      </c>
      <c r="K4" s="6">
        <f>RANK(表1[[#This Row],[总分]],表1[总分])</f>
        <v>7</v>
      </c>
    </row>
    <row r="5" spans="1:11">
      <c r="A5" s="6">
        <v>10003</v>
      </c>
      <c r="B5" s="6" t="s">
        <v>18</v>
      </c>
      <c r="C5" s="6" t="s">
        <v>13</v>
      </c>
      <c r="D5" s="6" t="s">
        <v>19</v>
      </c>
      <c r="E5" s="7">
        <v>66</v>
      </c>
      <c r="F5" s="7">
        <v>66</v>
      </c>
      <c r="G5" s="7">
        <v>74</v>
      </c>
      <c r="H5" s="7">
        <v>72</v>
      </c>
      <c r="I5" s="7">
        <f t="shared" si="0"/>
        <v>278</v>
      </c>
      <c r="J5" s="7">
        <f t="shared" si="1"/>
        <v>69.5</v>
      </c>
      <c r="K5" s="6">
        <f>RANK(表1[[#This Row],[总分]],表1[总分])</f>
        <v>34</v>
      </c>
    </row>
    <row r="6" spans="1:11">
      <c r="A6" s="6">
        <v>10004</v>
      </c>
      <c r="B6" s="6" t="s">
        <v>20</v>
      </c>
      <c r="C6" s="6" t="s">
        <v>13</v>
      </c>
      <c r="D6" s="6" t="s">
        <v>19</v>
      </c>
      <c r="E6" s="7">
        <v>90.5</v>
      </c>
      <c r="F6" s="7">
        <v>50</v>
      </c>
      <c r="G6" s="7">
        <v>88</v>
      </c>
      <c r="H6" s="7">
        <v>72</v>
      </c>
      <c r="I6" s="7">
        <f t="shared" si="0"/>
        <v>300.5</v>
      </c>
      <c r="J6" s="7">
        <f t="shared" si="1"/>
        <v>75.125</v>
      </c>
      <c r="K6" s="6">
        <f>RANK(表1[[#This Row],[总分]],表1[总分])</f>
        <v>22</v>
      </c>
    </row>
    <row r="7" spans="1:11">
      <c r="A7" s="6">
        <v>10005</v>
      </c>
      <c r="B7" s="6" t="s">
        <v>21</v>
      </c>
      <c r="C7" s="6" t="s">
        <v>13</v>
      </c>
      <c r="D7" s="6" t="s">
        <v>14</v>
      </c>
      <c r="E7" s="7">
        <v>73.5</v>
      </c>
      <c r="F7" s="7">
        <v>78</v>
      </c>
      <c r="G7" s="7">
        <v>73</v>
      </c>
      <c r="H7" s="7">
        <v>71</v>
      </c>
      <c r="I7" s="7">
        <f t="shared" si="0"/>
        <v>295.5</v>
      </c>
      <c r="J7" s="7">
        <f t="shared" si="1"/>
        <v>73.875</v>
      </c>
      <c r="K7" s="6">
        <f>RANK(表1[[#This Row],[总分]],表1[总分])</f>
        <v>26</v>
      </c>
    </row>
    <row r="8" spans="1:11">
      <c r="A8" s="6">
        <v>10006</v>
      </c>
      <c r="B8" s="6" t="s">
        <v>22</v>
      </c>
      <c r="C8" s="6" t="s">
        <v>16</v>
      </c>
      <c r="D8" s="6" t="s">
        <v>14</v>
      </c>
      <c r="E8" s="7">
        <v>78</v>
      </c>
      <c r="F8" s="7">
        <v>86.5</v>
      </c>
      <c r="G8" s="7">
        <v>67</v>
      </c>
      <c r="H8" s="7">
        <v>65</v>
      </c>
      <c r="I8" s="7">
        <f t="shared" si="0"/>
        <v>296.5</v>
      </c>
      <c r="J8" s="7">
        <f t="shared" si="1"/>
        <v>74.125</v>
      </c>
      <c r="K8" s="6">
        <f>RANK(表1[[#This Row],[总分]],表1[总分])</f>
        <v>25</v>
      </c>
    </row>
    <row r="9" spans="1:11">
      <c r="A9" s="6">
        <v>10007</v>
      </c>
      <c r="B9" s="6" t="s">
        <v>23</v>
      </c>
      <c r="C9" s="6" t="s">
        <v>16</v>
      </c>
      <c r="D9" s="6" t="s">
        <v>17</v>
      </c>
      <c r="E9" s="7">
        <v>84</v>
      </c>
      <c r="F9" s="7">
        <v>70.5</v>
      </c>
      <c r="G9" s="7">
        <v>75</v>
      </c>
      <c r="H9" s="7">
        <v>73</v>
      </c>
      <c r="I9" s="7">
        <f t="shared" si="0"/>
        <v>302.5</v>
      </c>
      <c r="J9" s="7">
        <f t="shared" si="1"/>
        <v>75.625</v>
      </c>
      <c r="K9" s="6">
        <f>RANK(表1[[#This Row],[总分]],表1[总分])</f>
        <v>21</v>
      </c>
    </row>
    <row r="10" spans="1:11">
      <c r="A10" s="6">
        <v>10008</v>
      </c>
      <c r="B10" s="6" t="s">
        <v>24</v>
      </c>
      <c r="C10" s="6" t="s">
        <v>16</v>
      </c>
      <c r="D10" s="6" t="s">
        <v>19</v>
      </c>
      <c r="E10" s="7">
        <v>86.5</v>
      </c>
      <c r="F10" s="7">
        <v>65</v>
      </c>
      <c r="G10" s="7">
        <v>62.5</v>
      </c>
      <c r="H10" s="7">
        <v>60.5</v>
      </c>
      <c r="I10" s="7">
        <f t="shared" si="0"/>
        <v>274.5</v>
      </c>
      <c r="J10" s="7">
        <f t="shared" si="1"/>
        <v>68.625</v>
      </c>
      <c r="K10" s="6">
        <f>RANK(表1[[#This Row],[总分]],表1[总分])</f>
        <v>36</v>
      </c>
    </row>
    <row r="11" spans="1:11">
      <c r="A11" s="6">
        <v>10009</v>
      </c>
      <c r="B11" s="6" t="s">
        <v>25</v>
      </c>
      <c r="C11" s="6" t="s">
        <v>16</v>
      </c>
      <c r="D11" s="6" t="s">
        <v>17</v>
      </c>
      <c r="E11" s="7">
        <v>90.5</v>
      </c>
      <c r="F11" s="7">
        <v>88</v>
      </c>
      <c r="G11" s="7">
        <v>95</v>
      </c>
      <c r="H11" s="7">
        <v>90</v>
      </c>
      <c r="I11" s="7">
        <f t="shared" si="0"/>
        <v>363.5</v>
      </c>
      <c r="J11" s="7">
        <f t="shared" si="1"/>
        <v>90.875</v>
      </c>
      <c r="K11" s="6">
        <f>RANK(表1[[#This Row],[总分]],表1[总分])</f>
        <v>4</v>
      </c>
    </row>
    <row r="12" spans="1:11">
      <c r="A12" s="6">
        <v>10010</v>
      </c>
      <c r="B12" s="6" t="s">
        <v>26</v>
      </c>
      <c r="C12" s="6" t="s">
        <v>13</v>
      </c>
      <c r="D12" s="6" t="s">
        <v>14</v>
      </c>
      <c r="E12" s="7">
        <v>77</v>
      </c>
      <c r="F12" s="7">
        <v>90</v>
      </c>
      <c r="G12" s="7">
        <v>74.5</v>
      </c>
      <c r="H12" s="7">
        <v>72.5</v>
      </c>
      <c r="I12" s="7">
        <f t="shared" si="0"/>
        <v>314</v>
      </c>
      <c r="J12" s="7">
        <f t="shared" si="1"/>
        <v>78.5</v>
      </c>
      <c r="K12" s="6">
        <f>RANK(表1[[#This Row],[总分]],表1[总分])</f>
        <v>15</v>
      </c>
    </row>
    <row r="13" spans="1:11">
      <c r="A13" s="6">
        <v>10011</v>
      </c>
      <c r="B13" s="6" t="s">
        <v>27</v>
      </c>
      <c r="C13" s="6" t="s">
        <v>13</v>
      </c>
      <c r="D13" s="6" t="s">
        <v>19</v>
      </c>
      <c r="E13" s="7">
        <v>73.5</v>
      </c>
      <c r="F13" s="7">
        <v>70</v>
      </c>
      <c r="G13" s="7">
        <v>80</v>
      </c>
      <c r="H13" s="7">
        <v>82.5</v>
      </c>
      <c r="I13" s="7">
        <f t="shared" si="0"/>
        <v>306</v>
      </c>
      <c r="J13" s="7">
        <f t="shared" si="1"/>
        <v>76.5</v>
      </c>
      <c r="K13" s="6">
        <f>RANK(表1[[#This Row],[总分]],表1[总分])</f>
        <v>19</v>
      </c>
    </row>
    <row r="14" spans="1:11">
      <c r="A14" s="6">
        <v>10012</v>
      </c>
      <c r="B14" s="6" t="s">
        <v>28</v>
      </c>
      <c r="C14" s="6" t="s">
        <v>16</v>
      </c>
      <c r="D14" s="6" t="s">
        <v>17</v>
      </c>
      <c r="E14" s="7">
        <v>94</v>
      </c>
      <c r="F14" s="7">
        <v>90</v>
      </c>
      <c r="G14" s="7">
        <v>96</v>
      </c>
      <c r="H14" s="7">
        <v>83.5</v>
      </c>
      <c r="I14" s="7">
        <f t="shared" si="0"/>
        <v>363.5</v>
      </c>
      <c r="J14" s="7">
        <f t="shared" si="1"/>
        <v>90.875</v>
      </c>
      <c r="K14" s="6">
        <f>RANK(表1[[#This Row],[总分]],表1[总分])</f>
        <v>4</v>
      </c>
    </row>
    <row r="15" spans="1:11">
      <c r="A15" s="6">
        <v>10013</v>
      </c>
      <c r="B15" s="6" t="s">
        <v>29</v>
      </c>
      <c r="C15" s="6" t="s">
        <v>16</v>
      </c>
      <c r="D15" s="6" t="s">
        <v>19</v>
      </c>
      <c r="E15" s="7">
        <v>65</v>
      </c>
      <c r="F15" s="7">
        <v>64</v>
      </c>
      <c r="G15" s="7">
        <v>75.5</v>
      </c>
      <c r="H15" s="7">
        <v>73.5</v>
      </c>
      <c r="I15" s="7">
        <f t="shared" si="0"/>
        <v>278</v>
      </c>
      <c r="J15" s="7">
        <f t="shared" si="1"/>
        <v>69.5</v>
      </c>
      <c r="K15" s="6">
        <f>RANK(表1[[#This Row],[总分]],表1[总分])</f>
        <v>34</v>
      </c>
    </row>
    <row r="16" spans="1:11">
      <c r="A16" s="6">
        <v>10014</v>
      </c>
      <c r="B16" s="6" t="s">
        <v>30</v>
      </c>
      <c r="C16" s="6" t="s">
        <v>16</v>
      </c>
      <c r="D16" s="6" t="s">
        <v>17</v>
      </c>
      <c r="E16" s="7">
        <v>67</v>
      </c>
      <c r="F16" s="7">
        <v>86</v>
      </c>
      <c r="G16" s="7">
        <v>70.5</v>
      </c>
      <c r="H16" s="7">
        <v>68.5</v>
      </c>
      <c r="I16" s="7">
        <f t="shared" si="0"/>
        <v>292</v>
      </c>
      <c r="J16" s="7">
        <f t="shared" si="1"/>
        <v>73</v>
      </c>
      <c r="K16" s="6">
        <f>RANK(表1[[#This Row],[总分]],表1[总分])</f>
        <v>27</v>
      </c>
    </row>
    <row r="17" spans="1:11">
      <c r="A17" s="6">
        <v>10015</v>
      </c>
      <c r="B17" s="6" t="s">
        <v>31</v>
      </c>
      <c r="C17" s="6" t="s">
        <v>13</v>
      </c>
      <c r="D17" s="6" t="s">
        <v>14</v>
      </c>
      <c r="E17" s="7">
        <v>82.5</v>
      </c>
      <c r="F17" s="7">
        <v>72</v>
      </c>
      <c r="G17" s="7">
        <v>67.5</v>
      </c>
      <c r="H17" s="7">
        <v>65.5</v>
      </c>
      <c r="I17" s="7">
        <f t="shared" si="0"/>
        <v>287.5</v>
      </c>
      <c r="J17" s="7">
        <f t="shared" si="1"/>
        <v>71.875</v>
      </c>
      <c r="K17" s="6">
        <f>RANK(表1[[#This Row],[总分]],表1[总分])</f>
        <v>31</v>
      </c>
    </row>
    <row r="18" spans="1:11">
      <c r="A18" s="6">
        <v>10016</v>
      </c>
      <c r="B18" s="6" t="s">
        <v>32</v>
      </c>
      <c r="C18" s="6" t="s">
        <v>16</v>
      </c>
      <c r="D18" s="6" t="s">
        <v>17</v>
      </c>
      <c r="E18" s="7">
        <v>89</v>
      </c>
      <c r="F18" s="7">
        <v>72</v>
      </c>
      <c r="G18" s="7">
        <v>79</v>
      </c>
      <c r="H18" s="7">
        <v>87</v>
      </c>
      <c r="I18" s="7">
        <f t="shared" si="0"/>
        <v>327</v>
      </c>
      <c r="J18" s="7">
        <f t="shared" si="1"/>
        <v>81.75</v>
      </c>
      <c r="K18" s="6">
        <f>RANK(表1[[#This Row],[总分]],表1[总分])</f>
        <v>11</v>
      </c>
    </row>
    <row r="19" spans="1:11">
      <c r="A19" s="6">
        <v>10017</v>
      </c>
      <c r="B19" s="6" t="s">
        <v>33</v>
      </c>
      <c r="C19" s="6" t="s">
        <v>16</v>
      </c>
      <c r="D19" s="6" t="s">
        <v>19</v>
      </c>
      <c r="E19" s="7">
        <v>80</v>
      </c>
      <c r="F19" s="7">
        <v>90</v>
      </c>
      <c r="G19" s="7">
        <v>83</v>
      </c>
      <c r="H19" s="7">
        <v>81</v>
      </c>
      <c r="I19" s="7">
        <f t="shared" si="0"/>
        <v>334</v>
      </c>
      <c r="J19" s="7">
        <f t="shared" si="1"/>
        <v>83.5</v>
      </c>
      <c r="K19" s="6">
        <f>RANK(表1[[#This Row],[总分]],表1[总分])</f>
        <v>8</v>
      </c>
    </row>
    <row r="20" spans="1:11">
      <c r="A20" s="6">
        <v>10018</v>
      </c>
      <c r="B20" s="6" t="s">
        <v>34</v>
      </c>
      <c r="C20" s="6" t="s">
        <v>13</v>
      </c>
      <c r="D20" s="6" t="s">
        <v>17</v>
      </c>
      <c r="E20" s="7">
        <v>73</v>
      </c>
      <c r="F20" s="7">
        <v>76</v>
      </c>
      <c r="G20" s="7">
        <v>56</v>
      </c>
      <c r="H20" s="7">
        <v>54</v>
      </c>
      <c r="I20" s="7">
        <f t="shared" si="0"/>
        <v>259</v>
      </c>
      <c r="J20" s="7">
        <f t="shared" si="1"/>
        <v>64.75</v>
      </c>
      <c r="K20" s="6">
        <f>RANK(表1[[#This Row],[总分]],表1[总分])</f>
        <v>38</v>
      </c>
    </row>
    <row r="21" spans="1:11">
      <c r="A21" s="6">
        <v>10019</v>
      </c>
      <c r="B21" s="6" t="s">
        <v>35</v>
      </c>
      <c r="C21" s="6" t="s">
        <v>13</v>
      </c>
      <c r="D21" s="6" t="s">
        <v>19</v>
      </c>
      <c r="E21" s="7">
        <v>84</v>
      </c>
      <c r="F21" s="7">
        <v>73</v>
      </c>
      <c r="G21" s="7">
        <v>70</v>
      </c>
      <c r="H21" s="7">
        <v>76</v>
      </c>
      <c r="I21" s="7">
        <f t="shared" si="0"/>
        <v>303</v>
      </c>
      <c r="J21" s="7">
        <f t="shared" si="1"/>
        <v>75.75</v>
      </c>
      <c r="K21" s="6">
        <f>RANK(表1[[#This Row],[总分]],表1[总分])</f>
        <v>20</v>
      </c>
    </row>
    <row r="22" spans="1:11">
      <c r="A22" s="6">
        <v>10020</v>
      </c>
      <c r="B22" s="6" t="s">
        <v>36</v>
      </c>
      <c r="C22" s="6" t="s">
        <v>16</v>
      </c>
      <c r="D22" s="6" t="s">
        <v>19</v>
      </c>
      <c r="E22" s="7">
        <v>71</v>
      </c>
      <c r="F22" s="7">
        <v>82.5</v>
      </c>
      <c r="G22" s="7">
        <v>89</v>
      </c>
      <c r="H22" s="7">
        <v>87</v>
      </c>
      <c r="I22" s="7">
        <f t="shared" si="0"/>
        <v>329.5</v>
      </c>
      <c r="J22" s="7">
        <f t="shared" si="1"/>
        <v>82.375</v>
      </c>
      <c r="K22" s="6">
        <f>RANK(表1[[#This Row],[总分]],表1[总分])</f>
        <v>10</v>
      </c>
    </row>
    <row r="23" spans="1:11">
      <c r="A23" s="6">
        <v>10021</v>
      </c>
      <c r="B23" s="6" t="s">
        <v>37</v>
      </c>
      <c r="C23" s="6" t="s">
        <v>16</v>
      </c>
      <c r="D23" s="6" t="s">
        <v>14</v>
      </c>
      <c r="E23" s="7">
        <v>91</v>
      </c>
      <c r="F23" s="7">
        <v>68.5</v>
      </c>
      <c r="G23" s="7">
        <v>64.5</v>
      </c>
      <c r="H23" s="7">
        <v>62.5</v>
      </c>
      <c r="I23" s="7">
        <f t="shared" si="0"/>
        <v>286.5</v>
      </c>
      <c r="J23" s="7">
        <f t="shared" si="1"/>
        <v>71.625</v>
      </c>
      <c r="K23" s="6">
        <f>RANK(表1[[#This Row],[总分]],表1[总分])</f>
        <v>33</v>
      </c>
    </row>
    <row r="24" spans="1:11">
      <c r="A24" s="6">
        <v>10022</v>
      </c>
      <c r="B24" s="6" t="s">
        <v>38</v>
      </c>
      <c r="C24" s="6" t="s">
        <v>16</v>
      </c>
      <c r="D24" s="6" t="s">
        <v>14</v>
      </c>
      <c r="E24" s="7">
        <v>78.5</v>
      </c>
      <c r="F24" s="7">
        <v>73</v>
      </c>
      <c r="G24" s="7">
        <v>83</v>
      </c>
      <c r="H24" s="7">
        <v>81</v>
      </c>
      <c r="I24" s="7">
        <f t="shared" si="0"/>
        <v>315.5</v>
      </c>
      <c r="J24" s="7">
        <f t="shared" si="1"/>
        <v>78.875</v>
      </c>
      <c r="K24" s="6">
        <f>RANK(表1[[#This Row],[总分]],表1[总分])</f>
        <v>14</v>
      </c>
    </row>
    <row r="25" spans="1:11">
      <c r="A25" s="6">
        <v>10023</v>
      </c>
      <c r="B25" s="6" t="s">
        <v>39</v>
      </c>
      <c r="C25" s="6" t="s">
        <v>16</v>
      </c>
      <c r="D25" s="6" t="s">
        <v>17</v>
      </c>
      <c r="E25" s="7">
        <v>72.5</v>
      </c>
      <c r="F25" s="7">
        <v>74.5</v>
      </c>
      <c r="G25" s="7">
        <v>72.5</v>
      </c>
      <c r="H25" s="7">
        <v>70.5</v>
      </c>
      <c r="I25" s="7">
        <f t="shared" si="0"/>
        <v>290</v>
      </c>
      <c r="J25" s="7">
        <f t="shared" si="1"/>
        <v>72.5</v>
      </c>
      <c r="K25" s="6">
        <f>RANK(表1[[#This Row],[总分]],表1[总分])</f>
        <v>28</v>
      </c>
    </row>
    <row r="26" spans="1:11">
      <c r="A26" s="6">
        <v>10024</v>
      </c>
      <c r="B26" s="6" t="s">
        <v>40</v>
      </c>
      <c r="C26" s="6" t="s">
        <v>16</v>
      </c>
      <c r="D26" s="6" t="s">
        <v>19</v>
      </c>
      <c r="E26" s="7">
        <v>78</v>
      </c>
      <c r="F26" s="7">
        <v>61.5</v>
      </c>
      <c r="G26" s="7">
        <v>66</v>
      </c>
      <c r="H26" s="7">
        <v>64</v>
      </c>
      <c r="I26" s="7">
        <f t="shared" si="0"/>
        <v>269.5</v>
      </c>
      <c r="J26" s="7">
        <f t="shared" si="1"/>
        <v>67.375</v>
      </c>
      <c r="K26" s="6">
        <f>RANK(表1[[#This Row],[总分]],表1[总分])</f>
        <v>37</v>
      </c>
    </row>
    <row r="27" spans="1:11">
      <c r="A27" s="6">
        <v>10025</v>
      </c>
      <c r="B27" s="6" t="s">
        <v>41</v>
      </c>
      <c r="C27" s="6" t="s">
        <v>16</v>
      </c>
      <c r="D27" s="6" t="s">
        <v>19</v>
      </c>
      <c r="E27" s="7">
        <v>93</v>
      </c>
      <c r="F27" s="7">
        <v>86</v>
      </c>
      <c r="G27" s="7">
        <v>94.5</v>
      </c>
      <c r="H27" s="7">
        <v>92.5</v>
      </c>
      <c r="I27" s="7">
        <f t="shared" si="0"/>
        <v>366</v>
      </c>
      <c r="J27" s="7">
        <f t="shared" si="1"/>
        <v>91.5</v>
      </c>
      <c r="K27" s="6">
        <f>RANK(表1[[#This Row],[总分]],表1[总分])</f>
        <v>3</v>
      </c>
    </row>
    <row r="28" spans="1:11">
      <c r="A28" s="6">
        <v>10026</v>
      </c>
      <c r="B28" s="6" t="s">
        <v>42</v>
      </c>
      <c r="C28" s="6" t="s">
        <v>13</v>
      </c>
      <c r="D28" s="6" t="s">
        <v>17</v>
      </c>
      <c r="E28" s="7">
        <v>71.5</v>
      </c>
      <c r="F28" s="7">
        <v>88</v>
      </c>
      <c r="G28" s="7">
        <v>81</v>
      </c>
      <c r="H28" s="7">
        <v>85</v>
      </c>
      <c r="I28" s="7">
        <f t="shared" si="0"/>
        <v>325.5</v>
      </c>
      <c r="J28" s="7">
        <f t="shared" si="1"/>
        <v>81.375</v>
      </c>
      <c r="K28" s="6">
        <f>RANK(表1[[#This Row],[总分]],表1[总分])</f>
        <v>12</v>
      </c>
    </row>
    <row r="29" spans="1:11">
      <c r="A29" s="6">
        <v>10027</v>
      </c>
      <c r="B29" s="6" t="s">
        <v>43</v>
      </c>
      <c r="C29" s="6" t="s">
        <v>16</v>
      </c>
      <c r="D29" s="6" t="s">
        <v>14</v>
      </c>
      <c r="E29" s="7">
        <v>63.5</v>
      </c>
      <c r="F29" s="7">
        <v>77.5</v>
      </c>
      <c r="G29" s="7">
        <v>84.5</v>
      </c>
      <c r="H29" s="7">
        <v>82.5</v>
      </c>
      <c r="I29" s="7">
        <f t="shared" si="0"/>
        <v>308</v>
      </c>
      <c r="J29" s="7">
        <f t="shared" si="1"/>
        <v>77</v>
      </c>
      <c r="K29" s="6">
        <f>RANK(表1[[#This Row],[总分]],表1[总分])</f>
        <v>18</v>
      </c>
    </row>
    <row r="30" spans="1:11">
      <c r="A30" s="6">
        <v>10028</v>
      </c>
      <c r="B30" s="6" t="s">
        <v>44</v>
      </c>
      <c r="C30" s="6" t="s">
        <v>13</v>
      </c>
      <c r="D30" s="6" t="s">
        <v>14</v>
      </c>
      <c r="E30" s="7">
        <v>69</v>
      </c>
      <c r="F30" s="7">
        <v>68.5</v>
      </c>
      <c r="G30" s="7">
        <v>92</v>
      </c>
      <c r="H30" s="7">
        <v>90</v>
      </c>
      <c r="I30" s="7">
        <f t="shared" si="0"/>
        <v>319.5</v>
      </c>
      <c r="J30" s="7">
        <f t="shared" si="1"/>
        <v>79.875</v>
      </c>
      <c r="K30" s="6">
        <f>RANK(表1[[#This Row],[总分]],表1[总分])</f>
        <v>13</v>
      </c>
    </row>
    <row r="31" spans="1:11">
      <c r="A31" s="6">
        <v>10029</v>
      </c>
      <c r="B31" s="6" t="s">
        <v>45</v>
      </c>
      <c r="C31" s="6" t="s">
        <v>16</v>
      </c>
      <c r="D31" s="6" t="s">
        <v>14</v>
      </c>
      <c r="E31" s="7">
        <v>52.5</v>
      </c>
      <c r="F31" s="7">
        <v>50</v>
      </c>
      <c r="G31" s="7">
        <v>64</v>
      </c>
      <c r="H31" s="7">
        <v>62</v>
      </c>
      <c r="I31" s="7">
        <f t="shared" si="0"/>
        <v>228.5</v>
      </c>
      <c r="J31" s="7">
        <f t="shared" si="1"/>
        <v>57.125</v>
      </c>
      <c r="K31" s="6">
        <f>RANK(表1[[#This Row],[总分]],表1[总分])</f>
        <v>39</v>
      </c>
    </row>
    <row r="32" spans="1:11">
      <c r="A32" s="6">
        <v>10030</v>
      </c>
      <c r="B32" s="6" t="s">
        <v>46</v>
      </c>
      <c r="C32" s="6" t="s">
        <v>13</v>
      </c>
      <c r="D32" s="6" t="s">
        <v>19</v>
      </c>
      <c r="E32" s="7">
        <v>69</v>
      </c>
      <c r="F32" s="7">
        <v>75</v>
      </c>
      <c r="G32" s="7">
        <v>89</v>
      </c>
      <c r="H32" s="7">
        <v>80</v>
      </c>
      <c r="I32" s="7">
        <f t="shared" si="0"/>
        <v>313</v>
      </c>
      <c r="J32" s="7">
        <f t="shared" si="1"/>
        <v>78.25</v>
      </c>
      <c r="K32" s="6">
        <f>RANK(表1[[#This Row],[总分]],表1[总分])</f>
        <v>16</v>
      </c>
    </row>
    <row r="33" spans="1:11">
      <c r="A33" s="6">
        <v>10031</v>
      </c>
      <c r="B33" s="6" t="s">
        <v>47</v>
      </c>
      <c r="C33" s="6" t="s">
        <v>16</v>
      </c>
      <c r="D33" s="6" t="s">
        <v>17</v>
      </c>
      <c r="E33" s="7">
        <v>77.5</v>
      </c>
      <c r="F33" s="7">
        <v>75.5</v>
      </c>
      <c r="G33" s="7">
        <v>79</v>
      </c>
      <c r="H33" s="7">
        <v>77</v>
      </c>
      <c r="I33" s="7">
        <f t="shared" si="0"/>
        <v>309</v>
      </c>
      <c r="J33" s="7">
        <f t="shared" si="1"/>
        <v>77.25</v>
      </c>
      <c r="K33" s="6">
        <f>RANK(表1[[#This Row],[总分]],表1[总分])</f>
        <v>17</v>
      </c>
    </row>
    <row r="34" spans="1:11">
      <c r="A34" s="6">
        <v>10032</v>
      </c>
      <c r="B34" s="6" t="s">
        <v>48</v>
      </c>
      <c r="C34" s="6" t="s">
        <v>16</v>
      </c>
      <c r="D34" s="6" t="s">
        <v>14</v>
      </c>
      <c r="E34" s="7">
        <v>77</v>
      </c>
      <c r="F34" s="7">
        <v>85.5</v>
      </c>
      <c r="G34" s="7">
        <v>63.5</v>
      </c>
      <c r="H34" s="7">
        <v>61.5</v>
      </c>
      <c r="I34" s="7">
        <f t="shared" si="0"/>
        <v>287.5</v>
      </c>
      <c r="J34" s="7">
        <f t="shared" si="1"/>
        <v>71.875</v>
      </c>
      <c r="K34" s="6">
        <f>RANK(表1[[#This Row],[总分]],表1[总分])</f>
        <v>31</v>
      </c>
    </row>
    <row r="35" spans="1:11">
      <c r="A35" s="6">
        <v>10033</v>
      </c>
      <c r="B35" s="6" t="s">
        <v>49</v>
      </c>
      <c r="C35" s="6" t="s">
        <v>13</v>
      </c>
      <c r="D35" s="6" t="s">
        <v>19</v>
      </c>
      <c r="E35" s="7">
        <v>85</v>
      </c>
      <c r="F35" s="7">
        <v>95</v>
      </c>
      <c r="G35" s="7">
        <v>94</v>
      </c>
      <c r="H35" s="7">
        <v>86.5</v>
      </c>
      <c r="I35" s="7">
        <f t="shared" si="0"/>
        <v>360.5</v>
      </c>
      <c r="J35" s="7">
        <f t="shared" si="1"/>
        <v>90.125</v>
      </c>
      <c r="K35" s="6">
        <f>RANK(表1[[#This Row],[总分]],表1[总分])</f>
        <v>6</v>
      </c>
    </row>
    <row r="36" spans="1:11">
      <c r="A36" s="6">
        <v>10034</v>
      </c>
      <c r="B36" s="6" t="s">
        <v>50</v>
      </c>
      <c r="C36" s="6" t="s">
        <v>16</v>
      </c>
      <c r="D36" s="6" t="s">
        <v>17</v>
      </c>
      <c r="E36" s="7">
        <v>80</v>
      </c>
      <c r="F36" s="7">
        <v>76.5</v>
      </c>
      <c r="G36" s="7">
        <v>89.5</v>
      </c>
      <c r="H36" s="7">
        <v>87.5</v>
      </c>
      <c r="I36" s="7">
        <f t="shared" si="0"/>
        <v>333.5</v>
      </c>
      <c r="J36" s="7">
        <f t="shared" si="1"/>
        <v>83.375</v>
      </c>
      <c r="K36" s="6">
        <f>RANK(表1[[#This Row],[总分]],表1[总分])</f>
        <v>9</v>
      </c>
    </row>
    <row r="37" spans="1:11">
      <c r="A37" s="6">
        <v>10035</v>
      </c>
      <c r="B37" s="6" t="s">
        <v>51</v>
      </c>
      <c r="C37" s="6" t="s">
        <v>16</v>
      </c>
      <c r="D37" s="6" t="s">
        <v>14</v>
      </c>
      <c r="E37" s="7">
        <v>65</v>
      </c>
      <c r="F37" s="7">
        <v>60</v>
      </c>
      <c r="G37" s="7">
        <v>50</v>
      </c>
      <c r="H37" s="7">
        <v>52.5</v>
      </c>
      <c r="I37" s="7">
        <f t="shared" si="0"/>
        <v>227.5</v>
      </c>
      <c r="J37" s="7">
        <f t="shared" si="1"/>
        <v>56.875</v>
      </c>
      <c r="K37" s="6">
        <f>RANK(表1[[#This Row],[总分]],表1[总分])</f>
        <v>40</v>
      </c>
    </row>
    <row r="38" spans="1:11">
      <c r="A38" s="6">
        <v>10036</v>
      </c>
      <c r="B38" s="6" t="s">
        <v>52</v>
      </c>
      <c r="C38" s="6" t="s">
        <v>16</v>
      </c>
      <c r="D38" s="6" t="s">
        <v>14</v>
      </c>
      <c r="E38" s="7">
        <v>93</v>
      </c>
      <c r="F38" s="7">
        <v>82</v>
      </c>
      <c r="G38" s="7">
        <v>97</v>
      </c>
      <c r="H38" s="7">
        <v>97</v>
      </c>
      <c r="I38" s="7">
        <f t="shared" si="0"/>
        <v>369</v>
      </c>
      <c r="J38" s="7">
        <f t="shared" si="1"/>
        <v>92.25</v>
      </c>
      <c r="K38" s="6">
        <f>RANK(表1[[#This Row],[总分]],表1[总分])</f>
        <v>2</v>
      </c>
    </row>
    <row r="39" spans="1:11">
      <c r="A39" s="6">
        <v>10037</v>
      </c>
      <c r="B39" s="6" t="s">
        <v>53</v>
      </c>
      <c r="C39" s="6" t="s">
        <v>16</v>
      </c>
      <c r="D39" s="6" t="s">
        <v>19</v>
      </c>
      <c r="E39" s="7">
        <v>76.5</v>
      </c>
      <c r="F39" s="7">
        <v>79.5</v>
      </c>
      <c r="G39" s="7">
        <v>68</v>
      </c>
      <c r="H39" s="7">
        <v>66</v>
      </c>
      <c r="I39" s="7">
        <f t="shared" si="0"/>
        <v>290</v>
      </c>
      <c r="J39" s="7">
        <f t="shared" si="1"/>
        <v>72.5</v>
      </c>
      <c r="K39" s="6">
        <f>RANK(表1[[#This Row],[总分]],表1[总分])</f>
        <v>28</v>
      </c>
    </row>
    <row r="40" spans="1:11">
      <c r="A40" s="6">
        <v>10038</v>
      </c>
      <c r="B40" s="6" t="s">
        <v>54</v>
      </c>
      <c r="C40" s="6" t="s">
        <v>13</v>
      </c>
      <c r="D40" s="6" t="s">
        <v>19</v>
      </c>
      <c r="E40" s="7">
        <v>77</v>
      </c>
      <c r="F40" s="7">
        <v>77</v>
      </c>
      <c r="G40" s="7">
        <v>73</v>
      </c>
      <c r="H40" s="7">
        <v>71</v>
      </c>
      <c r="I40" s="7">
        <f t="shared" si="0"/>
        <v>298</v>
      </c>
      <c r="J40" s="7">
        <f t="shared" si="1"/>
        <v>74.5</v>
      </c>
      <c r="K40" s="6">
        <f>RANK(表1[[#This Row],[总分]],表1[总分])</f>
        <v>23</v>
      </c>
    </row>
    <row r="41" spans="1:11">
      <c r="A41" s="6">
        <v>10039</v>
      </c>
      <c r="B41" s="6" t="s">
        <v>55</v>
      </c>
      <c r="C41" s="6" t="s">
        <v>16</v>
      </c>
      <c r="D41" s="6" t="s">
        <v>14</v>
      </c>
      <c r="E41" s="7">
        <v>85.5</v>
      </c>
      <c r="F41" s="7">
        <v>91.5</v>
      </c>
      <c r="G41" s="7">
        <v>56.5</v>
      </c>
      <c r="H41" s="7">
        <v>54.5</v>
      </c>
      <c r="I41" s="7">
        <f t="shared" si="0"/>
        <v>288</v>
      </c>
      <c r="J41" s="7">
        <f t="shared" si="1"/>
        <v>72</v>
      </c>
      <c r="K41" s="6">
        <f>RANK(表1[[#This Row],[总分]],表1[总分])</f>
        <v>30</v>
      </c>
    </row>
    <row r="42" spans="1:11">
      <c r="A42" s="6">
        <v>10040</v>
      </c>
      <c r="B42" s="6" t="s">
        <v>56</v>
      </c>
      <c r="C42" s="6" t="s">
        <v>13</v>
      </c>
      <c r="D42" s="6" t="s">
        <v>17</v>
      </c>
      <c r="E42" s="7">
        <v>85.5</v>
      </c>
      <c r="F42" s="7">
        <v>66</v>
      </c>
      <c r="G42" s="7">
        <v>74</v>
      </c>
      <c r="H42" s="7">
        <v>72</v>
      </c>
      <c r="I42" s="7">
        <f t="shared" si="0"/>
        <v>297.5</v>
      </c>
      <c r="J42" s="7">
        <f t="shared" si="1"/>
        <v>74.375</v>
      </c>
      <c r="K42" s="6">
        <f>RANK(表1[[#This Row],[总分]],表1[总分])</f>
        <v>24</v>
      </c>
    </row>
  </sheetData>
  <mergeCells count="1">
    <mergeCell ref="A1:K1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zoomScale="70" zoomScaleNormal="70" topLeftCell="A34" workbookViewId="0">
      <selection activeCell="R69" sqref="R69"/>
    </sheetView>
  </sheetViews>
  <sheetFormatPr defaultColWidth="9" defaultRowHeight="13.5"/>
  <cols>
    <col min="1" max="1" width="9.75" customWidth="1"/>
    <col min="2" max="2" width="17.625" customWidth="1"/>
    <col min="3" max="5" width="5.75" customWidth="1"/>
  </cols>
  <sheetData>
    <row r="1" spans="1:1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>
      <c r="A2" s="1">
        <v>10002</v>
      </c>
      <c r="B2" s="1" t="s">
        <v>15</v>
      </c>
      <c r="C2" s="1" t="s">
        <v>16</v>
      </c>
      <c r="D2" s="1" t="s">
        <v>17</v>
      </c>
      <c r="E2" s="1">
        <v>87</v>
      </c>
      <c r="F2" s="1">
        <v>90</v>
      </c>
      <c r="G2" s="1">
        <v>97</v>
      </c>
      <c r="H2" s="1">
        <v>69.5</v>
      </c>
      <c r="I2">
        <v>343.5</v>
      </c>
      <c r="J2">
        <v>85.875</v>
      </c>
      <c r="K2">
        <v>7</v>
      </c>
    </row>
    <row r="3" spans="1:11">
      <c r="A3" s="1">
        <v>10007</v>
      </c>
      <c r="B3" s="1" t="s">
        <v>23</v>
      </c>
      <c r="C3" s="1" t="s">
        <v>16</v>
      </c>
      <c r="D3" s="1" t="s">
        <v>17</v>
      </c>
      <c r="E3" s="1">
        <v>84</v>
      </c>
      <c r="F3" s="1">
        <v>70.5</v>
      </c>
      <c r="G3" s="1">
        <v>75</v>
      </c>
      <c r="H3" s="1">
        <v>73</v>
      </c>
      <c r="I3">
        <v>302.5</v>
      </c>
      <c r="J3">
        <v>75.625</v>
      </c>
      <c r="K3">
        <v>21</v>
      </c>
    </row>
    <row r="4" spans="1:11">
      <c r="A4" s="1">
        <v>10009</v>
      </c>
      <c r="B4" s="1" t="s">
        <v>25</v>
      </c>
      <c r="C4" s="1" t="s">
        <v>16</v>
      </c>
      <c r="D4" s="1" t="s">
        <v>17</v>
      </c>
      <c r="E4" s="1">
        <v>90.5</v>
      </c>
      <c r="F4" s="1">
        <v>88</v>
      </c>
      <c r="G4" s="1">
        <v>95</v>
      </c>
      <c r="H4" s="1">
        <v>90</v>
      </c>
      <c r="I4">
        <v>363.5</v>
      </c>
      <c r="J4">
        <v>90.875</v>
      </c>
      <c r="K4">
        <v>4</v>
      </c>
    </row>
    <row r="5" spans="1:11">
      <c r="A5" s="1">
        <v>10012</v>
      </c>
      <c r="B5" s="1" t="s">
        <v>28</v>
      </c>
      <c r="C5" s="1" t="s">
        <v>16</v>
      </c>
      <c r="D5" s="1" t="s">
        <v>17</v>
      </c>
      <c r="E5" s="1">
        <v>94</v>
      </c>
      <c r="F5" s="1">
        <v>90</v>
      </c>
      <c r="G5" s="1">
        <v>96</v>
      </c>
      <c r="H5" s="1">
        <v>83.5</v>
      </c>
      <c r="I5">
        <v>363.5</v>
      </c>
      <c r="J5">
        <v>90.875</v>
      </c>
      <c r="K5">
        <v>4</v>
      </c>
    </row>
    <row r="6" spans="1:11">
      <c r="A6" s="1">
        <v>10014</v>
      </c>
      <c r="B6" s="1" t="s">
        <v>30</v>
      </c>
      <c r="C6" s="1" t="s">
        <v>16</v>
      </c>
      <c r="D6" s="1" t="s">
        <v>17</v>
      </c>
      <c r="E6" s="1">
        <v>67</v>
      </c>
      <c r="F6" s="1">
        <v>86</v>
      </c>
      <c r="G6" s="1">
        <v>70.5</v>
      </c>
      <c r="H6" s="1">
        <v>68.5</v>
      </c>
      <c r="I6">
        <v>292</v>
      </c>
      <c r="J6">
        <v>73</v>
      </c>
      <c r="K6">
        <v>27</v>
      </c>
    </row>
    <row r="7" spans="1:11">
      <c r="A7" s="1">
        <v>10016</v>
      </c>
      <c r="B7" s="1" t="s">
        <v>32</v>
      </c>
      <c r="C7" s="1" t="s">
        <v>16</v>
      </c>
      <c r="D7" s="1" t="s">
        <v>17</v>
      </c>
      <c r="E7" s="1">
        <v>89</v>
      </c>
      <c r="F7" s="1">
        <v>72</v>
      </c>
      <c r="G7" s="1">
        <v>79</v>
      </c>
      <c r="H7" s="1">
        <v>87</v>
      </c>
      <c r="I7">
        <v>327</v>
      </c>
      <c r="J7">
        <v>81.75</v>
      </c>
      <c r="K7">
        <v>11</v>
      </c>
    </row>
    <row r="8" spans="1:11">
      <c r="A8" s="1">
        <v>10018</v>
      </c>
      <c r="B8" s="1" t="s">
        <v>34</v>
      </c>
      <c r="C8" s="1" t="s">
        <v>13</v>
      </c>
      <c r="D8" s="1" t="s">
        <v>17</v>
      </c>
      <c r="E8" s="1">
        <v>73</v>
      </c>
      <c r="F8" s="1">
        <v>76</v>
      </c>
      <c r="G8" s="1">
        <v>56</v>
      </c>
      <c r="H8" s="1">
        <v>54</v>
      </c>
      <c r="I8">
        <v>259</v>
      </c>
      <c r="J8">
        <v>64.75</v>
      </c>
      <c r="K8">
        <v>38</v>
      </c>
    </row>
    <row r="9" spans="1:11">
      <c r="A9" s="1">
        <v>10023</v>
      </c>
      <c r="B9" s="1" t="s">
        <v>39</v>
      </c>
      <c r="C9" s="1" t="s">
        <v>16</v>
      </c>
      <c r="D9" s="1" t="s">
        <v>17</v>
      </c>
      <c r="E9" s="1">
        <v>72.5</v>
      </c>
      <c r="F9" s="1">
        <v>74.5</v>
      </c>
      <c r="G9" s="1">
        <v>72.5</v>
      </c>
      <c r="H9" s="1">
        <v>70.5</v>
      </c>
      <c r="I9">
        <v>290</v>
      </c>
      <c r="J9">
        <v>72.5</v>
      </c>
      <c r="K9">
        <v>28</v>
      </c>
    </row>
    <row r="10" spans="1:11">
      <c r="A10" s="1">
        <v>10026</v>
      </c>
      <c r="B10" s="1" t="s">
        <v>42</v>
      </c>
      <c r="C10" s="1" t="s">
        <v>13</v>
      </c>
      <c r="D10" s="1" t="s">
        <v>17</v>
      </c>
      <c r="E10" s="1">
        <v>71.5</v>
      </c>
      <c r="F10" s="1">
        <v>88</v>
      </c>
      <c r="G10" s="1">
        <v>81</v>
      </c>
      <c r="H10" s="1">
        <v>85</v>
      </c>
      <c r="I10">
        <v>325.5</v>
      </c>
      <c r="J10">
        <v>81.375</v>
      </c>
      <c r="K10">
        <v>12</v>
      </c>
    </row>
    <row r="11" spans="1:11">
      <c r="A11" s="1">
        <v>10031</v>
      </c>
      <c r="B11" s="1" t="s">
        <v>47</v>
      </c>
      <c r="C11" s="1" t="s">
        <v>16</v>
      </c>
      <c r="D11" s="1" t="s">
        <v>17</v>
      </c>
      <c r="E11" s="1">
        <v>77.5</v>
      </c>
      <c r="F11" s="1">
        <v>75.5</v>
      </c>
      <c r="G11" s="1">
        <v>79</v>
      </c>
      <c r="H11" s="1">
        <v>77</v>
      </c>
      <c r="I11">
        <v>309</v>
      </c>
      <c r="J11">
        <v>77.25</v>
      </c>
      <c r="K11">
        <v>17</v>
      </c>
    </row>
    <row r="12" spans="1:11">
      <c r="A12" s="1">
        <v>10034</v>
      </c>
      <c r="B12" s="1" t="s">
        <v>50</v>
      </c>
      <c r="C12" s="1" t="s">
        <v>16</v>
      </c>
      <c r="D12" s="1" t="s">
        <v>17</v>
      </c>
      <c r="E12" s="1">
        <v>80</v>
      </c>
      <c r="F12" s="1">
        <v>76.5</v>
      </c>
      <c r="G12" s="1">
        <v>89.5</v>
      </c>
      <c r="H12" s="1">
        <v>87.5</v>
      </c>
      <c r="I12">
        <v>333.5</v>
      </c>
      <c r="J12">
        <v>83.375</v>
      </c>
      <c r="K12">
        <v>9</v>
      </c>
    </row>
    <row r="13" spans="1:11">
      <c r="A13" s="1">
        <v>10040</v>
      </c>
      <c r="B13" s="1" t="s">
        <v>56</v>
      </c>
      <c r="C13" s="1" t="s">
        <v>13</v>
      </c>
      <c r="D13" s="1" t="s">
        <v>17</v>
      </c>
      <c r="E13" s="1">
        <v>85.5</v>
      </c>
      <c r="F13" s="1">
        <v>66</v>
      </c>
      <c r="G13" s="1">
        <v>74</v>
      </c>
      <c r="H13" s="1">
        <v>72</v>
      </c>
      <c r="I13">
        <v>297.5</v>
      </c>
      <c r="J13">
        <v>74.375</v>
      </c>
      <c r="K13">
        <v>24</v>
      </c>
    </row>
    <row r="14" spans="1:11">
      <c r="A14" s="1">
        <v>10001</v>
      </c>
      <c r="B14" s="1" t="s">
        <v>12</v>
      </c>
      <c r="C14" s="1" t="s">
        <v>13</v>
      </c>
      <c r="D14" s="1" t="s">
        <v>14</v>
      </c>
      <c r="E14" s="1">
        <v>91</v>
      </c>
      <c r="F14" s="1">
        <v>98</v>
      </c>
      <c r="G14" s="1">
        <v>94</v>
      </c>
      <c r="H14" s="1">
        <v>92</v>
      </c>
      <c r="I14">
        <v>375</v>
      </c>
      <c r="J14">
        <v>93.75</v>
      </c>
      <c r="K14">
        <v>1</v>
      </c>
    </row>
    <row r="15" spans="1:11">
      <c r="A15" s="1">
        <v>10005</v>
      </c>
      <c r="B15" s="1" t="s">
        <v>21</v>
      </c>
      <c r="C15" s="1" t="s">
        <v>13</v>
      </c>
      <c r="D15" s="1" t="s">
        <v>14</v>
      </c>
      <c r="E15" s="1">
        <v>73.5</v>
      </c>
      <c r="F15" s="1">
        <v>78</v>
      </c>
      <c r="G15" s="1">
        <v>73</v>
      </c>
      <c r="H15" s="1">
        <v>71</v>
      </c>
      <c r="I15">
        <v>295.5</v>
      </c>
      <c r="J15">
        <v>73.875</v>
      </c>
      <c r="K15">
        <v>26</v>
      </c>
    </row>
    <row r="16" spans="1:11">
      <c r="A16" s="1">
        <v>10006</v>
      </c>
      <c r="B16" s="1" t="s">
        <v>22</v>
      </c>
      <c r="C16" s="1" t="s">
        <v>16</v>
      </c>
      <c r="D16" s="1" t="s">
        <v>14</v>
      </c>
      <c r="E16" s="1">
        <v>78</v>
      </c>
      <c r="F16" s="1">
        <v>86.5</v>
      </c>
      <c r="G16" s="1">
        <v>67</v>
      </c>
      <c r="H16" s="1">
        <v>65</v>
      </c>
      <c r="I16">
        <v>296.5</v>
      </c>
      <c r="J16">
        <v>74.125</v>
      </c>
      <c r="K16">
        <v>25</v>
      </c>
    </row>
    <row r="17" spans="1:11">
      <c r="A17" s="1">
        <v>10010</v>
      </c>
      <c r="B17" s="1" t="s">
        <v>26</v>
      </c>
      <c r="C17" s="1" t="s">
        <v>13</v>
      </c>
      <c r="D17" s="1" t="s">
        <v>14</v>
      </c>
      <c r="E17" s="1">
        <v>77</v>
      </c>
      <c r="F17" s="1">
        <v>90</v>
      </c>
      <c r="G17" s="1">
        <v>74.5</v>
      </c>
      <c r="H17" s="1">
        <v>72.5</v>
      </c>
      <c r="I17">
        <v>314</v>
      </c>
      <c r="J17">
        <v>78.5</v>
      </c>
      <c r="K17">
        <v>15</v>
      </c>
    </row>
    <row r="18" spans="1:11">
      <c r="A18" s="1">
        <v>10015</v>
      </c>
      <c r="B18" s="1" t="s">
        <v>31</v>
      </c>
      <c r="C18" s="1" t="s">
        <v>13</v>
      </c>
      <c r="D18" s="1" t="s">
        <v>14</v>
      </c>
      <c r="E18" s="1">
        <v>82.5</v>
      </c>
      <c r="F18" s="1">
        <v>72</v>
      </c>
      <c r="G18" s="1">
        <v>67.5</v>
      </c>
      <c r="H18" s="1">
        <v>65.5</v>
      </c>
      <c r="I18">
        <v>287.5</v>
      </c>
      <c r="J18">
        <v>71.875</v>
      </c>
      <c r="K18">
        <v>31</v>
      </c>
    </row>
    <row r="19" spans="1:11">
      <c r="A19" s="1">
        <v>10021</v>
      </c>
      <c r="B19" s="1" t="s">
        <v>37</v>
      </c>
      <c r="C19" s="1" t="s">
        <v>16</v>
      </c>
      <c r="D19" s="1" t="s">
        <v>14</v>
      </c>
      <c r="E19" s="1">
        <v>91</v>
      </c>
      <c r="F19" s="1">
        <v>68.5</v>
      </c>
      <c r="G19" s="1">
        <v>64.5</v>
      </c>
      <c r="H19" s="1">
        <v>62.5</v>
      </c>
      <c r="I19">
        <v>286.5</v>
      </c>
      <c r="J19">
        <v>71.625</v>
      </c>
      <c r="K19">
        <v>33</v>
      </c>
    </row>
    <row r="20" spans="1:11">
      <c r="A20" s="1">
        <v>10022</v>
      </c>
      <c r="B20" s="1" t="s">
        <v>38</v>
      </c>
      <c r="C20" s="1" t="s">
        <v>16</v>
      </c>
      <c r="D20" s="1" t="s">
        <v>14</v>
      </c>
      <c r="E20" s="1">
        <v>78.5</v>
      </c>
      <c r="F20" s="1">
        <v>73</v>
      </c>
      <c r="G20" s="1">
        <v>83</v>
      </c>
      <c r="H20" s="1">
        <v>81</v>
      </c>
      <c r="I20">
        <v>315.5</v>
      </c>
      <c r="J20">
        <v>78.875</v>
      </c>
      <c r="K20">
        <v>14</v>
      </c>
    </row>
    <row r="21" spans="1:11">
      <c r="A21" s="1">
        <v>10027</v>
      </c>
      <c r="B21" s="1" t="s">
        <v>43</v>
      </c>
      <c r="C21" s="1" t="s">
        <v>16</v>
      </c>
      <c r="D21" s="1" t="s">
        <v>14</v>
      </c>
      <c r="E21" s="1">
        <v>63.5</v>
      </c>
      <c r="F21" s="1">
        <v>77.5</v>
      </c>
      <c r="G21" s="1">
        <v>84.5</v>
      </c>
      <c r="H21" s="1">
        <v>82.5</v>
      </c>
      <c r="I21">
        <v>308</v>
      </c>
      <c r="J21">
        <v>77</v>
      </c>
      <c r="K21">
        <v>18</v>
      </c>
    </row>
    <row r="22" spans="1:11">
      <c r="A22" s="1">
        <v>10028</v>
      </c>
      <c r="B22" s="1" t="s">
        <v>44</v>
      </c>
      <c r="C22" s="1" t="s">
        <v>13</v>
      </c>
      <c r="D22" s="1" t="s">
        <v>14</v>
      </c>
      <c r="E22" s="1">
        <v>69</v>
      </c>
      <c r="F22" s="1">
        <v>68.5</v>
      </c>
      <c r="G22" s="1">
        <v>92</v>
      </c>
      <c r="H22" s="1">
        <v>90</v>
      </c>
      <c r="I22">
        <v>319.5</v>
      </c>
      <c r="J22">
        <v>79.875</v>
      </c>
      <c r="K22">
        <v>13</v>
      </c>
    </row>
    <row r="23" spans="1:11">
      <c r="A23" s="1">
        <v>10029</v>
      </c>
      <c r="B23" s="1" t="s">
        <v>45</v>
      </c>
      <c r="C23" s="1" t="s">
        <v>16</v>
      </c>
      <c r="D23" s="1" t="s">
        <v>14</v>
      </c>
      <c r="E23" s="1">
        <v>52.5</v>
      </c>
      <c r="F23" s="1">
        <v>50</v>
      </c>
      <c r="G23" s="1">
        <v>64</v>
      </c>
      <c r="H23" s="1">
        <v>62</v>
      </c>
      <c r="I23">
        <v>228.5</v>
      </c>
      <c r="J23">
        <v>57.125</v>
      </c>
      <c r="K23">
        <v>39</v>
      </c>
    </row>
    <row r="24" spans="1:11">
      <c r="A24" s="1">
        <v>10032</v>
      </c>
      <c r="B24" s="1" t="s">
        <v>48</v>
      </c>
      <c r="C24" s="1" t="s">
        <v>16</v>
      </c>
      <c r="D24" s="1" t="s">
        <v>14</v>
      </c>
      <c r="E24" s="1">
        <v>77</v>
      </c>
      <c r="F24" s="1">
        <v>85.5</v>
      </c>
      <c r="G24" s="1">
        <v>63.5</v>
      </c>
      <c r="H24" s="1">
        <v>61.5</v>
      </c>
      <c r="I24">
        <v>287.5</v>
      </c>
      <c r="J24">
        <v>71.875</v>
      </c>
      <c r="K24">
        <v>31</v>
      </c>
    </row>
    <row r="25" spans="1:11">
      <c r="A25" s="1">
        <v>10035</v>
      </c>
      <c r="B25" s="1" t="s">
        <v>51</v>
      </c>
      <c r="C25" s="1" t="s">
        <v>16</v>
      </c>
      <c r="D25" s="1" t="s">
        <v>14</v>
      </c>
      <c r="E25" s="1">
        <v>65</v>
      </c>
      <c r="F25" s="1">
        <v>60</v>
      </c>
      <c r="G25" s="1">
        <v>50</v>
      </c>
      <c r="H25" s="1">
        <v>52.5</v>
      </c>
      <c r="I25">
        <v>227.5</v>
      </c>
      <c r="J25">
        <v>56.875</v>
      </c>
      <c r="K25">
        <v>40</v>
      </c>
    </row>
    <row r="26" spans="1:11">
      <c r="A26" s="1">
        <v>10036</v>
      </c>
      <c r="B26" s="1" t="s">
        <v>52</v>
      </c>
      <c r="C26" s="1" t="s">
        <v>16</v>
      </c>
      <c r="D26" s="1" t="s">
        <v>14</v>
      </c>
      <c r="E26" s="1">
        <v>93</v>
      </c>
      <c r="F26" s="1">
        <v>82</v>
      </c>
      <c r="G26" s="1">
        <v>97</v>
      </c>
      <c r="H26" s="1">
        <v>97</v>
      </c>
      <c r="I26">
        <v>369</v>
      </c>
      <c r="J26">
        <v>92.25</v>
      </c>
      <c r="K26">
        <v>2</v>
      </c>
    </row>
    <row r="27" spans="1:11">
      <c r="A27" s="1">
        <v>10039</v>
      </c>
      <c r="B27" s="1" t="s">
        <v>55</v>
      </c>
      <c r="C27" s="1" t="s">
        <v>16</v>
      </c>
      <c r="D27" s="1" t="s">
        <v>14</v>
      </c>
      <c r="E27" s="1">
        <v>85.5</v>
      </c>
      <c r="F27" s="1">
        <v>91.5</v>
      </c>
      <c r="G27" s="1">
        <v>56.5</v>
      </c>
      <c r="H27" s="1">
        <v>54.5</v>
      </c>
      <c r="I27">
        <v>288</v>
      </c>
      <c r="J27">
        <v>72</v>
      </c>
      <c r="K27">
        <v>30</v>
      </c>
    </row>
    <row r="28" spans="1:11">
      <c r="A28" s="1">
        <v>10003</v>
      </c>
      <c r="B28" s="1" t="s">
        <v>18</v>
      </c>
      <c r="C28" s="1" t="s">
        <v>13</v>
      </c>
      <c r="D28" s="1" t="s">
        <v>19</v>
      </c>
      <c r="E28" s="1">
        <v>66</v>
      </c>
      <c r="F28" s="1">
        <v>66</v>
      </c>
      <c r="G28" s="1">
        <v>74</v>
      </c>
      <c r="H28" s="1">
        <v>72</v>
      </c>
      <c r="I28">
        <v>278</v>
      </c>
      <c r="J28">
        <v>69.5</v>
      </c>
      <c r="K28">
        <v>34</v>
      </c>
    </row>
    <row r="29" spans="1:11">
      <c r="A29" s="1">
        <v>10004</v>
      </c>
      <c r="B29" s="1" t="s">
        <v>20</v>
      </c>
      <c r="C29" s="1" t="s">
        <v>13</v>
      </c>
      <c r="D29" s="1" t="s">
        <v>19</v>
      </c>
      <c r="E29" s="1">
        <v>90.5</v>
      </c>
      <c r="F29" s="1">
        <v>50</v>
      </c>
      <c r="G29" s="1">
        <v>88</v>
      </c>
      <c r="H29" s="1">
        <v>72</v>
      </c>
      <c r="I29">
        <v>300.5</v>
      </c>
      <c r="J29">
        <v>75.125</v>
      </c>
      <c r="K29">
        <v>22</v>
      </c>
    </row>
    <row r="30" spans="1:11">
      <c r="A30" s="1">
        <v>10008</v>
      </c>
      <c r="B30" s="1" t="s">
        <v>24</v>
      </c>
      <c r="C30" s="1" t="s">
        <v>16</v>
      </c>
      <c r="D30" s="1" t="s">
        <v>19</v>
      </c>
      <c r="E30" s="1">
        <v>86.5</v>
      </c>
      <c r="F30" s="1">
        <v>65</v>
      </c>
      <c r="G30" s="1">
        <v>62.5</v>
      </c>
      <c r="H30" s="1">
        <v>60.5</v>
      </c>
      <c r="I30">
        <v>274.5</v>
      </c>
      <c r="J30">
        <v>68.625</v>
      </c>
      <c r="K30">
        <v>36</v>
      </c>
    </row>
    <row r="31" spans="1:11">
      <c r="A31" s="1">
        <v>10011</v>
      </c>
      <c r="B31" s="1" t="s">
        <v>27</v>
      </c>
      <c r="C31" s="1" t="s">
        <v>13</v>
      </c>
      <c r="D31" s="1" t="s">
        <v>19</v>
      </c>
      <c r="E31" s="1">
        <v>73.5</v>
      </c>
      <c r="F31" s="1">
        <v>70</v>
      </c>
      <c r="G31" s="1">
        <v>80</v>
      </c>
      <c r="H31" s="1">
        <v>82.5</v>
      </c>
      <c r="I31">
        <v>306</v>
      </c>
      <c r="J31">
        <v>76.5</v>
      </c>
      <c r="K31">
        <v>19</v>
      </c>
    </row>
    <row r="32" spans="1:11">
      <c r="A32" s="1">
        <v>10013</v>
      </c>
      <c r="B32" s="1" t="s">
        <v>29</v>
      </c>
      <c r="C32" s="1" t="s">
        <v>16</v>
      </c>
      <c r="D32" s="1" t="s">
        <v>19</v>
      </c>
      <c r="E32" s="1">
        <v>65</v>
      </c>
      <c r="F32" s="1">
        <v>64</v>
      </c>
      <c r="G32" s="1">
        <v>75.5</v>
      </c>
      <c r="H32" s="1">
        <v>73.5</v>
      </c>
      <c r="I32">
        <v>278</v>
      </c>
      <c r="J32">
        <v>69.5</v>
      </c>
      <c r="K32">
        <v>34</v>
      </c>
    </row>
    <row r="33" spans="1:11">
      <c r="A33" s="1">
        <v>10017</v>
      </c>
      <c r="B33" s="1" t="s">
        <v>33</v>
      </c>
      <c r="C33" s="1" t="s">
        <v>16</v>
      </c>
      <c r="D33" s="1" t="s">
        <v>19</v>
      </c>
      <c r="E33" s="1">
        <v>80</v>
      </c>
      <c r="F33" s="1">
        <v>90</v>
      </c>
      <c r="G33" s="1">
        <v>83</v>
      </c>
      <c r="H33" s="1">
        <v>81</v>
      </c>
      <c r="I33">
        <v>334</v>
      </c>
      <c r="J33">
        <v>83.5</v>
      </c>
      <c r="K33">
        <v>8</v>
      </c>
    </row>
    <row r="34" spans="1:11">
      <c r="A34" s="1">
        <v>10019</v>
      </c>
      <c r="B34" s="1" t="s">
        <v>35</v>
      </c>
      <c r="C34" s="1" t="s">
        <v>13</v>
      </c>
      <c r="D34" s="1" t="s">
        <v>19</v>
      </c>
      <c r="E34" s="1">
        <v>84</v>
      </c>
      <c r="F34" s="1">
        <v>73</v>
      </c>
      <c r="G34" s="1">
        <v>70</v>
      </c>
      <c r="H34" s="1">
        <v>76</v>
      </c>
      <c r="I34">
        <v>303</v>
      </c>
      <c r="J34">
        <v>75.75</v>
      </c>
      <c r="K34">
        <v>20</v>
      </c>
    </row>
    <row r="35" spans="1:11">
      <c r="A35" s="1">
        <v>10020</v>
      </c>
      <c r="B35" s="1" t="s">
        <v>36</v>
      </c>
      <c r="C35" s="1" t="s">
        <v>16</v>
      </c>
      <c r="D35" s="1" t="s">
        <v>19</v>
      </c>
      <c r="E35" s="1">
        <v>71</v>
      </c>
      <c r="F35" s="1">
        <v>82.5</v>
      </c>
      <c r="G35" s="1">
        <v>89</v>
      </c>
      <c r="H35" s="1">
        <v>87</v>
      </c>
      <c r="I35">
        <v>329.5</v>
      </c>
      <c r="J35">
        <v>82.375</v>
      </c>
      <c r="K35">
        <v>10</v>
      </c>
    </row>
    <row r="36" spans="1:11">
      <c r="A36" s="1">
        <v>10024</v>
      </c>
      <c r="B36" s="1" t="s">
        <v>40</v>
      </c>
      <c r="C36" s="1" t="s">
        <v>16</v>
      </c>
      <c r="D36" s="1" t="s">
        <v>19</v>
      </c>
      <c r="E36" s="1">
        <v>78</v>
      </c>
      <c r="F36" s="1">
        <v>61.5</v>
      </c>
      <c r="G36" s="1">
        <v>66</v>
      </c>
      <c r="H36" s="1">
        <v>64</v>
      </c>
      <c r="I36">
        <v>269.5</v>
      </c>
      <c r="J36">
        <v>67.375</v>
      </c>
      <c r="K36">
        <v>37</v>
      </c>
    </row>
    <row r="37" spans="1:11">
      <c r="A37" s="1">
        <v>10025</v>
      </c>
      <c r="B37" s="1" t="s">
        <v>41</v>
      </c>
      <c r="C37" s="1" t="s">
        <v>16</v>
      </c>
      <c r="D37" s="1" t="s">
        <v>19</v>
      </c>
      <c r="E37" s="1">
        <v>93</v>
      </c>
      <c r="F37" s="1">
        <v>86</v>
      </c>
      <c r="G37" s="1">
        <v>94.5</v>
      </c>
      <c r="H37" s="1">
        <v>92.5</v>
      </c>
      <c r="I37">
        <v>366</v>
      </c>
      <c r="J37">
        <v>91.5</v>
      </c>
      <c r="K37">
        <v>3</v>
      </c>
    </row>
    <row r="38" spans="1:11">
      <c r="A38" s="1">
        <v>10030</v>
      </c>
      <c r="B38" s="1" t="s">
        <v>46</v>
      </c>
      <c r="C38" s="1" t="s">
        <v>13</v>
      </c>
      <c r="D38" s="1" t="s">
        <v>19</v>
      </c>
      <c r="E38" s="1">
        <v>69</v>
      </c>
      <c r="F38" s="1">
        <v>75</v>
      </c>
      <c r="G38" s="1">
        <v>89</v>
      </c>
      <c r="H38" s="1">
        <v>80</v>
      </c>
      <c r="I38">
        <v>313</v>
      </c>
      <c r="J38">
        <v>78.25</v>
      </c>
      <c r="K38">
        <v>16</v>
      </c>
    </row>
    <row r="39" spans="1:11">
      <c r="A39" s="1">
        <v>10033</v>
      </c>
      <c r="B39" s="1" t="s">
        <v>49</v>
      </c>
      <c r="C39" s="1" t="s">
        <v>13</v>
      </c>
      <c r="D39" s="1" t="s">
        <v>19</v>
      </c>
      <c r="E39" s="1">
        <v>85</v>
      </c>
      <c r="F39" s="1">
        <v>95</v>
      </c>
      <c r="G39" s="1">
        <v>94</v>
      </c>
      <c r="H39" s="1">
        <v>86.5</v>
      </c>
      <c r="I39">
        <v>360.5</v>
      </c>
      <c r="J39">
        <v>90.125</v>
      </c>
      <c r="K39">
        <v>6</v>
      </c>
    </row>
    <row r="40" spans="1:11">
      <c r="A40" s="1">
        <v>10037</v>
      </c>
      <c r="B40" s="1" t="s">
        <v>53</v>
      </c>
      <c r="C40" s="1" t="s">
        <v>16</v>
      </c>
      <c r="D40" s="1" t="s">
        <v>19</v>
      </c>
      <c r="E40" s="1">
        <v>76.5</v>
      </c>
      <c r="F40" s="1">
        <v>79.5</v>
      </c>
      <c r="G40" s="1">
        <v>68</v>
      </c>
      <c r="H40" s="1">
        <v>66</v>
      </c>
      <c r="I40">
        <v>290</v>
      </c>
      <c r="J40">
        <v>72.5</v>
      </c>
      <c r="K40">
        <v>28</v>
      </c>
    </row>
    <row r="41" spans="1:11">
      <c r="A41" s="1">
        <v>10038</v>
      </c>
      <c r="B41" s="1" t="s">
        <v>54</v>
      </c>
      <c r="C41" s="1" t="s">
        <v>13</v>
      </c>
      <c r="D41" s="1" t="s">
        <v>19</v>
      </c>
      <c r="E41" s="1">
        <v>77</v>
      </c>
      <c r="F41" s="1">
        <v>77</v>
      </c>
      <c r="G41" s="1">
        <v>73</v>
      </c>
      <c r="H41" s="1">
        <v>71</v>
      </c>
      <c r="I41">
        <v>298</v>
      </c>
      <c r="J41">
        <v>74.5</v>
      </c>
      <c r="K41">
        <v>23</v>
      </c>
    </row>
    <row r="45" spans="1:2">
      <c r="A45" t="s">
        <v>57</v>
      </c>
      <c r="B45" t="s">
        <v>58</v>
      </c>
    </row>
    <row r="46" spans="1:5">
      <c r="A46" t="s">
        <v>59</v>
      </c>
      <c r="B46" t="s">
        <v>17</v>
      </c>
      <c r="C46" t="s">
        <v>14</v>
      </c>
      <c r="D46" t="s">
        <v>19</v>
      </c>
      <c r="E46" t="s">
        <v>60</v>
      </c>
    </row>
    <row r="47" spans="1:5">
      <c r="A47" s="2" t="s">
        <v>16</v>
      </c>
      <c r="B47" s="3">
        <v>9</v>
      </c>
      <c r="C47" s="3">
        <v>9</v>
      </c>
      <c r="D47" s="3">
        <v>7</v>
      </c>
      <c r="E47" s="3">
        <v>25</v>
      </c>
    </row>
    <row r="48" spans="1:5">
      <c r="A48" s="2" t="s">
        <v>13</v>
      </c>
      <c r="B48" s="3">
        <v>3</v>
      </c>
      <c r="C48" s="3">
        <v>5</v>
      </c>
      <c r="D48" s="3">
        <v>7</v>
      </c>
      <c r="E48" s="3">
        <v>15</v>
      </c>
    </row>
    <row r="49" spans="1:5">
      <c r="A49" s="2" t="s">
        <v>60</v>
      </c>
      <c r="B49" s="3">
        <v>12</v>
      </c>
      <c r="C49" s="3">
        <v>14</v>
      </c>
      <c r="D49" s="3">
        <v>14</v>
      </c>
      <c r="E49" s="3">
        <v>40</v>
      </c>
    </row>
    <row r="51" spans="1:2">
      <c r="A51" t="s">
        <v>59</v>
      </c>
      <c r="B51" t="s">
        <v>61</v>
      </c>
    </row>
    <row r="52" spans="1:2">
      <c r="A52" s="2" t="s">
        <v>17</v>
      </c>
      <c r="B52" s="4">
        <v>76.4583333333333</v>
      </c>
    </row>
    <row r="53" spans="1:2">
      <c r="A53" s="2" t="s">
        <v>14</v>
      </c>
      <c r="B53" s="4">
        <v>72.1071428571429</v>
      </c>
    </row>
    <row r="54" spans="1:2">
      <c r="A54" s="2" t="s">
        <v>19</v>
      </c>
      <c r="B54" s="4">
        <v>76.0357142857143</v>
      </c>
    </row>
    <row r="55" spans="1:2">
      <c r="A55" s="2" t="s">
        <v>60</v>
      </c>
      <c r="B55" s="4">
        <v>74.7875</v>
      </c>
    </row>
  </sheetData>
  <sortState ref="A2:K41">
    <sortCondition ref="D2:D41" customList="一班,二班,三班"/>
  </sortState>
  <pageMargins left="0.7" right="0.7" top="0.75" bottom="0.75" header="0.3" footer="0.3"/>
  <pageSetup paperSize="9" orientation="portrait"/>
  <headerFooter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</cp:lastModifiedBy>
  <dcterms:created xsi:type="dcterms:W3CDTF">2023-03-07T08:04:00Z</dcterms:created>
  <dcterms:modified xsi:type="dcterms:W3CDTF">2023-12-05T00:58:11Z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2052-12.1.0.15712</vt:lpwstr>
  </property>
  <property fmtid="{D5CDD505-2E9C-101B-9397-08002B2CF9AE}" pid="3" name="ICV">
    <vt:lpwstr>E725578C54474C09B8FB98BE5A6B38E5_12</vt:lpwstr>
  </property>
</Properties>
</file>
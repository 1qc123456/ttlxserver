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256" windowHeight="12540"/>
  </bookViews>
  <sheets>
    <sheet name="竞赛成绩统计表" sheetId="1" r:id="rId1"/>
  </sheets>
  <calcPr calcId="144525"/>
</workbook>
</file>

<file path=xl/calcChain.xml><?xml version="1.0" encoding="utf-8"?>
<calcChain xmlns="http://schemas.openxmlformats.org/spreadsheetml/2006/main">
  <c r="E4" i="1" l="1"/>
  <c r="E5" i="1"/>
  <c r="F11" i="1" s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F4" i="1" l="1"/>
  <c r="F3" i="1"/>
  <c r="F14" i="1"/>
  <c r="F10" i="1"/>
  <c r="F6" i="1"/>
  <c r="F15" i="1"/>
  <c r="F7" i="1"/>
  <c r="F17" i="1"/>
  <c r="F13" i="1"/>
  <c r="F9" i="1"/>
  <c r="F5" i="1"/>
  <c r="F16" i="1"/>
  <c r="F12" i="1"/>
  <c r="F8" i="1"/>
</calcChain>
</file>

<file path=xl/sharedStrings.xml><?xml version="1.0" encoding="utf-8"?>
<sst xmlns="http://schemas.openxmlformats.org/spreadsheetml/2006/main" count="22" uniqueCount="22">
  <si>
    <t>竞赛成绩统计表</t>
  </si>
  <si>
    <t>选手号</t>
  </si>
  <si>
    <t>初赛成绩（占10%）</t>
  </si>
  <si>
    <t>复赛成绩（占20%）</t>
  </si>
  <si>
    <t>决赛成绩（占70%）</t>
  </si>
  <si>
    <t>总成绩</t>
  </si>
  <si>
    <t>成绩排名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</si>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</sst>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4" x14ac:knownFonts="1"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竞赛成绩统计</a:t>
            </a:r>
            <a:r>
              <a:rPr lang="zh-CN" altLang="en-US"/>
              <a:t>图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竞赛成绩统计表!$A$3:$A$17</c:f>
              <c:strCache>
                <c:ptCount val="1"/>
                <c:pt idx="0">
                  <c:v>A01 A02 A03 A04 A05 A06 A07 A08 A09 A10 A11 A12 A13 A14 A15</c:v>
                </c:pt>
              </c:strCache>
            </c:strRef>
          </c:tx>
          <c:invertIfNegative val="0"/>
          <c:val>
            <c:numRef>
              <c:f>竞赛成绩统计表!$E$3:$E$17</c:f>
              <c:numCache>
                <c:formatCode>0.0_ </c:formatCode>
                <c:ptCount val="15"/>
                <c:pt idx="0">
                  <c:v>79.8</c:v>
                </c:pt>
                <c:pt idx="1">
                  <c:v>64.899999999999991</c:v>
                </c:pt>
                <c:pt idx="2">
                  <c:v>83.7</c:v>
                </c:pt>
                <c:pt idx="3">
                  <c:v>69.599999999999994</c:v>
                </c:pt>
                <c:pt idx="4">
                  <c:v>80.099999999999994</c:v>
                </c:pt>
                <c:pt idx="5">
                  <c:v>81.8</c:v>
                </c:pt>
                <c:pt idx="6">
                  <c:v>76</c:v>
                </c:pt>
                <c:pt idx="7">
                  <c:v>85.1</c:v>
                </c:pt>
                <c:pt idx="8">
                  <c:v>86.6</c:v>
                </c:pt>
                <c:pt idx="9">
                  <c:v>81.8</c:v>
                </c:pt>
                <c:pt idx="10">
                  <c:v>78.3</c:v>
                </c:pt>
                <c:pt idx="11">
                  <c:v>77</c:v>
                </c:pt>
                <c:pt idx="12">
                  <c:v>86.5</c:v>
                </c:pt>
                <c:pt idx="13">
                  <c:v>76.399999999999991</c:v>
                </c:pt>
                <c:pt idx="14">
                  <c:v>78.400000000000006</c:v>
                </c:pt>
              </c:numCache>
            </c:numRef>
          </c:val>
        </c:ser>
        <c:ser>
          <c:idx val="2"/>
          <c:order val="1"/>
          <c:tx>
            <c:strRef>
              <c:f>竞赛成绩统计表!$E$2</c:f>
              <c:strCache>
                <c:ptCount val="1"/>
                <c:pt idx="0">
                  <c:v>总成绩</c:v>
                </c:pt>
              </c:strCache>
            </c:strRef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84126720"/>
        <c:axId val="84140800"/>
        <c:axId val="0"/>
      </c:bar3DChart>
      <c:catAx>
        <c:axId val="84126720"/>
        <c:scaling>
          <c:orientation val="minMax"/>
        </c:scaling>
        <c:delete val="0"/>
        <c:axPos val="b"/>
        <c:majorTickMark val="none"/>
        <c:minorTickMark val="none"/>
        <c:tickLblPos val="nextTo"/>
        <c:crossAx val="84140800"/>
        <c:crosses val="autoZero"/>
        <c:auto val="1"/>
        <c:lblAlgn val="ctr"/>
        <c:lblOffset val="100"/>
        <c:noMultiLvlLbl val="0"/>
      </c:catAx>
      <c:valAx>
        <c:axId val="84140800"/>
        <c:scaling>
          <c:orientation val="minMax"/>
        </c:scaling>
        <c:delete val="0"/>
        <c:axPos val="l"/>
        <c:majorGridlines/>
        <c:numFmt formatCode="0.0_ " sourceLinked="1"/>
        <c:majorTickMark val="none"/>
        <c:minorTickMark val="none"/>
        <c:tickLblPos val="nextTo"/>
        <c:crossAx val="84126720"/>
        <c:crosses val="autoZero"/>
        <c:crossBetween val="between"/>
      </c:valAx>
    </c:plotArea>
    <c:legend>
      <c:legendPos val="b"/>
      <c:legendEntry>
        <c:idx val="0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20</xdr:row>
      <xdr:rowOff>41910</xdr:rowOff>
    </xdr:from>
    <xdr:to>
      <xdr:col>5</xdr:col>
      <xdr:colOff>411480</xdr:colOff>
      <xdr:row>35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A16" workbookViewId="0">
      <selection activeCell="G18" sqref="G18"/>
    </sheetView>
  </sheetViews>
  <sheetFormatPr defaultColWidth="9" defaultRowHeight="15.6" x14ac:dyDescent="0.25"/>
  <cols>
    <col min="2" max="2" width="16.69921875" customWidth="1"/>
    <col min="3" max="3" width="17.19921875" customWidth="1"/>
    <col min="4" max="4" width="16.8984375" customWidth="1"/>
    <col min="5" max="5" width="8.09765625" customWidth="1"/>
    <col min="6" max="6" width="10.19921875" customWidth="1"/>
  </cols>
  <sheetData>
    <row r="1" spans="1:25" x14ac:dyDescent="0.25">
      <c r="A1" s="6" t="s">
        <v>0</v>
      </c>
      <c r="B1" s="6"/>
      <c r="C1" s="6"/>
      <c r="D1" s="6"/>
      <c r="E1" s="6"/>
      <c r="F1" s="6"/>
    </row>
    <row r="2" spans="1:2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/>
    </row>
    <row r="3" spans="1:25" x14ac:dyDescent="0.25">
      <c r="A3" s="3" t="s">
        <v>7</v>
      </c>
      <c r="B3" s="3">
        <v>89</v>
      </c>
      <c r="C3" s="3">
        <v>78</v>
      </c>
      <c r="D3" s="3">
        <v>79</v>
      </c>
      <c r="E3" s="4">
        <f>B3*10%+C3*20%+D3*70%</f>
        <v>79.8</v>
      </c>
      <c r="F3" s="3">
        <f>_xlfn.RANK.EQ(E3,$E$3:$E$17,0)</f>
        <v>8</v>
      </c>
      <c r="Y3" s="5"/>
    </row>
    <row r="4" spans="1:25" x14ac:dyDescent="0.25">
      <c r="A4" s="3" t="s">
        <v>8</v>
      </c>
      <c r="B4" s="3">
        <v>78</v>
      </c>
      <c r="C4" s="3">
        <v>65</v>
      </c>
      <c r="D4" s="3">
        <v>63</v>
      </c>
      <c r="E4" s="4">
        <f t="shared" ref="E4:E17" si="0">B4*10%+C4*20%+D4*70%</f>
        <v>64.899999999999991</v>
      </c>
      <c r="F4" s="3">
        <f t="shared" ref="F4:F17" si="1">_xlfn.RANK.EQ(E4,$E$3:$E$17,0)</f>
        <v>15</v>
      </c>
    </row>
    <row r="5" spans="1:25" x14ac:dyDescent="0.25">
      <c r="A5" s="3" t="s">
        <v>9</v>
      </c>
      <c r="B5" s="3">
        <v>96</v>
      </c>
      <c r="C5" s="3">
        <v>87</v>
      </c>
      <c r="D5" s="3">
        <v>81</v>
      </c>
      <c r="E5" s="4">
        <f t="shared" si="0"/>
        <v>83.7</v>
      </c>
      <c r="F5" s="3">
        <f t="shared" si="1"/>
        <v>4</v>
      </c>
    </row>
    <row r="6" spans="1:25" x14ac:dyDescent="0.25">
      <c r="A6" s="3" t="s">
        <v>10</v>
      </c>
      <c r="B6" s="3">
        <v>67</v>
      </c>
      <c r="C6" s="3">
        <v>73</v>
      </c>
      <c r="D6" s="3">
        <v>69</v>
      </c>
      <c r="E6" s="4">
        <f t="shared" si="0"/>
        <v>69.599999999999994</v>
      </c>
      <c r="F6" s="3">
        <f t="shared" si="1"/>
        <v>14</v>
      </c>
    </row>
    <row r="7" spans="1:25" x14ac:dyDescent="0.25">
      <c r="A7" s="3" t="s">
        <v>11</v>
      </c>
      <c r="B7" s="3">
        <v>85</v>
      </c>
      <c r="C7" s="3">
        <v>92</v>
      </c>
      <c r="D7" s="3">
        <v>76</v>
      </c>
      <c r="E7" s="4">
        <f t="shared" si="0"/>
        <v>80.099999999999994</v>
      </c>
      <c r="F7" s="3">
        <f t="shared" si="1"/>
        <v>7</v>
      </c>
    </row>
    <row r="8" spans="1:25" x14ac:dyDescent="0.25">
      <c r="A8" s="3" t="s">
        <v>12</v>
      </c>
      <c r="B8" s="3">
        <v>74</v>
      </c>
      <c r="C8" s="3">
        <v>85</v>
      </c>
      <c r="D8" s="3">
        <v>82</v>
      </c>
      <c r="E8" s="4">
        <f t="shared" si="0"/>
        <v>81.8</v>
      </c>
      <c r="F8" s="3">
        <f t="shared" si="1"/>
        <v>5</v>
      </c>
    </row>
    <row r="9" spans="1:25" x14ac:dyDescent="0.25">
      <c r="A9" s="3" t="s">
        <v>13</v>
      </c>
      <c r="B9" s="3">
        <v>91</v>
      </c>
      <c r="C9" s="3">
        <v>79</v>
      </c>
      <c r="D9" s="3">
        <v>73</v>
      </c>
      <c r="E9" s="4">
        <f t="shared" si="0"/>
        <v>76</v>
      </c>
      <c r="F9" s="3">
        <f t="shared" si="1"/>
        <v>13</v>
      </c>
    </row>
    <row r="10" spans="1:25" x14ac:dyDescent="0.25">
      <c r="A10" s="3" t="s">
        <v>14</v>
      </c>
      <c r="B10" s="3">
        <v>82</v>
      </c>
      <c r="C10" s="3">
        <v>66</v>
      </c>
      <c r="D10" s="3">
        <v>91</v>
      </c>
      <c r="E10" s="4">
        <f t="shared" si="0"/>
        <v>85.1</v>
      </c>
      <c r="F10" s="3">
        <f t="shared" si="1"/>
        <v>3</v>
      </c>
    </row>
    <row r="11" spans="1:25" x14ac:dyDescent="0.25">
      <c r="A11" s="3" t="s">
        <v>15</v>
      </c>
      <c r="B11" s="3">
        <v>87</v>
      </c>
      <c r="C11" s="3">
        <v>78</v>
      </c>
      <c r="D11" s="3">
        <v>89</v>
      </c>
      <c r="E11" s="4">
        <f t="shared" si="0"/>
        <v>86.6</v>
      </c>
      <c r="F11" s="3">
        <f t="shared" si="1"/>
        <v>1</v>
      </c>
    </row>
    <row r="12" spans="1:25" x14ac:dyDescent="0.25">
      <c r="A12" s="3" t="s">
        <v>16</v>
      </c>
      <c r="B12" s="3">
        <v>81</v>
      </c>
      <c r="C12" s="3">
        <v>71</v>
      </c>
      <c r="D12" s="3">
        <v>85</v>
      </c>
      <c r="E12" s="4">
        <f t="shared" si="0"/>
        <v>81.8</v>
      </c>
      <c r="F12" s="3">
        <f t="shared" si="1"/>
        <v>5</v>
      </c>
    </row>
    <row r="13" spans="1:25" x14ac:dyDescent="0.25">
      <c r="A13" s="3" t="s">
        <v>17</v>
      </c>
      <c r="B13" s="3">
        <v>79</v>
      </c>
      <c r="C13" s="3">
        <v>86</v>
      </c>
      <c r="D13" s="3">
        <v>76</v>
      </c>
      <c r="E13" s="4">
        <f t="shared" si="0"/>
        <v>78.3</v>
      </c>
      <c r="F13" s="3">
        <f t="shared" si="1"/>
        <v>10</v>
      </c>
    </row>
    <row r="14" spans="1:25" x14ac:dyDescent="0.25">
      <c r="A14" s="3" t="s">
        <v>18</v>
      </c>
      <c r="B14" s="3">
        <v>69</v>
      </c>
      <c r="C14" s="3">
        <v>81</v>
      </c>
      <c r="D14" s="3">
        <v>77</v>
      </c>
      <c r="E14" s="4">
        <f t="shared" si="0"/>
        <v>77</v>
      </c>
      <c r="F14" s="3">
        <f t="shared" si="1"/>
        <v>11</v>
      </c>
    </row>
    <row r="15" spans="1:25" x14ac:dyDescent="0.25">
      <c r="A15" s="3" t="s">
        <v>19</v>
      </c>
      <c r="B15" s="3">
        <v>90</v>
      </c>
      <c r="C15" s="3">
        <v>69</v>
      </c>
      <c r="D15" s="3">
        <v>91</v>
      </c>
      <c r="E15" s="4">
        <f t="shared" si="0"/>
        <v>86.5</v>
      </c>
      <c r="F15" s="3">
        <f t="shared" si="1"/>
        <v>2</v>
      </c>
    </row>
    <row r="16" spans="1:25" x14ac:dyDescent="0.25">
      <c r="A16" s="3" t="s">
        <v>20</v>
      </c>
      <c r="B16" s="3">
        <v>77</v>
      </c>
      <c r="C16" s="3">
        <v>88</v>
      </c>
      <c r="D16" s="3">
        <v>73</v>
      </c>
      <c r="E16" s="4">
        <f t="shared" si="0"/>
        <v>76.399999999999991</v>
      </c>
      <c r="F16" s="3">
        <f t="shared" si="1"/>
        <v>12</v>
      </c>
    </row>
    <row r="17" spans="1:6" x14ac:dyDescent="0.25">
      <c r="A17" s="3" t="s">
        <v>21</v>
      </c>
      <c r="B17" s="3">
        <v>81</v>
      </c>
      <c r="C17" s="3">
        <v>75</v>
      </c>
      <c r="D17" s="3">
        <v>79</v>
      </c>
      <c r="E17" s="4">
        <f t="shared" si="0"/>
        <v>78.400000000000006</v>
      </c>
      <c r="F17" s="3">
        <f t="shared" si="1"/>
        <v>9</v>
      </c>
    </row>
  </sheetData>
  <mergeCells count="1">
    <mergeCell ref="A1:F1"/>
  </mergeCells>
  <phoneticPr fontId="2" type="noConversion"/>
  <conditionalFormatting sqref="F3:F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{1A2F7693-EB6C-450A-8748-B0966B11E693}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2F7693-EB6C-450A-8748-B0966B11E6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竞赛成绩统计表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Admin</cp:lastModifiedBy>
  <dcterms:created xsi:type="dcterms:W3CDTF">2005-08-24T23:59:00Z</dcterms:created>
  <dcterms:modified xsi:type="dcterms:W3CDTF">2021-03-19T06:22:23Z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
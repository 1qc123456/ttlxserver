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数据透视表" sheetId="6" r:id="rId1"/>
    <sheet name="员工加班统计表" sheetId="1" r:id="rId2"/>
    <sheet name="加班时间" sheetId="2" r:id="rId3"/>
    <sheet name="分类汇总" sheetId="3" r:id="rId4"/>
    <sheet name="筛选" sheetId="4" r:id="rId5"/>
  </sheets>
  <definedNames>
    <definedName name="_xlnm._FilterDatabase" localSheetId="3" hidden="1">分类汇总!$A$1:$H$22</definedName>
    <definedName name="_xlnm._FilterDatabase" localSheetId="4" hidden="1">筛选!$A$3:$H$22</definedName>
    <definedName name="_xlnm.Criteria" localSheetId="4">筛选!$A$1:$A$2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<sst xmlns="http://schemas.openxmlformats.org/spreadsheetml/2006/main" count="271" uniqueCount="61">
  <si>
    <t>求和项:合计应发工资</t>
  </si>
  <si>
    <t>列标签</t>
  </si>
  <si>
    <t>行标签</t>
  </si>
  <si>
    <t>A部门</t>
  </si>
  <si>
    <t>B部门</t>
  </si>
  <si>
    <t>C部门</t>
  </si>
  <si>
    <t>总计</t>
  </si>
  <si>
    <t>敖燕星</t>
  </si>
  <si>
    <t>程春绿</t>
  </si>
  <si>
    <t>富梓玥</t>
  </si>
  <si>
    <t>公芷秀</t>
  </si>
  <si>
    <t>龚偌丝</t>
  </si>
  <si>
    <t>贡念桃</t>
  </si>
  <si>
    <t>贡笑白</t>
  </si>
  <si>
    <t>家小凝</t>
  </si>
  <si>
    <t>康津童</t>
  </si>
  <si>
    <t>蒲琰琬</t>
  </si>
  <si>
    <t>浦俨雅</t>
  </si>
  <si>
    <t>瞿悦可</t>
  </si>
  <si>
    <t>权恬欣</t>
  </si>
  <si>
    <t>沈云霞</t>
  </si>
  <si>
    <t>宋贞婉</t>
  </si>
  <si>
    <t>毋代荷</t>
  </si>
  <si>
    <t>幸平心</t>
  </si>
  <si>
    <t>伊宛畅</t>
  </si>
  <si>
    <t>各部门人员加班时长统计表</t>
  </si>
  <si>
    <t>工号</t>
  </si>
  <si>
    <t>姓名</t>
  </si>
  <si>
    <t>部门</t>
  </si>
  <si>
    <t>基本工资</t>
  </si>
  <si>
    <t>加班小时数</t>
  </si>
  <si>
    <t>加班工资</t>
  </si>
  <si>
    <t>合计应发工资</t>
  </si>
  <si>
    <t>备注说明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</si>
  <si>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</si>
  <si>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</si>
  <si>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</si>
  <si>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</si>
  <si>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</si>
  <si>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</si>
  <si>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</si>
  <si>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</si>
  <si>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</si>
  <si>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</si>
  <si>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</si>
  <si>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</si>
  <si>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</si>
  <si>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</si>
  <si>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</si>
  <si>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</si>
  <si>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</si>
  <si>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</si>
  <si>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</si>
  <si>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加班时间</t>
  </si>
  <si>
    <t>努力</t>
  </si>
  <si>
    <t>优秀</t>
  </si>
  <si>
    <t>A部门 平均值</t>
  </si>
  <si>
    <t>B部门 平均值</t>
  </si>
  <si>
    <t>C部门 平均值</t>
  </si>
  <si>
    <t>总计平均值</t>
  </si>
  <si>
    <t>&gt;=2500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</si>
</sst>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5"/>
      <color rgb="FFFF0000"/>
      <name val="楷体"/>
      <charset val="134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font>
        <name val="宋体"/>
        <scheme val="none"/>
        <strike val="0"/>
        <u val="none"/>
        <sz val="12"/>
        <color theme="1"/>
      </font>
      <numFmt numFmtId="49" formatCode="@"/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1"/>
      </font>
      <border>
        <bottom style="medium">
          <color theme="7"/>
        </bottom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399975585192419"/>
        </vertical>
        <horizontal style="thin">
          <color theme="7" tint="0.399975585192419"/>
        </horizontal>
      </border>
    </dxf>
  </dxfs>
  <tableStyles count="1" defaultTableStyle="TableStyleMedium2" defaultPivotStyle="PivotStyleMedium9">
    <tableStyle name="TableStylePreset2_Accent4" pivot="0" count="7" xr9:uid="{3300A683-3410-4DCA-9764-6C42A4BF3F27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1" i="0" u="none" strike="noStrike" baseline="0">
                <a:effectLst/>
              </a:rPr>
              <a:t>应发工资对比图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员工加班统计表!$G$2</c:f>
              <c:strCache>
                <c:ptCount val="1"/>
                <c:pt idx="0">
                  <c:v>合计应发工资</c:v>
                </c:pt>
              </c:strCache>
            </c:strRef>
          </c:tx>
          <c:invertIfNegative val="0"/>
          <c:dLbls>
            <c:delete val="1"/>
          </c:dLbls>
          <c:cat>
            <c:strRef>
              <c:f>员工加班统计表!$B$3:$B$10</c:f>
              <c:strCache>
                <c:ptCount val="8"/>
                <c:pt idx="0">
                  <c:v>家小凝</c:v>
                </c:pt>
                <c:pt idx="1">
                  <c:v>伊宛畅</c:v>
                </c:pt>
                <c:pt idx="2">
                  <c:v>敖燕星</c:v>
                </c:pt>
                <c:pt idx="3">
                  <c:v>幸平心</c:v>
                </c:pt>
                <c:pt idx="4">
                  <c:v>瞿悦可</c:v>
                </c:pt>
                <c:pt idx="5">
                  <c:v>贡念桃</c:v>
                </c:pt>
                <c:pt idx="6">
                  <c:v>程春绿</c:v>
                </c:pt>
                <c:pt idx="7">
                  <c:v>公芷秀</c:v>
                </c:pt>
              </c:strCache>
            </c:strRef>
          </c:cat>
          <c:val>
            <c:numRef>
              <c:f>员工加班统计表!$G$3:$G$10</c:f>
              <c:numCache>
                <c:formatCode>General</c:formatCode>
                <c:ptCount val="8"/>
                <c:pt idx="0">
                  <c:v>2775</c:v>
                </c:pt>
                <c:pt idx="1">
                  <c:v>2530</c:v>
                </c:pt>
                <c:pt idx="2">
                  <c:v>1950</c:v>
                </c:pt>
                <c:pt idx="3">
                  <c:v>2650</c:v>
                </c:pt>
                <c:pt idx="4">
                  <c:v>2430</c:v>
                </c:pt>
                <c:pt idx="5">
                  <c:v>1875</c:v>
                </c:pt>
                <c:pt idx="6">
                  <c:v>2650</c:v>
                </c:pt>
                <c:pt idx="7">
                  <c:v>2575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811968"/>
        <c:axId val="239347584"/>
      </c:barChart>
      <c:catAx>
        <c:axId val="2358119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347584"/>
        <c:crosses val="autoZero"/>
        <c:auto val="1"/>
        <c:lblAlgn val="ctr"/>
        <c:lblOffset val="100"/>
        <c:noMultiLvlLbl val="0"/>
      </c:catAx>
      <c:valAx>
        <c:axId val="23934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581196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423861</xdr:colOff>
      <xdr:row>22</xdr:row>
      <xdr:rowOff>80962</xdr:rowOff>
    </xdr:from>
    <xdr:to>
      <xdr:col>6</xdr:col>
      <xdr:colOff>1333499</xdr:colOff>
      <xdr:row>38</xdr:row>
      <xdr:rowOff>133350</xdr:rowOff>
    </xdr:to>
    <xdr:graphicFrame>
      <xdr:nvGraphicFramePr>
        <xdr:cNvPr id="2" name="图表 1"/>
        <xdr:cNvGraphicFramePr/>
      </xdr:nvGraphicFramePr>
      <xdr:xfrm>
        <a:off x="423545" y="4119245"/>
        <a:ext cx="6633845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5.6105225694" refreshedBy="作者" recordCount="19">
  <cacheSource type="worksheet">
    <worksheetSource name="表2"/>
  </cacheSource>
  <cacheFields count="8">
    <cacheField name="工号" numFmtId="49"/>
    <cacheField name="姓名" numFmtId="0">
      <sharedItems count="18">
        <s v="家小凝"/>
        <s v="伊宛畅"/>
        <s v="敖燕星"/>
        <s v="幸平心"/>
        <s v="瞿悦可"/>
        <s v="贡念桃"/>
        <s v="程春绿"/>
        <s v="公芷秀"/>
        <s v="龚偌丝"/>
        <s v="宋贞婉"/>
        <s v="沈云霞"/>
        <s v="浦俨雅"/>
        <s v="权恬欣"/>
        <s v="富梓玥"/>
        <s v="毋代荷"/>
        <s v="康津童"/>
        <s v="蒲琰琬"/>
        <s v="贡笑白"/>
      </sharedItems>
    </cacheField>
    <cacheField name="部门" numFmtId="0">
      <sharedItems count="3">
        <s v="A部门"/>
        <s v="C部门"/>
        <s v="B部门"/>
      </sharedItems>
    </cacheField>
    <cacheField name="基本工资" numFmtId="0"/>
    <cacheField name="加班小时数" numFmtId="0"/>
    <cacheField name="加班工资" numFmtId="0"/>
    <cacheField name="合计应发工资" numFmtId="0"/>
    <cacheField name="备注说明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001"/>
    <x v="0"/>
    <x v="0"/>
    <n v="2700"/>
    <n v="2.5"/>
    <n v="75"/>
    <n v="2775"/>
    <s v="优秀"/>
  </r>
  <r>
    <s v="002"/>
    <x v="1"/>
    <x v="1"/>
    <n v="2500"/>
    <n v="1.5"/>
    <n v="30"/>
    <n v="2530"/>
    <s v="优秀"/>
  </r>
  <r>
    <s v="003"/>
    <x v="2"/>
    <x v="2"/>
    <n v="1900"/>
    <n v="2"/>
    <n v="50"/>
    <n v="1950"/>
    <s v="努力"/>
  </r>
  <r>
    <s v="004"/>
    <x v="3"/>
    <x v="2"/>
    <n v="2600"/>
    <n v="2"/>
    <n v="50"/>
    <n v="2650"/>
    <s v="优秀"/>
  </r>
  <r>
    <s v="005"/>
    <x v="4"/>
    <x v="1"/>
    <n v="2400"/>
    <n v="1.5"/>
    <n v="30"/>
    <n v="2430"/>
    <s v="努力"/>
  </r>
  <r>
    <s v="006"/>
    <x v="5"/>
    <x v="0"/>
    <n v="1800"/>
    <n v="2.5"/>
    <n v="75"/>
    <n v="1875"/>
    <s v="努力"/>
  </r>
  <r>
    <s v="007"/>
    <x v="6"/>
    <x v="2"/>
    <n v="2600"/>
    <n v="2"/>
    <n v="50"/>
    <n v="2650"/>
    <s v="优秀"/>
  </r>
  <r>
    <s v="008"/>
    <x v="7"/>
    <x v="1"/>
    <n v="2545"/>
    <n v="1.5"/>
    <n v="30"/>
    <n v="2575"/>
    <s v="优秀"/>
  </r>
  <r>
    <s v="009"/>
    <x v="8"/>
    <x v="0"/>
    <n v="2544"/>
    <n v="2.5"/>
    <n v="75"/>
    <n v="2619"/>
    <s v="优秀"/>
  </r>
  <r>
    <s v="010"/>
    <x v="9"/>
    <x v="2"/>
    <n v="1799"/>
    <n v="2"/>
    <n v="50"/>
    <n v="1849"/>
    <s v="努力"/>
  </r>
  <r>
    <s v="011"/>
    <x v="10"/>
    <x v="1"/>
    <n v="2465"/>
    <n v="1.5"/>
    <n v="30"/>
    <n v="2495"/>
    <s v="努力"/>
  </r>
  <r>
    <s v="012"/>
    <x v="11"/>
    <x v="1"/>
    <n v="2685"/>
    <n v="1.5"/>
    <n v="30"/>
    <n v="2715"/>
    <s v="优秀"/>
  </r>
  <r>
    <s v="013"/>
    <x v="12"/>
    <x v="2"/>
    <n v="2100"/>
    <n v="2"/>
    <n v="50"/>
    <n v="2150"/>
    <s v="努力"/>
  </r>
  <r>
    <s v="014"/>
    <x v="13"/>
    <x v="2"/>
    <n v="2000"/>
    <n v="2"/>
    <n v="50"/>
    <n v="2050"/>
    <s v="努力"/>
  </r>
  <r>
    <s v="015"/>
    <x v="14"/>
    <x v="0"/>
    <n v="1900"/>
    <n v="2.5"/>
    <n v="75"/>
    <n v="1975"/>
    <s v="努力"/>
  </r>
  <r>
    <s v="016"/>
    <x v="15"/>
    <x v="2"/>
    <n v="2584"/>
    <n v="2"/>
    <n v="50"/>
    <n v="2634"/>
    <s v="优秀"/>
  </r>
  <r>
    <s v="017"/>
    <x v="16"/>
    <x v="1"/>
    <n v="2695"/>
    <n v="1.5"/>
    <n v="30"/>
    <n v="2725"/>
    <s v="优秀"/>
  </r>
  <r>
    <s v="018"/>
    <x v="17"/>
    <x v="0"/>
    <n v="2358"/>
    <n v="2.5"/>
    <n v="75"/>
    <n v="2433"/>
    <s v="努力"/>
  </r>
  <r>
    <s v="019"/>
    <x v="0"/>
    <x v="0"/>
    <n v="2648"/>
    <n v="2.5"/>
    <n v="75"/>
    <n v="2723"/>
    <s v="优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1:E21" firstHeaderRow="1" firstDataRow="2" firstDataCol="1"/>
  <pivotFields count="8">
    <pivotField showAll="0"/>
    <pivotField axis="axisRow" showAll="0">
      <items count="19">
        <item x="2"/>
        <item x="6"/>
        <item x="13"/>
        <item x="7"/>
        <item x="8"/>
        <item x="5"/>
        <item x="17"/>
        <item x="0"/>
        <item x="15"/>
        <item x="16"/>
        <item x="11"/>
        <item x="4"/>
        <item x="12"/>
        <item x="10"/>
        <item x="9"/>
        <item x="14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合计应发工资" fld="6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H21" totalsRowShown="0">
  <autoFilter ref="A2:H21"/>
  <tableColumns count="8">
    <tableColumn id="1" name="工号" dataDxfId="0"/>
    <tableColumn id="2" name="姓名" dataDxfId="1"/>
    <tableColumn id="3" name="部门" dataDxfId="2"/>
    <tableColumn id="4" name="基本工资" dataDxfId="3"/>
    <tableColumn id="5" name="加班小时数" dataDxfId="4"/>
    <tableColumn id="6" name="加班工资" dataDxfId="5"/>
    <tableColumn id="7" name="合计应发工资" dataDxfId="6"/>
    <tableColumn id="8" name="备注说明" dataDxfId="7"/>
  </tableColumns>
  <tableStyleInfo name="TableStylePreset2_Accent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G39" sqref="G39:G40"/>
    </sheetView>
  </sheetViews>
  <sheetFormatPr defaultColWidth="9" defaultRowHeight="13.5" outlineLevelCol="4"/>
  <cols>
    <col min="1" max="1" width="22" customWidth="1"/>
    <col min="2" max="2" width="9.75" customWidth="1"/>
    <col min="3" max="5" width="7.375" customWidth="1"/>
  </cols>
  <sheetData>
    <row r="1" spans="1:2">
      <c r="A1" t="s">
        <v>0</v>
      </c>
      <c r="B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s="7" t="s">
        <v>7</v>
      </c>
      <c r="B3" s="8"/>
      <c r="C3" s="8">
        <v>1950</v>
      </c>
      <c r="D3" s="8"/>
      <c r="E3" s="8">
        <v>1950</v>
      </c>
    </row>
    <row r="4" spans="1:5">
      <c r="A4" s="7" t="s">
        <v>8</v>
      </c>
      <c r="B4" s="8"/>
      <c r="C4" s="8">
        <v>2650</v>
      </c>
      <c r="D4" s="8"/>
      <c r="E4" s="8">
        <v>2650</v>
      </c>
    </row>
    <row r="5" spans="1:5">
      <c r="A5" s="7" t="s">
        <v>9</v>
      </c>
      <c r="B5" s="8"/>
      <c r="C5" s="8">
        <v>2050</v>
      </c>
      <c r="D5" s="8"/>
      <c r="E5" s="8">
        <v>2050</v>
      </c>
    </row>
    <row r="6" spans="1:5">
      <c r="A6" s="7" t="s">
        <v>10</v>
      </c>
      <c r="B6" s="8"/>
      <c r="C6" s="8"/>
      <c r="D6" s="8">
        <v>2575</v>
      </c>
      <c r="E6" s="8">
        <v>2575</v>
      </c>
    </row>
    <row r="7" spans="1:5">
      <c r="A7" s="7" t="s">
        <v>11</v>
      </c>
      <c r="B7" s="8">
        <v>2619</v>
      </c>
      <c r="C7" s="8"/>
      <c r="D7" s="8"/>
      <c r="E7" s="8">
        <v>2619</v>
      </c>
    </row>
    <row r="8" spans="1:5">
      <c r="A8" s="7" t="s">
        <v>12</v>
      </c>
      <c r="B8" s="8">
        <v>1875</v>
      </c>
      <c r="C8" s="8"/>
      <c r="D8" s="8"/>
      <c r="E8" s="8">
        <v>1875</v>
      </c>
    </row>
    <row r="9" spans="1:5">
      <c r="A9" s="7" t="s">
        <v>13</v>
      </c>
      <c r="B9" s="8">
        <v>2433</v>
      </c>
      <c r="C9" s="8"/>
      <c r="D9" s="8"/>
      <c r="E9" s="8">
        <v>2433</v>
      </c>
    </row>
    <row r="10" spans="1:5">
      <c r="A10" s="7" t="s">
        <v>14</v>
      </c>
      <c r="B10" s="8">
        <v>5498</v>
      </c>
      <c r="C10" s="8"/>
      <c r="D10" s="8"/>
      <c r="E10" s="8">
        <v>5498</v>
      </c>
    </row>
    <row r="11" spans="1:5">
      <c r="A11" s="7" t="s">
        <v>15</v>
      </c>
      <c r="B11" s="8"/>
      <c r="C11" s="8">
        <v>2634</v>
      </c>
      <c r="D11" s="8"/>
      <c r="E11" s="8">
        <v>2634</v>
      </c>
    </row>
    <row r="12" spans="1:5">
      <c r="A12" s="7" t="s">
        <v>16</v>
      </c>
      <c r="B12" s="8"/>
      <c r="C12" s="8"/>
      <c r="D12" s="8">
        <v>2725</v>
      </c>
      <c r="E12" s="8">
        <v>2725</v>
      </c>
    </row>
    <row r="13" spans="1:5">
      <c r="A13" s="7" t="s">
        <v>17</v>
      </c>
      <c r="B13" s="8"/>
      <c r="C13" s="8"/>
      <c r="D13" s="8">
        <v>2715</v>
      </c>
      <c r="E13" s="8">
        <v>2715</v>
      </c>
    </row>
    <row r="14" spans="1:5">
      <c r="A14" s="7" t="s">
        <v>18</v>
      </c>
      <c r="B14" s="8"/>
      <c r="C14" s="8"/>
      <c r="D14" s="8">
        <v>2430</v>
      </c>
      <c r="E14" s="8">
        <v>2430</v>
      </c>
    </row>
    <row r="15" spans="1:5">
      <c r="A15" s="7" t="s">
        <v>19</v>
      </c>
      <c r="B15" s="8"/>
      <c r="C15" s="8">
        <v>2150</v>
      </c>
      <c r="D15" s="8"/>
      <c r="E15" s="8">
        <v>2150</v>
      </c>
    </row>
    <row r="16" spans="1:5">
      <c r="A16" s="7" t="s">
        <v>20</v>
      </c>
      <c r="B16" s="8"/>
      <c r="C16" s="8"/>
      <c r="D16" s="8">
        <v>2495</v>
      </c>
      <c r="E16" s="8">
        <v>2495</v>
      </c>
    </row>
    <row r="17" spans="1:5">
      <c r="A17" s="7" t="s">
        <v>21</v>
      </c>
      <c r="B17" s="8"/>
      <c r="C17" s="8">
        <v>1849</v>
      </c>
      <c r="D17" s="8"/>
      <c r="E17" s="8">
        <v>1849</v>
      </c>
    </row>
    <row r="18" spans="1:5">
      <c r="A18" s="7" t="s">
        <v>22</v>
      </c>
      <c r="B18" s="8">
        <v>1975</v>
      </c>
      <c r="C18" s="8"/>
      <c r="D18" s="8"/>
      <c r="E18" s="8">
        <v>1975</v>
      </c>
    </row>
    <row r="19" spans="1:5">
      <c r="A19" s="7" t="s">
        <v>23</v>
      </c>
      <c r="B19" s="8"/>
      <c r="C19" s="8">
        <v>2650</v>
      </c>
      <c r="D19" s="8"/>
      <c r="E19" s="8">
        <v>2650</v>
      </c>
    </row>
    <row r="20" spans="1:5">
      <c r="A20" s="7" t="s">
        <v>24</v>
      </c>
      <c r="B20" s="8"/>
      <c r="C20" s="8"/>
      <c r="D20" s="8">
        <v>2530</v>
      </c>
      <c r="E20" s="8">
        <v>2530</v>
      </c>
    </row>
    <row r="21" spans="1:5">
      <c r="A21" s="7" t="s">
        <v>6</v>
      </c>
      <c r="B21" s="8">
        <v>14400</v>
      </c>
      <c r="C21" s="8">
        <v>15933</v>
      </c>
      <c r="D21" s="8">
        <v>15470</v>
      </c>
      <c r="E21" s="8">
        <v>45803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70" zoomScaleNormal="70" workbookViewId="0">
      <selection activeCell="AF7" sqref="AF7"/>
    </sheetView>
  </sheetViews>
  <sheetFormatPr defaultColWidth="9" defaultRowHeight="13.5" outlineLevelCol="7"/>
  <cols>
    <col min="1" max="3" width="10" customWidth="1"/>
    <col min="4" max="4" width="14.25" customWidth="1"/>
    <col min="5" max="5" width="16.625" customWidth="1"/>
    <col min="6" max="6" width="14.25" customWidth="1"/>
    <col min="7" max="7" width="19" customWidth="1"/>
    <col min="8" max="8" width="14.25" customWidth="1"/>
  </cols>
  <sheetData>
    <row r="1" ht="19.5" spans="1:8">
      <c r="A1" s="4" t="s">
        <v>25</v>
      </c>
      <c r="B1" s="4"/>
      <c r="C1" s="4"/>
      <c r="D1" s="4"/>
      <c r="E1" s="4"/>
      <c r="F1" s="4"/>
      <c r="G1" s="4"/>
      <c r="H1" s="4"/>
    </row>
    <row r="2" ht="14.25" spans="1:8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</row>
    <row r="3" ht="14.25" spans="1:8">
      <c r="A3" s="6" t="s">
        <v>34</v>
      </c>
      <c r="B3" s="5" t="s">
        <v>14</v>
      </c>
      <c r="C3" s="5" t="s">
        <v>3</v>
      </c>
      <c r="D3" s="5">
        <v>2700</v>
      </c>
      <c r="E3" s="5">
        <f>VLOOKUP(C3,加班时间!$A$1:$B$4,2)</f>
        <v>2.5</v>
      </c>
      <c r="F3" s="5">
        <f>IF(C3="A部门",E3*30,IF(C3="B部门",E3*25,E3*20))</f>
        <v>75</v>
      </c>
      <c r="G3" s="5">
        <f>SUM(D3,F3)</f>
        <v>2775</v>
      </c>
      <c r="H3" s="5" t="str">
        <f>IF(G3&gt;=2500,"优秀","努力")</f>
        <v>优秀</v>
      </c>
    </row>
    <row r="4" ht="14.25" spans="1:8">
      <c r="A4" s="6" t="s">
        <v>35</v>
      </c>
      <c r="B4" s="5" t="s">
        <v>24</v>
      </c>
      <c r="C4" s="5" t="s">
        <v>5</v>
      </c>
      <c r="D4" s="5">
        <v>2500</v>
      </c>
      <c r="E4" s="5">
        <f>VLOOKUP(C4,加班时间!$A$1:$B$4,2)</f>
        <v>1.5</v>
      </c>
      <c r="F4" s="5">
        <f t="shared" ref="F4:F21" si="0">IF(C4="A部门",E4*30,IF(C4="B部门",E4*25,E4*20))</f>
        <v>30</v>
      </c>
      <c r="G4" s="5">
        <f t="shared" ref="G4:G21" si="1">SUM(D4,F4)</f>
        <v>2530</v>
      </c>
      <c r="H4" s="5" t="str">
        <f t="shared" ref="H4:H21" si="2">IF(G4&gt;=2500,"优秀","努力")</f>
        <v>优秀</v>
      </c>
    </row>
    <row r="5" ht="14.25" spans="1:8">
      <c r="A5" s="6" t="s">
        <v>36</v>
      </c>
      <c r="B5" s="5" t="s">
        <v>7</v>
      </c>
      <c r="C5" s="5" t="s">
        <v>4</v>
      </c>
      <c r="D5" s="5">
        <v>1900</v>
      </c>
      <c r="E5" s="5">
        <f>VLOOKUP(C5,加班时间!$A$1:$B$4,2)</f>
        <v>2</v>
      </c>
      <c r="F5" s="5">
        <f t="shared" si="0"/>
        <v>50</v>
      </c>
      <c r="G5" s="5">
        <f t="shared" si="1"/>
        <v>1950</v>
      </c>
      <c r="H5" s="5" t="str">
        <f t="shared" si="2"/>
        <v>努力</v>
      </c>
    </row>
    <row r="6" ht="14.25" spans="1:8">
      <c r="A6" s="6" t="s">
        <v>37</v>
      </c>
      <c r="B6" s="5" t="s">
        <v>23</v>
      </c>
      <c r="C6" s="5" t="s">
        <v>4</v>
      </c>
      <c r="D6" s="5">
        <v>2600</v>
      </c>
      <c r="E6" s="5">
        <f>VLOOKUP(C6,加班时间!$A$1:$B$4,2)</f>
        <v>2</v>
      </c>
      <c r="F6" s="5">
        <f t="shared" si="0"/>
        <v>50</v>
      </c>
      <c r="G6" s="5">
        <f t="shared" si="1"/>
        <v>2650</v>
      </c>
      <c r="H6" s="5" t="str">
        <f t="shared" si="2"/>
        <v>优秀</v>
      </c>
    </row>
    <row r="7" ht="14.25" spans="1:8">
      <c r="A7" s="6" t="s">
        <v>38</v>
      </c>
      <c r="B7" s="5" t="s">
        <v>18</v>
      </c>
      <c r="C7" s="5" t="s">
        <v>5</v>
      </c>
      <c r="D7" s="5">
        <v>2400</v>
      </c>
      <c r="E7" s="5">
        <f>VLOOKUP(C7,加班时间!$A$1:$B$4,2)</f>
        <v>1.5</v>
      </c>
      <c r="F7" s="5">
        <f t="shared" si="0"/>
        <v>30</v>
      </c>
      <c r="G7" s="5">
        <f t="shared" si="1"/>
        <v>2430</v>
      </c>
      <c r="H7" s="5" t="str">
        <f t="shared" si="2"/>
        <v>努力</v>
      </c>
    </row>
    <row r="8" ht="14.25" spans="1:8">
      <c r="A8" s="6" t="s">
        <v>39</v>
      </c>
      <c r="B8" s="5" t="s">
        <v>12</v>
      </c>
      <c r="C8" s="5" t="s">
        <v>3</v>
      </c>
      <c r="D8" s="5">
        <v>1800</v>
      </c>
      <c r="E8" s="5">
        <f>VLOOKUP(C8,加班时间!$A$1:$B$4,2)</f>
        <v>2.5</v>
      </c>
      <c r="F8" s="5">
        <f t="shared" si="0"/>
        <v>75</v>
      </c>
      <c r="G8" s="5">
        <f t="shared" si="1"/>
        <v>1875</v>
      </c>
      <c r="H8" s="5" t="str">
        <f t="shared" si="2"/>
        <v>努力</v>
      </c>
    </row>
    <row r="9" ht="14.25" spans="1:8">
      <c r="A9" s="6" t="s">
        <v>40</v>
      </c>
      <c r="B9" s="5" t="s">
        <v>8</v>
      </c>
      <c r="C9" s="5" t="s">
        <v>4</v>
      </c>
      <c r="D9" s="5">
        <v>2600</v>
      </c>
      <c r="E9" s="5">
        <f>VLOOKUP(C9,加班时间!$A$1:$B$4,2)</f>
        <v>2</v>
      </c>
      <c r="F9" s="5">
        <f t="shared" si="0"/>
        <v>50</v>
      </c>
      <c r="G9" s="5">
        <f t="shared" si="1"/>
        <v>2650</v>
      </c>
      <c r="H9" s="5" t="str">
        <f t="shared" si="2"/>
        <v>优秀</v>
      </c>
    </row>
    <row r="10" ht="14.25" spans="1:8">
      <c r="A10" s="6" t="s">
        <v>41</v>
      </c>
      <c r="B10" s="5" t="s">
        <v>10</v>
      </c>
      <c r="C10" s="5" t="s">
        <v>5</v>
      </c>
      <c r="D10" s="5">
        <v>2545</v>
      </c>
      <c r="E10" s="5">
        <f>VLOOKUP(C10,加班时间!$A$1:$B$4,2)</f>
        <v>1.5</v>
      </c>
      <c r="F10" s="5">
        <f t="shared" si="0"/>
        <v>30</v>
      </c>
      <c r="G10" s="5">
        <f t="shared" si="1"/>
        <v>2575</v>
      </c>
      <c r="H10" s="5" t="str">
        <f t="shared" si="2"/>
        <v>优秀</v>
      </c>
    </row>
    <row r="11" ht="14.25" spans="1:8">
      <c r="A11" s="6" t="s">
        <v>42</v>
      </c>
      <c r="B11" s="5" t="s">
        <v>11</v>
      </c>
      <c r="C11" s="5" t="s">
        <v>3</v>
      </c>
      <c r="D11" s="5">
        <v>2544</v>
      </c>
      <c r="E11" s="5">
        <f>VLOOKUP(C11,加班时间!$A$1:$B$4,2)</f>
        <v>2.5</v>
      </c>
      <c r="F11" s="5">
        <f t="shared" si="0"/>
        <v>75</v>
      </c>
      <c r="G11" s="5">
        <f t="shared" si="1"/>
        <v>2619</v>
      </c>
      <c r="H11" s="5" t="str">
        <f t="shared" si="2"/>
        <v>优秀</v>
      </c>
    </row>
    <row r="12" ht="14.25" spans="1:8">
      <c r="A12" s="6" t="s">
        <v>43</v>
      </c>
      <c r="B12" s="5" t="s">
        <v>21</v>
      </c>
      <c r="C12" s="5" t="s">
        <v>4</v>
      </c>
      <c r="D12" s="5">
        <v>1799</v>
      </c>
      <c r="E12" s="5">
        <f>VLOOKUP(C12,加班时间!$A$1:$B$4,2)</f>
        <v>2</v>
      </c>
      <c r="F12" s="5">
        <f t="shared" si="0"/>
        <v>50</v>
      </c>
      <c r="G12" s="5">
        <f t="shared" si="1"/>
        <v>1849</v>
      </c>
      <c r="H12" s="5" t="str">
        <f t="shared" si="2"/>
        <v>努力</v>
      </c>
    </row>
    <row r="13" ht="14.25" spans="1:8">
      <c r="A13" s="6" t="s">
        <v>44</v>
      </c>
      <c r="B13" s="5" t="s">
        <v>20</v>
      </c>
      <c r="C13" s="5" t="s">
        <v>5</v>
      </c>
      <c r="D13" s="5">
        <v>2465</v>
      </c>
      <c r="E13" s="5">
        <f>VLOOKUP(C13,加班时间!$A$1:$B$4,2)</f>
        <v>1.5</v>
      </c>
      <c r="F13" s="5">
        <f t="shared" si="0"/>
        <v>30</v>
      </c>
      <c r="G13" s="5">
        <f t="shared" si="1"/>
        <v>2495</v>
      </c>
      <c r="H13" s="5" t="str">
        <f t="shared" si="2"/>
        <v>努力</v>
      </c>
    </row>
    <row r="14" ht="14.25" spans="1:8">
      <c r="A14" s="6" t="s">
        <v>45</v>
      </c>
      <c r="B14" s="5" t="s">
        <v>17</v>
      </c>
      <c r="C14" s="5" t="s">
        <v>5</v>
      </c>
      <c r="D14" s="5">
        <v>2685</v>
      </c>
      <c r="E14" s="5">
        <f>VLOOKUP(C14,加班时间!$A$1:$B$4,2)</f>
        <v>1.5</v>
      </c>
      <c r="F14" s="5">
        <f t="shared" si="0"/>
        <v>30</v>
      </c>
      <c r="G14" s="5">
        <f t="shared" si="1"/>
        <v>2715</v>
      </c>
      <c r="H14" s="5" t="str">
        <f t="shared" si="2"/>
        <v>优秀</v>
      </c>
    </row>
    <row r="15" ht="14.25" spans="1:8">
      <c r="A15" s="6" t="s">
        <v>46</v>
      </c>
      <c r="B15" s="5" t="s">
        <v>19</v>
      </c>
      <c r="C15" s="5" t="s">
        <v>4</v>
      </c>
      <c r="D15" s="5">
        <v>2100</v>
      </c>
      <c r="E15" s="5">
        <f>VLOOKUP(C15,加班时间!$A$1:$B$4,2)</f>
        <v>2</v>
      </c>
      <c r="F15" s="5">
        <f t="shared" si="0"/>
        <v>50</v>
      </c>
      <c r="G15" s="5">
        <f t="shared" si="1"/>
        <v>2150</v>
      </c>
      <c r="H15" s="5" t="str">
        <f t="shared" si="2"/>
        <v>努力</v>
      </c>
    </row>
    <row r="16" ht="14.25" spans="1:8">
      <c r="A16" s="6" t="s">
        <v>47</v>
      </c>
      <c r="B16" s="5" t="s">
        <v>9</v>
      </c>
      <c r="C16" s="5" t="s">
        <v>4</v>
      </c>
      <c r="D16" s="5">
        <v>2000</v>
      </c>
      <c r="E16" s="5">
        <f>VLOOKUP(C16,加班时间!$A$1:$B$4,2)</f>
        <v>2</v>
      </c>
      <c r="F16" s="5">
        <f t="shared" si="0"/>
        <v>50</v>
      </c>
      <c r="G16" s="5">
        <f t="shared" si="1"/>
        <v>2050</v>
      </c>
      <c r="H16" s="5" t="str">
        <f t="shared" si="2"/>
        <v>努力</v>
      </c>
    </row>
    <row r="17" ht="14.25" spans="1:8">
      <c r="A17" s="6" t="s">
        <v>48</v>
      </c>
      <c r="B17" s="5" t="s">
        <v>22</v>
      </c>
      <c r="C17" s="5" t="s">
        <v>3</v>
      </c>
      <c r="D17" s="5">
        <v>1900</v>
      </c>
      <c r="E17" s="5">
        <f>VLOOKUP(C17,加班时间!$A$1:$B$4,2)</f>
        <v>2.5</v>
      </c>
      <c r="F17" s="5">
        <f t="shared" si="0"/>
        <v>75</v>
      </c>
      <c r="G17" s="5">
        <f t="shared" si="1"/>
        <v>1975</v>
      </c>
      <c r="H17" s="5" t="str">
        <f t="shared" si="2"/>
        <v>努力</v>
      </c>
    </row>
    <row r="18" ht="14.25" spans="1:8">
      <c r="A18" s="6" t="s">
        <v>49</v>
      </c>
      <c r="B18" s="5" t="s">
        <v>15</v>
      </c>
      <c r="C18" s="5" t="s">
        <v>4</v>
      </c>
      <c r="D18" s="5">
        <v>2584</v>
      </c>
      <c r="E18" s="5">
        <f>VLOOKUP(C18,加班时间!$A$1:$B$4,2)</f>
        <v>2</v>
      </c>
      <c r="F18" s="5">
        <f t="shared" si="0"/>
        <v>50</v>
      </c>
      <c r="G18" s="5">
        <f t="shared" si="1"/>
        <v>2634</v>
      </c>
      <c r="H18" s="5" t="str">
        <f t="shared" si="2"/>
        <v>优秀</v>
      </c>
    </row>
    <row r="19" ht="14.25" spans="1:8">
      <c r="A19" s="6" t="s">
        <v>50</v>
      </c>
      <c r="B19" s="5" t="s">
        <v>16</v>
      </c>
      <c r="C19" s="5" t="s">
        <v>5</v>
      </c>
      <c r="D19" s="5">
        <v>2695</v>
      </c>
      <c r="E19" s="5">
        <f>VLOOKUP(C19,加班时间!$A$1:$B$4,2)</f>
        <v>1.5</v>
      </c>
      <c r="F19" s="5">
        <f t="shared" si="0"/>
        <v>30</v>
      </c>
      <c r="G19" s="5">
        <f t="shared" si="1"/>
        <v>2725</v>
      </c>
      <c r="H19" s="5" t="str">
        <f t="shared" si="2"/>
        <v>优秀</v>
      </c>
    </row>
    <row r="20" ht="14.25" spans="1:8">
      <c r="A20" s="6" t="s">
        <v>51</v>
      </c>
      <c r="B20" s="5" t="s">
        <v>13</v>
      </c>
      <c r="C20" s="5" t="s">
        <v>3</v>
      </c>
      <c r="D20" s="5">
        <v>2358</v>
      </c>
      <c r="E20" s="5">
        <f>VLOOKUP(C20,加班时间!$A$1:$B$4,2)</f>
        <v>2.5</v>
      </c>
      <c r="F20" s="5">
        <f t="shared" si="0"/>
        <v>75</v>
      </c>
      <c r="G20" s="5">
        <f t="shared" si="1"/>
        <v>2433</v>
      </c>
      <c r="H20" s="5" t="str">
        <f t="shared" si="2"/>
        <v>努力</v>
      </c>
    </row>
    <row r="21" ht="14.25" spans="1:8">
      <c r="A21" s="6" t="s">
        <v>52</v>
      </c>
      <c r="B21" s="5" t="s">
        <v>14</v>
      </c>
      <c r="C21" s="5" t="s">
        <v>3</v>
      </c>
      <c r="D21" s="5">
        <v>2648</v>
      </c>
      <c r="E21" s="5">
        <f>VLOOKUP(C21,加班时间!$A$1:$B$4,2)</f>
        <v>2.5</v>
      </c>
      <c r="F21" s="5">
        <f t="shared" si="0"/>
        <v>75</v>
      </c>
      <c r="G21" s="5">
        <f t="shared" si="1"/>
        <v>2723</v>
      </c>
      <c r="H21" s="5" t="str">
        <f t="shared" si="2"/>
        <v>优秀</v>
      </c>
    </row>
  </sheetData>
  <mergeCells count="1">
    <mergeCell ref="A1:H1"/>
  </mergeCells>
  <conditionalFormatting sqref="G3:G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{07339b0c-4cc2-4fe9-bae6-6df6701ca7d9}</x14:id>
        </ext>
      </extLst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339b0c-4cc2-4fe9-bae6-6df6701ca7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9" sqref="B9"/>
    </sheetView>
  </sheetViews>
  <sheetFormatPr defaultColWidth="9" defaultRowHeight="13.5" outlineLevelRow="3" outlineLevelCol="1"/>
  <sheetData>
    <row r="1" spans="1:2">
      <c r="A1" t="s">
        <v>28</v>
      </c>
      <c r="B1" t="s">
        <v>53</v>
      </c>
    </row>
    <row r="2" spans="1:2">
      <c r="A2" t="s">
        <v>3</v>
      </c>
      <c r="B2">
        <v>2.5</v>
      </c>
    </row>
    <row r="3" spans="1:2">
      <c r="A3" t="s">
        <v>4</v>
      </c>
      <c r="B3">
        <v>2</v>
      </c>
    </row>
    <row r="4" spans="1:2">
      <c r="A4" t="s">
        <v>5</v>
      </c>
      <c r="B4">
        <v>1.5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I23" sqref="I23:I24"/>
    </sheetView>
  </sheetViews>
  <sheetFormatPr defaultColWidth="9" defaultRowHeight="13.5" outlineLevelCol="7"/>
  <cols>
    <col min="3" max="3" width="14.375" customWidth="1"/>
    <col min="4" max="4" width="9.5" customWidth="1"/>
    <col min="7" max="7" width="9.5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outlineLevel="2" spans="1:8">
      <c r="A2" t="s">
        <v>48</v>
      </c>
      <c r="B2" t="s">
        <v>22</v>
      </c>
      <c r="C2" t="s">
        <v>3</v>
      </c>
      <c r="D2">
        <v>1900</v>
      </c>
      <c r="E2">
        <v>2.5</v>
      </c>
      <c r="F2">
        <v>75</v>
      </c>
      <c r="G2">
        <v>1975</v>
      </c>
      <c r="H2" t="s">
        <v>54</v>
      </c>
    </row>
    <row r="3" outlineLevel="2" spans="1:8">
      <c r="A3" t="s">
        <v>34</v>
      </c>
      <c r="B3" t="s">
        <v>14</v>
      </c>
      <c r="C3" t="s">
        <v>3</v>
      </c>
      <c r="D3">
        <v>2700</v>
      </c>
      <c r="E3">
        <v>2.5</v>
      </c>
      <c r="F3">
        <v>75</v>
      </c>
      <c r="G3">
        <v>2775</v>
      </c>
      <c r="H3" t="s">
        <v>55</v>
      </c>
    </row>
    <row r="4" outlineLevel="2" spans="1:8">
      <c r="A4" t="s">
        <v>52</v>
      </c>
      <c r="B4" t="s">
        <v>14</v>
      </c>
      <c r="C4" t="s">
        <v>3</v>
      </c>
      <c r="D4">
        <v>2648</v>
      </c>
      <c r="E4">
        <v>2.5</v>
      </c>
      <c r="F4">
        <v>75</v>
      </c>
      <c r="G4">
        <v>2723</v>
      </c>
      <c r="H4" t="s">
        <v>55</v>
      </c>
    </row>
    <row r="5" outlineLevel="2" spans="1:8">
      <c r="A5" t="s">
        <v>51</v>
      </c>
      <c r="B5" t="s">
        <v>13</v>
      </c>
      <c r="C5" t="s">
        <v>3</v>
      </c>
      <c r="D5">
        <v>2358</v>
      </c>
      <c r="E5">
        <v>2.5</v>
      </c>
      <c r="F5">
        <v>75</v>
      </c>
      <c r="G5">
        <v>2433</v>
      </c>
      <c r="H5" t="s">
        <v>54</v>
      </c>
    </row>
    <row r="6" outlineLevel="2" spans="1:8">
      <c r="A6" t="s">
        <v>39</v>
      </c>
      <c r="B6" t="s">
        <v>12</v>
      </c>
      <c r="C6" t="s">
        <v>3</v>
      </c>
      <c r="D6">
        <v>1800</v>
      </c>
      <c r="E6">
        <v>2.5</v>
      </c>
      <c r="F6">
        <v>75</v>
      </c>
      <c r="G6">
        <v>1875</v>
      </c>
      <c r="H6" t="s">
        <v>54</v>
      </c>
    </row>
    <row r="7" outlineLevel="2" spans="1:8">
      <c r="A7" t="s">
        <v>42</v>
      </c>
      <c r="B7" t="s">
        <v>11</v>
      </c>
      <c r="C7" t="s">
        <v>3</v>
      </c>
      <c r="D7">
        <v>2544</v>
      </c>
      <c r="E7">
        <v>2.5</v>
      </c>
      <c r="F7">
        <v>75</v>
      </c>
      <c r="G7">
        <v>2619</v>
      </c>
      <c r="H7" t="s">
        <v>55</v>
      </c>
    </row>
    <row r="8" outlineLevel="1" spans="3:7">
      <c r="C8" s="2" t="s">
        <v>56</v>
      </c>
      <c r="D8" s="3">
        <f>SUBTOTAL(1,D2:D7)</f>
        <v>2325</v>
      </c>
      <c r="G8" s="3">
        <f>SUBTOTAL(1,G2:G7)</f>
        <v>2400</v>
      </c>
    </row>
    <row r="9" outlineLevel="2" spans="1:8">
      <c r="A9" t="s">
        <v>37</v>
      </c>
      <c r="B9" t="s">
        <v>23</v>
      </c>
      <c r="C9" t="s">
        <v>4</v>
      </c>
      <c r="D9">
        <v>2600</v>
      </c>
      <c r="E9">
        <v>2</v>
      </c>
      <c r="F9">
        <v>50</v>
      </c>
      <c r="G9">
        <v>2650</v>
      </c>
      <c r="H9" t="s">
        <v>55</v>
      </c>
    </row>
    <row r="10" outlineLevel="2" spans="1:8">
      <c r="A10" t="s">
        <v>43</v>
      </c>
      <c r="B10" t="s">
        <v>21</v>
      </c>
      <c r="C10" t="s">
        <v>4</v>
      </c>
      <c r="D10">
        <v>1799</v>
      </c>
      <c r="E10">
        <v>2</v>
      </c>
      <c r="F10">
        <v>50</v>
      </c>
      <c r="G10">
        <v>1849</v>
      </c>
      <c r="H10" t="s">
        <v>54</v>
      </c>
    </row>
    <row r="11" outlineLevel="2" spans="1:8">
      <c r="A11" t="s">
        <v>46</v>
      </c>
      <c r="B11" t="s">
        <v>19</v>
      </c>
      <c r="C11" t="s">
        <v>4</v>
      </c>
      <c r="D11">
        <v>2100</v>
      </c>
      <c r="E11">
        <v>2</v>
      </c>
      <c r="F11">
        <v>50</v>
      </c>
      <c r="G11">
        <v>2150</v>
      </c>
      <c r="H11" t="s">
        <v>54</v>
      </c>
    </row>
    <row r="12" outlineLevel="2" spans="1:8">
      <c r="A12" t="s">
        <v>49</v>
      </c>
      <c r="B12" t="s">
        <v>15</v>
      </c>
      <c r="C12" t="s">
        <v>4</v>
      </c>
      <c r="D12">
        <v>2584</v>
      </c>
      <c r="E12">
        <v>2</v>
      </c>
      <c r="F12">
        <v>50</v>
      </c>
      <c r="G12">
        <v>2634</v>
      </c>
      <c r="H12" t="s">
        <v>55</v>
      </c>
    </row>
    <row r="13" outlineLevel="2" spans="1:8">
      <c r="A13" t="s">
        <v>47</v>
      </c>
      <c r="B13" t="s">
        <v>9</v>
      </c>
      <c r="C13" t="s">
        <v>4</v>
      </c>
      <c r="D13">
        <v>2000</v>
      </c>
      <c r="E13">
        <v>2</v>
      </c>
      <c r="F13">
        <v>50</v>
      </c>
      <c r="G13">
        <v>2050</v>
      </c>
      <c r="H13" t="s">
        <v>54</v>
      </c>
    </row>
    <row r="14" outlineLevel="2" spans="1:8">
      <c r="A14" t="s">
        <v>40</v>
      </c>
      <c r="B14" t="s">
        <v>8</v>
      </c>
      <c r="C14" t="s">
        <v>4</v>
      </c>
      <c r="D14">
        <v>2600</v>
      </c>
      <c r="E14">
        <v>2</v>
      </c>
      <c r="F14">
        <v>50</v>
      </c>
      <c r="G14">
        <v>2650</v>
      </c>
      <c r="H14" t="s">
        <v>55</v>
      </c>
    </row>
    <row r="15" outlineLevel="2" spans="1:8">
      <c r="A15" t="s">
        <v>36</v>
      </c>
      <c r="B15" t="s">
        <v>7</v>
      </c>
      <c r="C15" t="s">
        <v>4</v>
      </c>
      <c r="D15">
        <v>1900</v>
      </c>
      <c r="E15">
        <v>2</v>
      </c>
      <c r="F15">
        <v>50</v>
      </c>
      <c r="G15">
        <v>1950</v>
      </c>
      <c r="H15" t="s">
        <v>54</v>
      </c>
    </row>
    <row r="16" outlineLevel="1" spans="3:7">
      <c r="C16" s="2" t="s">
        <v>57</v>
      </c>
      <c r="D16" s="3">
        <f>SUBTOTAL(1,D9:D15)</f>
        <v>2226.14285714286</v>
      </c>
      <c r="G16" s="3">
        <f>SUBTOTAL(1,G9:G15)</f>
        <v>2276.14285714286</v>
      </c>
    </row>
    <row r="17" outlineLevel="2" spans="1:8">
      <c r="A17" t="s">
        <v>35</v>
      </c>
      <c r="B17" t="s">
        <v>24</v>
      </c>
      <c r="C17" t="s">
        <v>5</v>
      </c>
      <c r="D17">
        <v>2500</v>
      </c>
      <c r="E17">
        <v>1.5</v>
      </c>
      <c r="F17">
        <v>30</v>
      </c>
      <c r="G17">
        <v>2530</v>
      </c>
      <c r="H17" t="s">
        <v>55</v>
      </c>
    </row>
    <row r="18" outlineLevel="2" spans="1:8">
      <c r="A18" t="s">
        <v>44</v>
      </c>
      <c r="B18" t="s">
        <v>20</v>
      </c>
      <c r="C18" t="s">
        <v>5</v>
      </c>
      <c r="D18">
        <v>2465</v>
      </c>
      <c r="E18">
        <v>1.5</v>
      </c>
      <c r="F18">
        <v>30</v>
      </c>
      <c r="G18">
        <v>2495</v>
      </c>
      <c r="H18" t="s">
        <v>54</v>
      </c>
    </row>
    <row r="19" outlineLevel="2" spans="1:8">
      <c r="A19" t="s">
        <v>38</v>
      </c>
      <c r="B19" t="s">
        <v>18</v>
      </c>
      <c r="C19" t="s">
        <v>5</v>
      </c>
      <c r="D19">
        <v>2400</v>
      </c>
      <c r="E19">
        <v>1.5</v>
      </c>
      <c r="F19">
        <v>30</v>
      </c>
      <c r="G19">
        <v>2430</v>
      </c>
      <c r="H19" t="s">
        <v>54</v>
      </c>
    </row>
    <row r="20" outlineLevel="2" spans="1:8">
      <c r="A20" t="s">
        <v>45</v>
      </c>
      <c r="B20" t="s">
        <v>17</v>
      </c>
      <c r="C20" t="s">
        <v>5</v>
      </c>
      <c r="D20">
        <v>2685</v>
      </c>
      <c r="E20">
        <v>1.5</v>
      </c>
      <c r="F20">
        <v>30</v>
      </c>
      <c r="G20">
        <v>2715</v>
      </c>
      <c r="H20" t="s">
        <v>55</v>
      </c>
    </row>
    <row r="21" outlineLevel="2" spans="1:8">
      <c r="A21" t="s">
        <v>50</v>
      </c>
      <c r="B21" t="s">
        <v>16</v>
      </c>
      <c r="C21" t="s">
        <v>5</v>
      </c>
      <c r="D21">
        <v>2695</v>
      </c>
      <c r="E21">
        <v>1.5</v>
      </c>
      <c r="F21">
        <v>30</v>
      </c>
      <c r="G21">
        <v>2725</v>
      </c>
      <c r="H21" t="s">
        <v>55</v>
      </c>
    </row>
    <row r="22" outlineLevel="2" spans="1:8">
      <c r="A22" t="s">
        <v>41</v>
      </c>
      <c r="B22" t="s">
        <v>10</v>
      </c>
      <c r="C22" t="s">
        <v>5</v>
      </c>
      <c r="D22">
        <v>2545</v>
      </c>
      <c r="E22">
        <v>1.5</v>
      </c>
      <c r="F22">
        <v>30</v>
      </c>
      <c r="G22">
        <v>2575</v>
      </c>
      <c r="H22" t="s">
        <v>55</v>
      </c>
    </row>
    <row r="23" outlineLevel="1" spans="3:7">
      <c r="C23" s="2" t="s">
        <v>58</v>
      </c>
      <c r="D23" s="3">
        <f>SUBTOTAL(1,D17:D22)</f>
        <v>2548.33333333333</v>
      </c>
      <c r="G23" s="3">
        <f>SUBTOTAL(1,G17:G22)</f>
        <v>2578.33333333333</v>
      </c>
    </row>
    <row r="24" spans="3:7">
      <c r="C24" s="2" t="s">
        <v>59</v>
      </c>
      <c r="D24" s="3">
        <f>SUBTOTAL(1,D2:D22)</f>
        <v>2359.10526315789</v>
      </c>
      <c r="G24" s="3">
        <f>SUBTOTAL(1,G2:G22)</f>
        <v>2410.68421052632</v>
      </c>
    </row>
  </sheetData>
  <sortState ref="A2:H20">
    <sortCondition ref="C2:C20"/>
    <sortCondition ref="B2:B20" descending="1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3"/>
  <sheetViews>
    <sheetView workbookViewId="0">
      <selection activeCell="C15" sqref="C15"/>
    </sheetView>
  </sheetViews>
  <sheetFormatPr defaultColWidth="9" defaultRowHeight="13.5" outlineLevelCol="7"/>
  <sheetData>
    <row r="1" ht="15.75" spans="1:1">
      <c r="A1" s="1" t="s">
        <v>29</v>
      </c>
    </row>
    <row r="2" spans="1:1">
      <c r="A2" t="s">
        <v>60</v>
      </c>
    </row>
    <row r="3" spans="1:8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 spans="1:8">
      <c r="A4" t="s">
        <v>34</v>
      </c>
      <c r="B4" t="s">
        <v>14</v>
      </c>
      <c r="C4" t="s">
        <v>3</v>
      </c>
      <c r="D4">
        <v>2700</v>
      </c>
      <c r="E4">
        <v>2.5</v>
      </c>
      <c r="F4">
        <v>75</v>
      </c>
      <c r="G4">
        <v>2775</v>
      </c>
      <c r="H4" t="s">
        <v>55</v>
      </c>
    </row>
    <row r="5" spans="1:8">
      <c r="A5" t="s">
        <v>35</v>
      </c>
      <c r="B5" t="s">
        <v>24</v>
      </c>
      <c r="C5" t="s">
        <v>5</v>
      </c>
      <c r="D5">
        <v>2500</v>
      </c>
      <c r="E5">
        <v>1.5</v>
      </c>
      <c r="F5">
        <v>30</v>
      </c>
      <c r="G5">
        <v>2530</v>
      </c>
      <c r="H5" t="s">
        <v>55</v>
      </c>
    </row>
    <row r="6" hidden="1" spans="1:8">
      <c r="A6" t="s">
        <v>36</v>
      </c>
      <c r="B6" t="s">
        <v>7</v>
      </c>
      <c r="C6" t="s">
        <v>4</v>
      </c>
      <c r="D6">
        <v>1900</v>
      </c>
      <c r="E6">
        <v>2</v>
      </c>
      <c r="F6">
        <v>50</v>
      </c>
      <c r="G6">
        <v>1950</v>
      </c>
      <c r="H6" t="s">
        <v>54</v>
      </c>
    </row>
    <row r="7" spans="1:8">
      <c r="A7" t="s">
        <v>37</v>
      </c>
      <c r="B7" t="s">
        <v>23</v>
      </c>
      <c r="C7" t="s">
        <v>4</v>
      </c>
      <c r="D7">
        <v>2600</v>
      </c>
      <c r="E7">
        <v>2</v>
      </c>
      <c r="F7">
        <v>50</v>
      </c>
      <c r="G7">
        <v>2650</v>
      </c>
      <c r="H7" t="s">
        <v>55</v>
      </c>
    </row>
    <row r="8" hidden="1" spans="1:8">
      <c r="A8" t="s">
        <v>38</v>
      </c>
      <c r="B8" t="s">
        <v>18</v>
      </c>
      <c r="C8" t="s">
        <v>5</v>
      </c>
      <c r="D8">
        <v>2400</v>
      </c>
      <c r="E8">
        <v>1.5</v>
      </c>
      <c r="F8">
        <v>30</v>
      </c>
      <c r="G8">
        <v>2430</v>
      </c>
      <c r="H8" t="s">
        <v>54</v>
      </c>
    </row>
    <row r="9" hidden="1" spans="1:8">
      <c r="A9" t="s">
        <v>39</v>
      </c>
      <c r="B9" t="s">
        <v>12</v>
      </c>
      <c r="C9" t="s">
        <v>3</v>
      </c>
      <c r="D9">
        <v>1800</v>
      </c>
      <c r="E9">
        <v>2.5</v>
      </c>
      <c r="F9">
        <v>75</v>
      </c>
      <c r="G9">
        <v>1875</v>
      </c>
      <c r="H9" t="s">
        <v>54</v>
      </c>
    </row>
    <row r="10" spans="1:8">
      <c r="A10" t="s">
        <v>40</v>
      </c>
      <c r="B10" t="s">
        <v>8</v>
      </c>
      <c r="C10" t="s">
        <v>4</v>
      </c>
      <c r="D10">
        <v>2600</v>
      </c>
      <c r="E10">
        <v>2</v>
      </c>
      <c r="F10">
        <v>50</v>
      </c>
      <c r="G10">
        <v>2650</v>
      </c>
      <c r="H10" t="s">
        <v>55</v>
      </c>
    </row>
    <row r="11" spans="1:8">
      <c r="A11" t="s">
        <v>41</v>
      </c>
      <c r="B11" t="s">
        <v>10</v>
      </c>
      <c r="C11" t="s">
        <v>5</v>
      </c>
      <c r="D11">
        <v>2545</v>
      </c>
      <c r="E11">
        <v>1.5</v>
      </c>
      <c r="F11">
        <v>30</v>
      </c>
      <c r="G11">
        <v>2575</v>
      </c>
      <c r="H11" t="s">
        <v>55</v>
      </c>
    </row>
    <row r="12" spans="1:8">
      <c r="A12" t="s">
        <v>42</v>
      </c>
      <c r="B12" t="s">
        <v>11</v>
      </c>
      <c r="C12" t="s">
        <v>3</v>
      </c>
      <c r="D12">
        <v>2544</v>
      </c>
      <c r="E12">
        <v>2.5</v>
      </c>
      <c r="F12">
        <v>75</v>
      </c>
      <c r="G12">
        <v>2619</v>
      </c>
      <c r="H12" t="s">
        <v>55</v>
      </c>
    </row>
    <row r="13" hidden="1" spans="1:8">
      <c r="A13" t="s">
        <v>43</v>
      </c>
      <c r="B13" t="s">
        <v>21</v>
      </c>
      <c r="C13" t="s">
        <v>4</v>
      </c>
      <c r="D13">
        <v>1799</v>
      </c>
      <c r="E13">
        <v>2</v>
      </c>
      <c r="F13">
        <v>50</v>
      </c>
      <c r="G13">
        <v>1849</v>
      </c>
      <c r="H13" t="s">
        <v>54</v>
      </c>
    </row>
    <row r="14" hidden="1" spans="1:8">
      <c r="A14" t="s">
        <v>44</v>
      </c>
      <c r="B14" t="s">
        <v>20</v>
      </c>
      <c r="C14" t="s">
        <v>5</v>
      </c>
      <c r="D14">
        <v>2465</v>
      </c>
      <c r="E14">
        <v>1.5</v>
      </c>
      <c r="F14">
        <v>30</v>
      </c>
      <c r="G14">
        <v>2495</v>
      </c>
      <c r="H14" t="s">
        <v>54</v>
      </c>
    </row>
    <row r="15" spans="1:8">
      <c r="A15" t="s">
        <v>45</v>
      </c>
      <c r="B15" t="s">
        <v>17</v>
      </c>
      <c r="C15" t="s">
        <v>5</v>
      </c>
      <c r="D15">
        <v>2685</v>
      </c>
      <c r="E15">
        <v>1.5</v>
      </c>
      <c r="F15">
        <v>30</v>
      </c>
      <c r="G15">
        <v>2715</v>
      </c>
      <c r="H15" t="s">
        <v>55</v>
      </c>
    </row>
    <row r="16" hidden="1" spans="1:8">
      <c r="A16" t="s">
        <v>46</v>
      </c>
      <c r="B16" t="s">
        <v>19</v>
      </c>
      <c r="C16" t="s">
        <v>4</v>
      </c>
      <c r="D16">
        <v>2100</v>
      </c>
      <c r="E16">
        <v>2</v>
      </c>
      <c r="F16">
        <v>50</v>
      </c>
      <c r="G16">
        <v>2150</v>
      </c>
      <c r="H16" t="s">
        <v>54</v>
      </c>
    </row>
    <row r="17" hidden="1" spans="1:8">
      <c r="A17" t="s">
        <v>47</v>
      </c>
      <c r="B17" t="s">
        <v>9</v>
      </c>
      <c r="C17" t="s">
        <v>4</v>
      </c>
      <c r="D17">
        <v>2000</v>
      </c>
      <c r="E17">
        <v>2</v>
      </c>
      <c r="F17">
        <v>50</v>
      </c>
      <c r="G17">
        <v>2050</v>
      </c>
      <c r="H17" t="s">
        <v>54</v>
      </c>
    </row>
    <row r="18" hidden="1" spans="1:8">
      <c r="A18" t="s">
        <v>48</v>
      </c>
      <c r="B18" t="s">
        <v>22</v>
      </c>
      <c r="C18" t="s">
        <v>3</v>
      </c>
      <c r="D18">
        <v>1900</v>
      </c>
      <c r="E18">
        <v>2.5</v>
      </c>
      <c r="F18">
        <v>75</v>
      </c>
      <c r="G18">
        <v>1975</v>
      </c>
      <c r="H18" t="s">
        <v>54</v>
      </c>
    </row>
    <row r="19" spans="1:8">
      <c r="A19" t="s">
        <v>49</v>
      </c>
      <c r="B19" t="s">
        <v>15</v>
      </c>
      <c r="C19" t="s">
        <v>4</v>
      </c>
      <c r="D19">
        <v>2584</v>
      </c>
      <c r="E19">
        <v>2</v>
      </c>
      <c r="F19">
        <v>50</v>
      </c>
      <c r="G19">
        <v>2634</v>
      </c>
      <c r="H19" t="s">
        <v>55</v>
      </c>
    </row>
    <row r="20" spans="1:8">
      <c r="A20" t="s">
        <v>50</v>
      </c>
      <c r="B20" t="s">
        <v>16</v>
      </c>
      <c r="C20" t="s">
        <v>5</v>
      </c>
      <c r="D20">
        <v>2695</v>
      </c>
      <c r="E20">
        <v>1.5</v>
      </c>
      <c r="F20">
        <v>30</v>
      </c>
      <c r="G20">
        <v>2725</v>
      </c>
      <c r="H20" t="s">
        <v>55</v>
      </c>
    </row>
    <row r="21" hidden="1" spans="1:8">
      <c r="A21" t="s">
        <v>51</v>
      </c>
      <c r="B21" t="s">
        <v>13</v>
      </c>
      <c r="C21" t="s">
        <v>3</v>
      </c>
      <c r="D21">
        <v>2358</v>
      </c>
      <c r="E21">
        <v>2.5</v>
      </c>
      <c r="F21">
        <v>75</v>
      </c>
      <c r="G21">
        <v>2433</v>
      </c>
      <c r="H21" t="s">
        <v>54</v>
      </c>
    </row>
    <row r="22" spans="1:8">
      <c r="A22" t="s">
        <v>52</v>
      </c>
      <c r="B22" t="s">
        <v>14</v>
      </c>
      <c r="C22" t="s">
        <v>3</v>
      </c>
      <c r="D22">
        <v>2648</v>
      </c>
      <c r="E22">
        <v>2.5</v>
      </c>
      <c r="F22">
        <v>75</v>
      </c>
      <c r="G22">
        <v>2723</v>
      </c>
      <c r="H22" t="s">
        <v>55</v>
      </c>
    </row>
    <row r="23" hidden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数据透视表</vt:lpstr>
      <vt:lpstr>员工加班统计表</vt:lpstr>
      <vt:lpstr>加班时间</vt:lpstr>
      <vt:lpstr>分类汇总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2023-12-04T07:04:46Z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7DB441FF9F7E4493AEE3C5FFABF5F26D_12</vt:lpwstr>
  </property>
  <property fmtid="{D5CDD505-2E9C-101B-9397-08002B2CF9AE}" pid="3" name="KSOProductBuildVer">
    <vt:lpwstr>2052-12.1.0.15712</vt:lpwstr>
  </property>
</Properties>
</file>
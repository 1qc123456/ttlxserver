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250" windowHeight="12540"/>
  </bookViews>
  <sheets>
    <sheet name="测试结果误差表" sheetId="1" r:id="rId1"/>
  </sheets>
  <calcPr calcId="144525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3" i="1"/>
  <c r="D3" i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<sst xmlns="http://schemas.openxmlformats.org/spreadsheetml/2006/main" count="6" uniqueCount="6">
  <si>
    <t>时间（小时）</t>
  </si>
  <si>
    <t>实测值</t>
  </si>
  <si>
    <t>预测值</t>
  </si>
  <si>
    <t>误差（绝对值）</t>
  </si>
  <si>
    <t>预测准确度</t>
  </si>
  <si>
    <t>某种放射性元素衰变的测试结果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</si>
</sst>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4" x14ac:knownFonts="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测试数据对比图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测试结果误差表!$B$2</c:f>
              <c:strCache>
                <c:ptCount val="1"/>
                <c:pt idx="0">
                  <c:v>实测值</c:v>
                </c:pt>
              </c:strCache>
            </c:strRef>
          </c:tx>
          <c:val>
            <c:numRef>
              <c:f>测试结果误差表!$B$3:$B$14</c:f>
              <c:numCache>
                <c:formatCode>0.0_ </c:formatCode>
                <c:ptCount val="12"/>
                <c:pt idx="0">
                  <c:v>16.5</c:v>
                </c:pt>
                <c:pt idx="1">
                  <c:v>19.399999999999999</c:v>
                </c:pt>
                <c:pt idx="2">
                  <c:v>25.5</c:v>
                </c:pt>
                <c:pt idx="3">
                  <c:v>27.2</c:v>
                </c:pt>
                <c:pt idx="4">
                  <c:v>38.299999999999997</c:v>
                </c:pt>
                <c:pt idx="5">
                  <c:v>42.4</c:v>
                </c:pt>
                <c:pt idx="6">
                  <c:v>55.8</c:v>
                </c:pt>
                <c:pt idx="7">
                  <c:v>67.2</c:v>
                </c:pt>
                <c:pt idx="8">
                  <c:v>71.8</c:v>
                </c:pt>
                <c:pt idx="9">
                  <c:v>76</c:v>
                </c:pt>
                <c:pt idx="10">
                  <c:v>80</c:v>
                </c:pt>
                <c:pt idx="11">
                  <c:v>83.4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测试结果误差表!$C$2</c:f>
              <c:strCache>
                <c:ptCount val="1"/>
                <c:pt idx="0">
                  <c:v>预测值</c:v>
                </c:pt>
              </c:strCache>
            </c:strRef>
          </c:tx>
          <c:val>
            <c:numRef>
              <c:f>测试结果误差表!$C$3:$C$14</c:f>
              <c:numCache>
                <c:formatCode>0.0_ </c:formatCode>
                <c:ptCount val="12"/>
                <c:pt idx="0">
                  <c:v>20.5</c:v>
                </c:pt>
                <c:pt idx="1">
                  <c:v>21.9</c:v>
                </c:pt>
                <c:pt idx="2">
                  <c:v>25.1</c:v>
                </c:pt>
                <c:pt idx="3">
                  <c:v>25.8</c:v>
                </c:pt>
                <c:pt idx="4">
                  <c:v>40</c:v>
                </c:pt>
                <c:pt idx="5">
                  <c:v>46.8</c:v>
                </c:pt>
                <c:pt idx="6">
                  <c:v>56.3</c:v>
                </c:pt>
                <c:pt idx="7">
                  <c:v>67</c:v>
                </c:pt>
                <c:pt idx="8">
                  <c:v>71</c:v>
                </c:pt>
                <c:pt idx="9">
                  <c:v>76.5</c:v>
                </c:pt>
                <c:pt idx="10">
                  <c:v>79.7</c:v>
                </c:pt>
                <c:pt idx="1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82944"/>
        <c:axId val="253292928"/>
      </c:lineChart>
      <c:catAx>
        <c:axId val="253282944"/>
        <c:scaling>
          <c:orientation val="minMax"/>
        </c:scaling>
        <c:delete val="0"/>
        <c:axPos val="b"/>
        <c:majorTickMark val="none"/>
        <c:minorTickMark val="none"/>
        <c:tickLblPos val="nextTo"/>
        <c:crossAx val="253292928"/>
        <c:crosses val="autoZero"/>
        <c:auto val="1"/>
        <c:lblAlgn val="ctr"/>
        <c:lblOffset val="100"/>
        <c:noMultiLvlLbl val="0"/>
      </c:catAx>
      <c:valAx>
        <c:axId val="253292928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0.0_ " sourceLinked="1"/>
        <c:majorTickMark val="none"/>
        <c:minorTickMark val="none"/>
        <c:tickLblPos val="nextTo"/>
        <c:crossAx val="253282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16</xdr:row>
      <xdr:rowOff>41909</xdr:rowOff>
    </xdr:from>
    <xdr:to>
      <xdr:col>4</xdr:col>
      <xdr:colOff>428626</xdr:colOff>
      <xdr:row>36</xdr:row>
      <xdr:rowOff>66674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F5" sqref="F5"/>
    </sheetView>
  </sheetViews>
  <sheetFormatPr defaultColWidth="9" defaultRowHeight="13.5" x14ac:dyDescent="0.15"/>
  <cols>
    <col min="1" max="1" width="13.25" customWidth="1"/>
    <col min="4" max="4" width="14.625" customWidth="1"/>
    <col min="5" max="5" width="11" bestFit="1" customWidth="1"/>
  </cols>
  <sheetData>
    <row r="1" spans="1:5" x14ac:dyDescent="0.15">
      <c r="A1" s="3" t="s">
        <v>5</v>
      </c>
      <c r="B1" s="3"/>
      <c r="C1" s="3"/>
      <c r="D1" s="3"/>
      <c r="E1" s="3"/>
    </row>
    <row r="2" spans="1: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15">
      <c r="A3" s="1">
        <v>0</v>
      </c>
      <c r="B3" s="2">
        <v>16.5</v>
      </c>
      <c r="C3" s="2">
        <v>20.5</v>
      </c>
      <c r="D3">
        <f>ABS(B3-C3)</f>
        <v>4</v>
      </c>
      <c r="E3" t="str">
        <f>IF(D3&lt;=B3*10%,"高",IF(D3&gt;B3*10%,"低"))</f>
        <v>低</v>
      </c>
    </row>
    <row r="4" spans="1:5" x14ac:dyDescent="0.15">
      <c r="A4" s="1">
        <v>3</v>
      </c>
      <c r="B4" s="2">
        <v>19.399999999999999</v>
      </c>
      <c r="C4" s="2">
        <v>21.9</v>
      </c>
      <c r="D4">
        <f t="shared" ref="D4:D14" si="0">ABS(B4-C4)</f>
        <v>2.5</v>
      </c>
      <c r="E4" t="str">
        <f t="shared" ref="E4:E14" si="1">IF(D4&lt;=B4*10%,"高",IF(D4&gt;B4*10%,"低"))</f>
        <v>低</v>
      </c>
    </row>
    <row r="5" spans="1:5" x14ac:dyDescent="0.15">
      <c r="A5" s="1">
        <v>7</v>
      </c>
      <c r="B5" s="2">
        <v>25.5</v>
      </c>
      <c r="C5" s="2">
        <v>25.1</v>
      </c>
      <c r="D5">
        <f t="shared" si="0"/>
        <v>0.39999999999999858</v>
      </c>
      <c r="E5" t="str">
        <f t="shared" si="1"/>
        <v>高</v>
      </c>
    </row>
    <row r="6" spans="1:5" x14ac:dyDescent="0.15">
      <c r="A6" s="1">
        <v>10</v>
      </c>
      <c r="B6" s="2">
        <v>27.2</v>
      </c>
      <c r="C6" s="2">
        <v>25.8</v>
      </c>
      <c r="D6">
        <f t="shared" si="0"/>
        <v>1.3999999999999986</v>
      </c>
      <c r="E6" t="str">
        <f t="shared" si="1"/>
        <v>高</v>
      </c>
    </row>
    <row r="7" spans="1:5" x14ac:dyDescent="0.15">
      <c r="A7" s="1">
        <v>12</v>
      </c>
      <c r="B7" s="2">
        <v>38.299999999999997</v>
      </c>
      <c r="C7" s="2">
        <v>40</v>
      </c>
      <c r="D7">
        <f t="shared" si="0"/>
        <v>1.7000000000000028</v>
      </c>
      <c r="E7" t="str">
        <f t="shared" si="1"/>
        <v>高</v>
      </c>
    </row>
    <row r="8" spans="1:5" x14ac:dyDescent="0.15">
      <c r="A8" s="1">
        <v>15</v>
      </c>
      <c r="B8" s="2">
        <v>42.4</v>
      </c>
      <c r="C8" s="2">
        <v>46.8</v>
      </c>
      <c r="D8">
        <f t="shared" si="0"/>
        <v>4.3999999999999986</v>
      </c>
      <c r="E8" t="str">
        <f t="shared" si="1"/>
        <v>低</v>
      </c>
    </row>
    <row r="9" spans="1:5" x14ac:dyDescent="0.15">
      <c r="A9" s="1">
        <v>18</v>
      </c>
      <c r="B9" s="2">
        <v>55.8</v>
      </c>
      <c r="C9" s="2">
        <v>56.3</v>
      </c>
      <c r="D9">
        <f t="shared" si="0"/>
        <v>0.5</v>
      </c>
      <c r="E9" t="str">
        <f t="shared" si="1"/>
        <v>高</v>
      </c>
    </row>
    <row r="10" spans="1:5" x14ac:dyDescent="0.15">
      <c r="A10" s="1">
        <v>21</v>
      </c>
      <c r="B10" s="2">
        <v>67.2</v>
      </c>
      <c r="C10" s="2">
        <v>67</v>
      </c>
      <c r="D10">
        <f t="shared" si="0"/>
        <v>0.20000000000000284</v>
      </c>
      <c r="E10" t="str">
        <f t="shared" si="1"/>
        <v>高</v>
      </c>
    </row>
    <row r="11" spans="1:5" x14ac:dyDescent="0.15">
      <c r="A11" s="1">
        <v>24</v>
      </c>
      <c r="B11" s="2">
        <v>71.8</v>
      </c>
      <c r="C11" s="2">
        <v>71</v>
      </c>
      <c r="D11">
        <f t="shared" si="0"/>
        <v>0.79999999999999716</v>
      </c>
      <c r="E11" t="str">
        <f t="shared" si="1"/>
        <v>高</v>
      </c>
    </row>
    <row r="12" spans="1:5" x14ac:dyDescent="0.15">
      <c r="A12" s="1">
        <v>26</v>
      </c>
      <c r="B12" s="2">
        <v>76</v>
      </c>
      <c r="C12" s="2">
        <v>76.5</v>
      </c>
      <c r="D12">
        <f t="shared" si="0"/>
        <v>0.5</v>
      </c>
      <c r="E12" t="str">
        <f t="shared" si="1"/>
        <v>高</v>
      </c>
    </row>
    <row r="13" spans="1:5" x14ac:dyDescent="0.15">
      <c r="A13" s="1">
        <v>28</v>
      </c>
      <c r="B13" s="2">
        <v>80</v>
      </c>
      <c r="C13" s="2">
        <v>79.7</v>
      </c>
      <c r="D13">
        <f t="shared" si="0"/>
        <v>0.29999999999999716</v>
      </c>
      <c r="E13" t="str">
        <f t="shared" si="1"/>
        <v>高</v>
      </c>
    </row>
    <row r="14" spans="1:5" x14ac:dyDescent="0.15">
      <c r="A14" s="1">
        <v>30</v>
      </c>
      <c r="B14" s="2">
        <v>83.4</v>
      </c>
      <c r="C14" s="2">
        <v>80</v>
      </c>
      <c r="D14">
        <f t="shared" si="0"/>
        <v>3.4000000000000057</v>
      </c>
      <c r="E14" t="str">
        <f t="shared" si="1"/>
        <v>高</v>
      </c>
    </row>
  </sheetData>
  <mergeCells count="1">
    <mergeCell ref="A1:E1"/>
  </mergeCells>
  <phoneticPr fontId="3" type="noConversion"/>
  <conditionalFormatting sqref="A3:C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{3EAE26F1-BEAB-453D-8055-128274F7791C}</x14:id>
        </ext>
      </extLst>
    </cfRule>
  </conditionalFormatting>
  <pageMargins left="0.7" right="0.7" top="0.75" bottom="0.75" header="0.3" footer="0.3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AE26F1-BEAB-453D-8055-128274F779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A3:C14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测试结果误差表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86133</cp:lastModifiedBy>
  <dcterms:created xsi:type="dcterms:W3CDTF">2006-09-16T00:00:00Z</dcterms:created>
  <dcterms:modified xsi:type="dcterms:W3CDTF">2021-10-26T03:35:34Z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
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商品信息" sheetId="4" r:id="rId1"/>
    <sheet name="商品编码" sheetId="5" r:id="rId2"/>
    <sheet name="Sheet3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<sst xmlns="http://schemas.openxmlformats.org/spreadsheetml/2006/main" count="593" uniqueCount="244">
  <si>
    <t>业务类别</t>
  </si>
  <si>
    <t>过帐日期</t>
  </si>
  <si>
    <t>采购凭证</t>
  </si>
  <si>
    <t>商品凭证</t>
  </si>
  <si>
    <t>商品凭证项目</t>
  </si>
  <si>
    <t>商品编码</t>
  </si>
  <si>
    <t>商品名称</t>
  </si>
  <si>
    <t>数量</t>
  </si>
  <si>
    <t>基本计量单位</t>
  </si>
  <si>
    <t>净额</t>
  </si>
  <si>
    <t>税额</t>
  </si>
  <si>
    <t>金额合计</t>
  </si>
  <si>
    <t>税码</t>
  </si>
  <si>
    <t>凭证编号</t>
  </si>
  <si>
    <t>对账单号码</t>
  </si>
  <si>
    <t>采购业务-进货</t>
  </si>
  <si>
    <t>EA</t>
  </si>
  <si>
    <t>J1</t>
  </si>
  <si>
    <r>
      <rPr>
        <sz val="10"/>
        <rFont val="宋体"/>
        <charset val="134"/>
      </rPr>
      <t>厂家直供</t>
    </r>
    <r>
      <rPr>
        <sz val="10"/>
        <rFont val="Arial"/>
        <charset val="134"/>
      </rPr>
      <t>-</t>
    </r>
    <r>
      <rPr>
        <sz val="10"/>
        <rFont val="宋体"/>
        <charset val="134"/>
      </rPr>
      <t>进货</t>
    </r>
  </si>
  <si>
    <t>葱伴侣六月香黄豆酱桶装</t>
  </si>
  <si>
    <t>五谷道场海带排骨面</t>
  </si>
  <si>
    <t>味好美番茄沙司挤挤装</t>
  </si>
  <si>
    <t>卡夫果珍畅享甜橙味固体饮料35g*5</t>
  </si>
  <si>
    <t>康师傅蛋酥卷精品礼盒700g</t>
  </si>
  <si>
    <t>味好美意大利面酱挤挤装</t>
  </si>
  <si>
    <t>李锦记天成一味特级鲜酱油</t>
  </si>
  <si>
    <t>葱伴侣豆瓣酱</t>
  </si>
  <si>
    <t>洽洽好南仁南瓜子茉莉花茶味216g</t>
  </si>
  <si>
    <t>妙卡奥利奥饼干碎融情牛奶巧克力36g</t>
  </si>
  <si>
    <t>欣和葱伴侣黄豆酱</t>
  </si>
  <si>
    <t>奥利奥巧克棒27条奶香巧克力味345.6g</t>
  </si>
  <si>
    <t>洽洽咸香西瓜子</t>
  </si>
  <si>
    <t>奥利奥夹心巧克力味家庭装466g</t>
  </si>
  <si>
    <t>味好美蜜汁排骨40g</t>
  </si>
  <si>
    <t>奥利奥夹心原味349g</t>
  </si>
  <si>
    <t>奥利奥生日蛋糕味夹心饼干194g</t>
  </si>
  <si>
    <t>李锦记番茄沙司挤挤装</t>
  </si>
  <si>
    <t>欣和六月香豆瓣酱</t>
  </si>
  <si>
    <t>味好美研磨瓶黑胡椒粒</t>
  </si>
  <si>
    <t>味好美泰式甜辣酱挤挤装</t>
  </si>
  <si>
    <t>达利园可比克薯片爽口青瓜味105g</t>
  </si>
  <si>
    <t>味好美港式酸辣汤</t>
  </si>
  <si>
    <t>五谷道场优选酸汤老鸭五连包</t>
  </si>
  <si>
    <t>五谷道场酸笋肥牛碗装</t>
  </si>
  <si>
    <t>味好美番茄沙司</t>
  </si>
  <si>
    <t>千年金桔果糕258g</t>
  </si>
  <si>
    <t>甘源酱香烤肉味兰花豆</t>
  </si>
  <si>
    <t>味好美黑椒酱挤挤装</t>
  </si>
  <si>
    <t>金吻榛果威化巧克力 100克</t>
  </si>
  <si>
    <t>金帝珍爱花生夹心巧克力36克</t>
  </si>
  <si>
    <t>李锦记金标生抽</t>
  </si>
  <si>
    <t>卡夫闲趣芝士棒随心装</t>
  </si>
  <si>
    <t>千年猕猴桃糕125g</t>
  </si>
  <si>
    <t>炫迈无糖颗粒口香糖炫动薄荷味</t>
  </si>
  <si>
    <t>奥利奥金装草莓味夹心饼干194g</t>
  </si>
  <si>
    <t>奥利奥冰淇淋夹心香草味97g</t>
  </si>
  <si>
    <t>小康牛肉拌饭酱220g</t>
  </si>
  <si>
    <t>五谷道场酸笋肥牛五连包</t>
  </si>
  <si>
    <t>千年青梅糕258g</t>
  </si>
  <si>
    <t>味好美泰式甜辣酱</t>
  </si>
  <si>
    <t>味好美瓶装白胡椒粉</t>
  </si>
  <si>
    <t>箭牌大大卷切切乐蜜瓜味</t>
  </si>
  <si>
    <t>味好美香茄沙司挤挤装</t>
  </si>
  <si>
    <t>甘源鱼骨酥香豆果</t>
  </si>
  <si>
    <t>绿箭单条装</t>
  </si>
  <si>
    <t>奥利奥巧克棒27条提拉米苏味345.6g</t>
  </si>
  <si>
    <t>李锦记精选老抽</t>
  </si>
  <si>
    <t>奥利奥缤纷双果味夹心饼干甜橙味+芒果味194g</t>
  </si>
  <si>
    <t>味好美香辣鸡翅30g微波炉调料</t>
  </si>
  <si>
    <t>清至54g*2清爽蜜瓜味清香蓝莓味无糖口香糖</t>
  </si>
  <si>
    <t>奥利奥夹心巧克力味233g</t>
  </si>
  <si>
    <t>金帝珍爱花生夹心巧克力608克</t>
  </si>
  <si>
    <t>郎酒五星贵宾郎42度500ml/盒</t>
  </si>
  <si>
    <t>炫迈无糖颗粒口香糖酸甜草莓味</t>
  </si>
  <si>
    <t>奥利奥夹心巧克力味349g</t>
  </si>
  <si>
    <t>五谷道场麦香红烧牛肉五连包</t>
  </si>
  <si>
    <t>甘源鲜虾味虾条豆果</t>
  </si>
  <si>
    <t>欣和葱伴侣六月香豆瓣酱</t>
  </si>
  <si>
    <t>古龙香辣沙丁鱼罐头</t>
  </si>
  <si>
    <t>奥利奥黑白巧克力味夹心饼干388g</t>
  </si>
  <si>
    <t>甘源综合豆果B套餐</t>
  </si>
  <si>
    <t>郎酒红心如意郎42度500ml</t>
  </si>
  <si>
    <t>李锦记锦珍老抽</t>
  </si>
  <si>
    <t>奥利奥夹心轻甜味家庭装466g</t>
  </si>
  <si>
    <t>千年南酸枣糕75g</t>
  </si>
  <si>
    <t>古龙黄花鱼原味120g</t>
  </si>
  <si>
    <t>奥利奥缤纷双果味夹心饼干甜橙味+芒果味388g</t>
  </si>
  <si>
    <t>甘源综合果仁B套餐</t>
  </si>
  <si>
    <t>奥利奥巧克棒27条摩卡咖啡味345.6g</t>
  </si>
  <si>
    <t>达利园瑞士卷18枚橙汁味360g</t>
  </si>
  <si>
    <t>奥利奥夹心轻甜味233g</t>
  </si>
  <si>
    <t>李锦记蒸鱼豉油</t>
  </si>
  <si>
    <t>味好美瓶装黑胡椒粉</t>
  </si>
  <si>
    <t>达利园派蛋黄味650g</t>
  </si>
  <si>
    <t>味好美花椒粉</t>
  </si>
  <si>
    <t>甘源台式卤肉味兰花豆</t>
  </si>
  <si>
    <t>105g可比克超值分享装</t>
  </si>
  <si>
    <t>炫迈水蜜西瓜味双盒超值装无糖口香糖100.8g</t>
  </si>
  <si>
    <t>味好美BBQ烧烤酱挤挤装</t>
  </si>
  <si>
    <t>奥利奥缤纷双果味夹心饼干蓝莓味+树莓味388g</t>
  </si>
  <si>
    <t>200g古币纯芝麻酱</t>
  </si>
  <si>
    <t>洽洽喜悦礼盒970g</t>
  </si>
  <si>
    <t>六月香特级原汁酱油</t>
  </si>
  <si>
    <t>甘源综合果仁A套餐</t>
  </si>
  <si>
    <t>洽洽西瓜子咸香味128g</t>
  </si>
  <si>
    <t>奥利奥冰淇淋夹心香草味家庭装388g</t>
  </si>
  <si>
    <t>奥利奥冰淇淋夹心香草味194g</t>
  </si>
  <si>
    <t>古龙橄榄菜170g</t>
  </si>
  <si>
    <t>奥利奥缤纷双果味夹心饼干蓝莓味+树莓味194g</t>
  </si>
  <si>
    <t>蒙古情果味硬糖290g</t>
  </si>
  <si>
    <t>李锦记鲜香红烧酿造酱油</t>
  </si>
  <si>
    <t>洽洽甘草西瓜子500g</t>
  </si>
  <si>
    <t>每日生机香葱梳打饼360g</t>
  </si>
  <si>
    <t>古龙香辣茄汁沙丁鱼</t>
  </si>
  <si>
    <t>炫迈酸甜草莓味28片无糖口香糖50.4g</t>
  </si>
  <si>
    <t>李锦记精选生抽</t>
  </si>
  <si>
    <t>甘源综合果仁C套餐</t>
  </si>
  <si>
    <t>卡夫闲趣苏心卷芝士口味盒装</t>
  </si>
  <si>
    <t>奥利奥金装巧克力味夹心饼干97g</t>
  </si>
  <si>
    <t>金吻榛果威化巧克力200g</t>
  </si>
  <si>
    <t>卡夫闲趣芝士棒家庭装</t>
  </si>
  <si>
    <t>李锦记草菇老抽</t>
  </si>
  <si>
    <t>古龙豆豉鲭鱼227g</t>
  </si>
  <si>
    <t>味好美鱼香肉丝调料</t>
  </si>
  <si>
    <t>乐事无限组合装薯片104g*2</t>
  </si>
  <si>
    <t>奥利奥巧轻脆薄片夹心柠檬芝士蛋糕味285g</t>
  </si>
  <si>
    <t>甘源综合豆果A套餐</t>
  </si>
  <si>
    <t>古龙优质午餐肉</t>
  </si>
  <si>
    <t>洽洽坚果炒货食品看球分享包700g</t>
  </si>
  <si>
    <t>奥利奥缤纷双果味夹心饼干甜橙味+芒果味97g</t>
  </si>
  <si>
    <t>古龙橄榄菜425g</t>
  </si>
  <si>
    <t>味好美咖喱鸡调料</t>
  </si>
  <si>
    <t>味好美花椒</t>
  </si>
  <si>
    <t>奥利奥夹心原味116g</t>
  </si>
  <si>
    <t>洽洽组合装308g</t>
  </si>
  <si>
    <t>300g六月香蒜肉豆瓣酱</t>
  </si>
  <si>
    <t>李锦记锦珍生抽</t>
  </si>
  <si>
    <t>五谷道场 咖喱牛肉面96g</t>
  </si>
  <si>
    <t>味好美蒙特利尔牛排调料</t>
  </si>
  <si>
    <t>奥利奥缤纷双果味夹心饼干蓝莓味+树莓味97g</t>
  </si>
  <si>
    <t>奥利奥巧轻脆薄片夹心清新草莓酸奶味285g</t>
  </si>
  <si>
    <t>奥利奥夹心原味233g</t>
  </si>
  <si>
    <t>奥利奥冰淇淋夹心绿茶味97g</t>
  </si>
  <si>
    <t>妙卡奥利奥饼干碎融情牛奶巧克力234g</t>
  </si>
  <si>
    <t>菓珍妙趣菠萝味风味固体饮料35克</t>
  </si>
  <si>
    <t>奥利奥巧轻脆薄片夹心柔滑香草慕斯味95g</t>
  </si>
  <si>
    <t>洽洽椒盐瓜子100g</t>
  </si>
  <si>
    <t>古龙香辣黄花鱼120g</t>
  </si>
  <si>
    <t>奥利奥夹心草莓味233g</t>
  </si>
  <si>
    <t>五谷道场剁椒鱼头五连包</t>
  </si>
  <si>
    <t>欣和葱伴侣豆瓣酱</t>
  </si>
  <si>
    <t>奥利奥夹心巧克力味116g</t>
  </si>
  <si>
    <t>奥利奥金装巧克力味夹心饼干388g</t>
  </si>
  <si>
    <t>欣和伴侣酱油</t>
  </si>
  <si>
    <t>奥利奥缤纷双果味夹心饼干水晶葡萄味+水蜜桃味388g</t>
  </si>
  <si>
    <t>甘源香辣花生</t>
  </si>
  <si>
    <t>甘源多味花生</t>
  </si>
  <si>
    <t>五谷道场缤纷五味面552g</t>
  </si>
  <si>
    <t>奥利奥生日蛋糕味夹心饼干388g</t>
  </si>
  <si>
    <t>趣多多清脆曲奇饼干</t>
  </si>
  <si>
    <t>奥利奥冰淇淋夹心绿茶味家庭装388g</t>
  </si>
  <si>
    <t>奥利奥巧轻脆薄片夹心浓情提拉米苏味95g</t>
  </si>
  <si>
    <t>奥利奥金装草莓味夹心饼干97g</t>
  </si>
  <si>
    <t>奥利奥巧克棒27条巧克力味345.6g</t>
  </si>
  <si>
    <t>奥利奥巧轻脆薄片夹心柠檬芝士蛋糕味95g</t>
  </si>
  <si>
    <t>欣和六月鲜酱油</t>
  </si>
  <si>
    <t>洽洽甘草西瓜子1Kg</t>
  </si>
  <si>
    <t>味好美孜然粉</t>
  </si>
  <si>
    <t>奥利奥黑白巧克力味夹心饼干97g</t>
  </si>
  <si>
    <t>李锦记泰式甜辣酱</t>
  </si>
  <si>
    <t>奥利奥巧轻脆薄片夹心浓情提拉米苏味285g</t>
  </si>
  <si>
    <t>五谷道场骨汤番茄牛腩五连包</t>
  </si>
  <si>
    <t>卡夫太平梳打奶盐</t>
  </si>
  <si>
    <t>奥利奥金装巧克力味夹心饼干194g</t>
  </si>
  <si>
    <t>奥利奥巧轻脆薄片夹心柔滑香草慕斯味285g</t>
  </si>
  <si>
    <t>古龙鲭鱼罐头</t>
  </si>
  <si>
    <t>奥利奥夹心轻甜味116g</t>
  </si>
  <si>
    <t>洽洽好南仁南瓜子盐焗味216g</t>
  </si>
  <si>
    <t>甘源烤肉味虾条豆果</t>
  </si>
  <si>
    <t>五谷道场优选红烧牛肉五连包</t>
  </si>
  <si>
    <t>金帝珍爱花生夹心巧克力144克</t>
  </si>
  <si>
    <t>奥利奥缤纷双果味夹心饼干水晶葡萄味+水蜜桃味97g</t>
  </si>
  <si>
    <t>可比克爽口青瓜味薯片</t>
  </si>
  <si>
    <t>奥利奥生日蛋糕味夹心饼干97g</t>
  </si>
  <si>
    <t>吉利火星爆米花海苔味150g</t>
  </si>
  <si>
    <t>妙卡奥利奥饼干碎醇乳夹心融情牛奶巧克力34.2g</t>
  </si>
  <si>
    <t>欣和黄豆酱</t>
  </si>
  <si>
    <t>洽洽蜂蜜黄油味瓜子</t>
  </si>
  <si>
    <t>千年南酸枣糕258g</t>
  </si>
  <si>
    <t>炫迈无糖颗粒口香糖水蜜西瓜味</t>
  </si>
  <si>
    <t>乐事香浓芝士味薯片</t>
  </si>
  <si>
    <t>炫迈炫动薄荷味双盒超值装无糖口香糖100.8g</t>
  </si>
  <si>
    <t>小康牛肉酱（香辣味）175g</t>
  </si>
  <si>
    <t>原始雨林一個芒果果汁饮料255ml</t>
  </si>
  <si>
    <t>味好美鸡蓉粟米羹</t>
  </si>
  <si>
    <t>奥利奥缤纷双果味夹心饼干水晶葡萄味+水蜜桃味194g</t>
  </si>
  <si>
    <t>古龙茄汁沙丁鱼</t>
  </si>
  <si>
    <t>奥利奥零食畅享装</t>
  </si>
  <si>
    <t>卡夫果珍妙趣菠萝味固体饮料35g*5</t>
  </si>
  <si>
    <t>金吻榛果威化巧克力25g</t>
  </si>
  <si>
    <t>妙卡奥利奥饼干碎醇乳夹心融情牛奶巧克力234g</t>
  </si>
  <si>
    <t>洽洽椒盐西瓜子</t>
  </si>
  <si>
    <t>洽洽好南仁南瓜子奶香红茶味216g</t>
  </si>
  <si>
    <t>奥利奥夹心草莓味116g</t>
  </si>
  <si>
    <t>欣和味达美味极鲜酱油1L</t>
  </si>
  <si>
    <t>奥利奥金草莓味夹心饼干388g</t>
  </si>
  <si>
    <t>奥利奥夹心原味家庭装466g</t>
  </si>
  <si>
    <t>郎酒五星嘉宾郎38度500ml</t>
  </si>
  <si>
    <t>奥利奥冰淇淋夹心绿茶味194g</t>
  </si>
  <si>
    <t>味好美黑胡椒粉</t>
  </si>
  <si>
    <t>美滋滋榛仁脆心巧克力648克</t>
  </si>
  <si>
    <t>奥利奥夹心草莓味349g</t>
  </si>
  <si>
    <t>卡夫太平梳打香葱味</t>
  </si>
  <si>
    <t>奥利奥黑白巧克力味夹心饼干194g</t>
  </si>
  <si>
    <t>千年锥栗糕125g</t>
  </si>
  <si>
    <t>金吻珍藏巧克力礼盒400g</t>
  </si>
  <si>
    <t>原始雨林一瓶好芒1.5L</t>
  </si>
  <si>
    <t>精选夹心巧克力612g</t>
  </si>
  <si>
    <t>千年南酸枣糕125g</t>
  </si>
  <si>
    <t>妙卡奥利奥饼干碎融情牛奶巧克力78g</t>
  </si>
  <si>
    <t>甘源综合豆果C套餐</t>
  </si>
  <si>
    <t>乐事大波浪薯片（芝士焗培根味）</t>
  </si>
  <si>
    <t>奥利奥夹心草莓味家庭装466g</t>
  </si>
  <si>
    <t>妙卡奥利奥饼干碎醇乳夹心融情牛奶巧克力76.8g</t>
  </si>
  <si>
    <t>洽洽原味瓜子</t>
  </si>
  <si>
    <t>洽洽好南仁南瓜子草本味144g</t>
  </si>
  <si>
    <t>味好美白胡椒粉</t>
  </si>
  <si>
    <t>五谷道场骨汤豉汁辣排骨五连包</t>
  </si>
  <si>
    <t>菓珍畅享甜橙味风味固体饮料35克</t>
  </si>
  <si>
    <t>洽洽咖啡味瓜子</t>
  </si>
  <si>
    <t>奥利奥巧轻脆薄片夹心清新草莓酸奶味95g</t>
  </si>
  <si>
    <t>古龙午餐肉</t>
  </si>
  <si>
    <t>总数量</t>
  </si>
  <si>
    <t>占比</t>
  </si>
  <si>
    <t>欣和</t>
  </si>
  <si>
    <t>李锦记</t>
  </si>
  <si>
    <t>味好美</t>
  </si>
  <si>
    <t>古龙</t>
  </si>
  <si>
    <t>五谷道场</t>
  </si>
  <si>
    <t>300g六月香</t>
  </si>
  <si>
    <t>六月香</t>
  </si>
  <si>
    <t>求和项:金额合计</t>
  </si>
  <si>
    <t>厂家直供-进货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</si>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</sst>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8" tint="-0.5"/>
      </left>
      <right style="thin">
        <color theme="8" tint="0.4"/>
      </right>
      <top style="thin">
        <color theme="8" tint="-0.5"/>
      </top>
      <bottom style="thin">
        <color theme="8" tint="0.4"/>
      </bottom>
      <diagonal/>
    </border>
    <border>
      <left style="thin">
        <color theme="8" tint="0.4"/>
      </left>
      <right style="thin">
        <color theme="8" tint="0.4"/>
      </right>
      <top style="thin">
        <color theme="8" tint="-0.5"/>
      </top>
      <bottom style="thin">
        <color theme="8" tint="0.4"/>
      </bottom>
      <diagonal/>
    </border>
    <border>
      <left style="thin">
        <color theme="8" tint="-0.5"/>
      </left>
      <right style="thin">
        <color theme="8" tint="0.4"/>
      </right>
      <top style="thin">
        <color theme="8" tint="0.4"/>
      </top>
      <bottom style="thin">
        <color theme="8" tint="0.4"/>
      </bottom>
      <diagonal/>
    </border>
    <border>
      <left style="thin">
        <color theme="8" tint="0.4"/>
      </left>
      <right style="thin">
        <color theme="8" tint="0.4"/>
      </right>
      <top style="thin">
        <color theme="8" tint="0.4"/>
      </top>
      <bottom style="thin">
        <color theme="8" tint="0.4"/>
      </bottom>
      <diagonal/>
    </border>
    <border>
      <left style="thin">
        <color theme="8" tint="0.4"/>
      </left>
      <right style="thin">
        <color theme="8" tint="-0.5"/>
      </right>
      <top style="thin">
        <color theme="8" tint="-0.5"/>
      </top>
      <bottom style="thin">
        <color theme="8" tint="0.4"/>
      </bottom>
      <diagonal/>
    </border>
    <border>
      <left style="thin">
        <color theme="8" tint="0.4"/>
      </left>
      <right style="thin">
        <color theme="8" tint="-0.5"/>
      </right>
      <top style="thin">
        <color theme="8" tint="0.4"/>
      </top>
      <bottom style="thin">
        <color theme="8" tint="0.4"/>
      </bottom>
      <diagonal/>
    </border>
    <border>
      <left style="thin">
        <color theme="8" tint="-0.5"/>
      </left>
      <right style="thin">
        <color theme="8" tint="0.4"/>
      </right>
      <top style="thin">
        <color theme="8" tint="0.4"/>
      </top>
      <bottom style="thin">
        <color theme="8" tint="-0.5"/>
      </bottom>
      <diagonal/>
    </border>
    <border>
      <left style="thin">
        <color theme="8" tint="0.4"/>
      </left>
      <right style="thin">
        <color theme="8" tint="0.4"/>
      </right>
      <top style="thin">
        <color theme="8" tint="0.4"/>
      </top>
      <bottom style="thin">
        <color theme="8" tint="-0.5"/>
      </bottom>
      <diagonal/>
    </border>
    <border>
      <left style="thin">
        <color theme="8" tint="0.4"/>
      </left>
      <right style="thin">
        <color theme="8" tint="-0.5"/>
      </right>
      <top style="thin">
        <color theme="8" tint="0.4"/>
      </top>
      <bottom style="thin">
        <color theme="8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0"/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7" fontId="0" fillId="0" borderId="0" xfId="0" applyNumberFormat="1">
      <alignment vertical="center"/>
    </xf>
    <xf numFmtId="0" fontId="0" fillId="0" borderId="0" xfId="0" applyNumberFormat="1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1" fillId="0" borderId="0" xfId="49" applyNumberFormat="1" applyFont="1" applyBorder="1" applyAlignment="1">
      <alignment horizontal="left" vertical="top"/>
    </xf>
    <xf numFmtId="0" fontId="1" fillId="0" borderId="0" xfId="49" applyFont="1" applyBorder="1" applyAlignment="1">
      <alignment vertical="top"/>
    </xf>
    <xf numFmtId="0" fontId="1" fillId="0" borderId="0" xfId="49" applyNumberFormat="1" applyFont="1" applyFill="1" applyBorder="1" applyAlignment="1">
      <alignment horizontal="left" vertical="top"/>
    </xf>
    <xf numFmtId="0" fontId="1" fillId="0" borderId="0" xfId="49" applyFont="1" applyFill="1" applyBorder="1" applyAlignment="1">
      <alignment vertical="top"/>
    </xf>
    <xf numFmtId="0" fontId="0" fillId="0" borderId="0" xfId="49" applyNumberFormat="1" applyFont="1" applyFill="1" applyBorder="1" applyAlignment="1">
      <alignment horizontal="left"/>
    </xf>
    <xf numFmtId="0" fontId="0" fillId="0" borderId="0" xfId="49" applyFont="1" applyFill="1" applyBorder="1" applyAlignment="1">
      <alignment horizontal="left"/>
    </xf>
    <xf numFmtId="0" fontId="1" fillId="0" borderId="0" xfId="49" applyNumberFormat="1" applyFont="1" applyFill="1" applyBorder="1" applyAlignment="1">
      <alignment horizontal="left"/>
    </xf>
    <xf numFmtId="0" fontId="1" fillId="0" borderId="0" xfId="49" applyFont="1" applyFill="1" applyBorder="1" applyAlignment="1">
      <alignment horizontal="left"/>
    </xf>
    <xf numFmtId="0" fontId="1" fillId="0" borderId="0" xfId="49" applyFont="1" applyFill="1" applyBorder="1" applyAlignment="1"/>
    <xf numFmtId="0" fontId="0" fillId="0" borderId="0" xfId="0" applyBorder="1">
      <alignment vertical="center"/>
    </xf>
    <xf numFmtId="0" fontId="0" fillId="0" borderId="0" xfId="0" applyNumberFormat="1" applyBorder="1">
      <alignment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3" fillId="0" borderId="3" xfId="49" applyBorder="1" applyAlignment="1">
      <alignment horizontal="center" vertical="center"/>
    </xf>
    <xf numFmtId="176" fontId="3" fillId="0" borderId="4" xfId="49" applyNumberFormat="1" applyBorder="1" applyAlignment="1">
      <alignment horizontal="center" vertical="center"/>
    </xf>
    <xf numFmtId="0" fontId="3" fillId="0" borderId="4" xfId="49" applyNumberFormat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1" fontId="3" fillId="0" borderId="4" xfId="49" applyNumberFormat="1" applyBorder="1" applyAlignment="1">
      <alignment horizontal="center" vertical="center"/>
    </xf>
    <xf numFmtId="0" fontId="4" fillId="0" borderId="3" xfId="49" applyFont="1" applyBorder="1" applyAlignment="1">
      <alignment horizontal="center" vertical="center"/>
    </xf>
    <xf numFmtId="0" fontId="2" fillId="2" borderId="5" xfId="49" applyFont="1" applyFill="1" applyBorder="1" applyAlignment="1">
      <alignment horizontal="center" vertical="center"/>
    </xf>
    <xf numFmtId="0" fontId="3" fillId="0" borderId="4" xfId="49" applyBorder="1" applyAlignment="1">
      <alignment horizontal="center" vertical="center"/>
    </xf>
    <xf numFmtId="7" fontId="3" fillId="0" borderId="4" xfId="49" applyNumberFormat="1" applyBorder="1" applyAlignment="1">
      <alignment horizontal="center" vertical="center"/>
    </xf>
    <xf numFmtId="0" fontId="3" fillId="0" borderId="6" xfId="49" applyNumberFormat="1" applyBorder="1" applyAlignment="1">
      <alignment horizontal="center" vertical="center"/>
    </xf>
    <xf numFmtId="0" fontId="4" fillId="0" borderId="7" xfId="49" applyFont="1" applyBorder="1" applyAlignment="1">
      <alignment horizontal="center" vertical="center"/>
    </xf>
    <xf numFmtId="176" fontId="3" fillId="0" borderId="8" xfId="49" applyNumberFormat="1" applyBorder="1" applyAlignment="1">
      <alignment horizontal="center" vertical="center"/>
    </xf>
    <xf numFmtId="0" fontId="3" fillId="0" borderId="8" xfId="49" applyNumberFormat="1" applyBorder="1" applyAlignment="1">
      <alignment horizontal="center" vertical="center"/>
    </xf>
    <xf numFmtId="0" fontId="3" fillId="0" borderId="8" xfId="49" applyFont="1" applyBorder="1" applyAlignment="1">
      <alignment horizontal="center" vertical="center"/>
    </xf>
    <xf numFmtId="1" fontId="3" fillId="0" borderId="8" xfId="49" applyNumberFormat="1" applyBorder="1" applyAlignment="1">
      <alignment horizontal="center" vertical="center"/>
    </xf>
    <xf numFmtId="0" fontId="3" fillId="0" borderId="8" xfId="49" applyBorder="1" applyAlignment="1">
      <alignment horizontal="center" vertical="center"/>
    </xf>
    <xf numFmtId="7" fontId="3" fillId="0" borderId="8" xfId="49" applyNumberFormat="1" applyBorder="1" applyAlignment="1">
      <alignment horizontal="center" vertical="center"/>
    </xf>
    <xf numFmtId="0" fontId="3" fillId="0" borderId="9" xfId="49" applyNumberForma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numFmt numFmtId="7" formatCode="&quot;￥&quot;#,##0.00;&quot;￥&quot;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各品牌总占比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Sheet3!$C$1</c:f>
              <c:strCache>
                <c:ptCount val="1"/>
                <c:pt idx="0">
                  <c:v>占比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Sheet3!$A$2:$A$8</c:f>
              <c:strCache>
                <c:ptCount val="7"/>
                <c:pt idx="0">
                  <c:v>欣和</c:v>
                </c:pt>
                <c:pt idx="1">
                  <c:v>李锦记</c:v>
                </c:pt>
                <c:pt idx="2">
                  <c:v>味好美</c:v>
                </c:pt>
                <c:pt idx="3">
                  <c:v>古龙</c:v>
                </c:pt>
                <c:pt idx="4">
                  <c:v>五谷道场</c:v>
                </c:pt>
                <c:pt idx="5">
                  <c:v>300g六月香</c:v>
                </c:pt>
                <c:pt idx="6">
                  <c:v>六月香</c:v>
                </c:pt>
              </c:strCache>
            </c:strRef>
          </c:cat>
          <c:val>
            <c:numRef>
              <c:f>Sheet3!$C$2:$C$8</c:f>
              <c:numCache>
                <c:formatCode>0.00%</c:formatCode>
                <c:ptCount val="7"/>
                <c:pt idx="0">
                  <c:v>0.11017325633052</c:v>
                </c:pt>
                <c:pt idx="1">
                  <c:v>0.143047534429143</c:v>
                </c:pt>
                <c:pt idx="2">
                  <c:v>0.493558418480675</c:v>
                </c:pt>
                <c:pt idx="3">
                  <c:v>0.0906263882718792</c:v>
                </c:pt>
                <c:pt idx="4">
                  <c:v>0.0852954242558863</c:v>
                </c:pt>
                <c:pt idx="5">
                  <c:v>0.0106619280319858</c:v>
                </c:pt>
                <c:pt idx="6">
                  <c:v>0.00533096401599289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>
      <cs:styleClr val="auto"/>
    </cs:effectRef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193675</xdr:colOff>
      <xdr:row>9</xdr:row>
      <xdr:rowOff>22225</xdr:rowOff>
    </xdr:from>
    <xdr:to>
      <xdr:col>6</xdr:col>
      <xdr:colOff>133350</xdr:colOff>
      <xdr:row>25</xdr:row>
      <xdr:rowOff>22225</xdr:rowOff>
    </xdr:to>
    <xdr:graphicFrame>
      <xdr:nvGraphicFramePr>
        <xdr:cNvPr id="2" name="图表 1"/>
        <xdr:cNvGraphicFramePr/>
      </xdr:nvGraphicFramePr>
      <xdr:xfrm>
        <a:off x="193675" y="1565275"/>
        <a:ext cx="49403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7.6567013889" refreshedBy="25472" recordCount="99">
  <cacheSource type="worksheet">
    <worksheetSource ref="A1:O100" sheet="商品信息"/>
  </cacheSource>
  <cacheFields count="15">
    <cacheField name="业务类别" numFmtId="0">
      <sharedItems count="2">
        <s v="采购业务-进货"/>
        <s v="厂家直供-进货"/>
      </sharedItems>
    </cacheField>
    <cacheField name="过帐日期" numFmtId="14">
      <sharedItems containsSemiMixedTypes="0" containsString="0" containsNonDate="0" containsDate="1" minDate="2018-11-03T00:00:00" maxDate="2018-11-08T00:00:00" count="6">
        <d v="2018-11-03T00:00:00"/>
        <d v="2018-11-04T00:00:00"/>
        <d v="2018-11-05T00:00:00"/>
        <d v="2018-11-06T00:00:00"/>
        <d v="2018-11-07T00:00:00"/>
        <d v="2018-11-08T00:00:00"/>
      </sharedItems>
    </cacheField>
    <cacheField name="采购凭证" numFmtId="0">
      <sharedItems containsSemiMixedTypes="0" containsString="0" containsNumber="1" containsInteger="1" minValue="0" maxValue="4501395847" count="8">
        <n v="4501390726"/>
        <n v="4501391586"/>
        <n v="4501392162"/>
        <n v="4501391612"/>
        <n v="4501392671"/>
        <n v="4501395443"/>
        <n v="4501395847"/>
        <n v="4501390348"/>
      </sharedItems>
    </cacheField>
    <cacheField name="商品凭证" numFmtId="0">
      <sharedItems containsSemiMixedTypes="0" containsString="0" containsNumber="1" containsInteger="1" minValue="0" maxValue="5001259402" count="8">
        <n v="5001256749"/>
        <n v="5001256894"/>
        <n v="5001256739"/>
        <n v="5001258394"/>
        <n v="5001258533"/>
        <n v="5001258836"/>
        <n v="5001258534"/>
        <n v="5001259402"/>
      </sharedItems>
    </cacheField>
    <cacheField name="商品凭证项目" numFmtId="0">
      <sharedItems containsSemiMixedTypes="0" containsString="0" containsNumber="1" containsInteger="1" minValue="0" maxValue="28" count="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</sharedItems>
    </cacheField>
    <cacheField name="商品编码" numFmtId="0">
      <sharedItems containsSemiMixedTypes="0" containsString="0" containsNumber="1" containsInteger="1" minValue="0" maxValue="11105211" count="63">
        <n v="11088351"/>
        <n v="10013885"/>
        <n v="10013888"/>
        <n v="10200617"/>
        <n v="10013642"/>
        <n v="10205020"/>
        <n v="10200612"/>
        <n v="10597317"/>
        <n v="10621681"/>
        <n v="10268636"/>
        <n v="10270752"/>
        <n v="10268626"/>
        <n v="10203970"/>
        <n v="10013646"/>
        <n v="10205017"/>
        <n v="10013641"/>
        <n v="10270753"/>
        <n v="11001435"/>
        <n v="11032872"/>
        <n v="10295540"/>
        <n v="10270769"/>
        <n v="10013890"/>
        <n v="10013894"/>
        <n v="10013983"/>
        <n v="10014014"/>
        <n v="10268620"/>
        <n v="10268646"/>
        <n v="10268580"/>
        <n v="10269843"/>
        <n v="11096854"/>
        <n v="10200915"/>
        <n v="10200922"/>
        <n v="10200928"/>
        <n v="10200925"/>
        <n v="10200917"/>
        <n v="10200919"/>
        <n v="10268575"/>
        <n v="10268583"/>
        <n v="10596869"/>
        <n v="11096853"/>
        <n v="10033733"/>
        <n v="10200646"/>
        <n v="10200606"/>
        <n v="10269844"/>
        <n v="10200615"/>
        <n v="10200633"/>
        <n v="10200634"/>
        <n v="10200923"/>
        <n v="10200929"/>
        <n v="10205022"/>
        <n v="10268582"/>
        <n v="10270321"/>
        <n v="10270683"/>
        <n v="10271051"/>
        <n v="10271112"/>
        <n v="11001432"/>
        <n v="11105211"/>
        <n v="10014074"/>
        <n v="10271052"/>
        <n v="10200930"/>
        <n v="10269849"/>
        <n v="10270644"/>
        <n v="10205023"/>
      </sharedItems>
    </cacheField>
    <cacheField name="商品名称" numFmtId="0">
      <sharedItems count="58">
        <s v="欣和黄豆酱"/>
        <s v="李锦记草菇老抽"/>
        <s v="李锦记泰式甜辣酱"/>
        <s v="欣和六月香豆瓣酱"/>
        <s v="味好美瓶装黑胡椒粉"/>
        <s v="古龙鲭鱼罐头"/>
        <s v="欣和伴侣酱油"/>
        <s v="葱伴侣六月香黄豆酱桶装"/>
        <s v="古龙香辣茄汁沙丁鱼"/>
        <s v="味好美研磨瓶黑胡椒粒"/>
        <s v="味好美番茄沙司"/>
        <s v="味好美鱼香肉丝调料"/>
        <s v="古龙茄汁沙丁鱼"/>
        <s v="味好美泰式甜辣酱"/>
        <s v="古龙香辣沙丁鱼罐头"/>
        <s v="味好美瓶装白胡椒粉"/>
        <s v="味好美番茄沙司挤挤装"/>
        <s v="味好美蒙特利尔牛排调料"/>
        <s v="味好美香茄沙司挤挤装"/>
        <s v="李锦记蒸鱼豉油"/>
        <s v="李锦记精选老抽"/>
        <s v="李锦记金标生抽"/>
        <s v="李锦记番茄沙司挤挤装"/>
        <s v="李锦记锦珍生抽"/>
        <s v="李锦记精选生抽"/>
        <s v="味好美鸡蓉粟米羹"/>
        <s v="味好美港式酸辣汤"/>
        <s v="味好美孜然粉"/>
        <s v="味好美意大利面酱挤挤装"/>
        <s v="五谷道场海带排骨面"/>
        <s v="五谷道场优选红烧牛肉五连包"/>
        <s v="五谷道场酸笋肥牛五连包"/>
        <s v="五谷道场麦香红烧牛肉五连包"/>
        <s v="五谷道场骨汤豉汁辣排骨五连包"/>
        <s v="五谷道场骨汤番茄牛腩五连包"/>
        <s v="味好美花椒粉"/>
        <s v="味好美黑胡椒粉"/>
        <s v="味好美咖喱鸡调料"/>
        <s v="味好美黑椒酱挤挤装"/>
        <s v="六月香特级原汁酱油"/>
        <s v="300g六月香蒜肉豆瓣酱"/>
        <s v="欣和葱伴侣六月香豆瓣酱"/>
        <s v="葱伴侣豆瓣酱"/>
        <s v="欣和六月鲜酱油"/>
        <s v="五谷道场优选酸汤老鸭五连包"/>
        <s v="五谷道场剁椒鱼头五连包"/>
        <s v="古龙午餐肉"/>
        <s v="味好美白胡椒粉"/>
        <s v="李锦记天成一味特级鲜酱油"/>
        <s v="李锦记鲜香红烧酿造酱油"/>
        <s v="李锦记锦珍老抽"/>
        <s v="欣和葱伴侣豆瓣酱"/>
        <s v="味好美泰式甜辣酱挤挤装"/>
        <s v="味好美香辣鸡翅30g微波炉调料"/>
        <s v="五谷道场酸笋肥牛碗装"/>
        <s v="欣和葱伴侣黄豆酱"/>
        <s v="味好美花椒"/>
        <s v="古龙优质午餐肉"/>
      </sharedItems>
    </cacheField>
    <cacheField name="数量" numFmtId="1">
      <sharedItems containsSemiMixedTypes="0" containsString="0" containsNumber="1" containsInteger="1" minValue="0" maxValue="120" count="14">
        <n v="6"/>
        <n v="12"/>
        <n v="24"/>
        <n v="15"/>
        <n v="72"/>
        <n v="26"/>
        <n v="48"/>
        <n v="36"/>
        <n v="60"/>
        <n v="50"/>
        <n v="4"/>
        <n v="20"/>
        <n v="30"/>
        <n v="120"/>
      </sharedItems>
    </cacheField>
    <cacheField name="基本计量单位" numFmtId="0">
      <sharedItems count="1">
        <s v="EA"/>
      </sharedItems>
    </cacheField>
    <cacheField name="净额" numFmtId="0">
      <sharedItems containsSemiMixedTypes="0" containsString="0" containsNumber="1" minValue="0" maxValue="964.1" count="71">
        <n v="45.64"/>
        <n v="63.59"/>
        <n v="109.85"/>
        <n v="97.44"/>
        <n v="109.74"/>
        <n v="93.33"/>
        <n v="132.82"/>
        <n v="110.26"/>
        <n v="293.33"/>
        <n v="60.51"/>
        <n v="33.33"/>
        <n v="82.05"/>
        <n v="75.9"/>
        <n v="117.95"/>
        <n v="387.69"/>
        <n v="33.13"/>
        <n v="73.85"/>
        <n v="160"/>
        <n v="101.54"/>
        <n v="57.44"/>
        <n v="86.15"/>
        <n v="71.79"/>
        <n v="59.49"/>
        <n v="35.56"/>
        <n v="235.9"/>
        <n v="53.33"/>
        <n v="118.97"/>
        <n v="129.23"/>
        <n v="197.44"/>
        <n v="137.44"/>
        <n v="197.95"/>
        <n v="136.41"/>
        <n v="155.9"/>
        <n v="178.46"/>
        <n v="219.49"/>
        <n v="586.67"/>
        <n v="66.26"/>
        <n v="172.31"/>
        <n v="217.44"/>
        <n v="265.64"/>
        <n v="220.51"/>
        <n v="158.97"/>
        <n v="66.67"/>
        <n v="237.95"/>
        <n v="164.1"/>
        <n v="153.85"/>
        <n v="202.05"/>
        <n v="142.56"/>
        <n v="471.79"/>
        <n v="438.97"/>
        <n v="190.77"/>
        <n v="114.87"/>
        <n v="215.38"/>
        <n v="687.18"/>
        <n v="186.67"/>
        <n v="138.46"/>
        <n v="181.54"/>
        <n v="126.15"/>
        <n v="100.51"/>
        <n v="121.03"/>
        <n v="258.46"/>
        <n v="203.08"/>
        <n v="68.38"/>
        <n v="69.23"/>
        <n v="344.62"/>
        <n v="70.26"/>
        <n v="76.38"/>
        <n v="91.28"/>
        <n v="49.57"/>
        <n v="251.28"/>
        <n v="964.1"/>
      </sharedItems>
    </cacheField>
    <cacheField name="税额" numFmtId="0">
      <sharedItems containsSemiMixedTypes="0" containsString="0" containsNumber="1" minValue="0" maxValue="163.9" count="74">
        <n v="7.76"/>
        <n v="10.81"/>
        <n v="18.67"/>
        <n v="16.56"/>
        <n v="18.66"/>
        <n v="15.87"/>
        <n v="22.58"/>
        <n v="18.74"/>
        <n v="49.87"/>
        <n v="10.29"/>
        <n v="5.67"/>
        <n v="13.95"/>
        <n v="12.9"/>
        <n v="20.05"/>
        <n v="65.9"/>
        <n v="5.63"/>
        <n v="12.55"/>
        <n v="27.2"/>
        <n v="17.26"/>
        <n v="9.76"/>
        <n v="14.65"/>
        <n v="12.2"/>
        <n v="10.11"/>
        <n v="6.05"/>
        <n v="40.11"/>
        <n v="9.07"/>
        <n v="20.22"/>
        <n v="21.97"/>
        <n v="33.57"/>
        <n v="23.36"/>
        <n v="33.66"/>
        <n v="23.19"/>
        <n v="26.5"/>
        <n v="30.34"/>
        <n v="40.1"/>
        <n v="37.31"/>
        <n v="99.74"/>
        <n v="11.26"/>
        <n v="29.29"/>
        <n v="36.96"/>
        <n v="45.17"/>
        <n v="37.49"/>
        <n v="27.02"/>
        <n v="11.33"/>
        <n v="40.45"/>
        <n v="27.9"/>
        <n v="26.15"/>
        <n v="34.35"/>
        <n v="24.24"/>
        <n v="80.21"/>
        <n v="74.63"/>
        <n v="32.43"/>
        <n v="19.53"/>
        <n v="36.61"/>
        <n v="116.83"/>
        <n v="33.65"/>
        <n v="31.73"/>
        <n v="23.54"/>
        <n v="30.86"/>
        <n v="21.45"/>
        <n v="17.09"/>
        <n v="20.58"/>
        <n v="43.94"/>
        <n v="34.52"/>
        <n v="11.62"/>
        <n v="11.77"/>
        <n v="58.59"/>
        <n v="11.94"/>
        <n v="12.98"/>
        <n v="15.52"/>
        <n v="33.56"/>
        <n v="8.43"/>
        <n v="42.72"/>
        <n v="163.9"/>
      </sharedItems>
    </cacheField>
    <cacheField name="金额合计" numFmtId="0">
      <sharedItems containsSemiMixedTypes="0" containsString="0" containsNumber="1" minValue="0" maxValue="1128" count="74">
        <n v="53.4"/>
        <n v="74.4"/>
        <n v="128.52"/>
        <n v="114"/>
        <n v="128.4"/>
        <n v="109.2"/>
        <n v="155.4"/>
        <n v="129"/>
        <n v="343.2"/>
        <n v="70.8"/>
        <n v="39"/>
        <n v="96"/>
        <n v="88.8"/>
        <n v="138"/>
        <n v="453.59"/>
        <n v="38.76"/>
        <n v="86.4"/>
        <n v="187.2"/>
        <n v="118.8"/>
        <n v="67.2"/>
        <n v="100.8"/>
        <n v="83.99"/>
        <n v="69.6"/>
        <n v="41.61"/>
        <n v="276.01"/>
        <n v="62.4"/>
        <n v="139.19"/>
        <n v="151.2"/>
        <n v="231.01"/>
        <n v="160.8"/>
        <n v="231.61"/>
        <n v="159.6"/>
        <n v="182.4"/>
        <n v="208.8"/>
        <n v="276"/>
        <n v="256.8"/>
        <n v="686.41"/>
        <n v="77.52"/>
        <n v="201.6"/>
        <n v="254.4"/>
        <n v="310.81"/>
        <n v="258"/>
        <n v="185.99"/>
        <n v="78"/>
        <n v="278.4"/>
        <n v="192"/>
        <n v="180"/>
        <n v="236.4"/>
        <n v="166.8"/>
        <n v="552"/>
        <n v="513.6"/>
        <n v="223.2"/>
        <n v="134.4"/>
        <n v="251.99"/>
        <n v="804.01"/>
        <n v="231.6"/>
        <n v="218.4"/>
        <n v="162"/>
        <n v="212.4"/>
        <n v="147.6"/>
        <n v="117.6"/>
        <n v="141.61"/>
        <n v="302.4"/>
        <n v="237.6"/>
        <n v="80"/>
        <n v="81"/>
        <n v="403.21"/>
        <n v="82.2"/>
        <n v="89.36"/>
        <n v="106.8"/>
        <n v="231"/>
        <n v="58"/>
        <n v="294"/>
        <n v="1128"/>
      </sharedItems>
    </cacheField>
    <cacheField name="税码" numFmtId="0">
      <sharedItems count="1">
        <s v="J1"/>
      </sharedItems>
    </cacheField>
    <cacheField name="凭证编号" numFmtId="0">
      <sharedItems containsSemiMixedTypes="0" containsString="0" containsNumber="1" containsInteger="1" minValue="0" maxValue="3100168437" count="8">
        <n v="3100167293"/>
        <n v="3100167313"/>
        <n v="3100167292"/>
        <n v="3100167972"/>
        <n v="3100167984"/>
        <n v="3100168006"/>
        <n v="3100167985"/>
        <n v="3100168437"/>
      </sharedItems>
    </cacheField>
    <cacheField name="对账单号码" numFmtId="0">
      <sharedItems containsSemiMixedTypes="0" containsString="0" containsNumber="1" containsInteger="1" minValue="0" maxValue="3100004263" count="1">
        <n v="310000426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1"/>
    <x v="1"/>
    <x v="1"/>
    <x v="0"/>
    <x v="1"/>
    <x v="1"/>
    <x v="1"/>
    <x v="0"/>
    <x v="0"/>
    <x v="0"/>
  </r>
  <r>
    <x v="0"/>
    <x v="0"/>
    <x v="0"/>
    <x v="0"/>
    <x v="2"/>
    <x v="2"/>
    <x v="2"/>
    <x v="1"/>
    <x v="0"/>
    <x v="2"/>
    <x v="2"/>
    <x v="2"/>
    <x v="0"/>
    <x v="0"/>
    <x v="0"/>
  </r>
  <r>
    <x v="0"/>
    <x v="0"/>
    <x v="0"/>
    <x v="0"/>
    <x v="3"/>
    <x v="3"/>
    <x v="3"/>
    <x v="0"/>
    <x v="0"/>
    <x v="3"/>
    <x v="3"/>
    <x v="3"/>
    <x v="0"/>
    <x v="0"/>
    <x v="0"/>
  </r>
  <r>
    <x v="0"/>
    <x v="0"/>
    <x v="0"/>
    <x v="0"/>
    <x v="4"/>
    <x v="4"/>
    <x v="4"/>
    <x v="1"/>
    <x v="0"/>
    <x v="4"/>
    <x v="4"/>
    <x v="4"/>
    <x v="0"/>
    <x v="0"/>
    <x v="0"/>
  </r>
  <r>
    <x v="0"/>
    <x v="0"/>
    <x v="0"/>
    <x v="0"/>
    <x v="5"/>
    <x v="5"/>
    <x v="5"/>
    <x v="1"/>
    <x v="0"/>
    <x v="5"/>
    <x v="5"/>
    <x v="5"/>
    <x v="0"/>
    <x v="0"/>
    <x v="0"/>
  </r>
  <r>
    <x v="0"/>
    <x v="0"/>
    <x v="0"/>
    <x v="0"/>
    <x v="6"/>
    <x v="6"/>
    <x v="6"/>
    <x v="0"/>
    <x v="0"/>
    <x v="6"/>
    <x v="6"/>
    <x v="6"/>
    <x v="0"/>
    <x v="0"/>
    <x v="0"/>
  </r>
  <r>
    <x v="0"/>
    <x v="0"/>
    <x v="0"/>
    <x v="0"/>
    <x v="7"/>
    <x v="7"/>
    <x v="7"/>
    <x v="0"/>
    <x v="0"/>
    <x v="7"/>
    <x v="7"/>
    <x v="7"/>
    <x v="0"/>
    <x v="0"/>
    <x v="0"/>
  </r>
  <r>
    <x v="0"/>
    <x v="0"/>
    <x v="0"/>
    <x v="0"/>
    <x v="8"/>
    <x v="8"/>
    <x v="8"/>
    <x v="1"/>
    <x v="0"/>
    <x v="5"/>
    <x v="5"/>
    <x v="5"/>
    <x v="0"/>
    <x v="0"/>
    <x v="0"/>
  </r>
  <r>
    <x v="0"/>
    <x v="0"/>
    <x v="0"/>
    <x v="0"/>
    <x v="9"/>
    <x v="9"/>
    <x v="9"/>
    <x v="2"/>
    <x v="0"/>
    <x v="8"/>
    <x v="8"/>
    <x v="8"/>
    <x v="0"/>
    <x v="0"/>
    <x v="0"/>
  </r>
  <r>
    <x v="0"/>
    <x v="1"/>
    <x v="0"/>
    <x v="0"/>
    <x v="10"/>
    <x v="10"/>
    <x v="10"/>
    <x v="1"/>
    <x v="0"/>
    <x v="9"/>
    <x v="9"/>
    <x v="9"/>
    <x v="0"/>
    <x v="0"/>
    <x v="0"/>
  </r>
  <r>
    <x v="0"/>
    <x v="1"/>
    <x v="0"/>
    <x v="0"/>
    <x v="11"/>
    <x v="11"/>
    <x v="11"/>
    <x v="3"/>
    <x v="0"/>
    <x v="10"/>
    <x v="10"/>
    <x v="10"/>
    <x v="0"/>
    <x v="0"/>
    <x v="0"/>
  </r>
  <r>
    <x v="0"/>
    <x v="1"/>
    <x v="0"/>
    <x v="0"/>
    <x v="12"/>
    <x v="12"/>
    <x v="12"/>
    <x v="1"/>
    <x v="0"/>
    <x v="5"/>
    <x v="5"/>
    <x v="5"/>
    <x v="0"/>
    <x v="0"/>
    <x v="0"/>
  </r>
  <r>
    <x v="0"/>
    <x v="1"/>
    <x v="0"/>
    <x v="0"/>
    <x v="13"/>
    <x v="13"/>
    <x v="13"/>
    <x v="1"/>
    <x v="0"/>
    <x v="11"/>
    <x v="11"/>
    <x v="11"/>
    <x v="0"/>
    <x v="0"/>
    <x v="0"/>
  </r>
  <r>
    <x v="0"/>
    <x v="1"/>
    <x v="0"/>
    <x v="0"/>
    <x v="14"/>
    <x v="14"/>
    <x v="14"/>
    <x v="1"/>
    <x v="0"/>
    <x v="12"/>
    <x v="12"/>
    <x v="12"/>
    <x v="0"/>
    <x v="0"/>
    <x v="0"/>
  </r>
  <r>
    <x v="0"/>
    <x v="1"/>
    <x v="0"/>
    <x v="0"/>
    <x v="15"/>
    <x v="15"/>
    <x v="15"/>
    <x v="1"/>
    <x v="0"/>
    <x v="13"/>
    <x v="13"/>
    <x v="13"/>
    <x v="0"/>
    <x v="0"/>
    <x v="0"/>
  </r>
  <r>
    <x v="0"/>
    <x v="1"/>
    <x v="0"/>
    <x v="0"/>
    <x v="16"/>
    <x v="16"/>
    <x v="16"/>
    <x v="4"/>
    <x v="0"/>
    <x v="14"/>
    <x v="14"/>
    <x v="14"/>
    <x v="0"/>
    <x v="0"/>
    <x v="0"/>
  </r>
  <r>
    <x v="0"/>
    <x v="1"/>
    <x v="0"/>
    <x v="0"/>
    <x v="17"/>
    <x v="17"/>
    <x v="17"/>
    <x v="1"/>
    <x v="0"/>
    <x v="15"/>
    <x v="15"/>
    <x v="15"/>
    <x v="0"/>
    <x v="0"/>
    <x v="0"/>
  </r>
  <r>
    <x v="0"/>
    <x v="1"/>
    <x v="0"/>
    <x v="0"/>
    <x v="18"/>
    <x v="18"/>
    <x v="18"/>
    <x v="2"/>
    <x v="0"/>
    <x v="16"/>
    <x v="16"/>
    <x v="16"/>
    <x v="0"/>
    <x v="0"/>
    <x v="0"/>
  </r>
  <r>
    <x v="0"/>
    <x v="1"/>
    <x v="1"/>
    <x v="1"/>
    <x v="0"/>
    <x v="19"/>
    <x v="19"/>
    <x v="2"/>
    <x v="0"/>
    <x v="17"/>
    <x v="17"/>
    <x v="17"/>
    <x v="0"/>
    <x v="1"/>
    <x v="0"/>
  </r>
  <r>
    <x v="0"/>
    <x v="1"/>
    <x v="1"/>
    <x v="1"/>
    <x v="1"/>
    <x v="20"/>
    <x v="20"/>
    <x v="1"/>
    <x v="0"/>
    <x v="18"/>
    <x v="18"/>
    <x v="18"/>
    <x v="0"/>
    <x v="1"/>
    <x v="0"/>
  </r>
  <r>
    <x v="0"/>
    <x v="1"/>
    <x v="1"/>
    <x v="1"/>
    <x v="2"/>
    <x v="21"/>
    <x v="21"/>
    <x v="1"/>
    <x v="0"/>
    <x v="19"/>
    <x v="19"/>
    <x v="19"/>
    <x v="0"/>
    <x v="1"/>
    <x v="0"/>
  </r>
  <r>
    <x v="0"/>
    <x v="1"/>
    <x v="1"/>
    <x v="1"/>
    <x v="3"/>
    <x v="22"/>
    <x v="22"/>
    <x v="1"/>
    <x v="0"/>
    <x v="20"/>
    <x v="20"/>
    <x v="20"/>
    <x v="0"/>
    <x v="1"/>
    <x v="0"/>
  </r>
  <r>
    <x v="0"/>
    <x v="2"/>
    <x v="1"/>
    <x v="1"/>
    <x v="4"/>
    <x v="23"/>
    <x v="23"/>
    <x v="1"/>
    <x v="0"/>
    <x v="19"/>
    <x v="19"/>
    <x v="19"/>
    <x v="0"/>
    <x v="1"/>
    <x v="0"/>
  </r>
  <r>
    <x v="0"/>
    <x v="2"/>
    <x v="1"/>
    <x v="1"/>
    <x v="5"/>
    <x v="24"/>
    <x v="24"/>
    <x v="1"/>
    <x v="0"/>
    <x v="21"/>
    <x v="21"/>
    <x v="21"/>
    <x v="0"/>
    <x v="1"/>
    <x v="0"/>
  </r>
  <r>
    <x v="0"/>
    <x v="2"/>
    <x v="1"/>
    <x v="1"/>
    <x v="6"/>
    <x v="25"/>
    <x v="25"/>
    <x v="2"/>
    <x v="0"/>
    <x v="22"/>
    <x v="22"/>
    <x v="22"/>
    <x v="0"/>
    <x v="1"/>
    <x v="0"/>
  </r>
  <r>
    <x v="0"/>
    <x v="2"/>
    <x v="1"/>
    <x v="1"/>
    <x v="7"/>
    <x v="26"/>
    <x v="26"/>
    <x v="2"/>
    <x v="0"/>
    <x v="22"/>
    <x v="22"/>
    <x v="22"/>
    <x v="0"/>
    <x v="1"/>
    <x v="0"/>
  </r>
  <r>
    <x v="0"/>
    <x v="2"/>
    <x v="1"/>
    <x v="1"/>
    <x v="8"/>
    <x v="27"/>
    <x v="27"/>
    <x v="5"/>
    <x v="0"/>
    <x v="23"/>
    <x v="23"/>
    <x v="23"/>
    <x v="0"/>
    <x v="1"/>
    <x v="0"/>
  </r>
  <r>
    <x v="0"/>
    <x v="2"/>
    <x v="1"/>
    <x v="1"/>
    <x v="9"/>
    <x v="15"/>
    <x v="15"/>
    <x v="2"/>
    <x v="0"/>
    <x v="24"/>
    <x v="24"/>
    <x v="24"/>
    <x v="0"/>
    <x v="1"/>
    <x v="0"/>
  </r>
  <r>
    <x v="0"/>
    <x v="2"/>
    <x v="1"/>
    <x v="1"/>
    <x v="10"/>
    <x v="11"/>
    <x v="11"/>
    <x v="2"/>
    <x v="0"/>
    <x v="25"/>
    <x v="25"/>
    <x v="25"/>
    <x v="0"/>
    <x v="1"/>
    <x v="0"/>
  </r>
  <r>
    <x v="0"/>
    <x v="2"/>
    <x v="1"/>
    <x v="1"/>
    <x v="11"/>
    <x v="28"/>
    <x v="3"/>
    <x v="2"/>
    <x v="0"/>
    <x v="26"/>
    <x v="26"/>
    <x v="26"/>
    <x v="0"/>
    <x v="1"/>
    <x v="0"/>
  </r>
  <r>
    <x v="0"/>
    <x v="2"/>
    <x v="1"/>
    <x v="1"/>
    <x v="12"/>
    <x v="16"/>
    <x v="16"/>
    <x v="2"/>
    <x v="0"/>
    <x v="27"/>
    <x v="27"/>
    <x v="27"/>
    <x v="0"/>
    <x v="1"/>
    <x v="0"/>
  </r>
  <r>
    <x v="0"/>
    <x v="2"/>
    <x v="1"/>
    <x v="1"/>
    <x v="13"/>
    <x v="29"/>
    <x v="28"/>
    <x v="1"/>
    <x v="0"/>
    <x v="20"/>
    <x v="20"/>
    <x v="20"/>
    <x v="0"/>
    <x v="1"/>
    <x v="0"/>
  </r>
  <r>
    <x v="0"/>
    <x v="2"/>
    <x v="1"/>
    <x v="1"/>
    <x v="14"/>
    <x v="30"/>
    <x v="29"/>
    <x v="1"/>
    <x v="0"/>
    <x v="28"/>
    <x v="28"/>
    <x v="28"/>
    <x v="0"/>
    <x v="1"/>
    <x v="0"/>
  </r>
  <r>
    <x v="0"/>
    <x v="2"/>
    <x v="1"/>
    <x v="1"/>
    <x v="15"/>
    <x v="31"/>
    <x v="30"/>
    <x v="1"/>
    <x v="0"/>
    <x v="29"/>
    <x v="29"/>
    <x v="29"/>
    <x v="0"/>
    <x v="1"/>
    <x v="0"/>
  </r>
  <r>
    <x v="0"/>
    <x v="2"/>
    <x v="1"/>
    <x v="1"/>
    <x v="16"/>
    <x v="32"/>
    <x v="31"/>
    <x v="1"/>
    <x v="0"/>
    <x v="30"/>
    <x v="30"/>
    <x v="30"/>
    <x v="0"/>
    <x v="1"/>
    <x v="0"/>
  </r>
  <r>
    <x v="0"/>
    <x v="2"/>
    <x v="1"/>
    <x v="1"/>
    <x v="17"/>
    <x v="33"/>
    <x v="32"/>
    <x v="1"/>
    <x v="0"/>
    <x v="31"/>
    <x v="31"/>
    <x v="31"/>
    <x v="0"/>
    <x v="1"/>
    <x v="0"/>
  </r>
  <r>
    <x v="0"/>
    <x v="2"/>
    <x v="1"/>
    <x v="1"/>
    <x v="18"/>
    <x v="34"/>
    <x v="33"/>
    <x v="1"/>
    <x v="0"/>
    <x v="32"/>
    <x v="32"/>
    <x v="32"/>
    <x v="0"/>
    <x v="1"/>
    <x v="0"/>
  </r>
  <r>
    <x v="0"/>
    <x v="2"/>
    <x v="1"/>
    <x v="1"/>
    <x v="19"/>
    <x v="35"/>
    <x v="34"/>
    <x v="1"/>
    <x v="0"/>
    <x v="29"/>
    <x v="29"/>
    <x v="29"/>
    <x v="0"/>
    <x v="1"/>
    <x v="0"/>
  </r>
  <r>
    <x v="0"/>
    <x v="2"/>
    <x v="2"/>
    <x v="2"/>
    <x v="0"/>
    <x v="36"/>
    <x v="35"/>
    <x v="2"/>
    <x v="0"/>
    <x v="33"/>
    <x v="33"/>
    <x v="33"/>
    <x v="0"/>
    <x v="2"/>
    <x v="0"/>
  </r>
  <r>
    <x v="0"/>
    <x v="2"/>
    <x v="2"/>
    <x v="2"/>
    <x v="1"/>
    <x v="15"/>
    <x v="15"/>
    <x v="2"/>
    <x v="0"/>
    <x v="24"/>
    <x v="34"/>
    <x v="34"/>
    <x v="0"/>
    <x v="2"/>
    <x v="0"/>
  </r>
  <r>
    <x v="0"/>
    <x v="3"/>
    <x v="2"/>
    <x v="2"/>
    <x v="2"/>
    <x v="4"/>
    <x v="4"/>
    <x v="2"/>
    <x v="0"/>
    <x v="34"/>
    <x v="35"/>
    <x v="35"/>
    <x v="0"/>
    <x v="2"/>
    <x v="0"/>
  </r>
  <r>
    <x v="0"/>
    <x v="3"/>
    <x v="2"/>
    <x v="2"/>
    <x v="3"/>
    <x v="9"/>
    <x v="9"/>
    <x v="6"/>
    <x v="0"/>
    <x v="35"/>
    <x v="36"/>
    <x v="36"/>
    <x v="0"/>
    <x v="2"/>
    <x v="0"/>
  </r>
  <r>
    <x v="0"/>
    <x v="3"/>
    <x v="2"/>
    <x v="2"/>
    <x v="4"/>
    <x v="37"/>
    <x v="36"/>
    <x v="7"/>
    <x v="0"/>
    <x v="20"/>
    <x v="20"/>
    <x v="20"/>
    <x v="0"/>
    <x v="2"/>
    <x v="0"/>
  </r>
  <r>
    <x v="0"/>
    <x v="3"/>
    <x v="2"/>
    <x v="2"/>
    <x v="5"/>
    <x v="38"/>
    <x v="37"/>
    <x v="2"/>
    <x v="0"/>
    <x v="19"/>
    <x v="19"/>
    <x v="19"/>
    <x v="0"/>
    <x v="2"/>
    <x v="0"/>
  </r>
  <r>
    <x v="1"/>
    <x v="3"/>
    <x v="2"/>
    <x v="2"/>
    <x v="6"/>
    <x v="17"/>
    <x v="17"/>
    <x v="2"/>
    <x v="0"/>
    <x v="36"/>
    <x v="37"/>
    <x v="37"/>
    <x v="0"/>
    <x v="2"/>
    <x v="0"/>
  </r>
  <r>
    <x v="1"/>
    <x v="3"/>
    <x v="2"/>
    <x v="2"/>
    <x v="7"/>
    <x v="39"/>
    <x v="38"/>
    <x v="2"/>
    <x v="0"/>
    <x v="37"/>
    <x v="38"/>
    <x v="38"/>
    <x v="0"/>
    <x v="2"/>
    <x v="0"/>
  </r>
  <r>
    <x v="1"/>
    <x v="3"/>
    <x v="2"/>
    <x v="2"/>
    <x v="8"/>
    <x v="29"/>
    <x v="28"/>
    <x v="2"/>
    <x v="0"/>
    <x v="37"/>
    <x v="38"/>
    <x v="38"/>
    <x v="0"/>
    <x v="2"/>
    <x v="0"/>
  </r>
  <r>
    <x v="1"/>
    <x v="3"/>
    <x v="2"/>
    <x v="2"/>
    <x v="9"/>
    <x v="40"/>
    <x v="19"/>
    <x v="2"/>
    <x v="0"/>
    <x v="38"/>
    <x v="39"/>
    <x v="39"/>
    <x v="0"/>
    <x v="2"/>
    <x v="0"/>
  </r>
  <r>
    <x v="1"/>
    <x v="3"/>
    <x v="2"/>
    <x v="2"/>
    <x v="10"/>
    <x v="6"/>
    <x v="6"/>
    <x v="1"/>
    <x v="0"/>
    <x v="39"/>
    <x v="40"/>
    <x v="40"/>
    <x v="0"/>
    <x v="2"/>
    <x v="0"/>
  </r>
  <r>
    <x v="1"/>
    <x v="3"/>
    <x v="2"/>
    <x v="2"/>
    <x v="11"/>
    <x v="7"/>
    <x v="7"/>
    <x v="1"/>
    <x v="0"/>
    <x v="40"/>
    <x v="41"/>
    <x v="41"/>
    <x v="0"/>
    <x v="2"/>
    <x v="0"/>
  </r>
  <r>
    <x v="1"/>
    <x v="3"/>
    <x v="2"/>
    <x v="2"/>
    <x v="12"/>
    <x v="41"/>
    <x v="39"/>
    <x v="1"/>
    <x v="0"/>
    <x v="41"/>
    <x v="42"/>
    <x v="42"/>
    <x v="0"/>
    <x v="2"/>
    <x v="0"/>
  </r>
  <r>
    <x v="1"/>
    <x v="3"/>
    <x v="2"/>
    <x v="2"/>
    <x v="13"/>
    <x v="42"/>
    <x v="40"/>
    <x v="1"/>
    <x v="0"/>
    <x v="42"/>
    <x v="43"/>
    <x v="43"/>
    <x v="0"/>
    <x v="2"/>
    <x v="0"/>
  </r>
  <r>
    <x v="1"/>
    <x v="3"/>
    <x v="2"/>
    <x v="2"/>
    <x v="14"/>
    <x v="28"/>
    <x v="3"/>
    <x v="6"/>
    <x v="0"/>
    <x v="43"/>
    <x v="44"/>
    <x v="44"/>
    <x v="0"/>
    <x v="2"/>
    <x v="0"/>
  </r>
  <r>
    <x v="1"/>
    <x v="3"/>
    <x v="2"/>
    <x v="2"/>
    <x v="15"/>
    <x v="43"/>
    <x v="41"/>
    <x v="2"/>
    <x v="0"/>
    <x v="44"/>
    <x v="45"/>
    <x v="45"/>
    <x v="0"/>
    <x v="2"/>
    <x v="0"/>
  </r>
  <r>
    <x v="1"/>
    <x v="3"/>
    <x v="2"/>
    <x v="2"/>
    <x v="16"/>
    <x v="44"/>
    <x v="42"/>
    <x v="8"/>
    <x v="0"/>
    <x v="45"/>
    <x v="46"/>
    <x v="46"/>
    <x v="0"/>
    <x v="2"/>
    <x v="0"/>
  </r>
  <r>
    <x v="1"/>
    <x v="3"/>
    <x v="2"/>
    <x v="2"/>
    <x v="17"/>
    <x v="45"/>
    <x v="43"/>
    <x v="1"/>
    <x v="0"/>
    <x v="46"/>
    <x v="47"/>
    <x v="47"/>
    <x v="0"/>
    <x v="2"/>
    <x v="0"/>
  </r>
  <r>
    <x v="1"/>
    <x v="3"/>
    <x v="2"/>
    <x v="2"/>
    <x v="18"/>
    <x v="46"/>
    <x v="6"/>
    <x v="1"/>
    <x v="0"/>
    <x v="47"/>
    <x v="48"/>
    <x v="48"/>
    <x v="0"/>
    <x v="2"/>
    <x v="0"/>
  </r>
  <r>
    <x v="1"/>
    <x v="3"/>
    <x v="3"/>
    <x v="3"/>
    <x v="0"/>
    <x v="15"/>
    <x v="15"/>
    <x v="6"/>
    <x v="0"/>
    <x v="48"/>
    <x v="49"/>
    <x v="49"/>
    <x v="0"/>
    <x v="3"/>
    <x v="0"/>
  </r>
  <r>
    <x v="1"/>
    <x v="3"/>
    <x v="3"/>
    <x v="3"/>
    <x v="1"/>
    <x v="4"/>
    <x v="4"/>
    <x v="6"/>
    <x v="0"/>
    <x v="49"/>
    <x v="50"/>
    <x v="50"/>
    <x v="0"/>
    <x v="3"/>
    <x v="0"/>
  </r>
  <r>
    <x v="1"/>
    <x v="3"/>
    <x v="3"/>
    <x v="3"/>
    <x v="2"/>
    <x v="1"/>
    <x v="1"/>
    <x v="7"/>
    <x v="0"/>
    <x v="50"/>
    <x v="51"/>
    <x v="51"/>
    <x v="0"/>
    <x v="3"/>
    <x v="0"/>
  </r>
  <r>
    <x v="1"/>
    <x v="3"/>
    <x v="3"/>
    <x v="3"/>
    <x v="3"/>
    <x v="21"/>
    <x v="21"/>
    <x v="1"/>
    <x v="0"/>
    <x v="19"/>
    <x v="19"/>
    <x v="19"/>
    <x v="0"/>
    <x v="3"/>
    <x v="0"/>
  </r>
  <r>
    <x v="1"/>
    <x v="4"/>
    <x v="3"/>
    <x v="3"/>
    <x v="4"/>
    <x v="22"/>
    <x v="22"/>
    <x v="1"/>
    <x v="0"/>
    <x v="20"/>
    <x v="20"/>
    <x v="20"/>
    <x v="0"/>
    <x v="3"/>
    <x v="0"/>
  </r>
  <r>
    <x v="1"/>
    <x v="4"/>
    <x v="3"/>
    <x v="3"/>
    <x v="5"/>
    <x v="23"/>
    <x v="23"/>
    <x v="2"/>
    <x v="0"/>
    <x v="51"/>
    <x v="52"/>
    <x v="52"/>
    <x v="0"/>
    <x v="3"/>
    <x v="0"/>
  </r>
  <r>
    <x v="1"/>
    <x v="4"/>
    <x v="3"/>
    <x v="3"/>
    <x v="6"/>
    <x v="24"/>
    <x v="24"/>
    <x v="7"/>
    <x v="0"/>
    <x v="52"/>
    <x v="53"/>
    <x v="53"/>
    <x v="0"/>
    <x v="3"/>
    <x v="0"/>
  </r>
  <r>
    <x v="1"/>
    <x v="4"/>
    <x v="3"/>
    <x v="3"/>
    <x v="7"/>
    <x v="44"/>
    <x v="42"/>
    <x v="8"/>
    <x v="0"/>
    <x v="45"/>
    <x v="46"/>
    <x v="46"/>
    <x v="0"/>
    <x v="3"/>
    <x v="0"/>
  </r>
  <r>
    <x v="1"/>
    <x v="4"/>
    <x v="3"/>
    <x v="3"/>
    <x v="8"/>
    <x v="31"/>
    <x v="30"/>
    <x v="8"/>
    <x v="0"/>
    <x v="53"/>
    <x v="54"/>
    <x v="54"/>
    <x v="0"/>
    <x v="3"/>
    <x v="0"/>
  </r>
  <r>
    <x v="1"/>
    <x v="4"/>
    <x v="3"/>
    <x v="3"/>
    <x v="9"/>
    <x v="47"/>
    <x v="44"/>
    <x v="1"/>
    <x v="0"/>
    <x v="32"/>
    <x v="32"/>
    <x v="32"/>
    <x v="0"/>
    <x v="3"/>
    <x v="0"/>
  </r>
  <r>
    <x v="1"/>
    <x v="4"/>
    <x v="3"/>
    <x v="3"/>
    <x v="10"/>
    <x v="32"/>
    <x v="31"/>
    <x v="1"/>
    <x v="0"/>
    <x v="30"/>
    <x v="55"/>
    <x v="55"/>
    <x v="0"/>
    <x v="3"/>
    <x v="0"/>
  </r>
  <r>
    <x v="1"/>
    <x v="4"/>
    <x v="3"/>
    <x v="3"/>
    <x v="11"/>
    <x v="48"/>
    <x v="45"/>
    <x v="1"/>
    <x v="0"/>
    <x v="30"/>
    <x v="55"/>
    <x v="55"/>
    <x v="0"/>
    <x v="3"/>
    <x v="0"/>
  </r>
  <r>
    <x v="1"/>
    <x v="4"/>
    <x v="3"/>
    <x v="3"/>
    <x v="12"/>
    <x v="12"/>
    <x v="12"/>
    <x v="2"/>
    <x v="0"/>
    <x v="54"/>
    <x v="56"/>
    <x v="56"/>
    <x v="0"/>
    <x v="3"/>
    <x v="0"/>
  </r>
  <r>
    <x v="1"/>
    <x v="4"/>
    <x v="3"/>
    <x v="3"/>
    <x v="13"/>
    <x v="49"/>
    <x v="46"/>
    <x v="1"/>
    <x v="0"/>
    <x v="55"/>
    <x v="57"/>
    <x v="57"/>
    <x v="0"/>
    <x v="3"/>
    <x v="0"/>
  </r>
  <r>
    <x v="1"/>
    <x v="4"/>
    <x v="3"/>
    <x v="3"/>
    <x v="14"/>
    <x v="50"/>
    <x v="47"/>
    <x v="4"/>
    <x v="0"/>
    <x v="56"/>
    <x v="58"/>
    <x v="58"/>
    <x v="0"/>
    <x v="3"/>
    <x v="0"/>
  </r>
  <r>
    <x v="1"/>
    <x v="4"/>
    <x v="3"/>
    <x v="3"/>
    <x v="15"/>
    <x v="26"/>
    <x v="26"/>
    <x v="6"/>
    <x v="0"/>
    <x v="26"/>
    <x v="26"/>
    <x v="26"/>
    <x v="0"/>
    <x v="3"/>
    <x v="0"/>
  </r>
  <r>
    <x v="1"/>
    <x v="4"/>
    <x v="3"/>
    <x v="3"/>
    <x v="16"/>
    <x v="43"/>
    <x v="41"/>
    <x v="2"/>
    <x v="0"/>
    <x v="44"/>
    <x v="45"/>
    <x v="45"/>
    <x v="0"/>
    <x v="3"/>
    <x v="0"/>
  </r>
  <r>
    <x v="1"/>
    <x v="4"/>
    <x v="3"/>
    <x v="3"/>
    <x v="17"/>
    <x v="51"/>
    <x v="48"/>
    <x v="1"/>
    <x v="0"/>
    <x v="57"/>
    <x v="59"/>
    <x v="59"/>
    <x v="0"/>
    <x v="3"/>
    <x v="0"/>
  </r>
  <r>
    <x v="1"/>
    <x v="4"/>
    <x v="3"/>
    <x v="3"/>
    <x v="18"/>
    <x v="52"/>
    <x v="49"/>
    <x v="1"/>
    <x v="0"/>
    <x v="58"/>
    <x v="60"/>
    <x v="60"/>
    <x v="0"/>
    <x v="3"/>
    <x v="0"/>
  </r>
  <r>
    <x v="1"/>
    <x v="4"/>
    <x v="3"/>
    <x v="3"/>
    <x v="19"/>
    <x v="10"/>
    <x v="10"/>
    <x v="2"/>
    <x v="0"/>
    <x v="59"/>
    <x v="61"/>
    <x v="61"/>
    <x v="0"/>
    <x v="3"/>
    <x v="0"/>
  </r>
  <r>
    <x v="1"/>
    <x v="4"/>
    <x v="3"/>
    <x v="3"/>
    <x v="20"/>
    <x v="16"/>
    <x v="16"/>
    <x v="6"/>
    <x v="0"/>
    <x v="60"/>
    <x v="62"/>
    <x v="62"/>
    <x v="0"/>
    <x v="3"/>
    <x v="0"/>
  </r>
  <r>
    <x v="1"/>
    <x v="4"/>
    <x v="3"/>
    <x v="3"/>
    <x v="21"/>
    <x v="20"/>
    <x v="20"/>
    <x v="2"/>
    <x v="0"/>
    <x v="61"/>
    <x v="63"/>
    <x v="63"/>
    <x v="0"/>
    <x v="3"/>
    <x v="0"/>
  </r>
  <r>
    <x v="1"/>
    <x v="4"/>
    <x v="3"/>
    <x v="3"/>
    <x v="22"/>
    <x v="53"/>
    <x v="50"/>
    <x v="1"/>
    <x v="0"/>
    <x v="42"/>
    <x v="43"/>
    <x v="43"/>
    <x v="0"/>
    <x v="3"/>
    <x v="0"/>
  </r>
  <r>
    <x v="1"/>
    <x v="4"/>
    <x v="3"/>
    <x v="3"/>
    <x v="23"/>
    <x v="54"/>
    <x v="51"/>
    <x v="9"/>
    <x v="0"/>
    <x v="62"/>
    <x v="64"/>
    <x v="64"/>
    <x v="0"/>
    <x v="3"/>
    <x v="0"/>
  </r>
  <r>
    <x v="1"/>
    <x v="5"/>
    <x v="3"/>
    <x v="3"/>
    <x v="24"/>
    <x v="55"/>
    <x v="52"/>
    <x v="1"/>
    <x v="0"/>
    <x v="63"/>
    <x v="65"/>
    <x v="65"/>
    <x v="0"/>
    <x v="3"/>
    <x v="0"/>
  </r>
  <r>
    <x v="1"/>
    <x v="5"/>
    <x v="3"/>
    <x v="3"/>
    <x v="25"/>
    <x v="39"/>
    <x v="38"/>
    <x v="6"/>
    <x v="0"/>
    <x v="64"/>
    <x v="66"/>
    <x v="66"/>
    <x v="0"/>
    <x v="3"/>
    <x v="0"/>
  </r>
  <r>
    <x v="1"/>
    <x v="5"/>
    <x v="3"/>
    <x v="3"/>
    <x v="26"/>
    <x v="29"/>
    <x v="28"/>
    <x v="2"/>
    <x v="0"/>
    <x v="37"/>
    <x v="38"/>
    <x v="38"/>
    <x v="0"/>
    <x v="3"/>
    <x v="0"/>
  </r>
  <r>
    <x v="1"/>
    <x v="5"/>
    <x v="3"/>
    <x v="3"/>
    <x v="27"/>
    <x v="56"/>
    <x v="53"/>
    <x v="2"/>
    <x v="0"/>
    <x v="19"/>
    <x v="19"/>
    <x v="19"/>
    <x v="0"/>
    <x v="3"/>
    <x v="0"/>
  </r>
  <r>
    <x v="1"/>
    <x v="5"/>
    <x v="4"/>
    <x v="4"/>
    <x v="0"/>
    <x v="39"/>
    <x v="38"/>
    <x v="1"/>
    <x v="0"/>
    <x v="20"/>
    <x v="20"/>
    <x v="20"/>
    <x v="0"/>
    <x v="4"/>
    <x v="0"/>
  </r>
  <r>
    <x v="1"/>
    <x v="5"/>
    <x v="4"/>
    <x v="4"/>
    <x v="1"/>
    <x v="57"/>
    <x v="23"/>
    <x v="0"/>
    <x v="0"/>
    <x v="65"/>
    <x v="67"/>
    <x v="67"/>
    <x v="0"/>
    <x v="4"/>
    <x v="0"/>
  </r>
  <r>
    <x v="1"/>
    <x v="5"/>
    <x v="4"/>
    <x v="4"/>
    <x v="2"/>
    <x v="58"/>
    <x v="1"/>
    <x v="10"/>
    <x v="0"/>
    <x v="66"/>
    <x v="68"/>
    <x v="68"/>
    <x v="0"/>
    <x v="4"/>
    <x v="0"/>
  </r>
  <r>
    <x v="1"/>
    <x v="5"/>
    <x v="4"/>
    <x v="4"/>
    <x v="3"/>
    <x v="59"/>
    <x v="54"/>
    <x v="1"/>
    <x v="0"/>
    <x v="22"/>
    <x v="22"/>
    <x v="22"/>
    <x v="0"/>
    <x v="4"/>
    <x v="0"/>
  </r>
  <r>
    <x v="1"/>
    <x v="5"/>
    <x v="4"/>
    <x v="4"/>
    <x v="4"/>
    <x v="60"/>
    <x v="55"/>
    <x v="1"/>
    <x v="0"/>
    <x v="58"/>
    <x v="60"/>
    <x v="60"/>
    <x v="0"/>
    <x v="4"/>
    <x v="0"/>
  </r>
  <r>
    <x v="1"/>
    <x v="5"/>
    <x v="5"/>
    <x v="5"/>
    <x v="0"/>
    <x v="0"/>
    <x v="0"/>
    <x v="1"/>
    <x v="0"/>
    <x v="67"/>
    <x v="69"/>
    <x v="69"/>
    <x v="0"/>
    <x v="5"/>
    <x v="0"/>
  </r>
  <r>
    <x v="1"/>
    <x v="5"/>
    <x v="5"/>
    <x v="5"/>
    <x v="1"/>
    <x v="30"/>
    <x v="29"/>
    <x v="1"/>
    <x v="0"/>
    <x v="28"/>
    <x v="70"/>
    <x v="70"/>
    <x v="0"/>
    <x v="5"/>
    <x v="0"/>
  </r>
  <r>
    <x v="1"/>
    <x v="5"/>
    <x v="5"/>
    <x v="5"/>
    <x v="2"/>
    <x v="15"/>
    <x v="15"/>
    <x v="2"/>
    <x v="0"/>
    <x v="24"/>
    <x v="34"/>
    <x v="34"/>
    <x v="0"/>
    <x v="5"/>
    <x v="0"/>
  </r>
  <r>
    <x v="1"/>
    <x v="5"/>
    <x v="5"/>
    <x v="5"/>
    <x v="3"/>
    <x v="26"/>
    <x v="26"/>
    <x v="11"/>
    <x v="0"/>
    <x v="68"/>
    <x v="71"/>
    <x v="71"/>
    <x v="0"/>
    <x v="5"/>
    <x v="0"/>
  </r>
  <r>
    <x v="1"/>
    <x v="5"/>
    <x v="5"/>
    <x v="5"/>
    <x v="4"/>
    <x v="61"/>
    <x v="56"/>
    <x v="12"/>
    <x v="0"/>
    <x v="69"/>
    <x v="72"/>
    <x v="72"/>
    <x v="0"/>
    <x v="5"/>
    <x v="0"/>
  </r>
  <r>
    <x v="1"/>
    <x v="5"/>
    <x v="5"/>
    <x v="5"/>
    <x v="5"/>
    <x v="42"/>
    <x v="40"/>
    <x v="1"/>
    <x v="0"/>
    <x v="42"/>
    <x v="43"/>
    <x v="43"/>
    <x v="0"/>
    <x v="5"/>
    <x v="0"/>
  </r>
  <r>
    <x v="1"/>
    <x v="5"/>
    <x v="6"/>
    <x v="6"/>
    <x v="0"/>
    <x v="62"/>
    <x v="57"/>
    <x v="13"/>
    <x v="0"/>
    <x v="70"/>
    <x v="73"/>
    <x v="73"/>
    <x v="0"/>
    <x v="6"/>
    <x v="0"/>
  </r>
  <r>
    <x v="1"/>
    <x v="5"/>
    <x v="7"/>
    <x v="7"/>
    <x v="0"/>
    <x v="29"/>
    <x v="28"/>
    <x v="2"/>
    <x v="0"/>
    <x v="37"/>
    <x v="38"/>
    <x v="38"/>
    <x v="0"/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I10:L18" firstHeaderRow="1" firstDataRow="2" firstDataCol="1"/>
  <pivotFields count="15">
    <pivotField axis="axisCol" compact="0" showAll="0">
      <items count="3">
        <item x="0"/>
        <item x="1"/>
        <item t="default"/>
      </items>
    </pivotField>
    <pivotField axis="axisRow" compact="0" numFmtId="14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dataField="1" compact="0" showAll="0">
      <items count="75">
        <item x="15"/>
        <item x="10"/>
        <item x="23"/>
        <item x="0"/>
        <item x="71"/>
        <item x="25"/>
        <item x="19"/>
        <item x="22"/>
        <item x="9"/>
        <item x="1"/>
        <item x="37"/>
        <item x="43"/>
        <item x="64"/>
        <item x="65"/>
        <item x="67"/>
        <item x="21"/>
        <item x="16"/>
        <item x="12"/>
        <item x="68"/>
        <item x="11"/>
        <item x="20"/>
        <item x="69"/>
        <item x="5"/>
        <item x="3"/>
        <item x="60"/>
        <item x="18"/>
        <item x="4"/>
        <item x="2"/>
        <item x="7"/>
        <item x="52"/>
        <item x="13"/>
        <item x="26"/>
        <item x="61"/>
        <item x="59"/>
        <item x="27"/>
        <item x="6"/>
        <item x="31"/>
        <item x="29"/>
        <item x="57"/>
        <item x="48"/>
        <item x="46"/>
        <item x="32"/>
        <item x="42"/>
        <item x="17"/>
        <item x="45"/>
        <item x="38"/>
        <item x="33"/>
        <item x="58"/>
        <item x="56"/>
        <item x="51"/>
        <item x="70"/>
        <item x="28"/>
        <item x="55"/>
        <item x="30"/>
        <item x="47"/>
        <item x="63"/>
        <item x="53"/>
        <item x="39"/>
        <item x="35"/>
        <item x="41"/>
        <item x="34"/>
        <item x="24"/>
        <item x="44"/>
        <item x="72"/>
        <item x="62"/>
        <item x="40"/>
        <item x="8"/>
        <item x="66"/>
        <item x="14"/>
        <item x="50"/>
        <item x="49"/>
        <item x="36"/>
        <item x="54"/>
        <item x="73"/>
        <item t="default"/>
      </items>
    </pivotField>
    <pivotField compact="0" showAll="0"/>
    <pivotField compact="0" showAll="0"/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求和项:金额合计" fld="11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workbookViewId="0">
      <selection activeCell="G24" sqref="G24"/>
    </sheetView>
  </sheetViews>
  <sheetFormatPr defaultColWidth="9" defaultRowHeight="13.5"/>
  <cols>
    <col min="1" max="1" width="11.775" style="16" customWidth="1"/>
    <col min="2" max="2" width="18.5" style="16" customWidth="1"/>
    <col min="3" max="4" width="10.2166666666667" style="16" customWidth="1"/>
    <col min="5" max="5" width="14.25" style="16" customWidth="1"/>
    <col min="6" max="6" width="9" style="17"/>
    <col min="7" max="7" width="23.75" style="16" customWidth="1"/>
    <col min="8" max="8" width="9" style="16"/>
    <col min="9" max="9" width="14.625" style="16" customWidth="1"/>
    <col min="10" max="11" width="9" style="16"/>
    <col min="12" max="12" width="9.25" style="16"/>
    <col min="13" max="13" width="9" style="16"/>
    <col min="14" max="15" width="11.6666666666667" style="16" customWidth="1"/>
    <col min="16" max="16" width="9" style="16"/>
    <col min="17" max="17" width="14.125" style="16" customWidth="1"/>
    <col min="18" max="16384" width="9" style="16"/>
  </cols>
  <sheetData>
    <row r="1" spans="1:1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7" t="s">
        <v>14</v>
      </c>
    </row>
    <row r="2" spans="1:15">
      <c r="A2" s="21" t="s">
        <v>15</v>
      </c>
      <c r="B2" s="22">
        <v>43407</v>
      </c>
      <c r="C2" s="23">
        <v>4501390726</v>
      </c>
      <c r="D2" s="23">
        <v>5001256749</v>
      </c>
      <c r="E2" s="23">
        <v>1</v>
      </c>
      <c r="F2" s="23">
        <v>11088351</v>
      </c>
      <c r="G2" s="24" t="str">
        <f>VLOOKUP(F2,商品编码!$A:$B,2,0)</f>
        <v>欣和黄豆酱</v>
      </c>
      <c r="H2" s="25">
        <v>6</v>
      </c>
      <c r="I2" s="28" t="s">
        <v>16</v>
      </c>
      <c r="J2" s="23">
        <v>45.64</v>
      </c>
      <c r="K2" s="23">
        <v>7.76</v>
      </c>
      <c r="L2" s="29">
        <v>53.4</v>
      </c>
      <c r="M2" s="28" t="s">
        <v>17</v>
      </c>
      <c r="N2" s="23">
        <v>3100167293</v>
      </c>
      <c r="O2" s="30">
        <v>3100004263</v>
      </c>
    </row>
    <row r="3" spans="1:15">
      <c r="A3" s="21" t="s">
        <v>15</v>
      </c>
      <c r="B3" s="22">
        <v>43407</v>
      </c>
      <c r="C3" s="23">
        <v>4501390726</v>
      </c>
      <c r="D3" s="23">
        <v>5001256749</v>
      </c>
      <c r="E3" s="23">
        <v>2</v>
      </c>
      <c r="F3" s="23">
        <v>10013885</v>
      </c>
      <c r="G3" s="24" t="str">
        <f>VLOOKUP(F3,商品编码!$A:$B,2,0)</f>
        <v>李锦记草菇老抽</v>
      </c>
      <c r="H3" s="25">
        <v>12</v>
      </c>
      <c r="I3" s="28" t="s">
        <v>16</v>
      </c>
      <c r="J3" s="23">
        <v>63.59</v>
      </c>
      <c r="K3" s="23">
        <v>10.81</v>
      </c>
      <c r="L3" s="29">
        <v>74.4</v>
      </c>
      <c r="M3" s="28" t="s">
        <v>17</v>
      </c>
      <c r="N3" s="23">
        <v>3100167293</v>
      </c>
      <c r="O3" s="30">
        <v>3100004263</v>
      </c>
    </row>
    <row r="4" spans="1:15">
      <c r="A4" s="21" t="s">
        <v>15</v>
      </c>
      <c r="B4" s="22">
        <v>43407</v>
      </c>
      <c r="C4" s="23">
        <v>4501390726</v>
      </c>
      <c r="D4" s="23">
        <v>5001256749</v>
      </c>
      <c r="E4" s="23">
        <v>3</v>
      </c>
      <c r="F4" s="23">
        <v>10013888</v>
      </c>
      <c r="G4" s="24" t="str">
        <f>VLOOKUP(F4,商品编码!$A:$B,2,0)</f>
        <v>李锦记泰式甜辣酱</v>
      </c>
      <c r="H4" s="25">
        <v>12</v>
      </c>
      <c r="I4" s="28" t="s">
        <v>16</v>
      </c>
      <c r="J4" s="23">
        <v>109.85</v>
      </c>
      <c r="K4" s="23">
        <v>18.67</v>
      </c>
      <c r="L4" s="29">
        <v>128.52</v>
      </c>
      <c r="M4" s="28" t="s">
        <v>17</v>
      </c>
      <c r="N4" s="23">
        <v>3100167293</v>
      </c>
      <c r="O4" s="30">
        <v>3100004263</v>
      </c>
    </row>
    <row r="5" spans="1:15">
      <c r="A5" s="21" t="s">
        <v>15</v>
      </c>
      <c r="B5" s="22">
        <v>43407</v>
      </c>
      <c r="C5" s="23">
        <v>4501390726</v>
      </c>
      <c r="D5" s="23">
        <v>5001256749</v>
      </c>
      <c r="E5" s="23">
        <v>4</v>
      </c>
      <c r="F5" s="23">
        <v>10200617</v>
      </c>
      <c r="G5" s="24" t="str">
        <f>VLOOKUP(F5,商品编码!$A:$B,2,0)</f>
        <v>欣和六月香豆瓣酱</v>
      </c>
      <c r="H5" s="25">
        <v>6</v>
      </c>
      <c r="I5" s="28" t="s">
        <v>16</v>
      </c>
      <c r="J5" s="23">
        <v>97.44</v>
      </c>
      <c r="K5" s="23">
        <v>16.56</v>
      </c>
      <c r="L5" s="29">
        <v>114</v>
      </c>
      <c r="M5" s="28" t="s">
        <v>17</v>
      </c>
      <c r="N5" s="23">
        <v>3100167293</v>
      </c>
      <c r="O5" s="30">
        <v>3100004263</v>
      </c>
    </row>
    <row r="6" spans="1:15">
      <c r="A6" s="21" t="s">
        <v>15</v>
      </c>
      <c r="B6" s="22">
        <v>43407</v>
      </c>
      <c r="C6" s="23">
        <v>4501390726</v>
      </c>
      <c r="D6" s="23">
        <v>5001256749</v>
      </c>
      <c r="E6" s="23">
        <v>5</v>
      </c>
      <c r="F6" s="23">
        <v>10013642</v>
      </c>
      <c r="G6" s="24" t="str">
        <f>VLOOKUP(F6,商品编码!$A:$B,2,0)</f>
        <v>味好美瓶装黑胡椒粉</v>
      </c>
      <c r="H6" s="25">
        <v>12</v>
      </c>
      <c r="I6" s="28" t="s">
        <v>16</v>
      </c>
      <c r="J6" s="23">
        <v>109.74</v>
      </c>
      <c r="K6" s="23">
        <v>18.66</v>
      </c>
      <c r="L6" s="29">
        <v>128.4</v>
      </c>
      <c r="M6" s="28" t="s">
        <v>17</v>
      </c>
      <c r="N6" s="23">
        <v>3100167293</v>
      </c>
      <c r="O6" s="30">
        <v>3100004263</v>
      </c>
    </row>
    <row r="7" spans="1:15">
      <c r="A7" s="21" t="s">
        <v>15</v>
      </c>
      <c r="B7" s="22">
        <v>43407</v>
      </c>
      <c r="C7" s="23">
        <v>4501390726</v>
      </c>
      <c r="D7" s="23">
        <v>5001256749</v>
      </c>
      <c r="E7" s="23">
        <v>6</v>
      </c>
      <c r="F7" s="23">
        <v>10205020</v>
      </c>
      <c r="G7" s="24" t="str">
        <f>VLOOKUP(F7,商品编码!$A:$B,2,0)</f>
        <v>古龙鲭鱼罐头</v>
      </c>
      <c r="H7" s="25">
        <v>12</v>
      </c>
      <c r="I7" s="28" t="s">
        <v>16</v>
      </c>
      <c r="J7" s="23">
        <v>93.33</v>
      </c>
      <c r="K7" s="23">
        <v>15.87</v>
      </c>
      <c r="L7" s="29">
        <v>109.2</v>
      </c>
      <c r="M7" s="28" t="s">
        <v>17</v>
      </c>
      <c r="N7" s="23">
        <v>3100167293</v>
      </c>
      <c r="O7" s="30">
        <v>3100004263</v>
      </c>
    </row>
    <row r="8" spans="1:15">
      <c r="A8" s="21" t="s">
        <v>15</v>
      </c>
      <c r="B8" s="22">
        <v>43407</v>
      </c>
      <c r="C8" s="23">
        <v>4501390726</v>
      </c>
      <c r="D8" s="23">
        <v>5001256749</v>
      </c>
      <c r="E8" s="23">
        <v>7</v>
      </c>
      <c r="F8" s="23">
        <v>10200612</v>
      </c>
      <c r="G8" s="24" t="str">
        <f>VLOOKUP(F8,商品编码!$A:$B,2,0)</f>
        <v>欣和伴侣酱油</v>
      </c>
      <c r="H8" s="25">
        <v>6</v>
      </c>
      <c r="I8" s="28" t="s">
        <v>16</v>
      </c>
      <c r="J8" s="23">
        <v>132.82</v>
      </c>
      <c r="K8" s="23">
        <v>22.58</v>
      </c>
      <c r="L8" s="29">
        <v>155.4</v>
      </c>
      <c r="M8" s="28" t="s">
        <v>17</v>
      </c>
      <c r="N8" s="23">
        <v>3100167293</v>
      </c>
      <c r="O8" s="30">
        <v>3100004263</v>
      </c>
    </row>
    <row r="9" spans="1:15">
      <c r="A9" s="21" t="s">
        <v>15</v>
      </c>
      <c r="B9" s="22">
        <v>43407</v>
      </c>
      <c r="C9" s="23">
        <v>4501390726</v>
      </c>
      <c r="D9" s="23">
        <v>5001256749</v>
      </c>
      <c r="E9" s="23">
        <v>8</v>
      </c>
      <c r="F9" s="23">
        <v>10597317</v>
      </c>
      <c r="G9" s="24" t="str">
        <f>VLOOKUP(F9,商品编码!$A:$B,2,0)</f>
        <v>葱伴侣六月香黄豆酱桶装</v>
      </c>
      <c r="H9" s="25">
        <v>6</v>
      </c>
      <c r="I9" s="28" t="s">
        <v>16</v>
      </c>
      <c r="J9" s="23">
        <v>110.26</v>
      </c>
      <c r="K9" s="23">
        <v>18.74</v>
      </c>
      <c r="L9" s="29">
        <v>129</v>
      </c>
      <c r="M9" s="28" t="s">
        <v>17</v>
      </c>
      <c r="N9" s="23">
        <v>3100167293</v>
      </c>
      <c r="O9" s="30">
        <v>3100004263</v>
      </c>
    </row>
    <row r="10" spans="1:15">
      <c r="A10" s="21" t="s">
        <v>15</v>
      </c>
      <c r="B10" s="22">
        <v>43407</v>
      </c>
      <c r="C10" s="23">
        <v>4501390726</v>
      </c>
      <c r="D10" s="23">
        <v>5001256749</v>
      </c>
      <c r="E10" s="23">
        <v>9</v>
      </c>
      <c r="F10" s="23">
        <v>10621681</v>
      </c>
      <c r="G10" s="24" t="str">
        <f>VLOOKUP(F10,商品编码!$A:$B,2,0)</f>
        <v>古龙香辣茄汁沙丁鱼</v>
      </c>
      <c r="H10" s="25">
        <v>12</v>
      </c>
      <c r="I10" s="28" t="s">
        <v>16</v>
      </c>
      <c r="J10" s="23">
        <v>93.33</v>
      </c>
      <c r="K10" s="23">
        <v>15.87</v>
      </c>
      <c r="L10" s="29">
        <v>109.2</v>
      </c>
      <c r="M10" s="28" t="s">
        <v>17</v>
      </c>
      <c r="N10" s="23">
        <v>3100167293</v>
      </c>
      <c r="O10" s="30">
        <v>3100004263</v>
      </c>
    </row>
    <row r="11" spans="1:15">
      <c r="A11" s="21" t="s">
        <v>15</v>
      </c>
      <c r="B11" s="22">
        <v>43407</v>
      </c>
      <c r="C11" s="23">
        <v>4501390726</v>
      </c>
      <c r="D11" s="23">
        <v>5001256749</v>
      </c>
      <c r="E11" s="23">
        <v>10</v>
      </c>
      <c r="F11" s="23">
        <v>10268636</v>
      </c>
      <c r="G11" s="24" t="str">
        <f>VLOOKUP(F11,商品编码!$A:$B,2,0)</f>
        <v>味好美研磨瓶黑胡椒粒</v>
      </c>
      <c r="H11" s="25">
        <v>24</v>
      </c>
      <c r="I11" s="28" t="s">
        <v>16</v>
      </c>
      <c r="J11" s="23">
        <v>293.33</v>
      </c>
      <c r="K11" s="23">
        <v>49.87</v>
      </c>
      <c r="L11" s="29">
        <v>343.2</v>
      </c>
      <c r="M11" s="28" t="s">
        <v>17</v>
      </c>
      <c r="N11" s="23">
        <v>3100167293</v>
      </c>
      <c r="O11" s="30">
        <v>3100004263</v>
      </c>
    </row>
    <row r="12" spans="1:15">
      <c r="A12" s="21" t="s">
        <v>15</v>
      </c>
      <c r="B12" s="22">
        <v>43408</v>
      </c>
      <c r="C12" s="23">
        <v>4501390726</v>
      </c>
      <c r="D12" s="23">
        <v>5001256749</v>
      </c>
      <c r="E12" s="23">
        <v>11</v>
      </c>
      <c r="F12" s="23">
        <v>10270752</v>
      </c>
      <c r="G12" s="24" t="str">
        <f>VLOOKUP(F12,商品编码!$A:$B,2,0)</f>
        <v>味好美番茄沙司</v>
      </c>
      <c r="H12" s="25">
        <v>12</v>
      </c>
      <c r="I12" s="28" t="s">
        <v>16</v>
      </c>
      <c r="J12" s="23">
        <v>60.51</v>
      </c>
      <c r="K12" s="23">
        <v>10.29</v>
      </c>
      <c r="L12" s="29">
        <v>70.8</v>
      </c>
      <c r="M12" s="28" t="s">
        <v>17</v>
      </c>
      <c r="N12" s="23">
        <v>3100167293</v>
      </c>
      <c r="O12" s="30">
        <v>3100004263</v>
      </c>
    </row>
    <row r="13" spans="1:15">
      <c r="A13" s="21" t="s">
        <v>15</v>
      </c>
      <c r="B13" s="22">
        <v>43408</v>
      </c>
      <c r="C13" s="23">
        <v>4501390726</v>
      </c>
      <c r="D13" s="23">
        <v>5001256749</v>
      </c>
      <c r="E13" s="23">
        <v>12</v>
      </c>
      <c r="F13" s="23">
        <v>10268626</v>
      </c>
      <c r="G13" s="24" t="str">
        <f>VLOOKUP(F13,商品编码!$A:$B,2,0)</f>
        <v>味好美鱼香肉丝调料</v>
      </c>
      <c r="H13" s="25">
        <v>15</v>
      </c>
      <c r="I13" s="28" t="s">
        <v>16</v>
      </c>
      <c r="J13" s="23">
        <v>33.33</v>
      </c>
      <c r="K13" s="23">
        <v>5.67</v>
      </c>
      <c r="L13" s="29">
        <v>39</v>
      </c>
      <c r="M13" s="28" t="s">
        <v>17</v>
      </c>
      <c r="N13" s="23">
        <v>3100167293</v>
      </c>
      <c r="O13" s="30">
        <v>3100004263</v>
      </c>
    </row>
    <row r="14" spans="1:15">
      <c r="A14" s="21" t="s">
        <v>15</v>
      </c>
      <c r="B14" s="22">
        <v>43408</v>
      </c>
      <c r="C14" s="23">
        <v>4501390726</v>
      </c>
      <c r="D14" s="23">
        <v>5001256749</v>
      </c>
      <c r="E14" s="23">
        <v>13</v>
      </c>
      <c r="F14" s="23">
        <v>10203970</v>
      </c>
      <c r="G14" s="24" t="str">
        <f>VLOOKUP(F14,商品编码!$A:$B,2,0)</f>
        <v>古龙茄汁沙丁鱼</v>
      </c>
      <c r="H14" s="25">
        <v>12</v>
      </c>
      <c r="I14" s="28" t="s">
        <v>16</v>
      </c>
      <c r="J14" s="23">
        <v>93.33</v>
      </c>
      <c r="K14" s="23">
        <v>15.87</v>
      </c>
      <c r="L14" s="29">
        <v>109.2</v>
      </c>
      <c r="M14" s="28" t="s">
        <v>17</v>
      </c>
      <c r="N14" s="23">
        <v>3100167293</v>
      </c>
      <c r="O14" s="30">
        <v>3100004263</v>
      </c>
    </row>
    <row r="15" spans="1:15">
      <c r="A15" s="21" t="s">
        <v>15</v>
      </c>
      <c r="B15" s="22">
        <v>43408</v>
      </c>
      <c r="C15" s="23">
        <v>4501390726</v>
      </c>
      <c r="D15" s="23">
        <v>5001256749</v>
      </c>
      <c r="E15" s="23">
        <v>14</v>
      </c>
      <c r="F15" s="23">
        <v>10013646</v>
      </c>
      <c r="G15" s="24" t="str">
        <f>VLOOKUP(F15,商品编码!$A:$B,2,0)</f>
        <v>味好美泰式甜辣酱</v>
      </c>
      <c r="H15" s="25">
        <v>12</v>
      </c>
      <c r="I15" s="28" t="s">
        <v>16</v>
      </c>
      <c r="J15" s="23">
        <v>82.05</v>
      </c>
      <c r="K15" s="23">
        <v>13.95</v>
      </c>
      <c r="L15" s="29">
        <v>96</v>
      </c>
      <c r="M15" s="28" t="s">
        <v>17</v>
      </c>
      <c r="N15" s="23">
        <v>3100167293</v>
      </c>
      <c r="O15" s="30">
        <v>3100004263</v>
      </c>
    </row>
    <row r="16" spans="1:15">
      <c r="A16" s="21" t="s">
        <v>15</v>
      </c>
      <c r="B16" s="22">
        <v>43408</v>
      </c>
      <c r="C16" s="23">
        <v>4501390726</v>
      </c>
      <c r="D16" s="23">
        <v>5001256749</v>
      </c>
      <c r="E16" s="23">
        <v>15</v>
      </c>
      <c r="F16" s="23">
        <v>10205017</v>
      </c>
      <c r="G16" s="24" t="str">
        <f>VLOOKUP(F16,商品编码!$A:$B,2,0)</f>
        <v>古龙香辣沙丁鱼罐头</v>
      </c>
      <c r="H16" s="25">
        <v>12</v>
      </c>
      <c r="I16" s="28" t="s">
        <v>16</v>
      </c>
      <c r="J16" s="23">
        <v>75.9</v>
      </c>
      <c r="K16" s="23">
        <v>12.9</v>
      </c>
      <c r="L16" s="29">
        <v>88.8</v>
      </c>
      <c r="M16" s="28" t="s">
        <v>17</v>
      </c>
      <c r="N16" s="23">
        <v>3100167293</v>
      </c>
      <c r="O16" s="30">
        <v>3100004263</v>
      </c>
    </row>
    <row r="17" spans="1:15">
      <c r="A17" s="21" t="s">
        <v>15</v>
      </c>
      <c r="B17" s="22">
        <v>43408</v>
      </c>
      <c r="C17" s="23">
        <v>4501390726</v>
      </c>
      <c r="D17" s="23">
        <v>5001256749</v>
      </c>
      <c r="E17" s="23">
        <v>16</v>
      </c>
      <c r="F17" s="23">
        <v>10013641</v>
      </c>
      <c r="G17" s="24" t="str">
        <f>VLOOKUP(F17,商品编码!$A:$B,2,0)</f>
        <v>味好美瓶装白胡椒粉</v>
      </c>
      <c r="H17" s="25">
        <v>12</v>
      </c>
      <c r="I17" s="28" t="s">
        <v>16</v>
      </c>
      <c r="J17" s="23">
        <v>117.95</v>
      </c>
      <c r="K17" s="23">
        <v>20.05</v>
      </c>
      <c r="L17" s="29">
        <v>138</v>
      </c>
      <c r="M17" s="28" t="s">
        <v>17</v>
      </c>
      <c r="N17" s="23">
        <v>3100167293</v>
      </c>
      <c r="O17" s="30">
        <v>3100004263</v>
      </c>
    </row>
    <row r="18" spans="1:15">
      <c r="A18" s="21" t="s">
        <v>15</v>
      </c>
      <c r="B18" s="22">
        <v>43408</v>
      </c>
      <c r="C18" s="23">
        <v>4501390726</v>
      </c>
      <c r="D18" s="23">
        <v>5001256749</v>
      </c>
      <c r="E18" s="23">
        <v>17</v>
      </c>
      <c r="F18" s="23">
        <v>10270753</v>
      </c>
      <c r="G18" s="24" t="str">
        <f>VLOOKUP(F18,商品编码!$A:$B,2,0)</f>
        <v>味好美番茄沙司挤挤装</v>
      </c>
      <c r="H18" s="25">
        <v>72</v>
      </c>
      <c r="I18" s="28" t="s">
        <v>16</v>
      </c>
      <c r="J18" s="23">
        <v>387.69</v>
      </c>
      <c r="K18" s="23">
        <v>65.9</v>
      </c>
      <c r="L18" s="29">
        <v>453.59</v>
      </c>
      <c r="M18" s="28" t="s">
        <v>17</v>
      </c>
      <c r="N18" s="23">
        <v>3100167293</v>
      </c>
      <c r="O18" s="30">
        <v>3100004263</v>
      </c>
    </row>
    <row r="19" spans="1:15">
      <c r="A19" s="21" t="s">
        <v>15</v>
      </c>
      <c r="B19" s="22">
        <v>43408</v>
      </c>
      <c r="C19" s="23">
        <v>4501390726</v>
      </c>
      <c r="D19" s="23">
        <v>5001256749</v>
      </c>
      <c r="E19" s="23">
        <v>18</v>
      </c>
      <c r="F19" s="23">
        <v>11001435</v>
      </c>
      <c r="G19" s="24" t="str">
        <f>VLOOKUP(F19,商品编码!$A:$B,2,0)</f>
        <v>味好美蒙特利尔牛排调料</v>
      </c>
      <c r="H19" s="25">
        <v>12</v>
      </c>
      <c r="I19" s="28" t="s">
        <v>16</v>
      </c>
      <c r="J19" s="23">
        <v>33.13</v>
      </c>
      <c r="K19" s="23">
        <v>5.63</v>
      </c>
      <c r="L19" s="29">
        <v>38.76</v>
      </c>
      <c r="M19" s="28" t="s">
        <v>17</v>
      </c>
      <c r="N19" s="23">
        <v>3100167293</v>
      </c>
      <c r="O19" s="30">
        <v>3100004263</v>
      </c>
    </row>
    <row r="20" spans="1:15">
      <c r="A20" s="21" t="s">
        <v>15</v>
      </c>
      <c r="B20" s="22">
        <v>43408</v>
      </c>
      <c r="C20" s="23">
        <v>4501390726</v>
      </c>
      <c r="D20" s="23">
        <v>5001256749</v>
      </c>
      <c r="E20" s="23">
        <v>19</v>
      </c>
      <c r="F20" s="23">
        <v>11032872</v>
      </c>
      <c r="G20" s="24" t="str">
        <f>VLOOKUP(F20,商品编码!$A:$B,2,0)</f>
        <v>味好美香茄沙司挤挤装</v>
      </c>
      <c r="H20" s="25">
        <v>24</v>
      </c>
      <c r="I20" s="28" t="s">
        <v>16</v>
      </c>
      <c r="J20" s="23">
        <v>73.85</v>
      </c>
      <c r="K20" s="23">
        <v>12.55</v>
      </c>
      <c r="L20" s="29">
        <v>86.4</v>
      </c>
      <c r="M20" s="28" t="s">
        <v>17</v>
      </c>
      <c r="N20" s="23">
        <v>3100167293</v>
      </c>
      <c r="O20" s="30">
        <v>3100004263</v>
      </c>
    </row>
    <row r="21" spans="1:15">
      <c r="A21" s="21" t="s">
        <v>15</v>
      </c>
      <c r="B21" s="22">
        <v>43408</v>
      </c>
      <c r="C21" s="23">
        <v>4501391586</v>
      </c>
      <c r="D21" s="23">
        <v>5001256894</v>
      </c>
      <c r="E21" s="23">
        <v>1</v>
      </c>
      <c r="F21" s="23">
        <v>10295540</v>
      </c>
      <c r="G21" s="24" t="str">
        <f>VLOOKUP(F21,商品编码!$A:$B,2,0)</f>
        <v>李锦记蒸鱼豉油</v>
      </c>
      <c r="H21" s="25">
        <v>24</v>
      </c>
      <c r="I21" s="28" t="s">
        <v>16</v>
      </c>
      <c r="J21" s="23">
        <v>160</v>
      </c>
      <c r="K21" s="23">
        <v>27.2</v>
      </c>
      <c r="L21" s="29">
        <v>187.2</v>
      </c>
      <c r="M21" s="28" t="s">
        <v>17</v>
      </c>
      <c r="N21" s="23">
        <v>3100167313</v>
      </c>
      <c r="O21" s="30">
        <v>3100004263</v>
      </c>
    </row>
    <row r="22" spans="1:15">
      <c r="A22" s="21" t="s">
        <v>15</v>
      </c>
      <c r="B22" s="22">
        <v>43408</v>
      </c>
      <c r="C22" s="23">
        <v>4501391586</v>
      </c>
      <c r="D22" s="23">
        <v>5001256894</v>
      </c>
      <c r="E22" s="23">
        <v>2</v>
      </c>
      <c r="F22" s="23">
        <v>10270769</v>
      </c>
      <c r="G22" s="24" t="str">
        <f>VLOOKUP(F22,商品编码!$A:$B,2,0)</f>
        <v>李锦记精选老抽</v>
      </c>
      <c r="H22" s="25">
        <v>12</v>
      </c>
      <c r="I22" s="28" t="s">
        <v>16</v>
      </c>
      <c r="J22" s="23">
        <v>101.54</v>
      </c>
      <c r="K22" s="23">
        <v>17.26</v>
      </c>
      <c r="L22" s="29">
        <v>118.8</v>
      </c>
      <c r="M22" s="28" t="s">
        <v>17</v>
      </c>
      <c r="N22" s="23">
        <v>3100167313</v>
      </c>
      <c r="O22" s="30">
        <v>3100004263</v>
      </c>
    </row>
    <row r="23" spans="1:15">
      <c r="A23" s="21" t="s">
        <v>15</v>
      </c>
      <c r="B23" s="22">
        <v>43408</v>
      </c>
      <c r="C23" s="23">
        <v>4501391586</v>
      </c>
      <c r="D23" s="23">
        <v>5001256894</v>
      </c>
      <c r="E23" s="23">
        <v>3</v>
      </c>
      <c r="F23" s="23">
        <v>10013890</v>
      </c>
      <c r="G23" s="24" t="str">
        <f>VLOOKUP(F23,商品编码!$A:$B,2,0)</f>
        <v>李锦记金标生抽</v>
      </c>
      <c r="H23" s="25">
        <v>12</v>
      </c>
      <c r="I23" s="28" t="s">
        <v>16</v>
      </c>
      <c r="J23" s="23">
        <v>57.44</v>
      </c>
      <c r="K23" s="23">
        <v>9.76</v>
      </c>
      <c r="L23" s="29">
        <v>67.2</v>
      </c>
      <c r="M23" s="28" t="s">
        <v>17</v>
      </c>
      <c r="N23" s="23">
        <v>3100167313</v>
      </c>
      <c r="O23" s="30">
        <v>3100004263</v>
      </c>
    </row>
    <row r="24" spans="1:15">
      <c r="A24" s="21" t="s">
        <v>15</v>
      </c>
      <c r="B24" s="22">
        <v>43408</v>
      </c>
      <c r="C24" s="23">
        <v>4501391586</v>
      </c>
      <c r="D24" s="23">
        <v>5001256894</v>
      </c>
      <c r="E24" s="23">
        <v>4</v>
      </c>
      <c r="F24" s="23">
        <v>10013894</v>
      </c>
      <c r="G24" s="24" t="str">
        <f>VLOOKUP(F24,商品编码!$A:$B,2,0)</f>
        <v>李锦记番茄沙司挤挤装</v>
      </c>
      <c r="H24" s="25">
        <v>12</v>
      </c>
      <c r="I24" s="28" t="s">
        <v>16</v>
      </c>
      <c r="J24" s="23">
        <v>86.15</v>
      </c>
      <c r="K24" s="23">
        <v>14.65</v>
      </c>
      <c r="L24" s="29">
        <v>100.8</v>
      </c>
      <c r="M24" s="28" t="s">
        <v>17</v>
      </c>
      <c r="N24" s="23">
        <v>3100167313</v>
      </c>
      <c r="O24" s="30">
        <v>3100004263</v>
      </c>
    </row>
    <row r="25" spans="1:15">
      <c r="A25" s="21" t="s">
        <v>15</v>
      </c>
      <c r="B25" s="22">
        <v>43409</v>
      </c>
      <c r="C25" s="23">
        <v>4501391586</v>
      </c>
      <c r="D25" s="23">
        <v>5001256894</v>
      </c>
      <c r="E25" s="23">
        <v>5</v>
      </c>
      <c r="F25" s="23">
        <v>10013983</v>
      </c>
      <c r="G25" s="24" t="str">
        <f>VLOOKUP(F25,商品编码!$A:$B,2,0)</f>
        <v>李锦记锦珍生抽</v>
      </c>
      <c r="H25" s="25">
        <v>12</v>
      </c>
      <c r="I25" s="28" t="s">
        <v>16</v>
      </c>
      <c r="J25" s="23">
        <v>57.44</v>
      </c>
      <c r="K25" s="23">
        <v>9.76</v>
      </c>
      <c r="L25" s="29">
        <v>67.2</v>
      </c>
      <c r="M25" s="28" t="s">
        <v>17</v>
      </c>
      <c r="N25" s="23">
        <v>3100167313</v>
      </c>
      <c r="O25" s="30">
        <v>3100004263</v>
      </c>
    </row>
    <row r="26" spans="1:15">
      <c r="A26" s="21" t="s">
        <v>15</v>
      </c>
      <c r="B26" s="22">
        <v>43409</v>
      </c>
      <c r="C26" s="23">
        <v>4501391586</v>
      </c>
      <c r="D26" s="23">
        <v>5001256894</v>
      </c>
      <c r="E26" s="23">
        <v>6</v>
      </c>
      <c r="F26" s="23">
        <v>10014014</v>
      </c>
      <c r="G26" s="24" t="str">
        <f>VLOOKUP(F26,商品编码!$A:$B,2,0)</f>
        <v>李锦记精选生抽</v>
      </c>
      <c r="H26" s="25">
        <v>12</v>
      </c>
      <c r="I26" s="28" t="s">
        <v>16</v>
      </c>
      <c r="J26" s="23">
        <v>71.79</v>
      </c>
      <c r="K26" s="23">
        <v>12.2</v>
      </c>
      <c r="L26" s="29">
        <v>83.99</v>
      </c>
      <c r="M26" s="28" t="s">
        <v>17</v>
      </c>
      <c r="N26" s="23">
        <v>3100167313</v>
      </c>
      <c r="O26" s="30">
        <v>3100004263</v>
      </c>
    </row>
    <row r="27" spans="1:15">
      <c r="A27" s="21" t="s">
        <v>15</v>
      </c>
      <c r="B27" s="22">
        <v>43409</v>
      </c>
      <c r="C27" s="23">
        <v>4501391586</v>
      </c>
      <c r="D27" s="23">
        <v>5001256894</v>
      </c>
      <c r="E27" s="23">
        <v>7</v>
      </c>
      <c r="F27" s="23">
        <v>10268620</v>
      </c>
      <c r="G27" s="24" t="str">
        <f>VLOOKUP(F27,商品编码!$A:$B,2,0)</f>
        <v>味好美鸡蓉粟米羹</v>
      </c>
      <c r="H27" s="25">
        <v>24</v>
      </c>
      <c r="I27" s="28" t="s">
        <v>16</v>
      </c>
      <c r="J27" s="23">
        <v>59.49</v>
      </c>
      <c r="K27" s="23">
        <v>10.11</v>
      </c>
      <c r="L27" s="29">
        <v>69.6</v>
      </c>
      <c r="M27" s="28" t="s">
        <v>17</v>
      </c>
      <c r="N27" s="23">
        <v>3100167313</v>
      </c>
      <c r="O27" s="30">
        <v>3100004263</v>
      </c>
    </row>
    <row r="28" spans="1:15">
      <c r="A28" s="21" t="s">
        <v>15</v>
      </c>
      <c r="B28" s="22">
        <v>43409</v>
      </c>
      <c r="C28" s="23">
        <v>4501391586</v>
      </c>
      <c r="D28" s="23">
        <v>5001256894</v>
      </c>
      <c r="E28" s="23">
        <v>8</v>
      </c>
      <c r="F28" s="23">
        <v>10268646</v>
      </c>
      <c r="G28" s="24" t="str">
        <f>VLOOKUP(F28,商品编码!$A:$B,2,0)</f>
        <v>味好美港式酸辣汤</v>
      </c>
      <c r="H28" s="25">
        <v>24</v>
      </c>
      <c r="I28" s="28" t="s">
        <v>16</v>
      </c>
      <c r="J28" s="23">
        <v>59.49</v>
      </c>
      <c r="K28" s="23">
        <v>10.11</v>
      </c>
      <c r="L28" s="29">
        <v>69.6</v>
      </c>
      <c r="M28" s="28" t="s">
        <v>17</v>
      </c>
      <c r="N28" s="23">
        <v>3100167313</v>
      </c>
      <c r="O28" s="30">
        <v>3100004263</v>
      </c>
    </row>
    <row r="29" spans="1:15">
      <c r="A29" s="21" t="s">
        <v>15</v>
      </c>
      <c r="B29" s="22">
        <v>43409</v>
      </c>
      <c r="C29" s="23">
        <v>4501391586</v>
      </c>
      <c r="D29" s="23">
        <v>5001256894</v>
      </c>
      <c r="E29" s="23">
        <v>9</v>
      </c>
      <c r="F29" s="23">
        <v>10268580</v>
      </c>
      <c r="G29" s="24" t="str">
        <f>VLOOKUP(F29,商品编码!$A:$B,2,0)</f>
        <v>味好美孜然粉</v>
      </c>
      <c r="H29" s="25">
        <v>26</v>
      </c>
      <c r="I29" s="28" t="s">
        <v>16</v>
      </c>
      <c r="J29" s="23">
        <v>35.56</v>
      </c>
      <c r="K29" s="23">
        <v>6.05</v>
      </c>
      <c r="L29" s="29">
        <v>41.61</v>
      </c>
      <c r="M29" s="28" t="s">
        <v>17</v>
      </c>
      <c r="N29" s="23">
        <v>3100167313</v>
      </c>
      <c r="O29" s="30">
        <v>3100004263</v>
      </c>
    </row>
    <row r="30" spans="1:15">
      <c r="A30" s="21" t="s">
        <v>15</v>
      </c>
      <c r="B30" s="22">
        <v>43409</v>
      </c>
      <c r="C30" s="23">
        <v>4501391586</v>
      </c>
      <c r="D30" s="23">
        <v>5001256894</v>
      </c>
      <c r="E30" s="23">
        <v>10</v>
      </c>
      <c r="F30" s="23">
        <v>10013641</v>
      </c>
      <c r="G30" s="24" t="str">
        <f>VLOOKUP(F30,商品编码!$A:$B,2,0)</f>
        <v>味好美瓶装白胡椒粉</v>
      </c>
      <c r="H30" s="25">
        <v>24</v>
      </c>
      <c r="I30" s="28" t="s">
        <v>16</v>
      </c>
      <c r="J30" s="23">
        <v>235.9</v>
      </c>
      <c r="K30" s="23">
        <v>40.11</v>
      </c>
      <c r="L30" s="29">
        <v>276.01</v>
      </c>
      <c r="M30" s="28" t="s">
        <v>17</v>
      </c>
      <c r="N30" s="23">
        <v>3100167313</v>
      </c>
      <c r="O30" s="30">
        <v>3100004263</v>
      </c>
    </row>
    <row r="31" spans="1:15">
      <c r="A31" s="21" t="s">
        <v>15</v>
      </c>
      <c r="B31" s="22">
        <v>43409</v>
      </c>
      <c r="C31" s="23">
        <v>4501391586</v>
      </c>
      <c r="D31" s="23">
        <v>5001256894</v>
      </c>
      <c r="E31" s="23">
        <v>11</v>
      </c>
      <c r="F31" s="23">
        <v>10268626</v>
      </c>
      <c r="G31" s="24" t="str">
        <f>VLOOKUP(F31,商品编码!$A:$B,2,0)</f>
        <v>味好美鱼香肉丝调料</v>
      </c>
      <c r="H31" s="25">
        <v>24</v>
      </c>
      <c r="I31" s="28" t="s">
        <v>16</v>
      </c>
      <c r="J31" s="23">
        <v>53.33</v>
      </c>
      <c r="K31" s="23">
        <v>9.07</v>
      </c>
      <c r="L31" s="29">
        <v>62.4</v>
      </c>
      <c r="M31" s="28" t="s">
        <v>17</v>
      </c>
      <c r="N31" s="23">
        <v>3100167313</v>
      </c>
      <c r="O31" s="30">
        <v>3100004263</v>
      </c>
    </row>
    <row r="32" spans="1:15">
      <c r="A32" s="21" t="s">
        <v>15</v>
      </c>
      <c r="B32" s="22">
        <v>43409</v>
      </c>
      <c r="C32" s="23">
        <v>4501391586</v>
      </c>
      <c r="D32" s="23">
        <v>5001256894</v>
      </c>
      <c r="E32" s="23">
        <v>12</v>
      </c>
      <c r="F32" s="23">
        <v>10269843</v>
      </c>
      <c r="G32" s="24" t="str">
        <f>VLOOKUP(F32,商品编码!$A:$B,2,0)</f>
        <v>欣和六月香豆瓣酱</v>
      </c>
      <c r="H32" s="25">
        <v>24</v>
      </c>
      <c r="I32" s="28" t="s">
        <v>16</v>
      </c>
      <c r="J32" s="23">
        <v>118.97</v>
      </c>
      <c r="K32" s="23">
        <v>20.22</v>
      </c>
      <c r="L32" s="29">
        <v>139.19</v>
      </c>
      <c r="M32" s="28" t="s">
        <v>17</v>
      </c>
      <c r="N32" s="23">
        <v>3100167313</v>
      </c>
      <c r="O32" s="30">
        <v>3100004263</v>
      </c>
    </row>
    <row r="33" spans="1:15">
      <c r="A33" s="21" t="s">
        <v>15</v>
      </c>
      <c r="B33" s="22">
        <v>43409</v>
      </c>
      <c r="C33" s="23">
        <v>4501391586</v>
      </c>
      <c r="D33" s="23">
        <v>5001256894</v>
      </c>
      <c r="E33" s="23">
        <v>13</v>
      </c>
      <c r="F33" s="23">
        <v>10270753</v>
      </c>
      <c r="G33" s="24" t="str">
        <f>VLOOKUP(F33,商品编码!$A:$B,2,0)</f>
        <v>味好美番茄沙司挤挤装</v>
      </c>
      <c r="H33" s="25">
        <v>24</v>
      </c>
      <c r="I33" s="28" t="s">
        <v>16</v>
      </c>
      <c r="J33" s="23">
        <v>129.23</v>
      </c>
      <c r="K33" s="23">
        <v>21.97</v>
      </c>
      <c r="L33" s="29">
        <v>151.2</v>
      </c>
      <c r="M33" s="28" t="s">
        <v>17</v>
      </c>
      <c r="N33" s="23">
        <v>3100167313</v>
      </c>
      <c r="O33" s="30">
        <v>3100004263</v>
      </c>
    </row>
    <row r="34" spans="1:15">
      <c r="A34" s="21" t="s">
        <v>15</v>
      </c>
      <c r="B34" s="22">
        <v>43409</v>
      </c>
      <c r="C34" s="23">
        <v>4501391586</v>
      </c>
      <c r="D34" s="23">
        <v>5001256894</v>
      </c>
      <c r="E34" s="23">
        <v>14</v>
      </c>
      <c r="F34" s="23">
        <v>11096854</v>
      </c>
      <c r="G34" s="24" t="str">
        <f>VLOOKUP(F34,商品编码!$A:$B,2,0)</f>
        <v>味好美意大利面酱挤挤装</v>
      </c>
      <c r="H34" s="25">
        <v>12</v>
      </c>
      <c r="I34" s="28" t="s">
        <v>16</v>
      </c>
      <c r="J34" s="23">
        <v>86.15</v>
      </c>
      <c r="K34" s="23">
        <v>14.65</v>
      </c>
      <c r="L34" s="29">
        <v>100.8</v>
      </c>
      <c r="M34" s="28" t="s">
        <v>17</v>
      </c>
      <c r="N34" s="23">
        <v>3100167313</v>
      </c>
      <c r="O34" s="30">
        <v>3100004263</v>
      </c>
    </row>
    <row r="35" spans="1:15">
      <c r="A35" s="21" t="s">
        <v>15</v>
      </c>
      <c r="B35" s="22">
        <v>43409</v>
      </c>
      <c r="C35" s="23">
        <v>4501391586</v>
      </c>
      <c r="D35" s="23">
        <v>5001256894</v>
      </c>
      <c r="E35" s="23">
        <v>15</v>
      </c>
      <c r="F35" s="23">
        <v>10200915</v>
      </c>
      <c r="G35" s="24" t="str">
        <f>VLOOKUP(F35,商品编码!$A:$B,2,0)</f>
        <v>五谷道场海带排骨面</v>
      </c>
      <c r="H35" s="25">
        <v>12</v>
      </c>
      <c r="I35" s="28" t="s">
        <v>16</v>
      </c>
      <c r="J35" s="23">
        <v>197.44</v>
      </c>
      <c r="K35" s="23">
        <v>33.57</v>
      </c>
      <c r="L35" s="29">
        <v>231.01</v>
      </c>
      <c r="M35" s="28" t="s">
        <v>17</v>
      </c>
      <c r="N35" s="23">
        <v>3100167313</v>
      </c>
      <c r="O35" s="30">
        <v>3100004263</v>
      </c>
    </row>
    <row r="36" spans="1:15">
      <c r="A36" s="21" t="s">
        <v>15</v>
      </c>
      <c r="B36" s="22">
        <v>43409</v>
      </c>
      <c r="C36" s="23">
        <v>4501391586</v>
      </c>
      <c r="D36" s="23">
        <v>5001256894</v>
      </c>
      <c r="E36" s="23">
        <v>16</v>
      </c>
      <c r="F36" s="23">
        <v>10200922</v>
      </c>
      <c r="G36" s="24" t="str">
        <f>VLOOKUP(F36,商品编码!$A:$B,2,0)</f>
        <v>五谷道场优选红烧牛肉五连包</v>
      </c>
      <c r="H36" s="25">
        <v>12</v>
      </c>
      <c r="I36" s="28" t="s">
        <v>16</v>
      </c>
      <c r="J36" s="23">
        <v>137.44</v>
      </c>
      <c r="K36" s="23">
        <v>23.36</v>
      </c>
      <c r="L36" s="29">
        <v>160.8</v>
      </c>
      <c r="M36" s="28" t="s">
        <v>17</v>
      </c>
      <c r="N36" s="23">
        <v>3100167313</v>
      </c>
      <c r="O36" s="30">
        <v>3100004263</v>
      </c>
    </row>
    <row r="37" spans="1:15">
      <c r="A37" s="21" t="s">
        <v>15</v>
      </c>
      <c r="B37" s="22">
        <v>43409</v>
      </c>
      <c r="C37" s="23">
        <v>4501391586</v>
      </c>
      <c r="D37" s="23">
        <v>5001256894</v>
      </c>
      <c r="E37" s="23">
        <v>17</v>
      </c>
      <c r="F37" s="23">
        <v>10200928</v>
      </c>
      <c r="G37" s="24" t="str">
        <f>VLOOKUP(F37,商品编码!$A:$B,2,0)</f>
        <v>五谷道场酸笋肥牛五连包</v>
      </c>
      <c r="H37" s="25">
        <v>12</v>
      </c>
      <c r="I37" s="28" t="s">
        <v>16</v>
      </c>
      <c r="J37" s="23">
        <v>197.95</v>
      </c>
      <c r="K37" s="23">
        <v>33.66</v>
      </c>
      <c r="L37" s="29">
        <v>231.61</v>
      </c>
      <c r="M37" s="28" t="s">
        <v>17</v>
      </c>
      <c r="N37" s="23">
        <v>3100167313</v>
      </c>
      <c r="O37" s="30">
        <v>3100004263</v>
      </c>
    </row>
    <row r="38" spans="1:15">
      <c r="A38" s="21" t="s">
        <v>15</v>
      </c>
      <c r="B38" s="22">
        <v>43409</v>
      </c>
      <c r="C38" s="23">
        <v>4501391586</v>
      </c>
      <c r="D38" s="23">
        <v>5001256894</v>
      </c>
      <c r="E38" s="23">
        <v>18</v>
      </c>
      <c r="F38" s="23">
        <v>10200925</v>
      </c>
      <c r="G38" s="24" t="str">
        <f>VLOOKUP(F38,商品编码!$A:$B,2,0)</f>
        <v>五谷道场麦香红烧牛肉五连包</v>
      </c>
      <c r="H38" s="25">
        <v>12</v>
      </c>
      <c r="I38" s="28" t="s">
        <v>16</v>
      </c>
      <c r="J38" s="23">
        <v>136.41</v>
      </c>
      <c r="K38" s="23">
        <v>23.19</v>
      </c>
      <c r="L38" s="29">
        <v>159.6</v>
      </c>
      <c r="M38" s="28" t="s">
        <v>17</v>
      </c>
      <c r="N38" s="23">
        <v>3100167313</v>
      </c>
      <c r="O38" s="30">
        <v>3100004263</v>
      </c>
    </row>
    <row r="39" spans="1:15">
      <c r="A39" s="21" t="s">
        <v>15</v>
      </c>
      <c r="B39" s="22">
        <v>43409</v>
      </c>
      <c r="C39" s="23">
        <v>4501391586</v>
      </c>
      <c r="D39" s="23">
        <v>5001256894</v>
      </c>
      <c r="E39" s="23">
        <v>19</v>
      </c>
      <c r="F39" s="23">
        <v>10200917</v>
      </c>
      <c r="G39" s="24" t="str">
        <f>VLOOKUP(F39,商品编码!$A:$B,2,0)</f>
        <v>五谷道场骨汤豉汁辣排骨五连包</v>
      </c>
      <c r="H39" s="25">
        <v>12</v>
      </c>
      <c r="I39" s="28" t="s">
        <v>16</v>
      </c>
      <c r="J39" s="23">
        <v>155.9</v>
      </c>
      <c r="K39" s="23">
        <v>26.5</v>
      </c>
      <c r="L39" s="29">
        <v>182.4</v>
      </c>
      <c r="M39" s="28" t="s">
        <v>17</v>
      </c>
      <c r="N39" s="23">
        <v>3100167313</v>
      </c>
      <c r="O39" s="30">
        <v>3100004263</v>
      </c>
    </row>
    <row r="40" spans="1:15">
      <c r="A40" s="21" t="s">
        <v>15</v>
      </c>
      <c r="B40" s="22">
        <v>43409</v>
      </c>
      <c r="C40" s="23">
        <v>4501391586</v>
      </c>
      <c r="D40" s="23">
        <v>5001256894</v>
      </c>
      <c r="E40" s="23">
        <v>20</v>
      </c>
      <c r="F40" s="23">
        <v>10200919</v>
      </c>
      <c r="G40" s="24" t="str">
        <f>VLOOKUP(F40,商品编码!$A:$B,2,0)</f>
        <v>五谷道场骨汤番茄牛腩五连包</v>
      </c>
      <c r="H40" s="25">
        <v>12</v>
      </c>
      <c r="I40" s="28" t="s">
        <v>16</v>
      </c>
      <c r="J40" s="23">
        <v>137.44</v>
      </c>
      <c r="K40" s="23">
        <v>23.36</v>
      </c>
      <c r="L40" s="29">
        <v>160.8</v>
      </c>
      <c r="M40" s="28" t="s">
        <v>17</v>
      </c>
      <c r="N40" s="23">
        <v>3100167313</v>
      </c>
      <c r="O40" s="30">
        <v>3100004263</v>
      </c>
    </row>
    <row r="41" spans="1:15">
      <c r="A41" s="21" t="s">
        <v>15</v>
      </c>
      <c r="B41" s="22">
        <v>43409</v>
      </c>
      <c r="C41" s="23">
        <v>4501392162</v>
      </c>
      <c r="D41" s="23">
        <v>5001256739</v>
      </c>
      <c r="E41" s="23">
        <v>1</v>
      </c>
      <c r="F41" s="23">
        <v>10268575</v>
      </c>
      <c r="G41" s="24" t="str">
        <f>VLOOKUP(F41,商品编码!$A:$B,2,0)</f>
        <v>味好美花椒粉</v>
      </c>
      <c r="H41" s="25">
        <v>24</v>
      </c>
      <c r="I41" s="28" t="s">
        <v>16</v>
      </c>
      <c r="J41" s="23">
        <v>178.46</v>
      </c>
      <c r="K41" s="23">
        <v>30.34</v>
      </c>
      <c r="L41" s="29">
        <v>208.8</v>
      </c>
      <c r="M41" s="28" t="s">
        <v>17</v>
      </c>
      <c r="N41" s="23">
        <v>3100167292</v>
      </c>
      <c r="O41" s="30">
        <v>3100004263</v>
      </c>
    </row>
    <row r="42" spans="1:15">
      <c r="A42" s="21" t="s">
        <v>15</v>
      </c>
      <c r="B42" s="22">
        <v>43409</v>
      </c>
      <c r="C42" s="23">
        <v>4501392162</v>
      </c>
      <c r="D42" s="23">
        <v>5001256739</v>
      </c>
      <c r="E42" s="23">
        <v>2</v>
      </c>
      <c r="F42" s="23">
        <v>10013641</v>
      </c>
      <c r="G42" s="24" t="str">
        <f>VLOOKUP(F42,商品编码!$A:$B,2,0)</f>
        <v>味好美瓶装白胡椒粉</v>
      </c>
      <c r="H42" s="25">
        <v>24</v>
      </c>
      <c r="I42" s="28" t="s">
        <v>16</v>
      </c>
      <c r="J42" s="23">
        <v>235.9</v>
      </c>
      <c r="K42" s="23">
        <v>40.1</v>
      </c>
      <c r="L42" s="29">
        <v>276</v>
      </c>
      <c r="M42" s="28" t="s">
        <v>17</v>
      </c>
      <c r="N42" s="23">
        <v>3100167292</v>
      </c>
      <c r="O42" s="30">
        <v>3100004263</v>
      </c>
    </row>
    <row r="43" spans="1:15">
      <c r="A43" s="21" t="s">
        <v>15</v>
      </c>
      <c r="B43" s="22">
        <v>43410</v>
      </c>
      <c r="C43" s="23">
        <v>4501392162</v>
      </c>
      <c r="D43" s="23">
        <v>5001256739</v>
      </c>
      <c r="E43" s="23">
        <v>3</v>
      </c>
      <c r="F43" s="23">
        <v>10013642</v>
      </c>
      <c r="G43" s="24" t="str">
        <f>VLOOKUP(F43,商品编码!$A:$B,2,0)</f>
        <v>味好美瓶装黑胡椒粉</v>
      </c>
      <c r="H43" s="25">
        <v>24</v>
      </c>
      <c r="I43" s="28" t="s">
        <v>16</v>
      </c>
      <c r="J43" s="23">
        <v>219.49</v>
      </c>
      <c r="K43" s="23">
        <v>37.31</v>
      </c>
      <c r="L43" s="29">
        <v>256.8</v>
      </c>
      <c r="M43" s="28" t="s">
        <v>17</v>
      </c>
      <c r="N43" s="23">
        <v>3100167292</v>
      </c>
      <c r="O43" s="30">
        <v>3100004263</v>
      </c>
    </row>
    <row r="44" spans="1:15">
      <c r="A44" s="21" t="s">
        <v>15</v>
      </c>
      <c r="B44" s="22">
        <v>43410</v>
      </c>
      <c r="C44" s="23">
        <v>4501392162</v>
      </c>
      <c r="D44" s="23">
        <v>5001256739</v>
      </c>
      <c r="E44" s="23">
        <v>4</v>
      </c>
      <c r="F44" s="23">
        <v>10268636</v>
      </c>
      <c r="G44" s="24" t="str">
        <f>VLOOKUP(F44,商品编码!$A:$B,2,0)</f>
        <v>味好美研磨瓶黑胡椒粒</v>
      </c>
      <c r="H44" s="25">
        <v>48</v>
      </c>
      <c r="I44" s="28" t="s">
        <v>16</v>
      </c>
      <c r="J44" s="23">
        <v>586.67</v>
      </c>
      <c r="K44" s="23">
        <v>99.74</v>
      </c>
      <c r="L44" s="29">
        <v>686.41</v>
      </c>
      <c r="M44" s="28" t="s">
        <v>17</v>
      </c>
      <c r="N44" s="23">
        <v>3100167292</v>
      </c>
      <c r="O44" s="30">
        <v>3100004263</v>
      </c>
    </row>
    <row r="45" spans="1:15">
      <c r="A45" s="21" t="s">
        <v>15</v>
      </c>
      <c r="B45" s="22">
        <v>43410</v>
      </c>
      <c r="C45" s="23">
        <v>4501392162</v>
      </c>
      <c r="D45" s="23">
        <v>5001256739</v>
      </c>
      <c r="E45" s="23">
        <v>5</v>
      </c>
      <c r="F45" s="23">
        <v>10268583</v>
      </c>
      <c r="G45" s="24" t="str">
        <f>VLOOKUP(F45,商品编码!$A:$B,2,0)</f>
        <v>味好美黑胡椒粉</v>
      </c>
      <c r="H45" s="25">
        <v>36</v>
      </c>
      <c r="I45" s="28" t="s">
        <v>16</v>
      </c>
      <c r="J45" s="23">
        <v>86.15</v>
      </c>
      <c r="K45" s="23">
        <v>14.65</v>
      </c>
      <c r="L45" s="29">
        <v>100.8</v>
      </c>
      <c r="M45" s="28" t="s">
        <v>17</v>
      </c>
      <c r="N45" s="23">
        <v>3100167292</v>
      </c>
      <c r="O45" s="30">
        <v>3100004263</v>
      </c>
    </row>
    <row r="46" spans="1:15">
      <c r="A46" s="21" t="s">
        <v>15</v>
      </c>
      <c r="B46" s="22">
        <v>43410</v>
      </c>
      <c r="C46" s="23">
        <v>4501392162</v>
      </c>
      <c r="D46" s="23">
        <v>5001256739</v>
      </c>
      <c r="E46" s="23">
        <v>6</v>
      </c>
      <c r="F46" s="23">
        <v>10596869</v>
      </c>
      <c r="G46" s="24" t="str">
        <f>VLOOKUP(F46,商品编码!$A:$B,2,0)</f>
        <v>味好美咖喱鸡调料</v>
      </c>
      <c r="H46" s="25">
        <v>24</v>
      </c>
      <c r="I46" s="28" t="s">
        <v>16</v>
      </c>
      <c r="J46" s="23">
        <v>57.44</v>
      </c>
      <c r="K46" s="23">
        <v>9.76</v>
      </c>
      <c r="L46" s="29">
        <v>67.2</v>
      </c>
      <c r="M46" s="28" t="s">
        <v>17</v>
      </c>
      <c r="N46" s="23">
        <v>3100167292</v>
      </c>
      <c r="O46" s="30">
        <v>3100004263</v>
      </c>
    </row>
    <row r="47" spans="1:15">
      <c r="A47" s="26" t="s">
        <v>18</v>
      </c>
      <c r="B47" s="22">
        <v>43410</v>
      </c>
      <c r="C47" s="23">
        <v>4501392162</v>
      </c>
      <c r="D47" s="23">
        <v>5001256739</v>
      </c>
      <c r="E47" s="23">
        <v>7</v>
      </c>
      <c r="F47" s="23">
        <v>11001435</v>
      </c>
      <c r="G47" s="24" t="str">
        <f>VLOOKUP(F47,商品编码!$A:$B,2,0)</f>
        <v>味好美蒙特利尔牛排调料</v>
      </c>
      <c r="H47" s="25">
        <v>24</v>
      </c>
      <c r="I47" s="28" t="s">
        <v>16</v>
      </c>
      <c r="J47" s="23">
        <v>66.26</v>
      </c>
      <c r="K47" s="23">
        <v>11.26</v>
      </c>
      <c r="L47" s="29">
        <v>77.52</v>
      </c>
      <c r="M47" s="28" t="s">
        <v>17</v>
      </c>
      <c r="N47" s="23">
        <v>3100167292</v>
      </c>
      <c r="O47" s="30">
        <v>3100004263</v>
      </c>
    </row>
    <row r="48" spans="1:15">
      <c r="A48" s="26" t="s">
        <v>18</v>
      </c>
      <c r="B48" s="22">
        <v>43410</v>
      </c>
      <c r="C48" s="23">
        <v>4501392162</v>
      </c>
      <c r="D48" s="23">
        <v>5001256739</v>
      </c>
      <c r="E48" s="23">
        <v>8</v>
      </c>
      <c r="F48" s="23">
        <v>11096853</v>
      </c>
      <c r="G48" s="24" t="str">
        <f>VLOOKUP(F48,商品编码!$A:$B,2,0)</f>
        <v>味好美黑椒酱挤挤装</v>
      </c>
      <c r="H48" s="25">
        <v>24</v>
      </c>
      <c r="I48" s="28" t="s">
        <v>16</v>
      </c>
      <c r="J48" s="23">
        <v>172.31</v>
      </c>
      <c r="K48" s="23">
        <v>29.29</v>
      </c>
      <c r="L48" s="29">
        <v>201.6</v>
      </c>
      <c r="M48" s="28" t="s">
        <v>17</v>
      </c>
      <c r="N48" s="23">
        <v>3100167292</v>
      </c>
      <c r="O48" s="30">
        <v>3100004263</v>
      </c>
    </row>
    <row r="49" spans="1:15">
      <c r="A49" s="26" t="s">
        <v>18</v>
      </c>
      <c r="B49" s="22">
        <v>43410</v>
      </c>
      <c r="C49" s="23">
        <v>4501392162</v>
      </c>
      <c r="D49" s="23">
        <v>5001256739</v>
      </c>
      <c r="E49" s="23">
        <v>9</v>
      </c>
      <c r="F49" s="23">
        <v>11096854</v>
      </c>
      <c r="G49" s="24" t="str">
        <f>VLOOKUP(F49,商品编码!$A:$B,2,0)</f>
        <v>味好美意大利面酱挤挤装</v>
      </c>
      <c r="H49" s="25">
        <v>24</v>
      </c>
      <c r="I49" s="28" t="s">
        <v>16</v>
      </c>
      <c r="J49" s="23">
        <v>172.31</v>
      </c>
      <c r="K49" s="23">
        <v>29.29</v>
      </c>
      <c r="L49" s="29">
        <v>201.6</v>
      </c>
      <c r="M49" s="28" t="s">
        <v>17</v>
      </c>
      <c r="N49" s="23">
        <v>3100167292</v>
      </c>
      <c r="O49" s="30">
        <v>3100004263</v>
      </c>
    </row>
    <row r="50" spans="1:15">
      <c r="A50" s="26" t="s">
        <v>18</v>
      </c>
      <c r="B50" s="22">
        <v>43410</v>
      </c>
      <c r="C50" s="23">
        <v>4501392162</v>
      </c>
      <c r="D50" s="23">
        <v>5001256739</v>
      </c>
      <c r="E50" s="23">
        <v>10</v>
      </c>
      <c r="F50" s="23">
        <v>10033733</v>
      </c>
      <c r="G50" s="24" t="str">
        <f>VLOOKUP(F50,商品编码!$A:$B,2,0)</f>
        <v>李锦记蒸鱼豉油</v>
      </c>
      <c r="H50" s="25">
        <v>24</v>
      </c>
      <c r="I50" s="28" t="s">
        <v>16</v>
      </c>
      <c r="J50" s="23">
        <v>217.44</v>
      </c>
      <c r="K50" s="23">
        <v>36.96</v>
      </c>
      <c r="L50" s="29">
        <v>254.4</v>
      </c>
      <c r="M50" s="28" t="s">
        <v>17</v>
      </c>
      <c r="N50" s="23">
        <v>3100167292</v>
      </c>
      <c r="O50" s="30">
        <v>3100004263</v>
      </c>
    </row>
    <row r="51" spans="1:15">
      <c r="A51" s="26" t="s">
        <v>18</v>
      </c>
      <c r="B51" s="22">
        <v>43410</v>
      </c>
      <c r="C51" s="23">
        <v>4501392162</v>
      </c>
      <c r="D51" s="23">
        <v>5001256739</v>
      </c>
      <c r="E51" s="23">
        <v>11</v>
      </c>
      <c r="F51" s="23">
        <v>10200612</v>
      </c>
      <c r="G51" s="24" t="str">
        <f>VLOOKUP(F51,商品编码!$A:$B,2,0)</f>
        <v>欣和伴侣酱油</v>
      </c>
      <c r="H51" s="25">
        <v>12</v>
      </c>
      <c r="I51" s="28" t="s">
        <v>16</v>
      </c>
      <c r="J51" s="23">
        <v>265.64</v>
      </c>
      <c r="K51" s="23">
        <v>45.17</v>
      </c>
      <c r="L51" s="29">
        <v>310.81</v>
      </c>
      <c r="M51" s="28" t="s">
        <v>17</v>
      </c>
      <c r="N51" s="23">
        <v>3100167292</v>
      </c>
      <c r="O51" s="30">
        <v>3100004263</v>
      </c>
    </row>
    <row r="52" spans="1:15">
      <c r="A52" s="26" t="s">
        <v>18</v>
      </c>
      <c r="B52" s="22">
        <v>43410</v>
      </c>
      <c r="C52" s="23">
        <v>4501392162</v>
      </c>
      <c r="D52" s="23">
        <v>5001256739</v>
      </c>
      <c r="E52" s="23">
        <v>12</v>
      </c>
      <c r="F52" s="23">
        <v>10597317</v>
      </c>
      <c r="G52" s="24" t="str">
        <f>VLOOKUP(F52,商品编码!$A:$B,2,0)</f>
        <v>葱伴侣六月香黄豆酱桶装</v>
      </c>
      <c r="H52" s="25">
        <v>12</v>
      </c>
      <c r="I52" s="28" t="s">
        <v>16</v>
      </c>
      <c r="J52" s="23">
        <v>220.51</v>
      </c>
      <c r="K52" s="23">
        <v>37.49</v>
      </c>
      <c r="L52" s="29">
        <v>258</v>
      </c>
      <c r="M52" s="28" t="s">
        <v>17</v>
      </c>
      <c r="N52" s="23">
        <v>3100167292</v>
      </c>
      <c r="O52" s="30">
        <v>3100004263</v>
      </c>
    </row>
    <row r="53" spans="1:15">
      <c r="A53" s="26" t="s">
        <v>18</v>
      </c>
      <c r="B53" s="22">
        <v>43410</v>
      </c>
      <c r="C53" s="23">
        <v>4501392162</v>
      </c>
      <c r="D53" s="23">
        <v>5001256739</v>
      </c>
      <c r="E53" s="23">
        <v>13</v>
      </c>
      <c r="F53" s="23">
        <v>10200646</v>
      </c>
      <c r="G53" s="24" t="str">
        <f>VLOOKUP(F53,商品编码!$A:$B,2,0)</f>
        <v>六月香特级原汁酱油</v>
      </c>
      <c r="H53" s="25">
        <v>12</v>
      </c>
      <c r="I53" s="28" t="s">
        <v>16</v>
      </c>
      <c r="J53" s="23">
        <v>158.97</v>
      </c>
      <c r="K53" s="23">
        <v>27.02</v>
      </c>
      <c r="L53" s="29">
        <v>185.99</v>
      </c>
      <c r="M53" s="28" t="s">
        <v>17</v>
      </c>
      <c r="N53" s="23">
        <v>3100167292</v>
      </c>
      <c r="O53" s="30">
        <v>3100004263</v>
      </c>
    </row>
    <row r="54" spans="1:15">
      <c r="A54" s="26" t="s">
        <v>18</v>
      </c>
      <c r="B54" s="22">
        <v>43410</v>
      </c>
      <c r="C54" s="23">
        <v>4501392162</v>
      </c>
      <c r="D54" s="23">
        <v>5001256739</v>
      </c>
      <c r="E54" s="23">
        <v>14</v>
      </c>
      <c r="F54" s="23">
        <v>10200606</v>
      </c>
      <c r="G54" s="24" t="str">
        <f>VLOOKUP(F54,商品编码!$A:$B,2,0)</f>
        <v>300g六月香蒜肉豆瓣酱</v>
      </c>
      <c r="H54" s="25">
        <v>12</v>
      </c>
      <c r="I54" s="28" t="s">
        <v>16</v>
      </c>
      <c r="J54" s="23">
        <v>66.67</v>
      </c>
      <c r="K54" s="23">
        <v>11.33</v>
      </c>
      <c r="L54" s="29">
        <v>78</v>
      </c>
      <c r="M54" s="28" t="s">
        <v>17</v>
      </c>
      <c r="N54" s="23">
        <v>3100167292</v>
      </c>
      <c r="O54" s="30">
        <v>3100004263</v>
      </c>
    </row>
    <row r="55" spans="1:15">
      <c r="A55" s="26" t="s">
        <v>18</v>
      </c>
      <c r="B55" s="22">
        <v>43410</v>
      </c>
      <c r="C55" s="23">
        <v>4501392162</v>
      </c>
      <c r="D55" s="23">
        <v>5001256739</v>
      </c>
      <c r="E55" s="23">
        <v>15</v>
      </c>
      <c r="F55" s="23">
        <v>10269843</v>
      </c>
      <c r="G55" s="24" t="str">
        <f>VLOOKUP(F55,商品编码!$A:$B,2,0)</f>
        <v>欣和六月香豆瓣酱</v>
      </c>
      <c r="H55" s="25">
        <v>48</v>
      </c>
      <c r="I55" s="28" t="s">
        <v>16</v>
      </c>
      <c r="J55" s="23">
        <v>237.95</v>
      </c>
      <c r="K55" s="23">
        <v>40.45</v>
      </c>
      <c r="L55" s="29">
        <v>278.4</v>
      </c>
      <c r="M55" s="28" t="s">
        <v>17</v>
      </c>
      <c r="N55" s="23">
        <v>3100167292</v>
      </c>
      <c r="O55" s="30">
        <v>3100004263</v>
      </c>
    </row>
    <row r="56" spans="1:15">
      <c r="A56" s="26" t="s">
        <v>18</v>
      </c>
      <c r="B56" s="22">
        <v>43410</v>
      </c>
      <c r="C56" s="23">
        <v>4501392162</v>
      </c>
      <c r="D56" s="23">
        <v>5001256739</v>
      </c>
      <c r="E56" s="23">
        <v>16</v>
      </c>
      <c r="F56" s="23">
        <v>10269844</v>
      </c>
      <c r="G56" s="24" t="str">
        <f>VLOOKUP(F56,商品编码!$A:$B,2,0)</f>
        <v>欣和葱伴侣六月香豆瓣酱</v>
      </c>
      <c r="H56" s="25">
        <v>24</v>
      </c>
      <c r="I56" s="28" t="s">
        <v>16</v>
      </c>
      <c r="J56" s="23">
        <v>164.1</v>
      </c>
      <c r="K56" s="23">
        <v>27.9</v>
      </c>
      <c r="L56" s="29">
        <v>192</v>
      </c>
      <c r="M56" s="28" t="s">
        <v>17</v>
      </c>
      <c r="N56" s="23">
        <v>3100167292</v>
      </c>
      <c r="O56" s="30">
        <v>3100004263</v>
      </c>
    </row>
    <row r="57" spans="1:15">
      <c r="A57" s="26" t="s">
        <v>18</v>
      </c>
      <c r="B57" s="22">
        <v>43410</v>
      </c>
      <c r="C57" s="23">
        <v>4501392162</v>
      </c>
      <c r="D57" s="23">
        <v>5001256739</v>
      </c>
      <c r="E57" s="23">
        <v>17</v>
      </c>
      <c r="F57" s="23">
        <v>10200615</v>
      </c>
      <c r="G57" s="24" t="str">
        <f>VLOOKUP(F57,商品编码!$A:$B,2,0)</f>
        <v>葱伴侣豆瓣酱</v>
      </c>
      <c r="H57" s="25">
        <v>60</v>
      </c>
      <c r="I57" s="28" t="s">
        <v>16</v>
      </c>
      <c r="J57" s="23">
        <v>153.85</v>
      </c>
      <c r="K57" s="23">
        <v>26.15</v>
      </c>
      <c r="L57" s="29">
        <v>180</v>
      </c>
      <c r="M57" s="28" t="s">
        <v>17</v>
      </c>
      <c r="N57" s="23">
        <v>3100167292</v>
      </c>
      <c r="O57" s="30">
        <v>3100004263</v>
      </c>
    </row>
    <row r="58" spans="1:15">
      <c r="A58" s="26" t="s">
        <v>18</v>
      </c>
      <c r="B58" s="22">
        <v>43410</v>
      </c>
      <c r="C58" s="23">
        <v>4501392162</v>
      </c>
      <c r="D58" s="23">
        <v>5001256739</v>
      </c>
      <c r="E58" s="23">
        <v>18</v>
      </c>
      <c r="F58" s="23">
        <v>10200633</v>
      </c>
      <c r="G58" s="24" t="str">
        <f>VLOOKUP(F58,商品编码!$A:$B,2,0)</f>
        <v>欣和六月鲜酱油</v>
      </c>
      <c r="H58" s="25">
        <v>12</v>
      </c>
      <c r="I58" s="28" t="s">
        <v>16</v>
      </c>
      <c r="J58" s="23">
        <v>202.05</v>
      </c>
      <c r="K58" s="23">
        <v>34.35</v>
      </c>
      <c r="L58" s="29">
        <v>236.4</v>
      </c>
      <c r="M58" s="28" t="s">
        <v>17</v>
      </c>
      <c r="N58" s="23">
        <v>3100167292</v>
      </c>
      <c r="O58" s="30">
        <v>3100004263</v>
      </c>
    </row>
    <row r="59" spans="1:15">
      <c r="A59" s="26" t="s">
        <v>18</v>
      </c>
      <c r="B59" s="22">
        <v>43410</v>
      </c>
      <c r="C59" s="23">
        <v>4501392162</v>
      </c>
      <c r="D59" s="23">
        <v>5001256739</v>
      </c>
      <c r="E59" s="23">
        <v>19</v>
      </c>
      <c r="F59" s="23">
        <v>10200634</v>
      </c>
      <c r="G59" s="24" t="str">
        <f>VLOOKUP(F59,商品编码!$A:$B,2,0)</f>
        <v>欣和伴侣酱油</v>
      </c>
      <c r="H59" s="25">
        <v>12</v>
      </c>
      <c r="I59" s="28" t="s">
        <v>16</v>
      </c>
      <c r="J59" s="23">
        <v>142.56</v>
      </c>
      <c r="K59" s="23">
        <v>24.24</v>
      </c>
      <c r="L59" s="29">
        <v>166.8</v>
      </c>
      <c r="M59" s="28" t="s">
        <v>17</v>
      </c>
      <c r="N59" s="23">
        <v>3100167292</v>
      </c>
      <c r="O59" s="30">
        <v>3100004263</v>
      </c>
    </row>
    <row r="60" spans="1:15">
      <c r="A60" s="26" t="s">
        <v>18</v>
      </c>
      <c r="B60" s="22">
        <v>43410</v>
      </c>
      <c r="C60" s="23">
        <v>4501391612</v>
      </c>
      <c r="D60" s="23">
        <v>5001258394</v>
      </c>
      <c r="E60" s="23">
        <v>1</v>
      </c>
      <c r="F60" s="23">
        <v>10013641</v>
      </c>
      <c r="G60" s="24" t="str">
        <f>VLOOKUP(F60,商品编码!$A:$B,2,0)</f>
        <v>味好美瓶装白胡椒粉</v>
      </c>
      <c r="H60" s="25">
        <v>48</v>
      </c>
      <c r="I60" s="28" t="s">
        <v>16</v>
      </c>
      <c r="J60" s="23">
        <v>471.79</v>
      </c>
      <c r="K60" s="23">
        <v>80.21</v>
      </c>
      <c r="L60" s="29">
        <v>552</v>
      </c>
      <c r="M60" s="28" t="s">
        <v>17</v>
      </c>
      <c r="N60" s="23">
        <v>3100167972</v>
      </c>
      <c r="O60" s="30">
        <v>3100004263</v>
      </c>
    </row>
    <row r="61" spans="1:15">
      <c r="A61" s="26" t="s">
        <v>18</v>
      </c>
      <c r="B61" s="22">
        <v>43410</v>
      </c>
      <c r="C61" s="23">
        <v>4501391612</v>
      </c>
      <c r="D61" s="23">
        <v>5001258394</v>
      </c>
      <c r="E61" s="23">
        <v>2</v>
      </c>
      <c r="F61" s="23">
        <v>10013642</v>
      </c>
      <c r="G61" s="24" t="str">
        <f>VLOOKUP(F61,商品编码!$A:$B,2,0)</f>
        <v>味好美瓶装黑胡椒粉</v>
      </c>
      <c r="H61" s="25">
        <v>48</v>
      </c>
      <c r="I61" s="28" t="s">
        <v>16</v>
      </c>
      <c r="J61" s="23">
        <v>438.97</v>
      </c>
      <c r="K61" s="23">
        <v>74.63</v>
      </c>
      <c r="L61" s="29">
        <v>513.6</v>
      </c>
      <c r="M61" s="28" t="s">
        <v>17</v>
      </c>
      <c r="N61" s="23">
        <v>3100167972</v>
      </c>
      <c r="O61" s="30">
        <v>3100004263</v>
      </c>
    </row>
    <row r="62" spans="1:15">
      <c r="A62" s="26" t="s">
        <v>18</v>
      </c>
      <c r="B62" s="22">
        <v>43410</v>
      </c>
      <c r="C62" s="23">
        <v>4501391612</v>
      </c>
      <c r="D62" s="23">
        <v>5001258394</v>
      </c>
      <c r="E62" s="23">
        <v>3</v>
      </c>
      <c r="F62" s="23">
        <v>10013885</v>
      </c>
      <c r="G62" s="24" t="str">
        <f>VLOOKUP(F62,商品编码!$A:$B,2,0)</f>
        <v>李锦记草菇老抽</v>
      </c>
      <c r="H62" s="25">
        <v>36</v>
      </c>
      <c r="I62" s="28" t="s">
        <v>16</v>
      </c>
      <c r="J62" s="23">
        <v>190.77</v>
      </c>
      <c r="K62" s="23">
        <v>32.43</v>
      </c>
      <c r="L62" s="29">
        <v>223.2</v>
      </c>
      <c r="M62" s="28" t="s">
        <v>17</v>
      </c>
      <c r="N62" s="23">
        <v>3100167972</v>
      </c>
      <c r="O62" s="30">
        <v>3100004263</v>
      </c>
    </row>
    <row r="63" spans="1:15">
      <c r="A63" s="26" t="s">
        <v>18</v>
      </c>
      <c r="B63" s="22">
        <v>43410</v>
      </c>
      <c r="C63" s="23">
        <v>4501391612</v>
      </c>
      <c r="D63" s="23">
        <v>5001258394</v>
      </c>
      <c r="E63" s="23">
        <v>4</v>
      </c>
      <c r="F63" s="23">
        <v>10013890</v>
      </c>
      <c r="G63" s="24" t="str">
        <f>VLOOKUP(F63,商品编码!$A:$B,2,0)</f>
        <v>李锦记金标生抽</v>
      </c>
      <c r="H63" s="25">
        <v>12</v>
      </c>
      <c r="I63" s="28" t="s">
        <v>16</v>
      </c>
      <c r="J63" s="23">
        <v>57.44</v>
      </c>
      <c r="K63" s="23">
        <v>9.76</v>
      </c>
      <c r="L63" s="29">
        <v>67.2</v>
      </c>
      <c r="M63" s="28" t="s">
        <v>17</v>
      </c>
      <c r="N63" s="23">
        <v>3100167972</v>
      </c>
      <c r="O63" s="30">
        <v>3100004263</v>
      </c>
    </row>
    <row r="64" spans="1:15">
      <c r="A64" s="26" t="s">
        <v>18</v>
      </c>
      <c r="B64" s="22">
        <v>43411</v>
      </c>
      <c r="C64" s="23">
        <v>4501391612</v>
      </c>
      <c r="D64" s="23">
        <v>5001258394</v>
      </c>
      <c r="E64" s="23">
        <v>5</v>
      </c>
      <c r="F64" s="23">
        <v>10013894</v>
      </c>
      <c r="G64" s="24" t="str">
        <f>VLOOKUP(F64,商品编码!$A:$B,2,0)</f>
        <v>李锦记番茄沙司挤挤装</v>
      </c>
      <c r="H64" s="25">
        <v>12</v>
      </c>
      <c r="I64" s="28" t="s">
        <v>16</v>
      </c>
      <c r="J64" s="23">
        <v>86.15</v>
      </c>
      <c r="K64" s="23">
        <v>14.65</v>
      </c>
      <c r="L64" s="29">
        <v>100.8</v>
      </c>
      <c r="M64" s="28" t="s">
        <v>17</v>
      </c>
      <c r="N64" s="23">
        <v>3100167972</v>
      </c>
      <c r="O64" s="30">
        <v>3100004263</v>
      </c>
    </row>
    <row r="65" spans="1:15">
      <c r="A65" s="26" t="s">
        <v>18</v>
      </c>
      <c r="B65" s="22">
        <v>43411</v>
      </c>
      <c r="C65" s="23">
        <v>4501391612</v>
      </c>
      <c r="D65" s="23">
        <v>5001258394</v>
      </c>
      <c r="E65" s="23">
        <v>6</v>
      </c>
      <c r="F65" s="23">
        <v>10013983</v>
      </c>
      <c r="G65" s="24" t="str">
        <f>VLOOKUP(F65,商品编码!$A:$B,2,0)</f>
        <v>李锦记锦珍生抽</v>
      </c>
      <c r="H65" s="25">
        <v>24</v>
      </c>
      <c r="I65" s="28" t="s">
        <v>16</v>
      </c>
      <c r="J65" s="23">
        <v>114.87</v>
      </c>
      <c r="K65" s="23">
        <v>19.53</v>
      </c>
      <c r="L65" s="29">
        <v>134.4</v>
      </c>
      <c r="M65" s="28" t="s">
        <v>17</v>
      </c>
      <c r="N65" s="23">
        <v>3100167972</v>
      </c>
      <c r="O65" s="30">
        <v>3100004263</v>
      </c>
    </row>
    <row r="66" spans="1:15">
      <c r="A66" s="26" t="s">
        <v>18</v>
      </c>
      <c r="B66" s="22">
        <v>43411</v>
      </c>
      <c r="C66" s="23">
        <v>4501391612</v>
      </c>
      <c r="D66" s="23">
        <v>5001258394</v>
      </c>
      <c r="E66" s="23">
        <v>7</v>
      </c>
      <c r="F66" s="23">
        <v>10014014</v>
      </c>
      <c r="G66" s="24" t="str">
        <f>VLOOKUP(F66,商品编码!$A:$B,2,0)</f>
        <v>李锦记精选生抽</v>
      </c>
      <c r="H66" s="25">
        <v>36</v>
      </c>
      <c r="I66" s="28" t="s">
        <v>16</v>
      </c>
      <c r="J66" s="23">
        <v>215.38</v>
      </c>
      <c r="K66" s="23">
        <v>36.61</v>
      </c>
      <c r="L66" s="29">
        <v>251.99</v>
      </c>
      <c r="M66" s="28" t="s">
        <v>17</v>
      </c>
      <c r="N66" s="23">
        <v>3100167972</v>
      </c>
      <c r="O66" s="30">
        <v>3100004263</v>
      </c>
    </row>
    <row r="67" spans="1:15">
      <c r="A67" s="26" t="s">
        <v>18</v>
      </c>
      <c r="B67" s="22">
        <v>43411</v>
      </c>
      <c r="C67" s="23">
        <v>4501391612</v>
      </c>
      <c r="D67" s="23">
        <v>5001258394</v>
      </c>
      <c r="E67" s="23">
        <v>8</v>
      </c>
      <c r="F67" s="23">
        <v>10200615</v>
      </c>
      <c r="G67" s="24" t="str">
        <f>VLOOKUP(F67,商品编码!$A:$B,2,0)</f>
        <v>葱伴侣豆瓣酱</v>
      </c>
      <c r="H67" s="25">
        <v>60</v>
      </c>
      <c r="I67" s="28" t="s">
        <v>16</v>
      </c>
      <c r="J67" s="23">
        <v>153.85</v>
      </c>
      <c r="K67" s="23">
        <v>26.15</v>
      </c>
      <c r="L67" s="29">
        <v>180</v>
      </c>
      <c r="M67" s="28" t="s">
        <v>17</v>
      </c>
      <c r="N67" s="23">
        <v>3100167972</v>
      </c>
      <c r="O67" s="30">
        <v>3100004263</v>
      </c>
    </row>
    <row r="68" spans="1:15">
      <c r="A68" s="26" t="s">
        <v>18</v>
      </c>
      <c r="B68" s="22">
        <v>43411</v>
      </c>
      <c r="C68" s="23">
        <v>4501391612</v>
      </c>
      <c r="D68" s="23">
        <v>5001258394</v>
      </c>
      <c r="E68" s="23">
        <v>9</v>
      </c>
      <c r="F68" s="23">
        <v>10200922</v>
      </c>
      <c r="G68" s="24" t="str">
        <f>VLOOKUP(F68,商品编码!$A:$B,2,0)</f>
        <v>五谷道场优选红烧牛肉五连包</v>
      </c>
      <c r="H68" s="25">
        <v>60</v>
      </c>
      <c r="I68" s="28" t="s">
        <v>16</v>
      </c>
      <c r="J68" s="23">
        <v>687.18</v>
      </c>
      <c r="K68" s="23">
        <v>116.83</v>
      </c>
      <c r="L68" s="29">
        <v>804.01</v>
      </c>
      <c r="M68" s="28" t="s">
        <v>17</v>
      </c>
      <c r="N68" s="23">
        <v>3100167972</v>
      </c>
      <c r="O68" s="30">
        <v>3100004263</v>
      </c>
    </row>
    <row r="69" spans="1:15">
      <c r="A69" s="26" t="s">
        <v>18</v>
      </c>
      <c r="B69" s="22">
        <v>43411</v>
      </c>
      <c r="C69" s="23">
        <v>4501391612</v>
      </c>
      <c r="D69" s="23">
        <v>5001258394</v>
      </c>
      <c r="E69" s="23">
        <v>10</v>
      </c>
      <c r="F69" s="23">
        <v>10200923</v>
      </c>
      <c r="G69" s="24" t="str">
        <f>VLOOKUP(F69,商品编码!$A:$B,2,0)</f>
        <v>五谷道场优选酸汤老鸭五连包</v>
      </c>
      <c r="H69" s="25">
        <v>12</v>
      </c>
      <c r="I69" s="28" t="s">
        <v>16</v>
      </c>
      <c r="J69" s="23">
        <v>155.9</v>
      </c>
      <c r="K69" s="23">
        <v>26.5</v>
      </c>
      <c r="L69" s="29">
        <v>182.4</v>
      </c>
      <c r="M69" s="28" t="s">
        <v>17</v>
      </c>
      <c r="N69" s="23">
        <v>3100167972</v>
      </c>
      <c r="O69" s="30">
        <v>3100004263</v>
      </c>
    </row>
    <row r="70" spans="1:15">
      <c r="A70" s="26" t="s">
        <v>18</v>
      </c>
      <c r="B70" s="22">
        <v>43411</v>
      </c>
      <c r="C70" s="23">
        <v>4501391612</v>
      </c>
      <c r="D70" s="23">
        <v>5001258394</v>
      </c>
      <c r="E70" s="23">
        <v>11</v>
      </c>
      <c r="F70" s="23">
        <v>10200928</v>
      </c>
      <c r="G70" s="24" t="str">
        <f>VLOOKUP(F70,商品编码!$A:$B,2,0)</f>
        <v>五谷道场酸笋肥牛五连包</v>
      </c>
      <c r="H70" s="25">
        <v>12</v>
      </c>
      <c r="I70" s="28" t="s">
        <v>16</v>
      </c>
      <c r="J70" s="23">
        <v>197.95</v>
      </c>
      <c r="K70" s="23">
        <v>33.65</v>
      </c>
      <c r="L70" s="29">
        <v>231.6</v>
      </c>
      <c r="M70" s="28" t="s">
        <v>17</v>
      </c>
      <c r="N70" s="23">
        <v>3100167972</v>
      </c>
      <c r="O70" s="30">
        <v>3100004263</v>
      </c>
    </row>
    <row r="71" spans="1:15">
      <c r="A71" s="26" t="s">
        <v>18</v>
      </c>
      <c r="B71" s="22">
        <v>43411</v>
      </c>
      <c r="C71" s="23">
        <v>4501391612</v>
      </c>
      <c r="D71" s="23">
        <v>5001258394</v>
      </c>
      <c r="E71" s="23">
        <v>12</v>
      </c>
      <c r="F71" s="23">
        <v>10200929</v>
      </c>
      <c r="G71" s="24" t="str">
        <f>VLOOKUP(F71,商品编码!$A:$B,2,0)</f>
        <v>五谷道场剁椒鱼头五连包</v>
      </c>
      <c r="H71" s="25">
        <v>12</v>
      </c>
      <c r="I71" s="28" t="s">
        <v>16</v>
      </c>
      <c r="J71" s="23">
        <v>197.95</v>
      </c>
      <c r="K71" s="23">
        <v>33.65</v>
      </c>
      <c r="L71" s="29">
        <v>231.6</v>
      </c>
      <c r="M71" s="28" t="s">
        <v>17</v>
      </c>
      <c r="N71" s="23">
        <v>3100167972</v>
      </c>
      <c r="O71" s="30">
        <v>3100004263</v>
      </c>
    </row>
    <row r="72" spans="1:15">
      <c r="A72" s="26" t="s">
        <v>18</v>
      </c>
      <c r="B72" s="22">
        <v>43411</v>
      </c>
      <c r="C72" s="23">
        <v>4501391612</v>
      </c>
      <c r="D72" s="23">
        <v>5001258394</v>
      </c>
      <c r="E72" s="23">
        <v>13</v>
      </c>
      <c r="F72" s="23">
        <v>10203970</v>
      </c>
      <c r="G72" s="24" t="str">
        <f>VLOOKUP(F72,商品编码!$A:$B,2,0)</f>
        <v>古龙茄汁沙丁鱼</v>
      </c>
      <c r="H72" s="25">
        <v>24</v>
      </c>
      <c r="I72" s="28" t="s">
        <v>16</v>
      </c>
      <c r="J72" s="23">
        <v>186.67</v>
      </c>
      <c r="K72" s="23">
        <v>31.73</v>
      </c>
      <c r="L72" s="29">
        <v>218.4</v>
      </c>
      <c r="M72" s="28" t="s">
        <v>17</v>
      </c>
      <c r="N72" s="23">
        <v>3100167972</v>
      </c>
      <c r="O72" s="30">
        <v>3100004263</v>
      </c>
    </row>
    <row r="73" spans="1:15">
      <c r="A73" s="26" t="s">
        <v>18</v>
      </c>
      <c r="B73" s="22">
        <v>43411</v>
      </c>
      <c r="C73" s="23">
        <v>4501391612</v>
      </c>
      <c r="D73" s="23">
        <v>5001258394</v>
      </c>
      <c r="E73" s="23">
        <v>14</v>
      </c>
      <c r="F73" s="23">
        <v>10205022</v>
      </c>
      <c r="G73" s="24" t="str">
        <f>VLOOKUP(F73,商品编码!$A:$B,2,0)</f>
        <v>古龙午餐肉</v>
      </c>
      <c r="H73" s="25">
        <v>12</v>
      </c>
      <c r="I73" s="28" t="s">
        <v>16</v>
      </c>
      <c r="J73" s="23">
        <v>138.46</v>
      </c>
      <c r="K73" s="23">
        <v>23.54</v>
      </c>
      <c r="L73" s="29">
        <v>162</v>
      </c>
      <c r="M73" s="28" t="s">
        <v>17</v>
      </c>
      <c r="N73" s="23">
        <v>3100167972</v>
      </c>
      <c r="O73" s="30">
        <v>3100004263</v>
      </c>
    </row>
    <row r="74" spans="1:15">
      <c r="A74" s="26" t="s">
        <v>18</v>
      </c>
      <c r="B74" s="22">
        <v>43411</v>
      </c>
      <c r="C74" s="23">
        <v>4501391612</v>
      </c>
      <c r="D74" s="23">
        <v>5001258394</v>
      </c>
      <c r="E74" s="23">
        <v>15</v>
      </c>
      <c r="F74" s="23">
        <v>10268582</v>
      </c>
      <c r="G74" s="24" t="str">
        <f>VLOOKUP(F74,商品编码!$A:$B,2,0)</f>
        <v>味好美白胡椒粉</v>
      </c>
      <c r="H74" s="25">
        <v>72</v>
      </c>
      <c r="I74" s="28" t="s">
        <v>16</v>
      </c>
      <c r="J74" s="23">
        <v>181.54</v>
      </c>
      <c r="K74" s="23">
        <v>30.86</v>
      </c>
      <c r="L74" s="29">
        <v>212.4</v>
      </c>
      <c r="M74" s="28" t="s">
        <v>17</v>
      </c>
      <c r="N74" s="23">
        <v>3100167972</v>
      </c>
      <c r="O74" s="30">
        <v>3100004263</v>
      </c>
    </row>
    <row r="75" spans="1:15">
      <c r="A75" s="26" t="s">
        <v>18</v>
      </c>
      <c r="B75" s="22">
        <v>43411</v>
      </c>
      <c r="C75" s="23">
        <v>4501391612</v>
      </c>
      <c r="D75" s="23">
        <v>5001258394</v>
      </c>
      <c r="E75" s="23">
        <v>16</v>
      </c>
      <c r="F75" s="23">
        <v>10268646</v>
      </c>
      <c r="G75" s="24" t="str">
        <f>VLOOKUP(F75,商品编码!$A:$B,2,0)</f>
        <v>味好美港式酸辣汤</v>
      </c>
      <c r="H75" s="25">
        <v>48</v>
      </c>
      <c r="I75" s="28" t="s">
        <v>16</v>
      </c>
      <c r="J75" s="23">
        <v>118.97</v>
      </c>
      <c r="K75" s="23">
        <v>20.22</v>
      </c>
      <c r="L75" s="29">
        <v>139.19</v>
      </c>
      <c r="M75" s="28" t="s">
        <v>17</v>
      </c>
      <c r="N75" s="23">
        <v>3100167972</v>
      </c>
      <c r="O75" s="30">
        <v>3100004263</v>
      </c>
    </row>
    <row r="76" spans="1:15">
      <c r="A76" s="26" t="s">
        <v>18</v>
      </c>
      <c r="B76" s="22">
        <v>43411</v>
      </c>
      <c r="C76" s="23">
        <v>4501391612</v>
      </c>
      <c r="D76" s="23">
        <v>5001258394</v>
      </c>
      <c r="E76" s="23">
        <v>17</v>
      </c>
      <c r="F76" s="23">
        <v>10269844</v>
      </c>
      <c r="G76" s="24" t="str">
        <f>VLOOKUP(F76,商品编码!$A:$B,2,0)</f>
        <v>欣和葱伴侣六月香豆瓣酱</v>
      </c>
      <c r="H76" s="25">
        <v>24</v>
      </c>
      <c r="I76" s="28" t="s">
        <v>16</v>
      </c>
      <c r="J76" s="23">
        <v>164.1</v>
      </c>
      <c r="K76" s="23">
        <v>27.9</v>
      </c>
      <c r="L76" s="29">
        <v>192</v>
      </c>
      <c r="M76" s="28" t="s">
        <v>17</v>
      </c>
      <c r="N76" s="23">
        <v>3100167972</v>
      </c>
      <c r="O76" s="30">
        <v>3100004263</v>
      </c>
    </row>
    <row r="77" spans="1:15">
      <c r="A77" s="26" t="s">
        <v>18</v>
      </c>
      <c r="B77" s="22">
        <v>43411</v>
      </c>
      <c r="C77" s="23">
        <v>4501391612</v>
      </c>
      <c r="D77" s="23">
        <v>5001258394</v>
      </c>
      <c r="E77" s="23">
        <v>18</v>
      </c>
      <c r="F77" s="23">
        <v>10270321</v>
      </c>
      <c r="G77" s="24" t="str">
        <f>VLOOKUP(F77,商品编码!$A:$B,2,0)</f>
        <v>李锦记天成一味特级鲜酱油</v>
      </c>
      <c r="H77" s="25">
        <v>12</v>
      </c>
      <c r="I77" s="28" t="s">
        <v>16</v>
      </c>
      <c r="J77" s="23">
        <v>126.15</v>
      </c>
      <c r="K77" s="23">
        <v>21.45</v>
      </c>
      <c r="L77" s="29">
        <v>147.6</v>
      </c>
      <c r="M77" s="28" t="s">
        <v>17</v>
      </c>
      <c r="N77" s="23">
        <v>3100167972</v>
      </c>
      <c r="O77" s="30">
        <v>3100004263</v>
      </c>
    </row>
    <row r="78" spans="1:15">
      <c r="A78" s="26" t="s">
        <v>18</v>
      </c>
      <c r="B78" s="22">
        <v>43411</v>
      </c>
      <c r="C78" s="23">
        <v>4501391612</v>
      </c>
      <c r="D78" s="23">
        <v>5001258394</v>
      </c>
      <c r="E78" s="23">
        <v>19</v>
      </c>
      <c r="F78" s="23">
        <v>10270683</v>
      </c>
      <c r="G78" s="24" t="str">
        <f>VLOOKUP(F78,商品编码!$A:$B,2,0)</f>
        <v>李锦记鲜香红烧酿造酱油</v>
      </c>
      <c r="H78" s="25">
        <v>12</v>
      </c>
      <c r="I78" s="28" t="s">
        <v>16</v>
      </c>
      <c r="J78" s="23">
        <v>100.51</v>
      </c>
      <c r="K78" s="23">
        <v>17.09</v>
      </c>
      <c r="L78" s="29">
        <v>117.6</v>
      </c>
      <c r="M78" s="28" t="s">
        <v>17</v>
      </c>
      <c r="N78" s="23">
        <v>3100167972</v>
      </c>
      <c r="O78" s="30">
        <v>3100004263</v>
      </c>
    </row>
    <row r="79" spans="1:15">
      <c r="A79" s="26" t="s">
        <v>18</v>
      </c>
      <c r="B79" s="22">
        <v>43411</v>
      </c>
      <c r="C79" s="23">
        <v>4501391612</v>
      </c>
      <c r="D79" s="23">
        <v>5001258394</v>
      </c>
      <c r="E79" s="23">
        <v>20</v>
      </c>
      <c r="F79" s="23">
        <v>10270752</v>
      </c>
      <c r="G79" s="24" t="str">
        <f>VLOOKUP(F79,商品编码!$A:$B,2,0)</f>
        <v>味好美番茄沙司</v>
      </c>
      <c r="H79" s="25">
        <v>24</v>
      </c>
      <c r="I79" s="28" t="s">
        <v>16</v>
      </c>
      <c r="J79" s="23">
        <v>121.03</v>
      </c>
      <c r="K79" s="23">
        <v>20.58</v>
      </c>
      <c r="L79" s="29">
        <v>141.61</v>
      </c>
      <c r="M79" s="28" t="s">
        <v>17</v>
      </c>
      <c r="N79" s="23">
        <v>3100167972</v>
      </c>
      <c r="O79" s="30">
        <v>3100004263</v>
      </c>
    </row>
    <row r="80" spans="1:15">
      <c r="A80" s="26" t="s">
        <v>18</v>
      </c>
      <c r="B80" s="22">
        <v>43411</v>
      </c>
      <c r="C80" s="23">
        <v>4501391612</v>
      </c>
      <c r="D80" s="23">
        <v>5001258394</v>
      </c>
      <c r="E80" s="23">
        <v>21</v>
      </c>
      <c r="F80" s="23">
        <v>10270753</v>
      </c>
      <c r="G80" s="24" t="str">
        <f>VLOOKUP(F80,商品编码!$A:$B,2,0)</f>
        <v>味好美番茄沙司挤挤装</v>
      </c>
      <c r="H80" s="25">
        <v>48</v>
      </c>
      <c r="I80" s="28" t="s">
        <v>16</v>
      </c>
      <c r="J80" s="23">
        <v>258.46</v>
      </c>
      <c r="K80" s="23">
        <v>43.94</v>
      </c>
      <c r="L80" s="29">
        <v>302.4</v>
      </c>
      <c r="M80" s="28" t="s">
        <v>17</v>
      </c>
      <c r="N80" s="23">
        <v>3100167972</v>
      </c>
      <c r="O80" s="30">
        <v>3100004263</v>
      </c>
    </row>
    <row r="81" spans="1:15">
      <c r="A81" s="26" t="s">
        <v>18</v>
      </c>
      <c r="B81" s="22">
        <v>43411</v>
      </c>
      <c r="C81" s="23">
        <v>4501391612</v>
      </c>
      <c r="D81" s="23">
        <v>5001258394</v>
      </c>
      <c r="E81" s="23">
        <v>22</v>
      </c>
      <c r="F81" s="23">
        <v>10270769</v>
      </c>
      <c r="G81" s="24" t="str">
        <f>VLOOKUP(F81,商品编码!$A:$B,2,0)</f>
        <v>李锦记精选老抽</v>
      </c>
      <c r="H81" s="25">
        <v>24</v>
      </c>
      <c r="I81" s="28" t="s">
        <v>16</v>
      </c>
      <c r="J81" s="23">
        <v>203.08</v>
      </c>
      <c r="K81" s="23">
        <v>34.52</v>
      </c>
      <c r="L81" s="29">
        <v>237.6</v>
      </c>
      <c r="M81" s="28" t="s">
        <v>17</v>
      </c>
      <c r="N81" s="23">
        <v>3100167972</v>
      </c>
      <c r="O81" s="30">
        <v>3100004263</v>
      </c>
    </row>
    <row r="82" spans="1:15">
      <c r="A82" s="26" t="s">
        <v>18</v>
      </c>
      <c r="B82" s="22">
        <v>43411</v>
      </c>
      <c r="C82" s="23">
        <v>4501391612</v>
      </c>
      <c r="D82" s="23">
        <v>5001258394</v>
      </c>
      <c r="E82" s="23">
        <v>23</v>
      </c>
      <c r="F82" s="23">
        <v>10271051</v>
      </c>
      <c r="G82" s="24" t="str">
        <f>VLOOKUP(F82,商品编码!$A:$B,2,0)</f>
        <v>李锦记锦珍老抽</v>
      </c>
      <c r="H82" s="25">
        <v>12</v>
      </c>
      <c r="I82" s="28" t="s">
        <v>16</v>
      </c>
      <c r="J82" s="23">
        <v>66.67</v>
      </c>
      <c r="K82" s="23">
        <v>11.33</v>
      </c>
      <c r="L82" s="29">
        <v>78</v>
      </c>
      <c r="M82" s="28" t="s">
        <v>17</v>
      </c>
      <c r="N82" s="23">
        <v>3100167972</v>
      </c>
      <c r="O82" s="30">
        <v>3100004263</v>
      </c>
    </row>
    <row r="83" spans="1:15">
      <c r="A83" s="26" t="s">
        <v>18</v>
      </c>
      <c r="B83" s="22">
        <v>43411</v>
      </c>
      <c r="C83" s="23">
        <v>4501391612</v>
      </c>
      <c r="D83" s="23">
        <v>5001258394</v>
      </c>
      <c r="E83" s="23">
        <v>24</v>
      </c>
      <c r="F83" s="23">
        <v>10271112</v>
      </c>
      <c r="G83" s="24" t="str">
        <f>VLOOKUP(F83,商品编码!$A:$B,2,0)</f>
        <v>欣和葱伴侣豆瓣酱</v>
      </c>
      <c r="H83" s="25">
        <v>50</v>
      </c>
      <c r="I83" s="28" t="s">
        <v>16</v>
      </c>
      <c r="J83" s="23">
        <v>68.38</v>
      </c>
      <c r="K83" s="23">
        <v>11.62</v>
      </c>
      <c r="L83" s="29">
        <v>80</v>
      </c>
      <c r="M83" s="28" t="s">
        <v>17</v>
      </c>
      <c r="N83" s="23">
        <v>3100167972</v>
      </c>
      <c r="O83" s="30">
        <v>3100004263</v>
      </c>
    </row>
    <row r="84" spans="1:15">
      <c r="A84" s="26" t="s">
        <v>18</v>
      </c>
      <c r="B84" s="22">
        <v>43412</v>
      </c>
      <c r="C84" s="23">
        <v>4501391612</v>
      </c>
      <c r="D84" s="23">
        <v>5001258394</v>
      </c>
      <c r="E84" s="23">
        <v>25</v>
      </c>
      <c r="F84" s="23">
        <v>11001432</v>
      </c>
      <c r="G84" s="24" t="str">
        <f>VLOOKUP(F84,商品编码!$A:$B,2,0)</f>
        <v>味好美泰式甜辣酱挤挤装</v>
      </c>
      <c r="H84" s="25">
        <v>12</v>
      </c>
      <c r="I84" s="28" t="s">
        <v>16</v>
      </c>
      <c r="J84" s="23">
        <v>69.23</v>
      </c>
      <c r="K84" s="23">
        <v>11.77</v>
      </c>
      <c r="L84" s="29">
        <v>81</v>
      </c>
      <c r="M84" s="28" t="s">
        <v>17</v>
      </c>
      <c r="N84" s="23">
        <v>3100167972</v>
      </c>
      <c r="O84" s="30">
        <v>3100004263</v>
      </c>
    </row>
    <row r="85" spans="1:15">
      <c r="A85" s="26" t="s">
        <v>18</v>
      </c>
      <c r="B85" s="22">
        <v>43412</v>
      </c>
      <c r="C85" s="23">
        <v>4501391612</v>
      </c>
      <c r="D85" s="23">
        <v>5001258394</v>
      </c>
      <c r="E85" s="23">
        <v>26</v>
      </c>
      <c r="F85" s="23">
        <v>11096853</v>
      </c>
      <c r="G85" s="24" t="str">
        <f>VLOOKUP(F85,商品编码!$A:$B,2,0)</f>
        <v>味好美黑椒酱挤挤装</v>
      </c>
      <c r="H85" s="25">
        <v>48</v>
      </c>
      <c r="I85" s="28" t="s">
        <v>16</v>
      </c>
      <c r="J85" s="23">
        <v>344.62</v>
      </c>
      <c r="K85" s="23">
        <v>58.59</v>
      </c>
      <c r="L85" s="29">
        <v>403.21</v>
      </c>
      <c r="M85" s="28" t="s">
        <v>17</v>
      </c>
      <c r="N85" s="23">
        <v>3100167972</v>
      </c>
      <c r="O85" s="30">
        <v>3100004263</v>
      </c>
    </row>
    <row r="86" spans="1:15">
      <c r="A86" s="26" t="s">
        <v>18</v>
      </c>
      <c r="B86" s="22">
        <v>43412</v>
      </c>
      <c r="C86" s="23">
        <v>4501391612</v>
      </c>
      <c r="D86" s="23">
        <v>5001258394</v>
      </c>
      <c r="E86" s="23">
        <v>27</v>
      </c>
      <c r="F86" s="23">
        <v>11096854</v>
      </c>
      <c r="G86" s="24" t="str">
        <f>VLOOKUP(F86,商品编码!$A:$B,2,0)</f>
        <v>味好美意大利面酱挤挤装</v>
      </c>
      <c r="H86" s="25">
        <v>24</v>
      </c>
      <c r="I86" s="28" t="s">
        <v>16</v>
      </c>
      <c r="J86" s="23">
        <v>172.31</v>
      </c>
      <c r="K86" s="23">
        <v>29.29</v>
      </c>
      <c r="L86" s="29">
        <v>201.6</v>
      </c>
      <c r="M86" s="28" t="s">
        <v>17</v>
      </c>
      <c r="N86" s="23">
        <v>3100167972</v>
      </c>
      <c r="O86" s="30">
        <v>3100004263</v>
      </c>
    </row>
    <row r="87" spans="1:15">
      <c r="A87" s="26" t="s">
        <v>18</v>
      </c>
      <c r="B87" s="22">
        <v>43412</v>
      </c>
      <c r="C87" s="23">
        <v>4501391612</v>
      </c>
      <c r="D87" s="23">
        <v>5001258394</v>
      </c>
      <c r="E87" s="23">
        <v>28</v>
      </c>
      <c r="F87" s="23">
        <v>11105211</v>
      </c>
      <c r="G87" s="24" t="str">
        <f>VLOOKUP(F87,商品编码!$A:$B,2,0)</f>
        <v>味好美香辣鸡翅30g微波炉调料</v>
      </c>
      <c r="H87" s="25">
        <v>24</v>
      </c>
      <c r="I87" s="28" t="s">
        <v>16</v>
      </c>
      <c r="J87" s="23">
        <v>57.44</v>
      </c>
      <c r="K87" s="23">
        <v>9.76</v>
      </c>
      <c r="L87" s="29">
        <v>67.2</v>
      </c>
      <c r="M87" s="28" t="s">
        <v>17</v>
      </c>
      <c r="N87" s="23">
        <v>3100167972</v>
      </c>
      <c r="O87" s="30">
        <v>3100004263</v>
      </c>
    </row>
    <row r="88" spans="1:15">
      <c r="A88" s="26" t="s">
        <v>18</v>
      </c>
      <c r="B88" s="22">
        <v>43412</v>
      </c>
      <c r="C88" s="23">
        <v>4501392671</v>
      </c>
      <c r="D88" s="23">
        <v>5001258533</v>
      </c>
      <c r="E88" s="23">
        <v>1</v>
      </c>
      <c r="F88" s="23">
        <v>11096853</v>
      </c>
      <c r="G88" s="24" t="str">
        <f>VLOOKUP(F88,商品编码!$A:$B,2,0)</f>
        <v>味好美黑椒酱挤挤装</v>
      </c>
      <c r="H88" s="25">
        <v>12</v>
      </c>
      <c r="I88" s="28" t="s">
        <v>16</v>
      </c>
      <c r="J88" s="23">
        <v>86.15</v>
      </c>
      <c r="K88" s="23">
        <v>14.65</v>
      </c>
      <c r="L88" s="29">
        <v>100.8</v>
      </c>
      <c r="M88" s="28" t="s">
        <v>17</v>
      </c>
      <c r="N88" s="23">
        <v>3100167984</v>
      </c>
      <c r="O88" s="30">
        <v>3100004263</v>
      </c>
    </row>
    <row r="89" spans="1:15">
      <c r="A89" s="26" t="s">
        <v>18</v>
      </c>
      <c r="B89" s="22">
        <v>43412</v>
      </c>
      <c r="C89" s="23">
        <v>4501392671</v>
      </c>
      <c r="D89" s="23">
        <v>5001258533</v>
      </c>
      <c r="E89" s="23">
        <v>2</v>
      </c>
      <c r="F89" s="23">
        <v>10014074</v>
      </c>
      <c r="G89" s="24" t="str">
        <f>VLOOKUP(F89,商品编码!$A:$B,2,0)</f>
        <v>李锦记锦珍生抽</v>
      </c>
      <c r="H89" s="25">
        <v>6</v>
      </c>
      <c r="I89" s="28" t="s">
        <v>16</v>
      </c>
      <c r="J89" s="23">
        <v>70.26</v>
      </c>
      <c r="K89" s="23">
        <v>11.94</v>
      </c>
      <c r="L89" s="29">
        <v>82.2</v>
      </c>
      <c r="M89" s="28" t="s">
        <v>17</v>
      </c>
      <c r="N89" s="23">
        <v>3100167984</v>
      </c>
      <c r="O89" s="30">
        <v>3100004263</v>
      </c>
    </row>
    <row r="90" spans="1:15">
      <c r="A90" s="26" t="s">
        <v>18</v>
      </c>
      <c r="B90" s="22">
        <v>43412</v>
      </c>
      <c r="C90" s="23">
        <v>4501392671</v>
      </c>
      <c r="D90" s="23">
        <v>5001258533</v>
      </c>
      <c r="E90" s="23">
        <v>3</v>
      </c>
      <c r="F90" s="23">
        <v>10271052</v>
      </c>
      <c r="G90" s="24" t="str">
        <f>VLOOKUP(F90,商品编码!$A:$B,2,0)</f>
        <v>李锦记草菇老抽</v>
      </c>
      <c r="H90" s="25">
        <v>4</v>
      </c>
      <c r="I90" s="28" t="s">
        <v>16</v>
      </c>
      <c r="J90" s="23">
        <v>76.38</v>
      </c>
      <c r="K90" s="23">
        <v>12.98</v>
      </c>
      <c r="L90" s="29">
        <v>89.36</v>
      </c>
      <c r="M90" s="28" t="s">
        <v>17</v>
      </c>
      <c r="N90" s="23">
        <v>3100167984</v>
      </c>
      <c r="O90" s="30">
        <v>3100004263</v>
      </c>
    </row>
    <row r="91" spans="1:15">
      <c r="A91" s="26" t="s">
        <v>18</v>
      </c>
      <c r="B91" s="22">
        <v>43412</v>
      </c>
      <c r="C91" s="23">
        <v>4501392671</v>
      </c>
      <c r="D91" s="23">
        <v>5001258533</v>
      </c>
      <c r="E91" s="23">
        <v>4</v>
      </c>
      <c r="F91" s="23">
        <v>10200930</v>
      </c>
      <c r="G91" s="24" t="str">
        <f>VLOOKUP(F91,商品编码!$A:$B,2,0)</f>
        <v>五谷道场酸笋肥牛碗装</v>
      </c>
      <c r="H91" s="25">
        <v>12</v>
      </c>
      <c r="I91" s="28" t="s">
        <v>16</v>
      </c>
      <c r="J91" s="23">
        <v>59.49</v>
      </c>
      <c r="K91" s="23">
        <v>10.11</v>
      </c>
      <c r="L91" s="29">
        <v>69.6</v>
      </c>
      <c r="M91" s="28" t="s">
        <v>17</v>
      </c>
      <c r="N91" s="23">
        <v>3100167984</v>
      </c>
      <c r="O91" s="30">
        <v>3100004263</v>
      </c>
    </row>
    <row r="92" spans="1:15">
      <c r="A92" s="26" t="s">
        <v>18</v>
      </c>
      <c r="B92" s="22">
        <v>43412</v>
      </c>
      <c r="C92" s="23">
        <v>4501392671</v>
      </c>
      <c r="D92" s="23">
        <v>5001258533</v>
      </c>
      <c r="E92" s="23">
        <v>5</v>
      </c>
      <c r="F92" s="23">
        <v>10269849</v>
      </c>
      <c r="G92" s="24" t="str">
        <f>VLOOKUP(F92,商品编码!$A:$B,2,0)</f>
        <v>欣和葱伴侣黄豆酱</v>
      </c>
      <c r="H92" s="25">
        <v>12</v>
      </c>
      <c r="I92" s="28" t="s">
        <v>16</v>
      </c>
      <c r="J92" s="23">
        <v>100.51</v>
      </c>
      <c r="K92" s="23">
        <v>17.09</v>
      </c>
      <c r="L92" s="29">
        <v>117.6</v>
      </c>
      <c r="M92" s="28" t="s">
        <v>17</v>
      </c>
      <c r="N92" s="23">
        <v>3100167984</v>
      </c>
      <c r="O92" s="30">
        <v>3100004263</v>
      </c>
    </row>
    <row r="93" spans="1:15">
      <c r="A93" s="26" t="s">
        <v>18</v>
      </c>
      <c r="B93" s="22">
        <v>43412</v>
      </c>
      <c r="C93" s="23">
        <v>4501395443</v>
      </c>
      <c r="D93" s="23">
        <v>5001258836</v>
      </c>
      <c r="E93" s="23">
        <v>1</v>
      </c>
      <c r="F93" s="23">
        <v>11088351</v>
      </c>
      <c r="G93" s="24" t="str">
        <f>VLOOKUP(F93,商品编码!$A:$B,2,0)</f>
        <v>欣和黄豆酱</v>
      </c>
      <c r="H93" s="25">
        <v>12</v>
      </c>
      <c r="I93" s="28" t="s">
        <v>16</v>
      </c>
      <c r="J93" s="23">
        <v>91.28</v>
      </c>
      <c r="K93" s="23">
        <v>15.52</v>
      </c>
      <c r="L93" s="29">
        <v>106.8</v>
      </c>
      <c r="M93" s="28" t="s">
        <v>17</v>
      </c>
      <c r="N93" s="23">
        <v>3100168006</v>
      </c>
      <c r="O93" s="30">
        <v>3100004263</v>
      </c>
    </row>
    <row r="94" spans="1:15">
      <c r="A94" s="26" t="s">
        <v>18</v>
      </c>
      <c r="B94" s="22">
        <v>43412</v>
      </c>
      <c r="C94" s="23">
        <v>4501395443</v>
      </c>
      <c r="D94" s="23">
        <v>5001258836</v>
      </c>
      <c r="E94" s="23">
        <v>2</v>
      </c>
      <c r="F94" s="23">
        <v>10200915</v>
      </c>
      <c r="G94" s="24" t="str">
        <f>VLOOKUP(F94,商品编码!$A:$B,2,0)</f>
        <v>五谷道场海带排骨面</v>
      </c>
      <c r="H94" s="25">
        <v>12</v>
      </c>
      <c r="I94" s="28" t="s">
        <v>16</v>
      </c>
      <c r="J94" s="23">
        <v>197.44</v>
      </c>
      <c r="K94" s="23">
        <v>33.56</v>
      </c>
      <c r="L94" s="29">
        <v>231</v>
      </c>
      <c r="M94" s="28" t="s">
        <v>17</v>
      </c>
      <c r="N94" s="23">
        <v>3100168006</v>
      </c>
      <c r="O94" s="30">
        <v>3100004263</v>
      </c>
    </row>
    <row r="95" spans="1:15">
      <c r="A95" s="26" t="s">
        <v>18</v>
      </c>
      <c r="B95" s="22">
        <v>43412</v>
      </c>
      <c r="C95" s="23">
        <v>4501395443</v>
      </c>
      <c r="D95" s="23">
        <v>5001258836</v>
      </c>
      <c r="E95" s="23">
        <v>3</v>
      </c>
      <c r="F95" s="23">
        <v>10013641</v>
      </c>
      <c r="G95" s="24" t="str">
        <f>VLOOKUP(F95,商品编码!$A:$B,2,0)</f>
        <v>味好美瓶装白胡椒粉</v>
      </c>
      <c r="H95" s="25">
        <v>24</v>
      </c>
      <c r="I95" s="28" t="s">
        <v>16</v>
      </c>
      <c r="J95" s="23">
        <v>235.9</v>
      </c>
      <c r="K95" s="23">
        <v>40.1</v>
      </c>
      <c r="L95" s="29">
        <v>276</v>
      </c>
      <c r="M95" s="28" t="s">
        <v>17</v>
      </c>
      <c r="N95" s="23">
        <v>3100168006</v>
      </c>
      <c r="O95" s="30">
        <v>3100004263</v>
      </c>
    </row>
    <row r="96" spans="1:15">
      <c r="A96" s="26" t="s">
        <v>18</v>
      </c>
      <c r="B96" s="22">
        <v>43412</v>
      </c>
      <c r="C96" s="23">
        <v>4501395443</v>
      </c>
      <c r="D96" s="23">
        <v>5001258836</v>
      </c>
      <c r="E96" s="23">
        <v>4</v>
      </c>
      <c r="F96" s="23">
        <v>10268646</v>
      </c>
      <c r="G96" s="24" t="str">
        <f>VLOOKUP(F96,商品编码!$A:$B,2,0)</f>
        <v>味好美港式酸辣汤</v>
      </c>
      <c r="H96" s="25">
        <v>20</v>
      </c>
      <c r="I96" s="28" t="s">
        <v>16</v>
      </c>
      <c r="J96" s="23">
        <v>49.57</v>
      </c>
      <c r="K96" s="23">
        <v>8.43</v>
      </c>
      <c r="L96" s="29">
        <v>58</v>
      </c>
      <c r="M96" s="28" t="s">
        <v>17</v>
      </c>
      <c r="N96" s="23">
        <v>3100168006</v>
      </c>
      <c r="O96" s="30">
        <v>3100004263</v>
      </c>
    </row>
    <row r="97" spans="1:15">
      <c r="A97" s="26" t="s">
        <v>18</v>
      </c>
      <c r="B97" s="22">
        <v>43412</v>
      </c>
      <c r="C97" s="23">
        <v>4501395443</v>
      </c>
      <c r="D97" s="23">
        <v>5001258836</v>
      </c>
      <c r="E97" s="23">
        <v>5</v>
      </c>
      <c r="F97" s="23">
        <v>10270644</v>
      </c>
      <c r="G97" s="24" t="str">
        <f>VLOOKUP(F97,商品编码!$A:$B,2,0)</f>
        <v>味好美花椒</v>
      </c>
      <c r="H97" s="25">
        <v>30</v>
      </c>
      <c r="I97" s="28" t="s">
        <v>16</v>
      </c>
      <c r="J97" s="23">
        <v>251.28</v>
      </c>
      <c r="K97" s="23">
        <v>42.72</v>
      </c>
      <c r="L97" s="29">
        <v>294</v>
      </c>
      <c r="M97" s="28" t="s">
        <v>17</v>
      </c>
      <c r="N97" s="23">
        <v>3100168006</v>
      </c>
      <c r="O97" s="30">
        <v>3100004263</v>
      </c>
    </row>
    <row r="98" spans="1:15">
      <c r="A98" s="26" t="s">
        <v>18</v>
      </c>
      <c r="B98" s="22">
        <v>43412</v>
      </c>
      <c r="C98" s="23">
        <v>4501395443</v>
      </c>
      <c r="D98" s="23">
        <v>5001258836</v>
      </c>
      <c r="E98" s="23">
        <v>6</v>
      </c>
      <c r="F98" s="23">
        <v>10200606</v>
      </c>
      <c r="G98" s="24" t="str">
        <f>VLOOKUP(F98,商品编码!$A:$B,2,0)</f>
        <v>300g六月香蒜肉豆瓣酱</v>
      </c>
      <c r="H98" s="25">
        <v>12</v>
      </c>
      <c r="I98" s="28" t="s">
        <v>16</v>
      </c>
      <c r="J98" s="23">
        <v>66.67</v>
      </c>
      <c r="K98" s="23">
        <v>11.33</v>
      </c>
      <c r="L98" s="29">
        <v>78</v>
      </c>
      <c r="M98" s="28" t="s">
        <v>17</v>
      </c>
      <c r="N98" s="23">
        <v>3100168006</v>
      </c>
      <c r="O98" s="30">
        <v>3100004263</v>
      </c>
    </row>
    <row r="99" spans="1:15">
      <c r="A99" s="26" t="s">
        <v>18</v>
      </c>
      <c r="B99" s="22">
        <v>43412</v>
      </c>
      <c r="C99" s="23">
        <v>4501395847</v>
      </c>
      <c r="D99" s="23">
        <v>5001258534</v>
      </c>
      <c r="E99" s="23">
        <v>1</v>
      </c>
      <c r="F99" s="23">
        <v>10205023</v>
      </c>
      <c r="G99" s="24" t="str">
        <f>VLOOKUP(F99,商品编码!$A:$B,2,0)</f>
        <v>古龙优质午餐肉</v>
      </c>
      <c r="H99" s="25">
        <v>120</v>
      </c>
      <c r="I99" s="28" t="s">
        <v>16</v>
      </c>
      <c r="J99" s="23">
        <v>964.1</v>
      </c>
      <c r="K99" s="23">
        <v>163.9</v>
      </c>
      <c r="L99" s="29">
        <v>1128</v>
      </c>
      <c r="M99" s="28" t="s">
        <v>17</v>
      </c>
      <c r="N99" s="23">
        <v>3100167985</v>
      </c>
      <c r="O99" s="30">
        <v>3100004263</v>
      </c>
    </row>
    <row r="100" spans="1:15">
      <c r="A100" s="31" t="s">
        <v>18</v>
      </c>
      <c r="B100" s="32">
        <v>43412</v>
      </c>
      <c r="C100" s="33">
        <v>4501390348</v>
      </c>
      <c r="D100" s="33">
        <v>5001259402</v>
      </c>
      <c r="E100" s="33">
        <v>1</v>
      </c>
      <c r="F100" s="33">
        <v>11096854</v>
      </c>
      <c r="G100" s="34" t="str">
        <f>VLOOKUP(F100,商品编码!$A:$B,2,0)</f>
        <v>味好美意大利面酱挤挤装</v>
      </c>
      <c r="H100" s="35">
        <v>24</v>
      </c>
      <c r="I100" s="36" t="s">
        <v>16</v>
      </c>
      <c r="J100" s="33">
        <v>172.31</v>
      </c>
      <c r="K100" s="33">
        <v>29.29</v>
      </c>
      <c r="L100" s="37">
        <v>201.6</v>
      </c>
      <c r="M100" s="36" t="s">
        <v>17</v>
      </c>
      <c r="N100" s="33">
        <v>3100168437</v>
      </c>
      <c r="O100" s="38">
        <v>3100004263</v>
      </c>
    </row>
  </sheetData>
  <conditionalFormatting sqref="L2:L1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{f05a86ad-64f0-4c94-abf5-f0eb2462e166}</x14:id>
        </ext>
      </extLst>
    </cfRule>
  </conditionalFormatting>
  <pageMargins left="0.590277777777778" right="0.393055555555556" top="0.786805555555556" bottom="1.18055555555556" header="0.298611111111111" footer="0.298611111111111"/>
  <pageSetup paperSize="9" orientation="portrait" horizontalDpi="600" verticalDpi="300"/>
  <headerFooter>
    <oddFooter>&amp;C第 &amp;P 页，共 &amp;N 页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5a86ad-64f0-4c94-abf5-f0eb2462e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L2:L100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9"/>
  <sheetViews>
    <sheetView workbookViewId="0">
      <selection activeCell="G16" sqref="G16"/>
    </sheetView>
  </sheetViews>
  <sheetFormatPr defaultColWidth="9" defaultRowHeight="13.5" outlineLevelCol="1"/>
  <cols>
    <col min="1" max="1" width="10.4416666666667" style="5" customWidth="1"/>
    <col min="2" max="2" width="35.4416666666667" style="6" customWidth="1"/>
    <col min="3" max="3" width="12.625" style="6"/>
    <col min="4" max="16384" width="9" style="6"/>
  </cols>
  <sheetData>
    <row r="1" spans="1:2">
      <c r="A1" s="7" t="s">
        <v>5</v>
      </c>
      <c r="B1" s="8" t="s">
        <v>6</v>
      </c>
    </row>
    <row r="2" spans="1:2">
      <c r="A2" s="7">
        <v>10597317</v>
      </c>
      <c r="B2" s="8" t="s">
        <v>19</v>
      </c>
    </row>
    <row r="3" spans="1:2">
      <c r="A3" s="7">
        <v>10200915</v>
      </c>
      <c r="B3" s="8" t="s">
        <v>20</v>
      </c>
    </row>
    <row r="4" spans="1:2">
      <c r="A4" s="7">
        <v>10270753</v>
      </c>
      <c r="B4" s="8" t="s">
        <v>21</v>
      </c>
    </row>
    <row r="5" spans="1:2">
      <c r="A5" s="7">
        <v>11132557</v>
      </c>
      <c r="B5" s="8" t="s">
        <v>22</v>
      </c>
    </row>
    <row r="6" spans="1:2">
      <c r="A6" s="7">
        <v>11083708</v>
      </c>
      <c r="B6" s="8" t="s">
        <v>23</v>
      </c>
    </row>
    <row r="7" spans="1:2">
      <c r="A7" s="7">
        <v>11096854</v>
      </c>
      <c r="B7" s="8" t="s">
        <v>24</v>
      </c>
    </row>
    <row r="8" spans="1:2">
      <c r="A8" s="7">
        <v>10270321</v>
      </c>
      <c r="B8" s="8" t="s">
        <v>25</v>
      </c>
    </row>
    <row r="9" spans="1:2">
      <c r="A9" s="7">
        <v>10200615</v>
      </c>
      <c r="B9" s="8" t="s">
        <v>26</v>
      </c>
    </row>
    <row r="10" spans="1:2">
      <c r="A10" s="7">
        <v>11102938</v>
      </c>
      <c r="B10" s="8" t="s">
        <v>27</v>
      </c>
    </row>
    <row r="11" spans="1:2">
      <c r="A11" s="7">
        <v>11173266</v>
      </c>
      <c r="B11" s="8" t="s">
        <v>28</v>
      </c>
    </row>
    <row r="12" spans="1:2">
      <c r="A12" s="7">
        <v>10269849</v>
      </c>
      <c r="B12" s="8" t="s">
        <v>29</v>
      </c>
    </row>
    <row r="13" spans="1:2">
      <c r="A13" s="7">
        <v>11153070</v>
      </c>
      <c r="B13" s="8" t="s">
        <v>30</v>
      </c>
    </row>
    <row r="14" spans="1:2">
      <c r="A14" s="7">
        <v>11087972</v>
      </c>
      <c r="B14" s="8" t="s">
        <v>31</v>
      </c>
    </row>
    <row r="15" spans="1:2">
      <c r="A15" s="9">
        <v>11153028</v>
      </c>
      <c r="B15" s="10" t="s">
        <v>32</v>
      </c>
    </row>
    <row r="16" spans="1:2">
      <c r="A16" s="7">
        <v>11105212</v>
      </c>
      <c r="B16" s="8" t="s">
        <v>33</v>
      </c>
    </row>
    <row r="17" spans="1:2">
      <c r="A17" s="7">
        <v>11153031</v>
      </c>
      <c r="B17" s="8" t="s">
        <v>34</v>
      </c>
    </row>
    <row r="18" spans="1:2">
      <c r="A18" s="9">
        <v>11153065</v>
      </c>
      <c r="B18" s="10" t="s">
        <v>35</v>
      </c>
    </row>
    <row r="19" spans="1:2">
      <c r="A19" s="7">
        <v>10013894</v>
      </c>
      <c r="B19" s="8" t="s">
        <v>36</v>
      </c>
    </row>
    <row r="20" spans="1:2">
      <c r="A20" s="7">
        <v>10200617</v>
      </c>
      <c r="B20" s="8" t="s">
        <v>37</v>
      </c>
    </row>
    <row r="21" spans="1:2">
      <c r="A21" s="7">
        <v>10268636</v>
      </c>
      <c r="B21" s="8" t="s">
        <v>38</v>
      </c>
    </row>
    <row r="22" spans="1:2">
      <c r="A22" s="7">
        <v>11001432</v>
      </c>
      <c r="B22" s="8" t="s">
        <v>39</v>
      </c>
    </row>
    <row r="23" spans="1:2">
      <c r="A23" s="7">
        <v>11112772</v>
      </c>
      <c r="B23" s="8" t="s">
        <v>40</v>
      </c>
    </row>
    <row r="24" spans="1:2">
      <c r="A24" s="7">
        <v>10268646</v>
      </c>
      <c r="B24" s="8" t="s">
        <v>41</v>
      </c>
    </row>
    <row r="25" spans="1:2">
      <c r="A25" s="7">
        <v>10200923</v>
      </c>
      <c r="B25" s="8" t="s">
        <v>42</v>
      </c>
    </row>
    <row r="26" spans="1:2">
      <c r="A26" s="7">
        <v>10200930</v>
      </c>
      <c r="B26" s="8" t="s">
        <v>43</v>
      </c>
    </row>
    <row r="27" spans="1:2">
      <c r="A27" s="7">
        <v>10270752</v>
      </c>
      <c r="B27" s="8" t="s">
        <v>44</v>
      </c>
    </row>
    <row r="28" spans="1:2">
      <c r="A28" s="7">
        <v>11103778</v>
      </c>
      <c r="B28" s="8" t="s">
        <v>45</v>
      </c>
    </row>
    <row r="29" spans="1:2">
      <c r="A29" s="7">
        <v>11146609</v>
      </c>
      <c r="B29" s="8" t="s">
        <v>46</v>
      </c>
    </row>
    <row r="30" spans="1:2">
      <c r="A30" s="7">
        <v>11096853</v>
      </c>
      <c r="B30" s="8" t="s">
        <v>47</v>
      </c>
    </row>
    <row r="31" spans="1:2">
      <c r="A31" s="7">
        <v>11083914</v>
      </c>
      <c r="B31" s="8" t="s">
        <v>48</v>
      </c>
    </row>
    <row r="32" spans="1:2">
      <c r="A32" s="7">
        <v>11103178</v>
      </c>
      <c r="B32" s="8" t="s">
        <v>49</v>
      </c>
    </row>
    <row r="33" spans="1:2">
      <c r="A33" s="7">
        <v>10013890</v>
      </c>
      <c r="B33" s="8" t="s">
        <v>50</v>
      </c>
    </row>
    <row r="34" spans="1:2">
      <c r="A34" s="7">
        <v>11097403</v>
      </c>
      <c r="B34" s="8" t="s">
        <v>51</v>
      </c>
    </row>
    <row r="35" spans="1:2">
      <c r="A35" s="7">
        <v>11103776</v>
      </c>
      <c r="B35" s="8" t="s">
        <v>52</v>
      </c>
    </row>
    <row r="36" spans="1:2">
      <c r="A36" s="7">
        <v>11163914</v>
      </c>
      <c r="B36" s="8" t="s">
        <v>53</v>
      </c>
    </row>
    <row r="37" spans="1:2">
      <c r="A37" s="9">
        <v>11153068</v>
      </c>
      <c r="B37" s="10" t="s">
        <v>54</v>
      </c>
    </row>
    <row r="38" spans="1:2">
      <c r="A38" s="9">
        <v>11153035</v>
      </c>
      <c r="B38" s="10" t="s">
        <v>55</v>
      </c>
    </row>
    <row r="39" spans="1:2">
      <c r="A39" s="7">
        <v>11105961</v>
      </c>
      <c r="B39" s="8" t="s">
        <v>56</v>
      </c>
    </row>
    <row r="40" spans="1:2">
      <c r="A40" s="7">
        <v>10200928</v>
      </c>
      <c r="B40" s="8" t="s">
        <v>57</v>
      </c>
    </row>
    <row r="41" spans="1:2">
      <c r="A41" s="7">
        <v>11103779</v>
      </c>
      <c r="B41" s="8" t="s">
        <v>58</v>
      </c>
    </row>
    <row r="42" spans="1:2">
      <c r="A42" s="7">
        <v>10013646</v>
      </c>
      <c r="B42" s="8" t="s">
        <v>59</v>
      </c>
    </row>
    <row r="43" spans="1:2">
      <c r="A43" s="11">
        <v>11096854</v>
      </c>
      <c r="B43" s="12" t="s">
        <v>24</v>
      </c>
    </row>
    <row r="44" spans="1:2">
      <c r="A44" s="7">
        <v>10013641</v>
      </c>
      <c r="B44" s="8" t="s">
        <v>60</v>
      </c>
    </row>
    <row r="45" spans="1:2">
      <c r="A45" s="7">
        <v>11096854</v>
      </c>
      <c r="B45" s="8" t="s">
        <v>24</v>
      </c>
    </row>
    <row r="46" spans="1:2">
      <c r="A46" s="7">
        <v>11102241</v>
      </c>
      <c r="B46" s="8" t="s">
        <v>61</v>
      </c>
    </row>
    <row r="47" spans="1:2">
      <c r="A47" s="7">
        <v>11032872</v>
      </c>
      <c r="B47" s="8" t="s">
        <v>62</v>
      </c>
    </row>
    <row r="48" spans="1:2">
      <c r="A48" s="7">
        <v>11146342</v>
      </c>
      <c r="B48" s="8" t="s">
        <v>63</v>
      </c>
    </row>
    <row r="49" spans="1:2">
      <c r="A49" s="7">
        <v>11102136</v>
      </c>
      <c r="B49" s="8" t="s">
        <v>64</v>
      </c>
    </row>
    <row r="50" spans="1:2">
      <c r="A50" s="7">
        <v>10270753</v>
      </c>
      <c r="B50" s="8" t="s">
        <v>21</v>
      </c>
    </row>
    <row r="51" spans="1:2">
      <c r="A51" s="7">
        <v>11153072</v>
      </c>
      <c r="B51" s="8" t="s">
        <v>65</v>
      </c>
    </row>
    <row r="52" spans="1:2">
      <c r="A52" s="7">
        <v>10270769</v>
      </c>
      <c r="B52" s="8" t="s">
        <v>66</v>
      </c>
    </row>
    <row r="53" spans="1:2">
      <c r="A53" s="9">
        <v>11153063</v>
      </c>
      <c r="B53" s="10" t="s">
        <v>67</v>
      </c>
    </row>
    <row r="54" spans="1:2">
      <c r="A54" s="7">
        <v>11105211</v>
      </c>
      <c r="B54" s="8" t="s">
        <v>68</v>
      </c>
    </row>
    <row r="55" spans="1:2">
      <c r="A55" s="7">
        <v>11144562</v>
      </c>
      <c r="B55" s="8" t="s">
        <v>69</v>
      </c>
    </row>
    <row r="56" spans="1:2">
      <c r="A56" s="9">
        <v>11153024</v>
      </c>
      <c r="B56" s="10" t="s">
        <v>70</v>
      </c>
    </row>
    <row r="57" spans="1:2">
      <c r="A57" s="7">
        <v>11103180</v>
      </c>
      <c r="B57" s="8" t="s">
        <v>71</v>
      </c>
    </row>
    <row r="58" spans="1:2">
      <c r="A58" s="7">
        <v>11101153</v>
      </c>
      <c r="B58" s="8" t="s">
        <v>72</v>
      </c>
    </row>
    <row r="59" spans="1:2">
      <c r="A59" s="7">
        <v>10268646</v>
      </c>
      <c r="B59" s="8" t="s">
        <v>41</v>
      </c>
    </row>
    <row r="60" spans="1:2">
      <c r="A60" s="7">
        <v>11163913</v>
      </c>
      <c r="B60" s="8" t="s">
        <v>73</v>
      </c>
    </row>
    <row r="61" spans="1:2">
      <c r="A61" s="7">
        <v>11153032</v>
      </c>
      <c r="B61" s="8" t="s">
        <v>74</v>
      </c>
    </row>
    <row r="62" spans="1:2">
      <c r="A62" s="7">
        <v>10200925</v>
      </c>
      <c r="B62" s="8" t="s">
        <v>75</v>
      </c>
    </row>
    <row r="63" spans="1:2">
      <c r="A63" s="7">
        <v>11146341</v>
      </c>
      <c r="B63" s="8" t="s">
        <v>76</v>
      </c>
    </row>
    <row r="64" spans="1:2">
      <c r="A64" s="7">
        <v>10269844</v>
      </c>
      <c r="B64" s="8" t="s">
        <v>77</v>
      </c>
    </row>
    <row r="65" spans="1:2">
      <c r="A65" s="7">
        <v>10205017</v>
      </c>
      <c r="B65" s="8" t="s">
        <v>78</v>
      </c>
    </row>
    <row r="66" spans="1:2">
      <c r="A66" s="7">
        <v>11153049</v>
      </c>
      <c r="B66" s="8" t="s">
        <v>79</v>
      </c>
    </row>
    <row r="67" spans="1:2">
      <c r="A67" s="7">
        <v>11156398</v>
      </c>
      <c r="B67" s="8" t="s">
        <v>80</v>
      </c>
    </row>
    <row r="68" spans="1:2">
      <c r="A68" s="7">
        <v>11143243</v>
      </c>
      <c r="B68" s="8" t="s">
        <v>81</v>
      </c>
    </row>
    <row r="69" spans="1:2">
      <c r="A69" s="7">
        <v>10271051</v>
      </c>
      <c r="B69" s="8" t="s">
        <v>82</v>
      </c>
    </row>
    <row r="70" spans="1:2">
      <c r="A70" s="9">
        <v>11153030</v>
      </c>
      <c r="B70" s="10" t="s">
        <v>83</v>
      </c>
    </row>
    <row r="71" spans="1:2">
      <c r="A71" s="7">
        <v>11103773</v>
      </c>
      <c r="B71" s="8" t="s">
        <v>84</v>
      </c>
    </row>
    <row r="72" spans="1:2">
      <c r="A72" s="7">
        <v>11105833</v>
      </c>
      <c r="B72" s="8" t="s">
        <v>85</v>
      </c>
    </row>
    <row r="73" spans="1:2">
      <c r="A73" s="7">
        <v>10013641</v>
      </c>
      <c r="B73" s="8" t="s">
        <v>60</v>
      </c>
    </row>
    <row r="74" spans="1:2">
      <c r="A74" s="9">
        <v>11153046</v>
      </c>
      <c r="B74" s="10" t="s">
        <v>86</v>
      </c>
    </row>
    <row r="75" spans="1:2">
      <c r="A75" s="7">
        <v>10200928</v>
      </c>
      <c r="B75" s="8" t="s">
        <v>57</v>
      </c>
    </row>
    <row r="76" spans="1:2">
      <c r="A76" s="7">
        <v>11162900</v>
      </c>
      <c r="B76" s="8" t="s">
        <v>87</v>
      </c>
    </row>
    <row r="77" spans="1:2">
      <c r="A77" s="7">
        <v>11153071</v>
      </c>
      <c r="B77" s="8" t="s">
        <v>88</v>
      </c>
    </row>
    <row r="78" spans="1:2">
      <c r="A78" s="7">
        <v>10013890</v>
      </c>
      <c r="B78" s="8" t="s">
        <v>50</v>
      </c>
    </row>
    <row r="79" spans="1:2">
      <c r="A79" s="7">
        <v>11102777</v>
      </c>
      <c r="B79" s="8" t="s">
        <v>89</v>
      </c>
    </row>
    <row r="80" spans="1:2">
      <c r="A80" s="9">
        <v>11153026</v>
      </c>
      <c r="B80" s="10" t="s">
        <v>90</v>
      </c>
    </row>
    <row r="81" spans="1:2">
      <c r="A81" s="7">
        <v>10033733</v>
      </c>
      <c r="B81" s="8" t="s">
        <v>91</v>
      </c>
    </row>
    <row r="82" spans="1:2">
      <c r="A82" s="7">
        <v>10013642</v>
      </c>
      <c r="B82" s="8" t="s">
        <v>92</v>
      </c>
    </row>
    <row r="83" spans="1:2">
      <c r="A83" s="7">
        <v>11103391</v>
      </c>
      <c r="B83" s="8" t="s">
        <v>93</v>
      </c>
    </row>
    <row r="84" spans="1:2">
      <c r="A84" s="7">
        <v>10268575</v>
      </c>
      <c r="B84" s="8" t="s">
        <v>94</v>
      </c>
    </row>
    <row r="85" spans="1:2">
      <c r="A85" s="7">
        <v>11096853</v>
      </c>
      <c r="B85" s="8" t="s">
        <v>47</v>
      </c>
    </row>
    <row r="86" spans="1:2">
      <c r="A86" s="7">
        <v>10268646</v>
      </c>
      <c r="B86" s="8" t="s">
        <v>41</v>
      </c>
    </row>
    <row r="87" spans="1:2">
      <c r="A87" s="7">
        <v>11146347</v>
      </c>
      <c r="B87" s="8" t="s">
        <v>95</v>
      </c>
    </row>
    <row r="88" spans="1:2">
      <c r="A88" s="9">
        <v>11097227</v>
      </c>
      <c r="B88" s="10" t="s">
        <v>96</v>
      </c>
    </row>
    <row r="89" spans="1:2">
      <c r="A89" s="7">
        <v>11159121</v>
      </c>
      <c r="B89" s="8" t="s">
        <v>97</v>
      </c>
    </row>
    <row r="90" spans="1:2">
      <c r="A90" s="13">
        <v>11096852</v>
      </c>
      <c r="B90" s="14" t="s">
        <v>98</v>
      </c>
    </row>
    <row r="91" spans="1:2">
      <c r="A91" s="9">
        <v>11153045</v>
      </c>
      <c r="B91" s="10" t="s">
        <v>99</v>
      </c>
    </row>
    <row r="92" spans="1:2">
      <c r="A92" s="7">
        <v>11082972</v>
      </c>
      <c r="B92" s="10" t="s">
        <v>100</v>
      </c>
    </row>
    <row r="93" spans="1:2">
      <c r="A93" s="7">
        <v>11083731</v>
      </c>
      <c r="B93" s="8" t="s">
        <v>101</v>
      </c>
    </row>
    <row r="94" spans="1:2">
      <c r="A94" s="7">
        <v>10200646</v>
      </c>
      <c r="B94" s="8" t="s">
        <v>102</v>
      </c>
    </row>
    <row r="95" spans="1:2">
      <c r="A95" s="7">
        <v>11146345</v>
      </c>
      <c r="B95" s="8" t="s">
        <v>103</v>
      </c>
    </row>
    <row r="96" spans="1:2">
      <c r="A96" s="7">
        <v>10268636</v>
      </c>
      <c r="B96" s="8" t="s">
        <v>38</v>
      </c>
    </row>
    <row r="97" spans="1:2">
      <c r="A97" s="7">
        <v>11103041</v>
      </c>
      <c r="B97" s="8" t="s">
        <v>104</v>
      </c>
    </row>
    <row r="98" spans="1:2">
      <c r="A98" s="9">
        <v>11153044</v>
      </c>
      <c r="B98" s="10" t="s">
        <v>105</v>
      </c>
    </row>
    <row r="99" spans="1:2">
      <c r="A99" s="9">
        <v>11153061</v>
      </c>
      <c r="B99" s="10" t="s">
        <v>106</v>
      </c>
    </row>
    <row r="100" spans="1:2">
      <c r="A100" s="7">
        <v>11105298</v>
      </c>
      <c r="B100" s="8" t="s">
        <v>107</v>
      </c>
    </row>
    <row r="101" spans="1:2">
      <c r="A101" s="9">
        <v>11153062</v>
      </c>
      <c r="B101" s="10" t="s">
        <v>108</v>
      </c>
    </row>
    <row r="102" spans="1:2">
      <c r="A102" s="7">
        <v>11103176</v>
      </c>
      <c r="B102" s="8" t="s">
        <v>109</v>
      </c>
    </row>
    <row r="103" spans="1:2">
      <c r="A103" s="7">
        <v>10270683</v>
      </c>
      <c r="B103" s="8" t="s">
        <v>110</v>
      </c>
    </row>
    <row r="104" spans="1:2">
      <c r="A104" s="7">
        <v>11131716</v>
      </c>
      <c r="B104" s="8" t="s">
        <v>111</v>
      </c>
    </row>
    <row r="105" spans="1:2">
      <c r="A105" s="7">
        <v>11132180</v>
      </c>
      <c r="B105" s="8" t="s">
        <v>112</v>
      </c>
    </row>
    <row r="106" spans="1:2">
      <c r="A106" s="7">
        <v>10621681</v>
      </c>
      <c r="B106" s="8" t="s">
        <v>113</v>
      </c>
    </row>
    <row r="107" spans="1:2">
      <c r="A107" s="7">
        <v>11153073</v>
      </c>
      <c r="B107" s="8" t="s">
        <v>114</v>
      </c>
    </row>
    <row r="108" spans="1:2">
      <c r="A108" s="7">
        <v>10014014</v>
      </c>
      <c r="B108" s="8" t="s">
        <v>115</v>
      </c>
    </row>
    <row r="109" spans="1:2">
      <c r="A109" s="7">
        <v>10269844</v>
      </c>
      <c r="B109" s="8" t="s">
        <v>77</v>
      </c>
    </row>
    <row r="110" spans="1:2">
      <c r="A110" s="7">
        <v>11146346</v>
      </c>
      <c r="B110" s="8" t="s">
        <v>116</v>
      </c>
    </row>
    <row r="111" spans="1:2">
      <c r="A111" s="7">
        <v>11097402</v>
      </c>
      <c r="B111" s="8" t="s">
        <v>117</v>
      </c>
    </row>
    <row r="112" spans="1:2">
      <c r="A112" s="9">
        <v>11153041</v>
      </c>
      <c r="B112" s="10" t="s">
        <v>118</v>
      </c>
    </row>
    <row r="113" spans="1:2">
      <c r="A113" s="7">
        <v>11103723</v>
      </c>
      <c r="B113" s="8" t="s">
        <v>119</v>
      </c>
    </row>
    <row r="114" spans="1:2">
      <c r="A114" s="7">
        <v>11097404</v>
      </c>
      <c r="B114" s="8" t="s">
        <v>120</v>
      </c>
    </row>
    <row r="115" spans="1:2">
      <c r="A115" s="7">
        <v>10013885</v>
      </c>
      <c r="B115" s="8" t="s">
        <v>121</v>
      </c>
    </row>
    <row r="116" spans="1:2">
      <c r="A116" s="7">
        <v>11104704</v>
      </c>
      <c r="B116" s="8" t="s">
        <v>122</v>
      </c>
    </row>
    <row r="117" spans="1:2">
      <c r="A117" s="7">
        <v>10268626</v>
      </c>
      <c r="B117" s="8" t="s">
        <v>123</v>
      </c>
    </row>
    <row r="118" spans="1:2">
      <c r="A118" s="7">
        <v>11102549</v>
      </c>
      <c r="B118" s="8" t="s">
        <v>124</v>
      </c>
    </row>
    <row r="119" spans="1:2">
      <c r="A119" s="9">
        <v>11153053</v>
      </c>
      <c r="B119" s="10" t="s">
        <v>125</v>
      </c>
    </row>
    <row r="120" spans="1:2">
      <c r="A120" s="7">
        <v>11146344</v>
      </c>
      <c r="B120" s="8" t="s">
        <v>126</v>
      </c>
    </row>
    <row r="121" spans="1:2">
      <c r="A121" s="7">
        <v>10205023</v>
      </c>
      <c r="B121" s="8" t="s">
        <v>127</v>
      </c>
    </row>
    <row r="122" spans="1:2">
      <c r="A122" s="7">
        <v>11102978</v>
      </c>
      <c r="B122" s="8" t="s">
        <v>128</v>
      </c>
    </row>
    <row r="123" spans="1:2">
      <c r="A123" s="9">
        <v>11153037</v>
      </c>
      <c r="B123" s="10" t="s">
        <v>129</v>
      </c>
    </row>
    <row r="124" spans="1:2">
      <c r="A124" s="7">
        <v>11105299</v>
      </c>
      <c r="B124" s="8" t="s">
        <v>130</v>
      </c>
    </row>
    <row r="125" spans="1:2">
      <c r="A125" s="7">
        <v>10596869</v>
      </c>
      <c r="B125" s="8" t="s">
        <v>131</v>
      </c>
    </row>
    <row r="126" spans="1:2">
      <c r="A126" s="7">
        <v>11083915</v>
      </c>
      <c r="B126" s="8" t="s">
        <v>119</v>
      </c>
    </row>
    <row r="127" spans="1:2">
      <c r="A127" s="7">
        <v>10270644</v>
      </c>
      <c r="B127" s="8" t="s">
        <v>132</v>
      </c>
    </row>
    <row r="128" spans="1:2">
      <c r="A128" s="9">
        <v>11153019</v>
      </c>
      <c r="B128" s="10" t="s">
        <v>133</v>
      </c>
    </row>
    <row r="129" spans="1:2">
      <c r="A129" s="7">
        <v>11103615</v>
      </c>
      <c r="B129" s="8" t="s">
        <v>134</v>
      </c>
    </row>
    <row r="130" spans="1:2">
      <c r="A130" s="7">
        <v>10200606</v>
      </c>
      <c r="B130" s="8" t="s">
        <v>135</v>
      </c>
    </row>
    <row r="131" spans="1:2">
      <c r="A131" s="7">
        <v>10013983</v>
      </c>
      <c r="B131" s="8" t="s">
        <v>136</v>
      </c>
    </row>
    <row r="132" spans="1:2">
      <c r="A132" s="7">
        <v>11104899</v>
      </c>
      <c r="B132" s="8" t="s">
        <v>137</v>
      </c>
    </row>
    <row r="133" spans="1:2">
      <c r="A133" s="7">
        <v>11001435</v>
      </c>
      <c r="B133" s="8" t="s">
        <v>138</v>
      </c>
    </row>
    <row r="134" spans="1:2">
      <c r="A134" s="9">
        <v>11153036</v>
      </c>
      <c r="B134" s="10" t="s">
        <v>139</v>
      </c>
    </row>
    <row r="135" spans="1:2">
      <c r="A135" s="9">
        <v>11153059</v>
      </c>
      <c r="B135" s="10" t="s">
        <v>140</v>
      </c>
    </row>
    <row r="136" spans="1:2">
      <c r="A136" s="9">
        <v>11153023</v>
      </c>
      <c r="B136" s="10" t="s">
        <v>141</v>
      </c>
    </row>
    <row r="137" spans="1:2">
      <c r="A137" s="9">
        <v>11153034</v>
      </c>
      <c r="B137" s="10" t="s">
        <v>142</v>
      </c>
    </row>
    <row r="138" spans="1:2">
      <c r="A138" s="11">
        <v>11096853</v>
      </c>
      <c r="B138" s="12" t="s">
        <v>47</v>
      </c>
    </row>
    <row r="139" spans="1:2">
      <c r="A139" s="7">
        <v>11173262</v>
      </c>
      <c r="B139" s="8" t="s">
        <v>143</v>
      </c>
    </row>
    <row r="140" spans="1:2">
      <c r="A140" s="7">
        <v>11144592</v>
      </c>
      <c r="B140" s="8" t="s">
        <v>144</v>
      </c>
    </row>
    <row r="141" spans="1:2">
      <c r="A141" s="9">
        <v>11153054</v>
      </c>
      <c r="B141" s="10" t="s">
        <v>145</v>
      </c>
    </row>
    <row r="142" spans="1:2">
      <c r="A142" s="7">
        <v>11103665</v>
      </c>
      <c r="B142" s="8" t="s">
        <v>146</v>
      </c>
    </row>
    <row r="143" spans="1:2">
      <c r="A143" s="7">
        <v>10013642</v>
      </c>
      <c r="B143" s="8" t="s">
        <v>92</v>
      </c>
    </row>
    <row r="144" spans="1:2">
      <c r="A144" s="7">
        <v>10013641</v>
      </c>
      <c r="B144" s="8" t="s">
        <v>60</v>
      </c>
    </row>
    <row r="145" spans="1:2">
      <c r="A145" s="7">
        <v>11105834</v>
      </c>
      <c r="B145" s="8" t="s">
        <v>147</v>
      </c>
    </row>
    <row r="146" spans="1:2">
      <c r="A146" s="9">
        <v>11153025</v>
      </c>
      <c r="B146" s="10" t="s">
        <v>148</v>
      </c>
    </row>
    <row r="147" spans="1:2">
      <c r="A147" s="7">
        <v>10200915</v>
      </c>
      <c r="B147" s="8" t="s">
        <v>20</v>
      </c>
    </row>
    <row r="148" spans="1:2">
      <c r="A148" s="7">
        <v>10200929</v>
      </c>
      <c r="B148" s="8" t="s">
        <v>149</v>
      </c>
    </row>
    <row r="149" spans="1:2">
      <c r="A149" s="7">
        <v>10271112</v>
      </c>
      <c r="B149" s="8" t="s">
        <v>150</v>
      </c>
    </row>
    <row r="150" spans="1:2">
      <c r="A150" s="9">
        <v>11153020</v>
      </c>
      <c r="B150" s="10" t="s">
        <v>151</v>
      </c>
    </row>
    <row r="151" spans="1:2">
      <c r="A151" s="9">
        <v>11153050</v>
      </c>
      <c r="B151" s="10" t="s">
        <v>152</v>
      </c>
    </row>
    <row r="152" spans="1:2">
      <c r="A152" s="7">
        <v>10200634</v>
      </c>
      <c r="B152" s="8" t="s">
        <v>153</v>
      </c>
    </row>
    <row r="153" spans="1:2">
      <c r="A153" s="7">
        <v>10270753</v>
      </c>
      <c r="B153" s="8" t="s">
        <v>21</v>
      </c>
    </row>
    <row r="154" spans="1:2">
      <c r="A154" s="7">
        <v>11001435</v>
      </c>
      <c r="B154" s="8" t="s">
        <v>138</v>
      </c>
    </row>
    <row r="155" spans="1:2">
      <c r="A155" s="7">
        <v>10271052</v>
      </c>
      <c r="B155" s="8" t="s">
        <v>121</v>
      </c>
    </row>
    <row r="156" spans="1:2">
      <c r="A156" s="9">
        <v>11153047</v>
      </c>
      <c r="B156" s="10" t="s">
        <v>154</v>
      </c>
    </row>
    <row r="157" spans="1:2">
      <c r="A157" s="7">
        <v>11146349</v>
      </c>
      <c r="B157" s="8" t="s">
        <v>155</v>
      </c>
    </row>
    <row r="158" spans="1:2">
      <c r="A158" s="7">
        <v>10014014</v>
      </c>
      <c r="B158" s="8" t="s">
        <v>115</v>
      </c>
    </row>
    <row r="159" spans="1:2">
      <c r="A159" s="7">
        <v>11146348</v>
      </c>
      <c r="B159" s="8" t="s">
        <v>156</v>
      </c>
    </row>
    <row r="160" spans="1:2">
      <c r="A160" s="7">
        <v>11105937</v>
      </c>
      <c r="B160" s="8" t="s">
        <v>157</v>
      </c>
    </row>
    <row r="161" spans="1:2">
      <c r="A161" s="9">
        <v>11153048</v>
      </c>
      <c r="B161" s="10" t="s">
        <v>158</v>
      </c>
    </row>
    <row r="162" spans="1:2">
      <c r="A162" s="7">
        <v>11164147</v>
      </c>
      <c r="B162" s="8" t="s">
        <v>159</v>
      </c>
    </row>
    <row r="163" spans="1:2">
      <c r="A163" s="7">
        <v>10014074</v>
      </c>
      <c r="B163" s="8" t="s">
        <v>136</v>
      </c>
    </row>
    <row r="164" spans="1:2">
      <c r="A164" s="9">
        <v>11153043</v>
      </c>
      <c r="B164" s="10" t="s">
        <v>160</v>
      </c>
    </row>
    <row r="165" spans="1:2">
      <c r="A165" s="9">
        <v>11153056</v>
      </c>
      <c r="B165" s="10" t="s">
        <v>161</v>
      </c>
    </row>
    <row r="166" spans="1:2">
      <c r="A166" s="9">
        <v>11153042</v>
      </c>
      <c r="B166" s="10" t="s">
        <v>162</v>
      </c>
    </row>
    <row r="167" spans="1:2">
      <c r="A167" s="7">
        <v>11153069</v>
      </c>
      <c r="B167" s="8" t="s">
        <v>163</v>
      </c>
    </row>
    <row r="168" spans="1:2">
      <c r="A168" s="9">
        <v>11153052</v>
      </c>
      <c r="B168" s="10" t="s">
        <v>164</v>
      </c>
    </row>
    <row r="169" spans="1:2">
      <c r="A169" s="7">
        <v>10269843</v>
      </c>
      <c r="B169" s="8" t="s">
        <v>37</v>
      </c>
    </row>
    <row r="170" spans="1:2">
      <c r="A170" s="7">
        <v>10200633</v>
      </c>
      <c r="B170" s="8" t="s">
        <v>165</v>
      </c>
    </row>
    <row r="171" spans="1:2">
      <c r="A171" s="7">
        <v>11103616</v>
      </c>
      <c r="B171" s="8" t="s">
        <v>166</v>
      </c>
    </row>
    <row r="172" spans="1:2">
      <c r="A172" s="7">
        <v>10268580</v>
      </c>
      <c r="B172" s="8" t="s">
        <v>167</v>
      </c>
    </row>
    <row r="173" spans="1:2">
      <c r="A173" s="9">
        <v>11153040</v>
      </c>
      <c r="B173" s="10" t="s">
        <v>168</v>
      </c>
    </row>
    <row r="174" spans="1:2">
      <c r="A174" s="7">
        <v>10013888</v>
      </c>
      <c r="B174" s="8" t="s">
        <v>169</v>
      </c>
    </row>
    <row r="175" spans="1:2">
      <c r="A175" s="9">
        <v>11153057</v>
      </c>
      <c r="B175" s="10" t="s">
        <v>170</v>
      </c>
    </row>
    <row r="176" spans="1:2">
      <c r="A176" s="7">
        <v>10200919</v>
      </c>
      <c r="B176" s="8" t="s">
        <v>171</v>
      </c>
    </row>
    <row r="177" spans="1:2">
      <c r="A177" s="7">
        <v>11097405</v>
      </c>
      <c r="B177" s="8" t="s">
        <v>172</v>
      </c>
    </row>
    <row r="178" spans="1:2">
      <c r="A178" s="9">
        <v>11153067</v>
      </c>
      <c r="B178" s="10" t="s">
        <v>173</v>
      </c>
    </row>
    <row r="179" spans="1:2">
      <c r="A179" s="9">
        <v>11153055</v>
      </c>
      <c r="B179" s="10" t="s">
        <v>174</v>
      </c>
    </row>
    <row r="180" spans="1:2">
      <c r="A180" s="7">
        <v>10205020</v>
      </c>
      <c r="B180" s="8" t="s">
        <v>175</v>
      </c>
    </row>
    <row r="181" spans="1:2">
      <c r="A181" s="9">
        <v>11153022</v>
      </c>
      <c r="B181" s="10" t="s">
        <v>176</v>
      </c>
    </row>
    <row r="182" spans="1:2">
      <c r="A182" s="7">
        <v>11102937</v>
      </c>
      <c r="B182" s="8" t="s">
        <v>177</v>
      </c>
    </row>
    <row r="183" spans="1:2">
      <c r="A183" s="7">
        <v>11105211</v>
      </c>
      <c r="B183" s="8" t="s">
        <v>68</v>
      </c>
    </row>
    <row r="184" spans="1:2">
      <c r="A184" s="7">
        <v>11146340</v>
      </c>
      <c r="B184" s="8" t="s">
        <v>178</v>
      </c>
    </row>
    <row r="185" spans="1:2">
      <c r="A185" s="7">
        <v>10200606</v>
      </c>
      <c r="B185" s="8" t="s">
        <v>135</v>
      </c>
    </row>
    <row r="186" spans="1:2">
      <c r="A186" s="7">
        <v>10597317</v>
      </c>
      <c r="B186" s="8" t="s">
        <v>19</v>
      </c>
    </row>
    <row r="187" spans="1:2">
      <c r="A187" s="7">
        <v>10200922</v>
      </c>
      <c r="B187" s="8" t="s">
        <v>179</v>
      </c>
    </row>
    <row r="188" spans="1:2">
      <c r="A188" s="7">
        <v>11103179</v>
      </c>
      <c r="B188" s="8" t="s">
        <v>180</v>
      </c>
    </row>
    <row r="189" spans="1:2">
      <c r="A189" s="7">
        <v>11096854</v>
      </c>
      <c r="B189" s="8" t="s">
        <v>24</v>
      </c>
    </row>
    <row r="190" spans="1:2">
      <c r="A190" s="9">
        <v>11153038</v>
      </c>
      <c r="B190" s="10" t="s">
        <v>181</v>
      </c>
    </row>
    <row r="191" spans="1:2">
      <c r="A191" s="7">
        <v>11165594</v>
      </c>
      <c r="B191" s="8" t="s">
        <v>182</v>
      </c>
    </row>
    <row r="192" spans="1:2">
      <c r="A192" s="7">
        <v>10013641</v>
      </c>
      <c r="B192" s="8" t="s">
        <v>60</v>
      </c>
    </row>
    <row r="193" spans="1:2">
      <c r="A193" s="7">
        <v>11153039</v>
      </c>
      <c r="B193" s="8" t="s">
        <v>183</v>
      </c>
    </row>
    <row r="194" spans="1:2">
      <c r="A194" s="7">
        <v>11103177</v>
      </c>
      <c r="B194" s="8" t="s">
        <v>184</v>
      </c>
    </row>
    <row r="195" spans="1:2">
      <c r="A195" s="7">
        <v>11173267</v>
      </c>
      <c r="B195" s="8" t="s">
        <v>185</v>
      </c>
    </row>
    <row r="196" spans="1:2">
      <c r="A196" s="7">
        <v>10013885</v>
      </c>
      <c r="B196" s="8" t="s">
        <v>121</v>
      </c>
    </row>
    <row r="197" spans="1:2">
      <c r="A197" s="7">
        <v>11088351</v>
      </c>
      <c r="B197" s="8" t="s">
        <v>186</v>
      </c>
    </row>
    <row r="198" spans="1:2">
      <c r="A198" s="7">
        <v>11119326</v>
      </c>
      <c r="B198" s="8" t="s">
        <v>187</v>
      </c>
    </row>
    <row r="199" spans="1:2">
      <c r="A199" s="7">
        <v>10013642</v>
      </c>
      <c r="B199" s="8" t="s">
        <v>92</v>
      </c>
    </row>
    <row r="200" spans="1:2">
      <c r="A200" s="7">
        <v>11103775</v>
      </c>
      <c r="B200" s="8" t="s">
        <v>188</v>
      </c>
    </row>
    <row r="201" spans="1:2">
      <c r="A201" s="7">
        <v>11096854</v>
      </c>
      <c r="B201" s="8" t="s">
        <v>24</v>
      </c>
    </row>
    <row r="202" spans="1:2">
      <c r="A202" s="7">
        <v>11163915</v>
      </c>
      <c r="B202" s="8" t="s">
        <v>189</v>
      </c>
    </row>
    <row r="203" spans="1:2">
      <c r="A203" s="7">
        <v>11163400</v>
      </c>
      <c r="B203" s="8" t="s">
        <v>190</v>
      </c>
    </row>
    <row r="204" spans="1:2">
      <c r="A204" s="7">
        <v>11159122</v>
      </c>
      <c r="B204" s="8" t="s">
        <v>191</v>
      </c>
    </row>
    <row r="205" spans="1:2">
      <c r="A205" s="7">
        <v>10200922</v>
      </c>
      <c r="B205" s="8" t="s">
        <v>179</v>
      </c>
    </row>
    <row r="206" spans="1:2">
      <c r="A206" s="13">
        <v>11088351</v>
      </c>
      <c r="B206" s="14" t="s">
        <v>186</v>
      </c>
    </row>
    <row r="207" spans="1:2">
      <c r="A207" s="7">
        <v>11105960</v>
      </c>
      <c r="B207" s="8" t="s">
        <v>192</v>
      </c>
    </row>
    <row r="208" spans="1:2">
      <c r="A208" s="7">
        <v>10200615</v>
      </c>
      <c r="B208" s="8" t="s">
        <v>26</v>
      </c>
    </row>
    <row r="209" spans="1:2">
      <c r="A209" s="7">
        <v>11101966</v>
      </c>
      <c r="B209" s="8" t="s">
        <v>193</v>
      </c>
    </row>
    <row r="210" spans="1:2">
      <c r="A210" s="7">
        <v>10268620</v>
      </c>
      <c r="B210" s="8" t="s">
        <v>194</v>
      </c>
    </row>
    <row r="211" spans="1:2">
      <c r="A211" s="7">
        <v>11132193</v>
      </c>
      <c r="B211" s="8" t="s">
        <v>48</v>
      </c>
    </row>
    <row r="212" spans="1:2">
      <c r="A212" s="9">
        <v>11153064</v>
      </c>
      <c r="B212" s="10" t="s">
        <v>195</v>
      </c>
    </row>
    <row r="213" spans="1:2">
      <c r="A213" s="7">
        <v>10203970</v>
      </c>
      <c r="B213" s="8" t="s">
        <v>196</v>
      </c>
    </row>
    <row r="214" spans="1:2">
      <c r="A214" s="7">
        <v>11159161</v>
      </c>
      <c r="B214" s="8" t="s">
        <v>197</v>
      </c>
    </row>
    <row r="215" spans="1:2">
      <c r="A215" s="7">
        <v>11132558</v>
      </c>
      <c r="B215" s="8" t="s">
        <v>198</v>
      </c>
    </row>
    <row r="216" spans="1:2">
      <c r="A216" s="7">
        <v>11144563</v>
      </c>
      <c r="B216" s="8" t="s">
        <v>199</v>
      </c>
    </row>
    <row r="217" spans="1:2">
      <c r="A217" s="7">
        <v>11173263</v>
      </c>
      <c r="B217" s="8" t="s">
        <v>200</v>
      </c>
    </row>
    <row r="218" spans="1:2">
      <c r="A218" s="7">
        <v>11087971</v>
      </c>
      <c r="B218" s="8" t="s">
        <v>201</v>
      </c>
    </row>
    <row r="219" spans="1:2">
      <c r="A219" s="7">
        <v>11164146</v>
      </c>
      <c r="B219" s="8" t="s">
        <v>159</v>
      </c>
    </row>
    <row r="220" spans="1:2">
      <c r="A220" s="7">
        <v>11102936</v>
      </c>
      <c r="B220" s="8" t="s">
        <v>202</v>
      </c>
    </row>
    <row r="221" spans="1:2">
      <c r="A221" s="9">
        <v>11153021</v>
      </c>
      <c r="B221" s="10" t="s">
        <v>203</v>
      </c>
    </row>
    <row r="222" spans="1:2">
      <c r="A222" s="7">
        <v>11105114</v>
      </c>
      <c r="B222" s="8" t="s">
        <v>204</v>
      </c>
    </row>
    <row r="223" spans="1:2">
      <c r="A223" s="7">
        <v>10270752</v>
      </c>
      <c r="B223" s="8" t="s">
        <v>44</v>
      </c>
    </row>
    <row r="224" spans="1:2">
      <c r="A224" s="7">
        <v>10268626</v>
      </c>
      <c r="B224" s="8" t="s">
        <v>123</v>
      </c>
    </row>
    <row r="225" spans="1:2">
      <c r="A225" s="9">
        <v>11153051</v>
      </c>
      <c r="B225" s="10" t="s">
        <v>205</v>
      </c>
    </row>
    <row r="226" spans="1:2">
      <c r="A226" s="9">
        <v>11153027</v>
      </c>
      <c r="B226" s="10" t="s">
        <v>206</v>
      </c>
    </row>
    <row r="227" spans="1:2">
      <c r="A227" s="7">
        <v>11146692</v>
      </c>
      <c r="B227" s="8" t="s">
        <v>207</v>
      </c>
    </row>
    <row r="228" spans="1:2">
      <c r="A228" s="9">
        <v>11153060</v>
      </c>
      <c r="B228" s="10" t="s">
        <v>208</v>
      </c>
    </row>
    <row r="229" spans="1:2">
      <c r="A229" s="7">
        <v>10200612</v>
      </c>
      <c r="B229" s="8" t="s">
        <v>153</v>
      </c>
    </row>
    <row r="230" spans="1:2">
      <c r="A230" s="7">
        <v>10268583</v>
      </c>
      <c r="B230" s="8" t="s">
        <v>209</v>
      </c>
    </row>
    <row r="231" spans="1:2">
      <c r="A231" s="7">
        <v>11102159</v>
      </c>
      <c r="B231" s="8" t="s">
        <v>210</v>
      </c>
    </row>
    <row r="232" spans="1:2">
      <c r="A232" s="7">
        <v>11153033</v>
      </c>
      <c r="B232" s="8" t="s">
        <v>211</v>
      </c>
    </row>
    <row r="233" spans="1:2">
      <c r="A233" s="7">
        <v>10200612</v>
      </c>
      <c r="B233" s="8" t="s">
        <v>153</v>
      </c>
    </row>
    <row r="234" spans="1:2">
      <c r="A234" s="7">
        <v>10013641</v>
      </c>
      <c r="B234" s="8" t="s">
        <v>60</v>
      </c>
    </row>
    <row r="235" spans="1:2">
      <c r="A235" s="7">
        <v>10013894</v>
      </c>
      <c r="B235" s="8" t="s">
        <v>36</v>
      </c>
    </row>
    <row r="236" spans="1:2">
      <c r="A236" s="7">
        <v>11097406</v>
      </c>
      <c r="B236" s="8" t="s">
        <v>212</v>
      </c>
    </row>
    <row r="237" spans="1:2">
      <c r="A237" s="7">
        <v>11153066</v>
      </c>
      <c r="B237" s="8" t="s">
        <v>213</v>
      </c>
    </row>
    <row r="238" spans="1:2">
      <c r="A238" s="7">
        <v>11103777</v>
      </c>
      <c r="B238" s="8" t="s">
        <v>214</v>
      </c>
    </row>
    <row r="239" spans="1:2">
      <c r="A239" s="7">
        <v>11104704</v>
      </c>
      <c r="B239" s="8" t="s">
        <v>122</v>
      </c>
    </row>
    <row r="240" spans="1:2">
      <c r="A240" s="7">
        <v>10270769</v>
      </c>
      <c r="B240" s="8" t="s">
        <v>66</v>
      </c>
    </row>
    <row r="241" spans="1:2">
      <c r="A241" s="7">
        <v>11103724</v>
      </c>
      <c r="B241" s="8" t="s">
        <v>215</v>
      </c>
    </row>
    <row r="242" spans="1:2">
      <c r="A242" s="7">
        <v>11101965</v>
      </c>
      <c r="B242" s="8" t="s">
        <v>216</v>
      </c>
    </row>
    <row r="243" spans="1:2">
      <c r="A243" s="7">
        <v>11102140</v>
      </c>
      <c r="B243" s="8" t="s">
        <v>217</v>
      </c>
    </row>
    <row r="244" spans="1:2">
      <c r="A244" s="7">
        <v>11103774</v>
      </c>
      <c r="B244" s="8" t="s">
        <v>218</v>
      </c>
    </row>
    <row r="245" spans="1:2">
      <c r="A245" s="7">
        <v>11173264</v>
      </c>
      <c r="B245" s="8" t="s">
        <v>219</v>
      </c>
    </row>
    <row r="246" spans="1:2">
      <c r="A246" s="7">
        <v>10013983</v>
      </c>
      <c r="B246" s="8" t="s">
        <v>136</v>
      </c>
    </row>
    <row r="247" spans="1:2">
      <c r="A247" s="7">
        <v>11088351</v>
      </c>
      <c r="B247" s="8" t="s">
        <v>186</v>
      </c>
    </row>
    <row r="248" spans="1:2">
      <c r="A248" s="7">
        <v>11146343</v>
      </c>
      <c r="B248" s="8" t="s">
        <v>220</v>
      </c>
    </row>
    <row r="249" spans="1:2">
      <c r="A249" s="7">
        <v>11163265</v>
      </c>
      <c r="B249" s="8" t="s">
        <v>221</v>
      </c>
    </row>
    <row r="250" spans="1:2">
      <c r="A250" s="9">
        <v>11153029</v>
      </c>
      <c r="B250" s="10" t="s">
        <v>222</v>
      </c>
    </row>
    <row r="251" spans="1:2">
      <c r="A251" s="7">
        <v>11173265</v>
      </c>
      <c r="B251" s="8" t="s">
        <v>223</v>
      </c>
    </row>
    <row r="252" spans="1:2">
      <c r="A252" s="7">
        <v>11119323</v>
      </c>
      <c r="B252" s="8" t="s">
        <v>224</v>
      </c>
    </row>
    <row r="253" spans="1:2">
      <c r="A253" s="7">
        <v>11102935</v>
      </c>
      <c r="B253" s="8" t="s">
        <v>225</v>
      </c>
    </row>
    <row r="254" spans="1:2">
      <c r="A254" s="7">
        <v>10295540</v>
      </c>
      <c r="B254" s="8" t="s">
        <v>91</v>
      </c>
    </row>
    <row r="255" spans="1:2">
      <c r="A255" s="7">
        <v>10268582</v>
      </c>
      <c r="B255" s="8" t="s">
        <v>226</v>
      </c>
    </row>
    <row r="256" spans="1:2">
      <c r="A256" s="7">
        <v>10203970</v>
      </c>
      <c r="B256" s="8" t="s">
        <v>196</v>
      </c>
    </row>
    <row r="257" spans="1:2">
      <c r="A257" s="7">
        <v>10200917</v>
      </c>
      <c r="B257" s="8" t="s">
        <v>227</v>
      </c>
    </row>
    <row r="258" spans="1:2">
      <c r="A258" s="7">
        <v>11096853</v>
      </c>
      <c r="B258" s="8" t="s">
        <v>47</v>
      </c>
    </row>
    <row r="259" spans="1:2">
      <c r="A259" s="7">
        <v>11144591</v>
      </c>
      <c r="B259" s="8" t="s">
        <v>228</v>
      </c>
    </row>
    <row r="260" spans="1:2">
      <c r="A260" s="7">
        <v>10269843</v>
      </c>
      <c r="B260" s="8" t="s">
        <v>37</v>
      </c>
    </row>
    <row r="261" spans="1:2">
      <c r="A261" s="7">
        <v>11119325</v>
      </c>
      <c r="B261" s="8" t="s">
        <v>229</v>
      </c>
    </row>
    <row r="262" spans="1:2">
      <c r="A262" s="9">
        <v>11153058</v>
      </c>
      <c r="B262" s="10" t="s">
        <v>230</v>
      </c>
    </row>
    <row r="263" spans="1:2">
      <c r="A263" s="7">
        <v>10205022</v>
      </c>
      <c r="B263" s="8" t="s">
        <v>231</v>
      </c>
    </row>
    <row r="264" spans="1:2">
      <c r="A264" s="7"/>
      <c r="B264" s="8"/>
    </row>
    <row r="265" spans="1:2">
      <c r="A265" s="7"/>
      <c r="B265" s="8"/>
    </row>
    <row r="266" spans="1:2">
      <c r="A266" s="7"/>
      <c r="B266" s="8"/>
    </row>
    <row r="267" spans="1:2">
      <c r="A267" s="7"/>
      <c r="B267" s="8"/>
    </row>
    <row r="268" spans="1:2">
      <c r="A268" s="7"/>
      <c r="B268" s="8"/>
    </row>
    <row r="269" spans="1:2">
      <c r="A269" s="7"/>
      <c r="B269" s="8"/>
    </row>
    <row r="270" spans="1:2">
      <c r="A270" s="7"/>
      <c r="B270" s="8"/>
    </row>
    <row r="271" spans="1:2">
      <c r="A271" s="7"/>
      <c r="B271" s="8"/>
    </row>
    <row r="272" spans="1:2">
      <c r="A272" s="7"/>
      <c r="B272" s="8"/>
    </row>
    <row r="273" spans="1:2">
      <c r="A273" s="7"/>
      <c r="B273" s="8"/>
    </row>
    <row r="274" spans="1:2">
      <c r="A274" s="7"/>
      <c r="B274" s="8"/>
    </row>
    <row r="275" spans="1:2">
      <c r="A275" s="7"/>
      <c r="B275" s="8"/>
    </row>
    <row r="276" spans="1:2">
      <c r="A276" s="7"/>
      <c r="B276" s="8"/>
    </row>
    <row r="277" spans="1:2">
      <c r="A277" s="7"/>
      <c r="B277" s="8"/>
    </row>
    <row r="278" spans="1:2">
      <c r="A278" s="7"/>
      <c r="B278" s="8"/>
    </row>
    <row r="279" spans="1:2">
      <c r="A279" s="7"/>
      <c r="B279" s="8"/>
    </row>
    <row r="280" spans="1:2">
      <c r="A280" s="7"/>
      <c r="B280" s="8"/>
    </row>
    <row r="281" spans="1:2">
      <c r="A281" s="7"/>
      <c r="B281" s="8"/>
    </row>
    <row r="282" spans="1:2">
      <c r="A282" s="7"/>
      <c r="B282" s="8"/>
    </row>
    <row r="283" spans="1:2">
      <c r="A283" s="7"/>
      <c r="B283" s="8"/>
    </row>
    <row r="284" spans="1:2">
      <c r="A284" s="7"/>
      <c r="B284" s="8"/>
    </row>
    <row r="285" spans="1:2">
      <c r="A285" s="7"/>
      <c r="B285" s="8"/>
    </row>
    <row r="286" spans="1:2">
      <c r="A286" s="9"/>
      <c r="B286" s="10"/>
    </row>
    <row r="287" spans="1:2">
      <c r="A287" s="9"/>
      <c r="B287" s="10"/>
    </row>
    <row r="288" spans="1:2">
      <c r="A288" s="9"/>
      <c r="B288" s="10"/>
    </row>
    <row r="289" spans="1:2">
      <c r="A289" s="9"/>
      <c r="B289" s="10"/>
    </row>
    <row r="290" spans="1:2">
      <c r="A290" s="9"/>
      <c r="B290" s="10"/>
    </row>
    <row r="291" spans="1:2">
      <c r="A291" s="9"/>
      <c r="B291" s="10"/>
    </row>
    <row r="292" spans="1:2">
      <c r="A292" s="9"/>
      <c r="B292" s="10"/>
    </row>
    <row r="293" spans="1:2">
      <c r="A293" s="9"/>
      <c r="B293" s="10"/>
    </row>
    <row r="294" spans="1:2">
      <c r="A294" s="9"/>
      <c r="B294" s="10"/>
    </row>
    <row r="295" spans="1:2">
      <c r="A295" s="9"/>
      <c r="B295" s="10"/>
    </row>
    <row r="296" spans="1:2">
      <c r="A296" s="7"/>
      <c r="B296" s="8"/>
    </row>
    <row r="297" spans="1:2">
      <c r="A297" s="7"/>
      <c r="B297" s="8"/>
    </row>
    <row r="298" spans="1:2">
      <c r="A298" s="7"/>
      <c r="B298" s="8"/>
    </row>
    <row r="299" spans="1:2">
      <c r="A299" s="7"/>
      <c r="B299" s="8"/>
    </row>
    <row r="300" spans="1:2">
      <c r="A300" s="7"/>
      <c r="B300" s="8"/>
    </row>
    <row r="301" spans="1:2">
      <c r="A301" s="7"/>
      <c r="B301" s="8"/>
    </row>
    <row r="302" spans="1:2">
      <c r="A302" s="7"/>
      <c r="B302" s="8"/>
    </row>
    <row r="303" spans="1:2">
      <c r="A303" s="7"/>
      <c r="B303" s="8"/>
    </row>
    <row r="304" spans="1:2">
      <c r="A304" s="7"/>
      <c r="B304" s="8"/>
    </row>
    <row r="305" spans="1:2">
      <c r="A305" s="7"/>
      <c r="B305" s="8"/>
    </row>
    <row r="306" spans="1:2">
      <c r="A306" s="7"/>
      <c r="B306" s="8"/>
    </row>
    <row r="307" spans="1:2">
      <c r="A307" s="7"/>
      <c r="B307" s="8"/>
    </row>
    <row r="308" spans="1:2">
      <c r="A308" s="7"/>
      <c r="B308" s="8"/>
    </row>
    <row r="309" spans="1:2">
      <c r="A309" s="7"/>
      <c r="B309" s="8"/>
    </row>
    <row r="310" spans="1:2">
      <c r="A310" s="7"/>
      <c r="B310" s="8"/>
    </row>
    <row r="311" spans="1:2">
      <c r="A311" s="7"/>
      <c r="B311" s="10"/>
    </row>
    <row r="312" spans="1:2">
      <c r="A312" s="7"/>
      <c r="B312" s="10"/>
    </row>
    <row r="313" spans="1:2">
      <c r="A313" s="7"/>
      <c r="B313" s="8"/>
    </row>
    <row r="314" spans="1:2">
      <c r="A314" s="7"/>
      <c r="B314" s="10"/>
    </row>
    <row r="315" spans="1:2">
      <c r="A315" s="7"/>
      <c r="B315" s="8"/>
    </row>
    <row r="316" spans="1:2">
      <c r="A316" s="7"/>
      <c r="B316" s="8"/>
    </row>
    <row r="317" spans="1:2">
      <c r="A317" s="7"/>
      <c r="B317" s="8"/>
    </row>
    <row r="318" spans="1:2">
      <c r="A318" s="9"/>
      <c r="B318" s="10"/>
    </row>
    <row r="319" spans="1:2">
      <c r="A319" s="9"/>
      <c r="B319" s="10"/>
    </row>
    <row r="320" spans="1:2">
      <c r="A320" s="9"/>
      <c r="B320" s="10"/>
    </row>
    <row r="321" spans="1:2">
      <c r="A321" s="9"/>
      <c r="B321" s="10"/>
    </row>
    <row r="322" spans="1:2">
      <c r="A322" s="9"/>
      <c r="B322" s="10"/>
    </row>
    <row r="323" spans="1:2">
      <c r="A323" s="9"/>
      <c r="B323" s="10"/>
    </row>
    <row r="324" spans="1:2">
      <c r="A324" s="9"/>
      <c r="B324" s="10"/>
    </row>
    <row r="325" spans="1:2">
      <c r="A325" s="9"/>
      <c r="B325" s="10"/>
    </row>
    <row r="326" spans="1:2">
      <c r="A326" s="9"/>
      <c r="B326" s="10"/>
    </row>
    <row r="327" spans="1:2">
      <c r="A327" s="9"/>
      <c r="B327" s="10"/>
    </row>
    <row r="328" spans="1:2">
      <c r="A328" s="9"/>
      <c r="B328" s="10"/>
    </row>
    <row r="329" spans="1:2">
      <c r="A329" s="9"/>
      <c r="B329" s="10"/>
    </row>
    <row r="330" spans="1:2">
      <c r="A330" s="9"/>
      <c r="B330" s="10"/>
    </row>
    <row r="331" spans="1:2">
      <c r="A331" s="9"/>
      <c r="B331" s="10"/>
    </row>
    <row r="332" spans="1:2">
      <c r="A332" s="9"/>
      <c r="B332" s="10"/>
    </row>
    <row r="333" spans="1:2">
      <c r="A333" s="9"/>
      <c r="B333" s="10"/>
    </row>
    <row r="334" spans="1:2">
      <c r="A334" s="9"/>
      <c r="B334" s="10"/>
    </row>
    <row r="335" spans="1:2">
      <c r="A335" s="9"/>
      <c r="B335" s="10"/>
    </row>
    <row r="336" spans="1:2">
      <c r="A336" s="9"/>
      <c r="B336" s="10"/>
    </row>
    <row r="337" spans="1:2">
      <c r="A337" s="9"/>
      <c r="B337" s="10"/>
    </row>
    <row r="338" spans="1:2">
      <c r="A338" s="9"/>
      <c r="B338" s="10"/>
    </row>
    <row r="339" spans="1:2">
      <c r="A339" s="9"/>
      <c r="B339" s="10"/>
    </row>
    <row r="340" spans="1:2">
      <c r="A340" s="9"/>
      <c r="B340" s="10"/>
    </row>
    <row r="341" spans="1:2">
      <c r="A341" s="9"/>
      <c r="B341" s="10"/>
    </row>
    <row r="342" spans="1:2">
      <c r="A342" s="9"/>
      <c r="B342" s="10"/>
    </row>
    <row r="343" spans="1:2">
      <c r="A343" s="9"/>
      <c r="B343" s="10"/>
    </row>
    <row r="344" spans="1:2">
      <c r="A344" s="9"/>
      <c r="B344" s="10"/>
    </row>
    <row r="345" spans="1:2">
      <c r="A345" s="9"/>
      <c r="B345" s="10"/>
    </row>
    <row r="346" spans="1:2">
      <c r="A346" s="9"/>
      <c r="B346" s="10"/>
    </row>
    <row r="347" spans="1:2">
      <c r="A347" s="9"/>
      <c r="B347" s="10"/>
    </row>
    <row r="348" spans="1:2">
      <c r="A348" s="9"/>
      <c r="B348" s="10"/>
    </row>
    <row r="349" spans="1:2">
      <c r="A349" s="9"/>
      <c r="B349" s="10"/>
    </row>
    <row r="350" spans="1:2">
      <c r="A350" s="9"/>
      <c r="B350" s="10"/>
    </row>
    <row r="351" spans="1:2">
      <c r="A351" s="9"/>
      <c r="B351" s="10"/>
    </row>
    <row r="352" spans="1:2">
      <c r="A352" s="9"/>
      <c r="B352" s="10"/>
    </row>
    <row r="353" spans="1:2">
      <c r="A353" s="9"/>
      <c r="B353" s="10"/>
    </row>
    <row r="354" spans="1:2">
      <c r="A354" s="9"/>
      <c r="B354" s="10"/>
    </row>
    <row r="355" spans="1:2">
      <c r="A355" s="9"/>
      <c r="B355" s="10"/>
    </row>
    <row r="356" spans="1:2">
      <c r="A356" s="9"/>
      <c r="B356" s="10"/>
    </row>
    <row r="357" spans="1:2">
      <c r="A357" s="9"/>
      <c r="B357" s="10"/>
    </row>
    <row r="358" spans="1:2">
      <c r="A358" s="9"/>
      <c r="B358" s="10"/>
    </row>
    <row r="359" spans="1:2">
      <c r="A359" s="9"/>
      <c r="B359" s="10"/>
    </row>
    <row r="360" spans="1:2">
      <c r="A360" s="9"/>
      <c r="B360" s="10"/>
    </row>
    <row r="361" spans="1:2">
      <c r="A361" s="9"/>
      <c r="B361" s="10"/>
    </row>
    <row r="362" spans="1:2">
      <c r="A362" s="9"/>
      <c r="B362" s="10"/>
    </row>
    <row r="363" spans="1:2">
      <c r="A363" s="9"/>
      <c r="B363" s="10"/>
    </row>
    <row r="364" spans="1:2">
      <c r="A364" s="9"/>
      <c r="B364" s="10"/>
    </row>
    <row r="365" spans="1:2">
      <c r="A365" s="9"/>
      <c r="B365" s="10"/>
    </row>
    <row r="366" spans="1:2">
      <c r="A366" s="9"/>
      <c r="B366" s="10"/>
    </row>
    <row r="367" spans="1:2">
      <c r="A367" s="9"/>
      <c r="B367" s="10"/>
    </row>
    <row r="368" spans="1:2">
      <c r="A368" s="9"/>
      <c r="B368" s="10"/>
    </row>
    <row r="369" spans="1:2">
      <c r="A369" s="9"/>
      <c r="B369" s="10"/>
    </row>
    <row r="370" spans="1:2">
      <c r="A370" s="9"/>
      <c r="B370" s="10"/>
    </row>
    <row r="371" spans="1:2">
      <c r="A371" s="9"/>
      <c r="B371" s="10"/>
    </row>
    <row r="372" spans="1:2">
      <c r="A372" s="9"/>
      <c r="B372" s="10"/>
    </row>
    <row r="373" spans="1:2">
      <c r="A373" s="9"/>
      <c r="B373" s="10"/>
    </row>
    <row r="374" spans="1:2">
      <c r="A374" s="9"/>
      <c r="B374" s="10"/>
    </row>
    <row r="375" spans="1:2">
      <c r="A375" s="9"/>
      <c r="B375" s="10"/>
    </row>
    <row r="376" spans="1:2">
      <c r="A376" s="9"/>
      <c r="B376" s="10"/>
    </row>
    <row r="377" spans="1:2">
      <c r="A377" s="9"/>
      <c r="B377" s="10"/>
    </row>
    <row r="378" spans="1:2">
      <c r="A378" s="9"/>
      <c r="B378" s="10"/>
    </row>
    <row r="379" spans="1:2">
      <c r="A379" s="9"/>
      <c r="B379" s="10"/>
    </row>
    <row r="380" spans="1:2">
      <c r="A380" s="9"/>
      <c r="B380" s="10"/>
    </row>
    <row r="381" spans="1:2">
      <c r="A381" s="9"/>
      <c r="B381" s="10"/>
    </row>
    <row r="382" spans="1:2">
      <c r="A382" s="9"/>
      <c r="B382" s="10"/>
    </row>
    <row r="383" spans="1:2">
      <c r="A383" s="9"/>
      <c r="B383" s="10"/>
    </row>
    <row r="384" spans="1:2">
      <c r="A384" s="9"/>
      <c r="B384" s="10"/>
    </row>
    <row r="385" spans="1:2">
      <c r="A385" s="9"/>
      <c r="B385" s="10"/>
    </row>
    <row r="386" spans="1:2">
      <c r="A386" s="9"/>
      <c r="B386" s="10"/>
    </row>
    <row r="387" spans="1:2">
      <c r="A387" s="9"/>
      <c r="B387" s="10"/>
    </row>
    <row r="388" spans="1:2">
      <c r="A388" s="9"/>
      <c r="B388" s="10"/>
    </row>
    <row r="389" spans="1:2">
      <c r="A389" s="9"/>
      <c r="B389" s="10"/>
    </row>
    <row r="390" spans="1:2">
      <c r="A390" s="9"/>
      <c r="B390" s="10"/>
    </row>
    <row r="391" spans="1:2">
      <c r="A391" s="9"/>
      <c r="B391" s="10"/>
    </row>
    <row r="392" spans="1:2">
      <c r="A392" s="9"/>
      <c r="B392" s="10"/>
    </row>
    <row r="393" spans="1:2">
      <c r="A393" s="9"/>
      <c r="B393" s="10"/>
    </row>
    <row r="394" spans="1:2">
      <c r="A394" s="9"/>
      <c r="B394" s="10"/>
    </row>
    <row r="395" spans="1:2">
      <c r="A395" s="9"/>
      <c r="B395" s="10"/>
    </row>
    <row r="396" spans="1:2">
      <c r="A396" s="9"/>
      <c r="B396" s="10"/>
    </row>
    <row r="397" spans="1:2">
      <c r="A397" s="9"/>
      <c r="B397" s="10"/>
    </row>
    <row r="398" spans="1:2">
      <c r="A398" s="9"/>
      <c r="B398" s="10"/>
    </row>
    <row r="399" spans="1:2">
      <c r="A399" s="9"/>
      <c r="B399" s="10"/>
    </row>
    <row r="400" spans="1:2">
      <c r="A400" s="9"/>
      <c r="B400" s="10"/>
    </row>
    <row r="401" spans="1:2">
      <c r="A401" s="9"/>
      <c r="B401" s="10"/>
    </row>
    <row r="402" spans="1:2">
      <c r="A402" s="9"/>
      <c r="B402" s="10"/>
    </row>
    <row r="403" spans="1:2">
      <c r="A403" s="9"/>
      <c r="B403" s="10"/>
    </row>
    <row r="404" spans="1:2">
      <c r="A404" s="9"/>
      <c r="B404" s="10"/>
    </row>
    <row r="405" spans="1:2">
      <c r="A405" s="9"/>
      <c r="B405" s="10"/>
    </row>
    <row r="406" spans="1:2">
      <c r="A406" s="9"/>
      <c r="B406" s="10"/>
    </row>
    <row r="407" spans="1:2">
      <c r="A407" s="9"/>
      <c r="B407" s="10"/>
    </row>
    <row r="408" spans="1:2">
      <c r="A408" s="9"/>
      <c r="B408" s="10"/>
    </row>
    <row r="409" spans="1:2">
      <c r="A409" s="9"/>
      <c r="B409" s="10"/>
    </row>
    <row r="410" spans="1:2">
      <c r="A410" s="9"/>
      <c r="B410" s="10"/>
    </row>
    <row r="411" spans="1:2">
      <c r="A411" s="9"/>
      <c r="B411" s="10"/>
    </row>
    <row r="412" spans="1:2">
      <c r="A412" s="9"/>
      <c r="B412" s="10"/>
    </row>
    <row r="413" spans="1:2">
      <c r="A413" s="9"/>
      <c r="B413" s="10"/>
    </row>
    <row r="414" spans="1:2">
      <c r="A414" s="13"/>
      <c r="B414" s="15"/>
    </row>
    <row r="415" spans="1:2">
      <c r="A415" s="13"/>
      <c r="B415" s="15"/>
    </row>
    <row r="416" spans="1:2">
      <c r="A416" s="13"/>
      <c r="B416" s="14"/>
    </row>
    <row r="417" spans="1:2">
      <c r="A417" s="13"/>
      <c r="B417" s="14"/>
    </row>
    <row r="418" spans="1:2">
      <c r="A418" s="11"/>
      <c r="B418" s="12"/>
    </row>
    <row r="419" spans="1:2">
      <c r="A419" s="11"/>
      <c r="B419" s="12"/>
    </row>
  </sheetData>
  <sortState ref="A2:C263">
    <sortCondition ref="C2"/>
  </sortState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B2" sqref="B2"/>
    </sheetView>
  </sheetViews>
  <sheetFormatPr defaultColWidth="9" defaultRowHeight="13.5"/>
  <cols>
    <col min="1" max="1" width="13.5" customWidth="1"/>
    <col min="2" max="2" width="11" customWidth="1"/>
    <col min="3" max="3" width="14.125"/>
    <col min="9" max="9" width="17.25"/>
    <col min="10" max="11" width="14"/>
    <col min="12" max="12" width="12.5"/>
  </cols>
  <sheetData>
    <row r="1" spans="1:3">
      <c r="A1" s="1" t="s">
        <v>6</v>
      </c>
      <c r="B1" s="1" t="s">
        <v>232</v>
      </c>
      <c r="C1" s="1" t="s">
        <v>233</v>
      </c>
    </row>
    <row r="2" spans="1:3">
      <c r="A2" s="1" t="s">
        <v>234</v>
      </c>
      <c r="B2" s="1">
        <f>SUMIF(商品信息!$G$2:$G$100,"欣和*",商品信息!$H$2:$H$100)</f>
        <v>248</v>
      </c>
      <c r="C2" s="2">
        <f>SUMIF(商品信息!$G$2:$G$100,"欣和*",商品信息!$H$2:$H$100)/SUM(商品信息!$H$2:$H$100)</f>
        <v>0.11017325633052</v>
      </c>
    </row>
    <row r="3" spans="1:3">
      <c r="A3" s="1" t="s">
        <v>235</v>
      </c>
      <c r="B3" s="1">
        <f>SUMIF(商品信息!$G$2:$G$100,"李锦记*",商品信息!$H$2:$H$100)</f>
        <v>322</v>
      </c>
      <c r="C3" s="2">
        <f>SUMIF(商品信息!$G$2:$G$100,"李锦记*",商品信息!$H$2:$H$100)/SUM(商品信息!$H$2:$H$100)</f>
        <v>0.143047534429143</v>
      </c>
    </row>
    <row r="4" spans="1:3">
      <c r="A4" s="1" t="s">
        <v>236</v>
      </c>
      <c r="B4" s="1">
        <f>SUMIF(商品信息!$G$2:$G$100,"味好美*",商品信息!$H$2:$H$100)</f>
        <v>1111</v>
      </c>
      <c r="C4" s="2">
        <f>SUMIF(商品信息!$G$2:$G$100,"味好美*",商品信息!$H$2:$H$100)/SUM(商品信息!$H$2:$H$100)</f>
        <v>0.493558418480675</v>
      </c>
    </row>
    <row r="5" spans="1:3">
      <c r="A5" s="1" t="s">
        <v>237</v>
      </c>
      <c r="B5" s="1">
        <f>SUMIF(商品信息!$G$2:$G$100,"古龙*",商品信息!$H$2:$H$100)</f>
        <v>204</v>
      </c>
      <c r="C5" s="2">
        <f>SUMIF(商品信息!$G$2:$G$100,"古龙*",商品信息!$H$2:$H$100)/SUM(商品信息!$H$2:$H$100)</f>
        <v>0.0906263882718792</v>
      </c>
    </row>
    <row r="6" spans="1:3">
      <c r="A6" s="1" t="s">
        <v>238</v>
      </c>
      <c r="B6" s="1">
        <f>SUMIF(商品信息!$G$2:$G$100,"五谷道场*",商品信息!$H$2:$H$100)</f>
        <v>192</v>
      </c>
      <c r="C6" s="2">
        <f>SUMIF(商品信息!$G$2:$G$100,"五谷道场*",商品信息!$H$2:$H$100)/SUM(商品信息!$H$2:$H$100)</f>
        <v>0.0852954242558863</v>
      </c>
    </row>
    <row r="7" spans="1:3">
      <c r="A7" s="1" t="s">
        <v>239</v>
      </c>
      <c r="B7" s="1">
        <f>SUMIF(商品信息!$G$2:$G$100,"300g六月香*",商品信息!$H$2:$H$100)</f>
        <v>24</v>
      </c>
      <c r="C7" s="2">
        <f>SUMIF(商品信息!$G$2:$G$100,"300g六月香*",商品信息!$H$2:$H$100)/SUM(商品信息!$H$2:$H$100)</f>
        <v>0.0106619280319858</v>
      </c>
    </row>
    <row r="8" spans="1:3">
      <c r="A8" s="1" t="s">
        <v>240</v>
      </c>
      <c r="B8" s="1">
        <f>SUMIF(商品信息!$G$2:$G$100,"六月香*",商品信息!$H$2:$H$100)</f>
        <v>12</v>
      </c>
      <c r="C8" s="2">
        <f>SUMIF(商品信息!$G$2:$G$100,"六月香*",商品信息!$H$2:$H$100)/SUM(商品信息!$H$2:$H$100)</f>
        <v>0.00533096401599289</v>
      </c>
    </row>
    <row r="10" spans="9:10">
      <c r="I10" t="s">
        <v>241</v>
      </c>
      <c r="J10" t="s">
        <v>0</v>
      </c>
    </row>
    <row r="11" spans="9:12">
      <c r="I11" t="s">
        <v>1</v>
      </c>
      <c r="J11" t="s">
        <v>15</v>
      </c>
      <c r="K11" t="s">
        <v>242</v>
      </c>
      <c r="L11" t="s">
        <v>243</v>
      </c>
    </row>
    <row r="12" spans="9:12">
      <c r="I12" s="3">
        <v>43407</v>
      </c>
      <c r="J12" s="4">
        <v>1344.72</v>
      </c>
      <c r="K12" s="4"/>
      <c r="L12" s="4">
        <v>1344.72</v>
      </c>
    </row>
    <row r="13" spans="9:12">
      <c r="I13" s="3">
        <v>43408</v>
      </c>
      <c r="J13" s="4">
        <v>1594.55</v>
      </c>
      <c r="K13" s="4"/>
      <c r="L13" s="4">
        <v>1594.55</v>
      </c>
    </row>
    <row r="14" spans="9:12">
      <c r="I14" s="3">
        <v>43409</v>
      </c>
      <c r="J14" s="4">
        <v>2672.62</v>
      </c>
      <c r="K14" s="4"/>
      <c r="L14" s="4">
        <v>2672.62</v>
      </c>
    </row>
    <row r="15" spans="9:12">
      <c r="I15" s="3">
        <v>43410</v>
      </c>
      <c r="J15" s="4">
        <v>1111.21</v>
      </c>
      <c r="K15" s="4">
        <v>3977.52</v>
      </c>
      <c r="L15" s="4">
        <v>5088.73</v>
      </c>
    </row>
    <row r="16" spans="9:12">
      <c r="I16" s="3">
        <v>43411</v>
      </c>
      <c r="J16" s="4"/>
      <c r="K16" s="4">
        <v>4145.6</v>
      </c>
      <c r="L16" s="4">
        <v>4145.6</v>
      </c>
    </row>
    <row r="17" spans="9:12">
      <c r="I17" s="3">
        <v>43412</v>
      </c>
      <c r="J17" s="4"/>
      <c r="K17" s="4">
        <v>3585.97</v>
      </c>
      <c r="L17" s="4">
        <v>3585.97</v>
      </c>
    </row>
    <row r="18" spans="9:12">
      <c r="I18" t="s">
        <v>243</v>
      </c>
      <c r="J18" s="4">
        <v>6723.1</v>
      </c>
      <c r="K18" s="4">
        <v>11709.09</v>
      </c>
      <c r="L18" s="4">
        <v>18432.19</v>
      </c>
    </row>
  </sheetData>
  <pageMargins left="0.7" right="0.7" top="0.75" bottom="0.75" header="0.3" footer="0.3"/>
  <pageSetup paperSize="9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商品编码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2025-12-08T05:28:45Z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
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Sheet1" sheetId="1" r:id="rId1"/>
    <sheet name="房地产销售统计表" sheetId="2" r:id="rId2"/>
    <sheet name="Sheet3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<sst xmlns="http://schemas.openxmlformats.org/spreadsheetml/2006/main" count="157" uniqueCount="31">
  <si>
    <t>房屋编号</t>
  </si>
  <si>
    <t>房屋类型</t>
  </si>
  <si>
    <t>房屋面积（㎡）</t>
  </si>
  <si>
    <t>户型结构</t>
  </si>
  <si>
    <t>建筑年代</t>
  </si>
  <si>
    <t>装修情况</t>
  </si>
  <si>
    <t>单价（万元/㎡）</t>
  </si>
  <si>
    <t>总价</t>
  </si>
  <si>
    <t>交易状态</t>
  </si>
  <si>
    <t>物业费用（元/月）</t>
  </si>
  <si>
    <t>产权年限（年）</t>
  </si>
  <si>
    <t>公寓</t>
  </si>
  <si>
    <t>2室1厅1卫</t>
  </si>
  <si>
    <t>简装</t>
  </si>
  <si>
    <t>已售</t>
  </si>
  <si>
    <t>公寓物业总费用</t>
  </si>
  <si>
    <t>别墅</t>
  </si>
  <si>
    <t>4室2厅3卫</t>
  </si>
  <si>
    <t>精装</t>
  </si>
  <si>
    <t>在售</t>
  </si>
  <si>
    <t>商铺产权平均年限</t>
  </si>
  <si>
    <t>3室2厅2卫</t>
  </si>
  <si>
    <t>房屋最高单价</t>
  </si>
  <si>
    <t>商铺</t>
  </si>
  <si>
    <t>自由设计</t>
  </si>
  <si>
    <t>毛坯</t>
  </si>
  <si>
    <t>写字楼</t>
  </si>
  <si>
    <t>5室3厅4卫</t>
  </si>
  <si>
    <t>汇总</t>
  </si>
  <si>
    <t>平均值项:物业费用（元/月）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</si>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</sst>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[Red][&gt;=70]General;[Blue][&lt;70]General"/>
    <numFmt numFmtId="178" formatCode="&quot;￥&quot;#,##0.0_);[Red]\(&quot;￥&quot;#,##0.0\)"/>
    <numFmt numFmtId="179" formatCode="[Red][&gt;=70]General;[Blue][&lt;70]General"/>
  </numFmts>
  <fonts count="23">
    <font>
      <sz val="11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0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double">
        <color rgb="FF0070C0"/>
      </left>
      <right style="thin">
        <color rgb="FF00B050"/>
      </right>
      <top style="double">
        <color rgb="FF0070C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0070C0"/>
      </top>
      <bottom style="thin">
        <color rgb="FF00B050"/>
      </bottom>
      <diagonal/>
    </border>
    <border>
      <left style="double">
        <color rgb="FF0070C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double">
        <color rgb="FF0070C0"/>
      </left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double">
        <color rgb="FF0070C0"/>
      </right>
      <top style="double">
        <color rgb="FF0070C0"/>
      </top>
      <bottom style="thin">
        <color rgb="FF00B050"/>
      </bottom>
      <diagonal/>
    </border>
    <border>
      <left style="thin">
        <color rgb="FF00B050"/>
      </left>
      <right style="double">
        <color rgb="FF0070C0"/>
      </right>
      <top style="thin">
        <color rgb="FF00B050"/>
      </top>
      <bottom style="thin">
        <color rgb="FF00B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B050"/>
      </left>
      <right style="double">
        <color rgb="FF0070C0"/>
      </right>
      <top style="thin">
        <color rgb="FF00B050"/>
      </top>
      <bottom style="double">
        <color rgb="FF007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0" borderId="6" xfId="0" applyFont="1" applyBorder="1" applyAlignment="1">
      <alignment horizontal="center" vertical="center"/>
    </xf>
    <xf numFmtId="176" fontId="1" fillId="0" borderId="6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7" fontId="1" fillId="0" borderId="8" xfId="0" applyNumberFormat="1" applyFont="1" applyBorder="1" applyAlignment="1">
      <alignment horizontal="center" vertical="center"/>
    </xf>
    <xf numFmtId="0" fontId="0" fillId="0" borderId="9" xfId="0" applyBorder="1">
      <alignment vertical="center"/>
    </xf>
    <xf numFmtId="177" fontId="1" fillId="0" borderId="1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C7CE"/>
        </patternFill>
      </fill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font>
        <name val="宋体"/>
        <scheme val="none"/>
        <charset val="134"/>
        <family val="0"/>
        <b val="0"/>
        <i val="0"/>
        <strike val="0"/>
        <u val="none"/>
        <sz val="13"/>
        <color theme="1"/>
      </font>
      <alignment horizontal="center" vertical="center"/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4"/>
          <bgColor theme="4"/>
        </patternFill>
      </fill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ableStylePreset6_Accent1" pivot="0" count="9" xr9:uid="{BE2BE8DD-DB61-4529-A57E-709EE2450B04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secondRowStripe" dxfId="13"/>
      <tableStyleElement type="firstColumnStripe" dxfId="12"/>
      <tableStyleElement type="second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单价对比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Sheet1!$B$11:$B$16</c:f>
              <c:strCache>
                <c:ptCount val="6"/>
                <c:pt idx="0">
                  <c:v>商铺</c:v>
                </c:pt>
                <c:pt idx="1">
                  <c:v>公寓</c:v>
                </c:pt>
                <c:pt idx="2">
                  <c:v>写字楼</c:v>
                </c:pt>
                <c:pt idx="3">
                  <c:v>商铺</c:v>
                </c:pt>
                <c:pt idx="4">
                  <c:v>商铺</c:v>
                </c:pt>
                <c:pt idx="5">
                  <c:v>写字楼</c:v>
                </c:pt>
              </c:strCache>
            </c:strRef>
          </c:xVal>
          <c:yVal>
            <c:numRef>
              <c:f>Sheet1!$G$11:$G$16</c:f>
              <c:numCache>
                <c:formatCode>General</c:formatCode>
                <c:ptCount val="6"/>
                <c:pt idx="0">
                  <c:v>18</c:v>
                </c:pt>
                <c:pt idx="1">
                  <c:v>8.5</c:v>
                </c:pt>
                <c:pt idx="2">
                  <c:v>30</c:v>
                </c:pt>
                <c:pt idx="3">
                  <c:v>9</c:v>
                </c:pt>
                <c:pt idx="4">
                  <c:v>22</c:v>
                </c:pt>
                <c:pt idx="5">
                  <c:v>28</c:v>
                </c:pt>
              </c:numCache>
            </c:numRef>
          </c:yVal>
          <c:smooth val="1"/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184262828"/>
        <c:axId val="663867388"/>
      </c:scatterChart>
      <c:valAx>
        <c:axId val="1842628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3867388"/>
        <c:crosses val="autoZero"/>
        <c:crossBetween val="midCat"/>
      </c:valAx>
      <c:valAx>
        <c:axId val="6638673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2628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[14房地产销售统计样张.xlsx]Sheet3!物业费用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物业费用汇总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Sheet3!$C$1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Sheet3!$A$2:$B$6</c:f>
              <c:multiLvlStrCache>
                <c:ptCount val="4"/>
                <c:lvl>
                  <c:pt idx="0">
                    <c:v>已售</c:v>
                  </c:pt>
                  <c:pt idx="1">
                    <c:v>在售</c:v>
                  </c:pt>
                  <c:pt idx="2">
                    <c:v>已售</c:v>
                  </c:pt>
                  <c:pt idx="3">
                    <c:v>在售</c:v>
                  </c:pt>
                </c:lvl>
                <c:lvl>
                  <c:pt idx="0">
                    <c:v>精装</c:v>
                  </c:pt>
                  <c:pt idx="2">
                    <c:v>毛坯</c:v>
                  </c:pt>
                </c:lvl>
              </c:multiLvlStrCache>
            </c:multiLvlStrRef>
          </c:cat>
          <c:val>
            <c:numRef>
              <c:f>Sheet3!$C$2:$C$6</c:f>
              <c:numCache>
                <c:formatCode>General</c:formatCode>
                <c:ptCount val="4"/>
                <c:pt idx="0">
                  <c:v>315</c:v>
                </c:pt>
                <c:pt idx="1">
                  <c:v>550</c:v>
                </c:pt>
                <c:pt idx="2">
                  <c:v>4500</c:v>
                </c:pt>
                <c:pt idx="3">
                  <c:v>1910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923020917"/>
        <c:axId val="416985883"/>
      </c:barChart>
      <c:catAx>
        <c:axId val="9230209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85883"/>
        <c:crosses val="autoZero"/>
        <c:auto val="1"/>
        <c:lblAlgn val="ctr"/>
        <c:lblOffset val="100"/>
        <c:noMultiLvlLbl val="0"/>
      </c:catAx>
      <c:valAx>
        <c:axId val="4169858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302091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438150</xdr:colOff>
      <xdr:row>17</xdr:row>
      <xdr:rowOff>117475</xdr:rowOff>
    </xdr:from>
    <xdr:to>
      <xdr:col>6</xdr:col>
      <xdr:colOff>111125</xdr:colOff>
      <xdr:row>33</xdr:row>
      <xdr:rowOff>117475</xdr:rowOff>
    </xdr:to>
    <xdr:graphicFrame>
      <xdr:nvGraphicFramePr>
        <xdr:cNvPr id="2" name="房屋单价对比散点图"/>
        <xdr:cNvGraphicFramePr/>
      </xdr:nvGraphicFramePr>
      <xdr:xfrm>
        <a:off x="1343025" y="3422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161925</xdr:colOff>
      <xdr:row>9</xdr:row>
      <xdr:rowOff>123825</xdr:rowOff>
    </xdr:from>
    <xdr:to>
      <xdr:col>5</xdr:col>
      <xdr:colOff>492125</xdr:colOff>
      <xdr:row>25</xdr:row>
      <xdr:rowOff>123825</xdr:rowOff>
    </xdr:to>
    <xdr:graphicFrame>
      <xdr:nvGraphicFramePr>
        <xdr:cNvPr id="2" name="图表 1"/>
        <xdr:cNvGraphicFramePr/>
      </xdr:nvGraphicFramePr>
      <xdr:xfrm>
        <a:off x="1028700" y="1666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405.4637731481" refreshedBy="mm" recordCount="15">
  <cacheSource type="worksheet">
    <worksheetSource ref="A1:K16" sheet="Sheet1"/>
  </cacheSource>
  <cacheFields count="11">
    <cacheField name="房屋编号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房屋类型" numFmtId="0">
      <sharedItems count="4">
        <s v="公寓"/>
        <s v="别墅"/>
        <s v="商铺"/>
        <s v="写字楼"/>
      </sharedItems>
    </cacheField>
    <cacheField name="房屋面积（㎡）" numFmtId="0">
      <sharedItems containsSemiMixedTypes="0" containsString="0" containsNumber="1" containsInteger="1" minValue="80" maxValue="700" count="15">
        <n v="80"/>
        <n v="300"/>
        <n v="100"/>
        <n v="150"/>
        <n v="120"/>
        <n v="500"/>
        <n v="90"/>
        <n v="350"/>
        <n v="110"/>
        <n v="200"/>
        <n v="85"/>
        <n v="600"/>
        <n v="95"/>
        <n v="180"/>
        <n v="700"/>
      </sharedItems>
    </cacheField>
    <cacheField name="户型结构" numFmtId="0">
      <sharedItems count="5">
        <s v="2室1厅1卫"/>
        <s v="4室2厅3卫"/>
        <s v="3室2厅2卫"/>
        <s v="自由设计"/>
        <s v="5室3厅4卫"/>
      </sharedItems>
    </cacheField>
    <cacheField name="建筑年代" numFmtId="0">
      <sharedItems containsSemiMixedTypes="0" containsString="0" containsNumber="1" containsInteger="1" minValue="2000" maxValue="2020" count="12">
        <n v="2010"/>
        <n v="2005"/>
        <n v="2015"/>
        <n v="2000"/>
        <n v="2012"/>
        <n v="2018"/>
        <n v="2016"/>
        <n v="2008"/>
        <n v="2013"/>
        <n v="2020"/>
        <n v="2011"/>
        <n v="2019"/>
      </sharedItems>
    </cacheField>
    <cacheField name="装修情况" numFmtId="0">
      <sharedItems count="3">
        <s v="简装"/>
        <s v="精装"/>
        <s v="毛坯"/>
      </sharedItems>
    </cacheField>
    <cacheField name="单价（万元/㎡）" numFmtId="0">
      <sharedItems containsSemiMixedTypes="0" containsString="0" containsNumber="1" minValue="8" maxValue="30" count="12">
        <n v="8.5"/>
        <n v="15"/>
        <n v="9.2"/>
        <n v="20"/>
        <n v="8"/>
        <n v="25"/>
        <n v="10"/>
        <n v="18"/>
        <n v="9"/>
        <n v="30"/>
        <n v="22"/>
        <n v="28"/>
      </sharedItems>
    </cacheField>
    <cacheField name="总价" numFmtId="178">
      <sharedItems containsSemiMixedTypes="0" containsString="0" containsNumber="1" minValue="680" maxValue="19600" count="15">
        <n v="680"/>
        <n v="4500"/>
        <n v="920"/>
        <n v="3000"/>
        <n v="960"/>
        <n v="12500"/>
        <n v="900"/>
        <n v="6300"/>
        <n v="990"/>
        <n v="3600"/>
        <n v="722.5"/>
        <n v="18000"/>
        <n v="855"/>
        <n v="3960"/>
        <n v="19600"/>
      </sharedItems>
    </cacheField>
    <cacheField name="交易状态" numFmtId="0">
      <sharedItems count="2">
        <s v="已售"/>
        <s v="在售"/>
      </sharedItems>
    </cacheField>
    <cacheField name="物业费用（元/月）" numFmtId="0">
      <sharedItems containsSemiMixedTypes="0" containsString="0" containsNumber="1" containsInteger="1" minValue="280" maxValue="4500" count="15">
        <n v="300"/>
        <n v="500"/>
        <n v="350"/>
        <n v="800"/>
        <n v="320"/>
        <n v="3000"/>
        <n v="280"/>
        <n v="600"/>
        <n v="330"/>
        <n v="900"/>
        <n v="290"/>
        <n v="4000"/>
        <n v="310"/>
        <n v="850"/>
        <n v="4500"/>
      </sharedItems>
    </cacheField>
    <cacheField name="产权年限（年）" numFmtId="0">
      <sharedItems containsSemiMixedTypes="0" containsString="0" containsNumber="1" containsInteger="1" minValue="50" maxValue="80" count="5">
        <n v="60"/>
        <n v="50"/>
        <n v="80"/>
        <n v="75"/>
        <n v="7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0"/>
    <x v="2"/>
    <x v="2"/>
    <x v="2"/>
    <x v="1"/>
    <x v="2"/>
    <x v="2"/>
    <x v="0"/>
    <x v="2"/>
    <x v="2"/>
  </r>
  <r>
    <x v="3"/>
    <x v="2"/>
    <x v="3"/>
    <x v="3"/>
    <x v="3"/>
    <x v="2"/>
    <x v="3"/>
    <x v="3"/>
    <x v="1"/>
    <x v="3"/>
    <x v="1"/>
  </r>
  <r>
    <x v="4"/>
    <x v="1"/>
    <x v="4"/>
    <x v="2"/>
    <x v="4"/>
    <x v="0"/>
    <x v="4"/>
    <x v="4"/>
    <x v="0"/>
    <x v="4"/>
    <x v="3"/>
  </r>
  <r>
    <x v="5"/>
    <x v="3"/>
    <x v="5"/>
    <x v="3"/>
    <x v="5"/>
    <x v="2"/>
    <x v="5"/>
    <x v="5"/>
    <x v="1"/>
    <x v="5"/>
    <x v="1"/>
  </r>
  <r>
    <x v="6"/>
    <x v="0"/>
    <x v="6"/>
    <x v="0"/>
    <x v="6"/>
    <x v="1"/>
    <x v="6"/>
    <x v="6"/>
    <x v="0"/>
    <x v="6"/>
    <x v="4"/>
  </r>
  <r>
    <x v="7"/>
    <x v="1"/>
    <x v="7"/>
    <x v="4"/>
    <x v="7"/>
    <x v="1"/>
    <x v="7"/>
    <x v="7"/>
    <x v="1"/>
    <x v="7"/>
    <x v="1"/>
  </r>
  <r>
    <x v="8"/>
    <x v="0"/>
    <x v="8"/>
    <x v="2"/>
    <x v="0"/>
    <x v="0"/>
    <x v="8"/>
    <x v="8"/>
    <x v="0"/>
    <x v="8"/>
    <x v="1"/>
  </r>
  <r>
    <x v="9"/>
    <x v="2"/>
    <x v="9"/>
    <x v="3"/>
    <x v="2"/>
    <x v="2"/>
    <x v="7"/>
    <x v="9"/>
    <x v="1"/>
    <x v="9"/>
    <x v="4"/>
  </r>
  <r>
    <x v="10"/>
    <x v="0"/>
    <x v="10"/>
    <x v="0"/>
    <x v="8"/>
    <x v="0"/>
    <x v="0"/>
    <x v="10"/>
    <x v="0"/>
    <x v="10"/>
    <x v="4"/>
  </r>
  <r>
    <x v="11"/>
    <x v="3"/>
    <x v="11"/>
    <x v="3"/>
    <x v="9"/>
    <x v="2"/>
    <x v="9"/>
    <x v="11"/>
    <x v="1"/>
    <x v="11"/>
    <x v="2"/>
  </r>
  <r>
    <x v="12"/>
    <x v="2"/>
    <x v="12"/>
    <x v="2"/>
    <x v="10"/>
    <x v="0"/>
    <x v="8"/>
    <x v="12"/>
    <x v="0"/>
    <x v="12"/>
    <x v="4"/>
  </r>
  <r>
    <x v="13"/>
    <x v="2"/>
    <x v="13"/>
    <x v="3"/>
    <x v="6"/>
    <x v="2"/>
    <x v="10"/>
    <x v="13"/>
    <x v="1"/>
    <x v="13"/>
    <x v="1"/>
  </r>
  <r>
    <x v="14"/>
    <x v="3"/>
    <x v="14"/>
    <x v="3"/>
    <x v="11"/>
    <x v="2"/>
    <x v="11"/>
    <x v="14"/>
    <x v="0"/>
    <x v="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物业费用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 chartFormat="2">
  <location ref="A1:C6" firstHeaderRow="1" firstDataRow="1" firstDataCol="2"/>
  <pivotFields count="11">
    <pivotField compact="0" defaultSubtotal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multipleItemSelectionAllowed="1" showAll="0">
      <items count="3">
        <item h="1"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176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15">
        <item x="6"/>
        <item x="10"/>
        <item x="0"/>
        <item x="12"/>
        <item x="4"/>
        <item x="8"/>
        <item x="2"/>
        <item x="1"/>
        <item x="7"/>
        <item x="3"/>
        <item x="13"/>
        <item x="9"/>
        <item x="5"/>
        <item x="11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numFmtId="177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5"/>
    <field x="8"/>
  </rowFields>
  <rowItems count="5">
    <i>
      <x v="1"/>
      <x/>
    </i>
    <i r="1">
      <x v="1"/>
    </i>
    <i>
      <x v="2"/>
      <x/>
    </i>
    <i r="1">
      <x v="1"/>
    </i>
    <i t="grand">
      <x/>
    </i>
  </rowItems>
  <colItems count="1">
    <i/>
  </colItems>
  <dataFields count="1">
    <dataField name="平均值项:物业费用（元/月）" fld="9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J17" totalsRowCount="1">
  <autoFilter ref="A1:J16"/>
  <tableColumns count="10">
    <tableColumn id="1" name="房屋编号" dataDxfId="1" totalsRowLabel="汇总"/>
    <tableColumn id="2" name="房屋类型" dataDxfId="2"/>
    <tableColumn id="3" name="房屋面积（㎡）" dataDxfId="3"/>
    <tableColumn id="4" name="户型结构" dataDxfId="4"/>
    <tableColumn id="5" name="建筑年代" dataDxfId="5"/>
    <tableColumn id="6" name="装修情况" dataDxfId="6"/>
    <tableColumn id="7" name="单价（万元/㎡）" dataDxfId="7"/>
    <tableColumn id="8" name="交易状态" dataDxfId="8"/>
    <tableColumn id="9" name="物业费用（元/月）" dataDxfId="9"/>
    <tableColumn id="10" name="产权年限（年）" dataDxfId="10" totalsRowFunction="sum"/>
  </tableColumns>
  <tableStyleInfo name="TableStylePreset6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pane ySplit="1" topLeftCell="A2" activePane="bottomLeft" state="frozen"/>
      <selection/>
      <selection pane="bottomLeft" activeCell="K28" sqref="K28"/>
    </sheetView>
  </sheetViews>
  <sheetFormatPr defaultColWidth="9" defaultRowHeight="13.5"/>
  <cols>
    <col min="1" max="2" width="11.875" customWidth="1"/>
    <col min="3" max="3" width="20.125" customWidth="1"/>
    <col min="4" max="6" width="11.875" customWidth="1"/>
    <col min="7" max="7" width="21.5" customWidth="1"/>
    <col min="8" max="8" width="15.25" customWidth="1"/>
    <col min="9" max="9" width="11.875" customWidth="1"/>
    <col min="10" max="10" width="24.375" customWidth="1"/>
    <col min="11" max="11" width="20.125" customWidth="1"/>
    <col min="13" max="13" width="17.125" customWidth="1"/>
    <col min="14" max="14" width="11.0166666666667" customWidth="1"/>
    <col min="15" max="15" width="14.375" customWidth="1"/>
  </cols>
  <sheetData>
    <row r="1" s="3" customFormat="1" ht="20.25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2" t="s">
        <v>10</v>
      </c>
    </row>
    <row r="2" ht="15" spans="1:14">
      <c r="A2" s="6">
        <v>1</v>
      </c>
      <c r="B2" s="7" t="s">
        <v>11</v>
      </c>
      <c r="C2" s="7">
        <v>80</v>
      </c>
      <c r="D2" s="7" t="s">
        <v>12</v>
      </c>
      <c r="E2" s="7">
        <v>2010</v>
      </c>
      <c r="F2" s="7" t="s">
        <v>13</v>
      </c>
      <c r="G2" s="7">
        <v>8.5</v>
      </c>
      <c r="H2" s="8">
        <f>C2*G2</f>
        <v>680</v>
      </c>
      <c r="I2" s="7" t="s">
        <v>14</v>
      </c>
      <c r="J2" s="7">
        <v>300</v>
      </c>
      <c r="K2" s="13">
        <v>60</v>
      </c>
      <c r="M2" s="14" t="s">
        <v>15</v>
      </c>
      <c r="N2" s="14">
        <f>SUMIF(B2:B16,B2,J2:J16)</f>
        <v>1550</v>
      </c>
    </row>
    <row r="3" ht="15" spans="1:14">
      <c r="A3" s="6">
        <v>2</v>
      </c>
      <c r="B3" s="7" t="s">
        <v>16</v>
      </c>
      <c r="C3" s="7">
        <v>300</v>
      </c>
      <c r="D3" s="7" t="s">
        <v>17</v>
      </c>
      <c r="E3" s="7">
        <v>2005</v>
      </c>
      <c r="F3" s="7" t="s">
        <v>18</v>
      </c>
      <c r="G3" s="7">
        <v>15</v>
      </c>
      <c r="H3" s="8">
        <f t="shared" ref="H3:H16" si="0">C3*G3</f>
        <v>4500</v>
      </c>
      <c r="I3" s="7" t="s">
        <v>19</v>
      </c>
      <c r="J3" s="7">
        <v>500</v>
      </c>
      <c r="K3" s="13">
        <v>50</v>
      </c>
      <c r="M3" s="14" t="s">
        <v>20</v>
      </c>
      <c r="N3" s="14">
        <f>AVERAGEIF(B2:B16,B5,K2:K16)</f>
        <v>60</v>
      </c>
    </row>
    <row r="4" ht="15" spans="1:14">
      <c r="A4" s="6">
        <v>3</v>
      </c>
      <c r="B4" s="7" t="s">
        <v>11</v>
      </c>
      <c r="C4" s="7">
        <v>100</v>
      </c>
      <c r="D4" s="7" t="s">
        <v>21</v>
      </c>
      <c r="E4" s="7">
        <v>2015</v>
      </c>
      <c r="F4" s="7" t="s">
        <v>18</v>
      </c>
      <c r="G4" s="7">
        <v>9.2</v>
      </c>
      <c r="H4" s="8">
        <f t="shared" si="0"/>
        <v>920</v>
      </c>
      <c r="I4" s="7" t="s">
        <v>14</v>
      </c>
      <c r="J4" s="7">
        <v>350</v>
      </c>
      <c r="K4" s="13">
        <v>80</v>
      </c>
      <c r="M4" s="14" t="s">
        <v>22</v>
      </c>
      <c r="N4" s="14">
        <f>MAX(G2:G16)</f>
        <v>30</v>
      </c>
    </row>
    <row r="5" ht="15" spans="1:11">
      <c r="A5" s="6">
        <v>4</v>
      </c>
      <c r="B5" s="7" t="s">
        <v>23</v>
      </c>
      <c r="C5" s="7">
        <v>150</v>
      </c>
      <c r="D5" s="7" t="s">
        <v>24</v>
      </c>
      <c r="E5" s="7">
        <v>2000</v>
      </c>
      <c r="F5" s="7" t="s">
        <v>25</v>
      </c>
      <c r="G5" s="7">
        <v>20</v>
      </c>
      <c r="H5" s="8">
        <f t="shared" si="0"/>
        <v>3000</v>
      </c>
      <c r="I5" s="7" t="s">
        <v>19</v>
      </c>
      <c r="J5" s="7">
        <v>800</v>
      </c>
      <c r="K5" s="13">
        <v>50</v>
      </c>
    </row>
    <row r="6" ht="15" spans="1:11">
      <c r="A6" s="6">
        <v>5</v>
      </c>
      <c r="B6" s="7" t="s">
        <v>16</v>
      </c>
      <c r="C6" s="7">
        <v>120</v>
      </c>
      <c r="D6" s="7" t="s">
        <v>21</v>
      </c>
      <c r="E6" s="7">
        <v>2012</v>
      </c>
      <c r="F6" s="7" t="s">
        <v>13</v>
      </c>
      <c r="G6" s="7">
        <v>8</v>
      </c>
      <c r="H6" s="8">
        <f t="shared" si="0"/>
        <v>960</v>
      </c>
      <c r="I6" s="7" t="s">
        <v>14</v>
      </c>
      <c r="J6" s="7">
        <v>320</v>
      </c>
      <c r="K6" s="13">
        <v>75</v>
      </c>
    </row>
    <row r="7" ht="15" spans="1:11">
      <c r="A7" s="6">
        <v>6</v>
      </c>
      <c r="B7" s="7" t="s">
        <v>26</v>
      </c>
      <c r="C7" s="7">
        <v>500</v>
      </c>
      <c r="D7" s="7" t="s">
        <v>24</v>
      </c>
      <c r="E7" s="7">
        <v>2018</v>
      </c>
      <c r="F7" s="7" t="s">
        <v>25</v>
      </c>
      <c r="G7" s="7">
        <v>25</v>
      </c>
      <c r="H7" s="8">
        <f t="shared" si="0"/>
        <v>12500</v>
      </c>
      <c r="I7" s="7" t="s">
        <v>19</v>
      </c>
      <c r="J7" s="7">
        <v>3000</v>
      </c>
      <c r="K7" s="13">
        <v>50</v>
      </c>
    </row>
    <row r="8" ht="15" spans="1:11">
      <c r="A8" s="6">
        <v>7</v>
      </c>
      <c r="B8" s="7" t="s">
        <v>11</v>
      </c>
      <c r="C8" s="7">
        <v>90</v>
      </c>
      <c r="D8" s="7" t="s">
        <v>12</v>
      </c>
      <c r="E8" s="7">
        <v>2016</v>
      </c>
      <c r="F8" s="7" t="s">
        <v>18</v>
      </c>
      <c r="G8" s="7">
        <v>10</v>
      </c>
      <c r="H8" s="8">
        <f t="shared" si="0"/>
        <v>900</v>
      </c>
      <c r="I8" s="7" t="s">
        <v>14</v>
      </c>
      <c r="J8" s="7">
        <v>280</v>
      </c>
      <c r="K8" s="13">
        <v>70</v>
      </c>
    </row>
    <row r="9" ht="15" spans="1:11">
      <c r="A9" s="6">
        <v>8</v>
      </c>
      <c r="B9" s="7" t="s">
        <v>16</v>
      </c>
      <c r="C9" s="7">
        <v>350</v>
      </c>
      <c r="D9" s="7" t="s">
        <v>27</v>
      </c>
      <c r="E9" s="7">
        <v>2008</v>
      </c>
      <c r="F9" s="7" t="s">
        <v>18</v>
      </c>
      <c r="G9" s="7">
        <v>18</v>
      </c>
      <c r="H9" s="8">
        <f t="shared" si="0"/>
        <v>6300</v>
      </c>
      <c r="I9" s="7" t="s">
        <v>19</v>
      </c>
      <c r="J9" s="7">
        <v>600</v>
      </c>
      <c r="K9" s="13">
        <v>50</v>
      </c>
    </row>
    <row r="10" ht="15" spans="1:11">
      <c r="A10" s="6">
        <v>9</v>
      </c>
      <c r="B10" s="7" t="s">
        <v>11</v>
      </c>
      <c r="C10" s="7">
        <v>110</v>
      </c>
      <c r="D10" s="7" t="s">
        <v>21</v>
      </c>
      <c r="E10" s="7">
        <v>2010</v>
      </c>
      <c r="F10" s="7" t="s">
        <v>13</v>
      </c>
      <c r="G10" s="7">
        <v>9</v>
      </c>
      <c r="H10" s="8">
        <f t="shared" si="0"/>
        <v>990</v>
      </c>
      <c r="I10" s="7" t="s">
        <v>14</v>
      </c>
      <c r="J10" s="7">
        <v>330</v>
      </c>
      <c r="K10" s="13">
        <v>50</v>
      </c>
    </row>
    <row r="11" ht="15" spans="1:11">
      <c r="A11" s="6">
        <v>10</v>
      </c>
      <c r="B11" s="7" t="s">
        <v>23</v>
      </c>
      <c r="C11" s="7">
        <v>200</v>
      </c>
      <c r="D11" s="7" t="s">
        <v>24</v>
      </c>
      <c r="E11" s="7">
        <v>2015</v>
      </c>
      <c r="F11" s="7" t="s">
        <v>25</v>
      </c>
      <c r="G11" s="7">
        <v>18</v>
      </c>
      <c r="H11" s="8">
        <f t="shared" si="0"/>
        <v>3600</v>
      </c>
      <c r="I11" s="7" t="s">
        <v>19</v>
      </c>
      <c r="J11" s="7">
        <v>900</v>
      </c>
      <c r="K11" s="13">
        <v>70</v>
      </c>
    </row>
    <row r="12" ht="15" spans="1:11">
      <c r="A12" s="6">
        <v>11</v>
      </c>
      <c r="B12" s="7" t="s">
        <v>11</v>
      </c>
      <c r="C12" s="7">
        <v>85</v>
      </c>
      <c r="D12" s="7" t="s">
        <v>12</v>
      </c>
      <c r="E12" s="7">
        <v>2013</v>
      </c>
      <c r="F12" s="7" t="s">
        <v>13</v>
      </c>
      <c r="G12" s="7">
        <v>8.5</v>
      </c>
      <c r="H12" s="8">
        <f t="shared" si="0"/>
        <v>722.5</v>
      </c>
      <c r="I12" s="7" t="s">
        <v>14</v>
      </c>
      <c r="J12" s="7">
        <v>290</v>
      </c>
      <c r="K12" s="13">
        <v>70</v>
      </c>
    </row>
    <row r="13" ht="15" spans="1:11">
      <c r="A13" s="6">
        <v>12</v>
      </c>
      <c r="B13" s="7" t="s">
        <v>26</v>
      </c>
      <c r="C13" s="7">
        <v>600</v>
      </c>
      <c r="D13" s="7" t="s">
        <v>24</v>
      </c>
      <c r="E13" s="7">
        <v>2020</v>
      </c>
      <c r="F13" s="7" t="s">
        <v>25</v>
      </c>
      <c r="G13" s="7">
        <v>30</v>
      </c>
      <c r="H13" s="8">
        <f t="shared" si="0"/>
        <v>18000</v>
      </c>
      <c r="I13" s="7" t="s">
        <v>19</v>
      </c>
      <c r="J13" s="7">
        <v>4000</v>
      </c>
      <c r="K13" s="13">
        <v>80</v>
      </c>
    </row>
    <row r="14" ht="15" spans="1:11">
      <c r="A14" s="6">
        <v>13</v>
      </c>
      <c r="B14" s="7" t="s">
        <v>23</v>
      </c>
      <c r="C14" s="7">
        <v>95</v>
      </c>
      <c r="D14" s="7" t="s">
        <v>21</v>
      </c>
      <c r="E14" s="7">
        <v>2011</v>
      </c>
      <c r="F14" s="7" t="s">
        <v>13</v>
      </c>
      <c r="G14" s="7">
        <v>9</v>
      </c>
      <c r="H14" s="8">
        <f t="shared" si="0"/>
        <v>855</v>
      </c>
      <c r="I14" s="7" t="s">
        <v>14</v>
      </c>
      <c r="J14" s="7">
        <v>310</v>
      </c>
      <c r="K14" s="13">
        <v>70</v>
      </c>
    </row>
    <row r="15" ht="15" spans="1:11">
      <c r="A15" s="6">
        <v>14</v>
      </c>
      <c r="B15" s="7" t="s">
        <v>23</v>
      </c>
      <c r="C15" s="7">
        <v>180</v>
      </c>
      <c r="D15" s="7" t="s">
        <v>24</v>
      </c>
      <c r="E15" s="7">
        <v>2016</v>
      </c>
      <c r="F15" s="7" t="s">
        <v>25</v>
      </c>
      <c r="G15" s="7">
        <v>22</v>
      </c>
      <c r="H15" s="8">
        <f t="shared" si="0"/>
        <v>3960</v>
      </c>
      <c r="I15" s="7" t="s">
        <v>19</v>
      </c>
      <c r="J15" s="7">
        <v>850</v>
      </c>
      <c r="K15" s="13">
        <v>50</v>
      </c>
    </row>
    <row r="16" ht="15.75" spans="1:11">
      <c r="A16" s="9">
        <v>15</v>
      </c>
      <c r="B16" s="10" t="s">
        <v>26</v>
      </c>
      <c r="C16" s="10">
        <v>700</v>
      </c>
      <c r="D16" s="10" t="s">
        <v>24</v>
      </c>
      <c r="E16" s="10">
        <v>2019</v>
      </c>
      <c r="F16" s="10" t="s">
        <v>25</v>
      </c>
      <c r="G16" s="10">
        <v>28</v>
      </c>
      <c r="H16" s="11">
        <f t="shared" si="0"/>
        <v>19600</v>
      </c>
      <c r="I16" s="10" t="s">
        <v>14</v>
      </c>
      <c r="J16" s="10">
        <v>4500</v>
      </c>
      <c r="K16" s="15">
        <v>60</v>
      </c>
    </row>
    <row r="17" ht="14.25"/>
  </sheetData>
  <conditionalFormatting sqref="E2:E16">
    <cfRule type="cellIs" dxfId="0" priority="1" operator="lessThan">
      <formula>2015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7"/>
  <sheetViews>
    <sheetView workbookViewId="0">
      <selection activeCell="J34" sqref="J34"/>
    </sheetView>
  </sheetViews>
  <sheetFormatPr defaultColWidth="9" defaultRowHeight="13.5"/>
  <sheetData>
    <row r="1" ht="1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</row>
    <row r="2" ht="15" spans="1:10">
      <c r="A2" s="1">
        <v>1</v>
      </c>
      <c r="B2" s="2" t="s">
        <v>11</v>
      </c>
      <c r="C2" s="2">
        <v>80</v>
      </c>
      <c r="D2" s="2" t="s">
        <v>12</v>
      </c>
      <c r="E2" s="2">
        <v>2010</v>
      </c>
      <c r="F2" s="2" t="s">
        <v>13</v>
      </c>
      <c r="G2" s="2">
        <v>8.5</v>
      </c>
      <c r="H2" s="2" t="s">
        <v>14</v>
      </c>
      <c r="I2" s="2">
        <v>300</v>
      </c>
      <c r="J2" s="2">
        <v>60</v>
      </c>
    </row>
    <row r="3" ht="15" spans="1:10">
      <c r="A3" s="1">
        <v>2</v>
      </c>
      <c r="B3" s="2" t="s">
        <v>16</v>
      </c>
      <c r="C3" s="2">
        <v>300</v>
      </c>
      <c r="D3" s="2" t="s">
        <v>17</v>
      </c>
      <c r="E3" s="2">
        <v>2005</v>
      </c>
      <c r="F3" s="2" t="s">
        <v>18</v>
      </c>
      <c r="G3" s="2">
        <v>15</v>
      </c>
      <c r="H3" s="2" t="s">
        <v>19</v>
      </c>
      <c r="I3" s="2">
        <v>500</v>
      </c>
      <c r="J3" s="2">
        <v>50</v>
      </c>
    </row>
    <row r="4" ht="15" spans="1:10">
      <c r="A4" s="1">
        <v>3</v>
      </c>
      <c r="B4" s="2" t="s">
        <v>11</v>
      </c>
      <c r="C4" s="2">
        <v>100</v>
      </c>
      <c r="D4" s="2" t="s">
        <v>21</v>
      </c>
      <c r="E4" s="2">
        <v>2015</v>
      </c>
      <c r="F4" s="2" t="s">
        <v>18</v>
      </c>
      <c r="G4" s="2">
        <v>9.2</v>
      </c>
      <c r="H4" s="2" t="s">
        <v>14</v>
      </c>
      <c r="I4" s="2">
        <v>350</v>
      </c>
      <c r="J4" s="2">
        <v>80</v>
      </c>
    </row>
    <row r="5" ht="15" spans="1:10">
      <c r="A5" s="1">
        <v>4</v>
      </c>
      <c r="B5" s="2" t="s">
        <v>23</v>
      </c>
      <c r="C5" s="2">
        <v>150</v>
      </c>
      <c r="D5" s="2" t="s">
        <v>24</v>
      </c>
      <c r="E5" s="2">
        <v>2000</v>
      </c>
      <c r="F5" s="2" t="s">
        <v>25</v>
      </c>
      <c r="G5" s="2">
        <v>20</v>
      </c>
      <c r="H5" s="2" t="s">
        <v>19</v>
      </c>
      <c r="I5" s="2">
        <v>800</v>
      </c>
      <c r="J5" s="2">
        <v>50</v>
      </c>
    </row>
    <row r="6" ht="15" spans="1:10">
      <c r="A6" s="1">
        <v>5</v>
      </c>
      <c r="B6" s="2" t="s">
        <v>16</v>
      </c>
      <c r="C6" s="2">
        <v>120</v>
      </c>
      <c r="D6" s="2" t="s">
        <v>21</v>
      </c>
      <c r="E6" s="2">
        <v>2012</v>
      </c>
      <c r="F6" s="2" t="s">
        <v>13</v>
      </c>
      <c r="G6" s="2">
        <v>8</v>
      </c>
      <c r="H6" s="2" t="s">
        <v>14</v>
      </c>
      <c r="I6" s="2">
        <v>320</v>
      </c>
      <c r="J6" s="2">
        <v>75</v>
      </c>
    </row>
    <row r="7" ht="15" spans="1:10">
      <c r="A7" s="1">
        <v>6</v>
      </c>
      <c r="B7" s="2" t="s">
        <v>26</v>
      </c>
      <c r="C7" s="2">
        <v>500</v>
      </c>
      <c r="D7" s="2" t="s">
        <v>24</v>
      </c>
      <c r="E7" s="2">
        <v>2018</v>
      </c>
      <c r="F7" s="2" t="s">
        <v>25</v>
      </c>
      <c r="G7" s="2">
        <v>25</v>
      </c>
      <c r="H7" s="2" t="s">
        <v>19</v>
      </c>
      <c r="I7" s="2">
        <v>3000</v>
      </c>
      <c r="J7" s="2">
        <v>50</v>
      </c>
    </row>
    <row r="8" ht="15" spans="1:10">
      <c r="A8" s="1">
        <v>7</v>
      </c>
      <c r="B8" s="2" t="s">
        <v>11</v>
      </c>
      <c r="C8" s="2">
        <v>90</v>
      </c>
      <c r="D8" s="2" t="s">
        <v>12</v>
      </c>
      <c r="E8" s="2">
        <v>2016</v>
      </c>
      <c r="F8" s="2" t="s">
        <v>18</v>
      </c>
      <c r="G8" s="2">
        <v>10</v>
      </c>
      <c r="H8" s="2" t="s">
        <v>14</v>
      </c>
      <c r="I8" s="2">
        <v>280</v>
      </c>
      <c r="J8" s="2">
        <v>70</v>
      </c>
    </row>
    <row r="9" ht="15" spans="1:10">
      <c r="A9" s="1">
        <v>8</v>
      </c>
      <c r="B9" s="2" t="s">
        <v>16</v>
      </c>
      <c r="C9" s="2">
        <v>350</v>
      </c>
      <c r="D9" s="2" t="s">
        <v>27</v>
      </c>
      <c r="E9" s="2">
        <v>2008</v>
      </c>
      <c r="F9" s="2" t="s">
        <v>18</v>
      </c>
      <c r="G9" s="2">
        <v>18</v>
      </c>
      <c r="H9" s="2" t="s">
        <v>19</v>
      </c>
      <c r="I9" s="2">
        <v>600</v>
      </c>
      <c r="J9" s="2">
        <v>50</v>
      </c>
    </row>
    <row r="10" ht="15" spans="1:10">
      <c r="A10" s="1">
        <v>9</v>
      </c>
      <c r="B10" s="2" t="s">
        <v>11</v>
      </c>
      <c r="C10" s="2">
        <v>110</v>
      </c>
      <c r="D10" s="2" t="s">
        <v>21</v>
      </c>
      <c r="E10" s="2">
        <v>2010</v>
      </c>
      <c r="F10" s="2" t="s">
        <v>13</v>
      </c>
      <c r="G10" s="2">
        <v>9</v>
      </c>
      <c r="H10" s="2" t="s">
        <v>14</v>
      </c>
      <c r="I10" s="2">
        <v>330</v>
      </c>
      <c r="J10" s="2">
        <v>50</v>
      </c>
    </row>
    <row r="11" ht="15" spans="1:10">
      <c r="A11" s="1">
        <v>10</v>
      </c>
      <c r="B11" s="2" t="s">
        <v>23</v>
      </c>
      <c r="C11" s="2">
        <v>200</v>
      </c>
      <c r="D11" s="2" t="s">
        <v>24</v>
      </c>
      <c r="E11" s="2">
        <v>2015</v>
      </c>
      <c r="F11" s="2" t="s">
        <v>25</v>
      </c>
      <c r="G11" s="2">
        <v>18</v>
      </c>
      <c r="H11" s="2" t="s">
        <v>19</v>
      </c>
      <c r="I11" s="2">
        <v>900</v>
      </c>
      <c r="J11" s="2">
        <v>70</v>
      </c>
    </row>
    <row r="12" ht="15" spans="1:10">
      <c r="A12" s="1">
        <v>11</v>
      </c>
      <c r="B12" s="2" t="s">
        <v>11</v>
      </c>
      <c r="C12" s="2">
        <v>85</v>
      </c>
      <c r="D12" s="2" t="s">
        <v>12</v>
      </c>
      <c r="E12" s="2">
        <v>2013</v>
      </c>
      <c r="F12" s="2" t="s">
        <v>13</v>
      </c>
      <c r="G12" s="2">
        <v>8.5</v>
      </c>
      <c r="H12" s="2" t="s">
        <v>14</v>
      </c>
      <c r="I12" s="2">
        <v>290</v>
      </c>
      <c r="J12" s="2">
        <v>70</v>
      </c>
    </row>
    <row r="13" ht="15" spans="1:10">
      <c r="A13" s="1">
        <v>12</v>
      </c>
      <c r="B13" s="2" t="s">
        <v>26</v>
      </c>
      <c r="C13" s="2">
        <v>600</v>
      </c>
      <c r="D13" s="2" t="s">
        <v>24</v>
      </c>
      <c r="E13" s="2">
        <v>2020</v>
      </c>
      <c r="F13" s="2" t="s">
        <v>25</v>
      </c>
      <c r="G13" s="2">
        <v>30</v>
      </c>
      <c r="H13" s="2" t="s">
        <v>19</v>
      </c>
      <c r="I13" s="2">
        <v>4000</v>
      </c>
      <c r="J13" s="2">
        <v>80</v>
      </c>
    </row>
    <row r="14" ht="15" spans="1:10">
      <c r="A14" s="1">
        <v>13</v>
      </c>
      <c r="B14" s="2" t="s">
        <v>23</v>
      </c>
      <c r="C14" s="2">
        <v>95</v>
      </c>
      <c r="D14" s="2" t="s">
        <v>21</v>
      </c>
      <c r="E14" s="2">
        <v>2011</v>
      </c>
      <c r="F14" s="2" t="s">
        <v>13</v>
      </c>
      <c r="G14" s="2">
        <v>9</v>
      </c>
      <c r="H14" s="2" t="s">
        <v>14</v>
      </c>
      <c r="I14" s="2">
        <v>310</v>
      </c>
      <c r="J14" s="2">
        <v>70</v>
      </c>
    </row>
    <row r="15" ht="15" spans="1:10">
      <c r="A15" s="1">
        <v>14</v>
      </c>
      <c r="B15" s="2" t="s">
        <v>23</v>
      </c>
      <c r="C15" s="2">
        <v>180</v>
      </c>
      <c r="D15" s="2" t="s">
        <v>24</v>
      </c>
      <c r="E15" s="2">
        <v>2016</v>
      </c>
      <c r="F15" s="2" t="s">
        <v>25</v>
      </c>
      <c r="G15" s="2">
        <v>22</v>
      </c>
      <c r="H15" s="2" t="s">
        <v>19</v>
      </c>
      <c r="I15" s="2">
        <v>850</v>
      </c>
      <c r="J15" s="2">
        <v>50</v>
      </c>
    </row>
    <row r="16" ht="15" spans="1:10">
      <c r="A16" s="1">
        <v>15</v>
      </c>
      <c r="B16" s="2" t="s">
        <v>26</v>
      </c>
      <c r="C16" s="2">
        <v>700</v>
      </c>
      <c r="D16" s="2" t="s">
        <v>24</v>
      </c>
      <c r="E16" s="2">
        <v>2019</v>
      </c>
      <c r="F16" s="2" t="s">
        <v>25</v>
      </c>
      <c r="G16" s="2">
        <v>28</v>
      </c>
      <c r="H16" s="2" t="s">
        <v>14</v>
      </c>
      <c r="I16" s="2">
        <v>4500</v>
      </c>
      <c r="J16" s="2">
        <v>60</v>
      </c>
    </row>
    <row r="17" spans="1:10">
      <c r="A17" t="s">
        <v>28</v>
      </c>
      <c r="J17">
        <f>SUBTOTAL(109,表1[产权年限（年）])</f>
        <v>935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K11" sqref="K11"/>
    </sheetView>
  </sheetViews>
  <sheetFormatPr defaultColWidth="9" defaultRowHeight="13.5" outlineLevelRow="5" outlineLevelCol="2"/>
  <cols>
    <col min="1" max="2" width="11.375"/>
    <col min="3" max="3" width="29.625"/>
  </cols>
  <sheetData>
    <row r="1" spans="1:3">
      <c r="A1" t="s">
        <v>5</v>
      </c>
      <c r="B1" t="s">
        <v>8</v>
      </c>
      <c r="C1" t="s">
        <v>29</v>
      </c>
    </row>
    <row r="2" spans="1:3">
      <c r="A2" t="s">
        <v>18</v>
      </c>
      <c r="B2" t="s">
        <v>14</v>
      </c>
      <c r="C2">
        <v>315</v>
      </c>
    </row>
    <row r="3" spans="1:3">
      <c r="A3" t="s">
        <v>18</v>
      </c>
      <c r="B3" t="s">
        <v>19</v>
      </c>
      <c r="C3">
        <v>550</v>
      </c>
    </row>
    <row r="4" spans="1:3">
      <c r="A4" t="s">
        <v>25</v>
      </c>
      <c r="B4" t="s">
        <v>14</v>
      </c>
      <c r="C4">
        <v>4500</v>
      </c>
    </row>
    <row r="5" spans="1:3">
      <c r="A5" t="s">
        <v>25</v>
      </c>
      <c r="B5" t="s">
        <v>19</v>
      </c>
      <c r="C5">
        <v>1910</v>
      </c>
    </row>
    <row r="6" spans="1:3">
      <c r="A6" t="s">
        <v>30</v>
      </c>
      <c r="C6">
        <v>1578</v>
      </c>
    </row>
  </sheetData>
  <pageMargins left="1.96805555555556" right="0.700694444444445" top="0.751388888888889" bottom="0.751388888888889" header="0.298611111111111" footer="0.298611111111111"/>
  <pageSetup paperSize="1" orientation="landscape" horizontalDpi="600"/>
  <headerFooter>
    <oddFooter>&amp;C第 &amp;P 页，共 &amp;N 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房地产销售统计表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MAO</cp:lastModifiedBy>
  <dcterms:created xsi:type="dcterms:W3CDTF">2023-05-12T11:15:00Z</dcterms:created>
  <dcterms:modified xsi:type="dcterms:W3CDTF">2024-04-23T07:21:50Z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2052-12.1.0.16399</vt:lpwstr>
  </property>
</Properties>
</file>
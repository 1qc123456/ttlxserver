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730" windowHeight="12255"/>
  </bookViews>
  <sheets>
    <sheet name="Sheet1" sheetId="1" r:id="rId1"/>
    <sheet name="Sheet2" sheetId="2" r:id="rId2"/>
    <sheet name="Sheet3" sheetId="3" r:id="rId3"/>
    <sheet name="Sheet4" sheetId="4" state="hidden" r:id="rId4"/>
  </sheets>
  <definedNames>
    <definedName name="_xlnm.Print_Area" localSheetId="0">Sheet1!$B$1:$P$23</definedName>
  </definedNames>
  <calcPr calcId="144525"/>
  <pivotCaches>
    <pivotCache cacheId="0" r:id="rId5"/>
  </pivotCaches>
</workbook>
</file>

<file path=xl/sharedStrings.xml><?xml version="1.0" encoding="utf-8"?>
<sst xmlns="http://schemas.openxmlformats.org/spreadsheetml/2006/main" count="214" uniqueCount="75">
  <si>
    <t>招聘面试信息记录表</t>
  </si>
  <si>
    <t>应聘总人数：</t>
  </si>
  <si>
    <t>复试录取人数:</t>
  </si>
  <si>
    <t>序</t>
  </si>
  <si>
    <t>姓名</t>
  </si>
  <si>
    <t>年龄</t>
  </si>
  <si>
    <t>籍贯</t>
  </si>
  <si>
    <t>学历</t>
  </si>
  <si>
    <t>专业</t>
  </si>
  <si>
    <t>职称</t>
  </si>
  <si>
    <t>工作经验</t>
  </si>
  <si>
    <t>信息来源</t>
  </si>
  <si>
    <t>应聘部门</t>
  </si>
  <si>
    <t>应聘职务</t>
  </si>
  <si>
    <t>初试日期</t>
  </si>
  <si>
    <t>初试结果</t>
  </si>
  <si>
    <t>复初日期</t>
  </si>
  <si>
    <t>复试结果</t>
  </si>
  <si>
    <t>部门</t>
  </si>
  <si>
    <t>姓名1</t>
  </si>
  <si>
    <t>XXX</t>
  </si>
  <si>
    <t>大专</t>
  </si>
  <si>
    <t>电子商务</t>
  </si>
  <si>
    <t>无</t>
  </si>
  <si>
    <t>网络招聘</t>
  </si>
  <si>
    <t>销售员</t>
  </si>
  <si>
    <t>通过</t>
  </si>
  <si>
    <t>录取</t>
  </si>
  <si>
    <t>销售部</t>
  </si>
  <si>
    <t>姓名2</t>
  </si>
  <si>
    <t>本科</t>
  </si>
  <si>
    <t>广告招聘</t>
  </si>
  <si>
    <t>销售经理</t>
  </si>
  <si>
    <t>待考虑</t>
  </si>
  <si>
    <t>机械工程</t>
  </si>
  <si>
    <t>工程部</t>
  </si>
  <si>
    <t>姓名3</t>
  </si>
  <si>
    <t>工程师</t>
  </si>
  <si>
    <t>财务管理</t>
  </si>
  <si>
    <t>财务部</t>
  </si>
  <si>
    <t>姓名4</t>
  </si>
  <si>
    <t>不通过</t>
  </si>
  <si>
    <t>姓名5</t>
  </si>
  <si>
    <t>会计员</t>
  </si>
  <si>
    <t>姓名6</t>
  </si>
  <si>
    <t>中级</t>
  </si>
  <si>
    <t>猎头公司</t>
  </si>
  <si>
    <t>财务主管</t>
  </si>
  <si>
    <t>姓名7</t>
  </si>
  <si>
    <t>10年</t>
  </si>
  <si>
    <t>姓名8</t>
  </si>
  <si>
    <t>1年</t>
  </si>
  <si>
    <t>姓名9</t>
  </si>
  <si>
    <t>博士</t>
  </si>
  <si>
    <t>高级</t>
  </si>
  <si>
    <t>姓名10</t>
  </si>
  <si>
    <t>硕士</t>
  </si>
  <si>
    <t>8年</t>
  </si>
  <si>
    <t>其他</t>
  </si>
  <si>
    <t>姓名11</t>
  </si>
  <si>
    <t>5年</t>
  </si>
  <si>
    <t>不录取</t>
  </si>
  <si>
    <t>姓名12</t>
  </si>
  <si>
    <t>4年</t>
  </si>
  <si>
    <t>姓名13</t>
  </si>
  <si>
    <t>姓名14</t>
  </si>
  <si>
    <t>7年</t>
  </si>
  <si>
    <t>姓名15</t>
  </si>
  <si>
    <t>3年</t>
  </si>
  <si>
    <t>内部介绍</t>
  </si>
  <si>
    <t>姓名16</t>
  </si>
  <si>
    <t>姓名17</t>
  </si>
  <si>
    <t>人数</t>
  </si>
  <si>
    <t>计数项:姓名</t>
  </si>
  <si>
    <t>总计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</si>
</sst>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&quot;人&quot;"/>
    <numFmt numFmtId="177" formatCode="General&quot;年&quot;"/>
  </numFmts>
  <fonts count="25">
    <font>
      <sz val="11"/>
      <color theme="1"/>
      <name val="宋体"/>
      <charset val="134"/>
      <scheme val="minor"/>
    </font>
    <font>
      <sz val="14"/>
      <color theme="2" tint="-0.9"/>
      <name val="汉仪雅酷黑 55W"/>
      <charset val="134"/>
    </font>
    <font>
      <sz val="28"/>
      <color theme="2" tint="-0.9"/>
      <name val="汉仪雅酷黑 55W"/>
      <charset val="134"/>
    </font>
    <font>
      <b/>
      <sz val="26"/>
      <color theme="8"/>
      <name val="等线"/>
      <charset val="134"/>
    </font>
    <font>
      <sz val="14"/>
      <color theme="2" tint="-0.9"/>
      <name val="仿宋"/>
      <charset val="134"/>
    </font>
    <font>
      <sz val="14"/>
      <color theme="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8" applyNumberFormat="0" applyAlignment="0" applyProtection="0">
      <alignment vertical="center"/>
    </xf>
    <xf numFmtId="0" fontId="15" fillId="5" borderId="19" applyNumberFormat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6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3" fillId="0" borderId="12">
      <alignment horizontal="distributed" vertical="center" shrinkToFit="1"/>
    </xf>
  </cellStyleXfs>
  <cellXfs count="2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2" xfId="49" applyFill="1">
      <alignment horizontal="distributed" vertical="center" shrinkToFit="1"/>
    </xf>
    <xf numFmtId="0" fontId="4" fillId="0" borderId="0" xfId="0" applyFont="1" applyBorder="1" applyAlignment="1">
      <alignment horizontal="right" vertical="center"/>
    </xf>
    <xf numFmtId="176" fontId="4" fillId="0" borderId="0" xfId="0" applyNumberFormat="1" applyFont="1" applyBorder="1" applyAlignment="1">
      <alignment horizontal="center" vertical="center"/>
    </xf>
    <xf numFmtId="176" fontId="4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76" fontId="4" fillId="0" borderId="0" xfId="0" applyNumberFormat="1" applyFont="1" applyBorder="1" applyAlignment="1">
      <alignment horizontal="left" vertical="center"/>
    </xf>
    <xf numFmtId="177" fontId="4" fillId="0" borderId="13" xfId="0" applyNumberFormat="1" applyFont="1" applyBorder="1" applyAlignment="1">
      <alignment horizontal="center" vertical="center"/>
    </xf>
    <xf numFmtId="58" fontId="4" fillId="0" borderId="13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表标题" xfId="49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分布图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人数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Sheet2!$A$2:$A$5</c:f>
              <c:strCache>
                <c:ptCount val="4"/>
                <c:pt idx="0">
                  <c:v>大专</c:v>
                </c:pt>
                <c:pt idx="1">
                  <c:v>本科</c:v>
                </c:pt>
                <c:pt idx="2">
                  <c:v>博士</c:v>
                </c:pt>
                <c:pt idx="3">
                  <c:v>硕士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4"/>
                <c:pt idx="0">
                  <c:v>8</c:v>
                </c:pt>
                <c:pt idx="1">
                  <c:v>6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98425</xdr:colOff>
      <xdr:row>7</xdr:row>
      <xdr:rowOff>127000</xdr:rowOff>
    </xdr:from>
    <xdr:to>
      <xdr:col>7</xdr:col>
      <xdr:colOff>123825</xdr:colOff>
      <xdr:row>23</xdr:row>
      <xdr:rowOff>127000</xdr:rowOff>
    </xdr:to>
    <xdr:graphicFrame>
      <xdr:nvGraphicFramePr>
        <xdr:cNvPr id="2" name="图表 1"/>
        <xdr:cNvGraphicFramePr/>
      </xdr:nvGraphicFramePr>
      <xdr:xfrm>
        <a:off x="98425" y="13271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59.6358680556" refreshedBy="25472" recordCount="17">
  <cacheSource type="worksheet">
    <worksheetSource ref="B6:P23" sheet="Sheet1"/>
  </cacheSource>
  <cacheFields count="15">
    <cacheField name="序" numFmtId="0">
      <sharedItems containsSemiMixedTypes="0" containsString="0" containsNumber="1" containsInteger="1" minValue="1" maxValue="17" count="1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</sharedItems>
    </cacheField>
    <cacheField name="姓名" numFmtId="0">
      <sharedItems count="17">
        <s v="姓名1"/>
        <s v="姓名2"/>
        <s v="姓名3"/>
        <s v="姓名4"/>
        <s v="姓名5"/>
        <s v="姓名6"/>
        <s v="姓名7"/>
        <s v="姓名8"/>
        <s v="姓名9"/>
        <s v="姓名10"/>
        <s v="姓名11"/>
        <s v="姓名12"/>
        <s v="姓名13"/>
        <s v="姓名14"/>
        <s v="姓名15"/>
        <s v="姓名16"/>
        <s v="姓名17"/>
      </sharedItems>
    </cacheField>
    <cacheField name="年龄" numFmtId="0">
      <sharedItems containsSemiMixedTypes="0" containsString="0" containsNumber="1" containsInteger="1" minValue="22" maxValue="40" count="12">
        <n v="25"/>
        <n v="35"/>
        <n v="28"/>
        <n v="23"/>
        <n v="22"/>
        <n v="32"/>
        <n v="37"/>
        <n v="40"/>
        <n v="38"/>
        <n v="29"/>
        <n v="26"/>
        <n v="30"/>
      </sharedItems>
    </cacheField>
    <cacheField name="籍贯" numFmtId="0">
      <sharedItems count="1">
        <s v="XXX"/>
      </sharedItems>
    </cacheField>
    <cacheField name="学历" numFmtId="0">
      <sharedItems count="4">
        <s v="大专"/>
        <s v="本科"/>
        <s v="博士"/>
        <s v="硕士"/>
      </sharedItems>
    </cacheField>
    <cacheField name="专业" numFmtId="0">
      <sharedItems count="3">
        <s v="电子商务"/>
        <s v="机械工程"/>
        <s v="财务管理"/>
      </sharedItems>
    </cacheField>
    <cacheField name="职称" numFmtId="0">
      <sharedItems count="3">
        <s v="无"/>
        <s v="中级"/>
        <s v="高级"/>
      </sharedItems>
    </cacheField>
    <cacheField name="工作经验" numFmtId="0">
      <sharedItems containsNumber="1" containsInteger="1" containsMixedTypes="1" count="13">
        <n v="2"/>
        <n v="8"/>
        <n v="3"/>
        <n v="1"/>
        <s v="无"/>
        <n v="6"/>
        <s v="10年"/>
        <s v="1年"/>
        <s v="8年"/>
        <s v="5年"/>
        <s v="4年"/>
        <s v="7年"/>
        <s v="3年"/>
      </sharedItems>
    </cacheField>
    <cacheField name="信息来源" numFmtId="0">
      <sharedItems count="5">
        <s v="网络招聘"/>
        <s v="广告招聘"/>
        <s v="猎头公司"/>
        <s v="其他"/>
        <s v="内部介绍"/>
      </sharedItems>
    </cacheField>
    <cacheField name="应聘部门" numFmtId="0">
      <sharedItems count="3">
        <s v="销售部"/>
        <s v="工程部"/>
        <s v="财务部"/>
      </sharedItems>
    </cacheField>
    <cacheField name="应聘职务" numFmtId="0">
      <sharedItems count="5">
        <s v="销售员"/>
        <s v="销售经理"/>
        <s v="工程师"/>
        <s v="会计员"/>
        <s v="财务主管"/>
      </sharedItems>
    </cacheField>
    <cacheField name="初试日期" numFmtId="58">
      <sharedItems containsSemiMixedTypes="0" containsString="0" containsNonDate="0" containsDate="1" minDate="2022-02-13T00:00:00" maxDate="2022-02-21T00:00:00" count="9"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</sharedItems>
    </cacheField>
    <cacheField name="初试结果" numFmtId="0">
      <sharedItems count="2">
        <s v="通过"/>
        <s v="不通过"/>
      </sharedItems>
    </cacheField>
    <cacheField name="复初日期" numFmtId="58">
      <sharedItems containsString="0" containsBlank="1" containsNonDate="0" containsDate="1" minDate="2022-02-14T00:00:00" maxDate="2022-02-25T00:00:00" count="9">
        <d v="2022-02-14T00:00:00"/>
        <d v="2022-02-15T00:00:00"/>
        <d v="2022-02-16T00:00:00"/>
        <m/>
        <d v="2022-02-18T00:00:00"/>
        <d v="2022-02-19T00:00:00"/>
        <d v="2022-02-22T00:00:00"/>
        <d v="2022-02-23T00:00:00"/>
        <d v="2022-02-25T00:00:00"/>
      </sharedItems>
    </cacheField>
    <cacheField name="复试结果" numFmtId="0">
      <sharedItems containsBlank="1" count="4">
        <s v="录取"/>
        <s v="待考虑"/>
        <m/>
        <s v="不录取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0"/>
    <x v="0"/>
    <x v="1"/>
    <x v="1"/>
    <x v="0"/>
    <x v="1"/>
    <x v="1"/>
    <x v="0"/>
    <x v="1"/>
    <x v="1"/>
  </r>
  <r>
    <x v="2"/>
    <x v="2"/>
    <x v="2"/>
    <x v="0"/>
    <x v="0"/>
    <x v="1"/>
    <x v="0"/>
    <x v="2"/>
    <x v="0"/>
    <x v="1"/>
    <x v="2"/>
    <x v="2"/>
    <x v="0"/>
    <x v="2"/>
    <x v="1"/>
  </r>
  <r>
    <x v="3"/>
    <x v="3"/>
    <x v="3"/>
    <x v="0"/>
    <x v="0"/>
    <x v="1"/>
    <x v="0"/>
    <x v="3"/>
    <x v="0"/>
    <x v="1"/>
    <x v="2"/>
    <x v="2"/>
    <x v="1"/>
    <x v="3"/>
    <x v="2"/>
  </r>
  <r>
    <x v="4"/>
    <x v="4"/>
    <x v="4"/>
    <x v="0"/>
    <x v="0"/>
    <x v="2"/>
    <x v="0"/>
    <x v="4"/>
    <x v="0"/>
    <x v="2"/>
    <x v="3"/>
    <x v="3"/>
    <x v="0"/>
    <x v="4"/>
    <x v="0"/>
  </r>
  <r>
    <x v="5"/>
    <x v="5"/>
    <x v="5"/>
    <x v="0"/>
    <x v="1"/>
    <x v="2"/>
    <x v="1"/>
    <x v="5"/>
    <x v="2"/>
    <x v="2"/>
    <x v="4"/>
    <x v="3"/>
    <x v="0"/>
    <x v="4"/>
    <x v="0"/>
  </r>
  <r>
    <x v="6"/>
    <x v="6"/>
    <x v="6"/>
    <x v="0"/>
    <x v="0"/>
    <x v="1"/>
    <x v="0"/>
    <x v="6"/>
    <x v="0"/>
    <x v="1"/>
    <x v="2"/>
    <x v="3"/>
    <x v="0"/>
    <x v="4"/>
    <x v="1"/>
  </r>
  <r>
    <x v="7"/>
    <x v="7"/>
    <x v="4"/>
    <x v="0"/>
    <x v="0"/>
    <x v="1"/>
    <x v="0"/>
    <x v="7"/>
    <x v="1"/>
    <x v="1"/>
    <x v="2"/>
    <x v="3"/>
    <x v="0"/>
    <x v="4"/>
    <x v="0"/>
  </r>
  <r>
    <x v="8"/>
    <x v="8"/>
    <x v="7"/>
    <x v="0"/>
    <x v="2"/>
    <x v="2"/>
    <x v="2"/>
    <x v="6"/>
    <x v="0"/>
    <x v="2"/>
    <x v="4"/>
    <x v="3"/>
    <x v="0"/>
    <x v="4"/>
    <x v="0"/>
  </r>
  <r>
    <x v="9"/>
    <x v="9"/>
    <x v="8"/>
    <x v="0"/>
    <x v="3"/>
    <x v="2"/>
    <x v="1"/>
    <x v="8"/>
    <x v="3"/>
    <x v="2"/>
    <x v="4"/>
    <x v="4"/>
    <x v="0"/>
    <x v="4"/>
    <x v="0"/>
  </r>
  <r>
    <x v="10"/>
    <x v="10"/>
    <x v="9"/>
    <x v="0"/>
    <x v="1"/>
    <x v="1"/>
    <x v="0"/>
    <x v="9"/>
    <x v="0"/>
    <x v="1"/>
    <x v="2"/>
    <x v="5"/>
    <x v="0"/>
    <x v="5"/>
    <x v="3"/>
  </r>
  <r>
    <x v="11"/>
    <x v="11"/>
    <x v="10"/>
    <x v="0"/>
    <x v="0"/>
    <x v="0"/>
    <x v="1"/>
    <x v="10"/>
    <x v="3"/>
    <x v="0"/>
    <x v="0"/>
    <x v="6"/>
    <x v="1"/>
    <x v="3"/>
    <x v="2"/>
  </r>
  <r>
    <x v="12"/>
    <x v="12"/>
    <x v="10"/>
    <x v="0"/>
    <x v="0"/>
    <x v="0"/>
    <x v="0"/>
    <x v="10"/>
    <x v="1"/>
    <x v="0"/>
    <x v="0"/>
    <x v="6"/>
    <x v="1"/>
    <x v="3"/>
    <x v="2"/>
  </r>
  <r>
    <x v="13"/>
    <x v="13"/>
    <x v="9"/>
    <x v="0"/>
    <x v="2"/>
    <x v="1"/>
    <x v="2"/>
    <x v="11"/>
    <x v="1"/>
    <x v="1"/>
    <x v="2"/>
    <x v="6"/>
    <x v="0"/>
    <x v="6"/>
    <x v="1"/>
  </r>
  <r>
    <x v="14"/>
    <x v="14"/>
    <x v="0"/>
    <x v="0"/>
    <x v="1"/>
    <x v="0"/>
    <x v="1"/>
    <x v="12"/>
    <x v="4"/>
    <x v="0"/>
    <x v="1"/>
    <x v="6"/>
    <x v="0"/>
    <x v="7"/>
    <x v="0"/>
  </r>
  <r>
    <x v="15"/>
    <x v="15"/>
    <x v="11"/>
    <x v="0"/>
    <x v="1"/>
    <x v="1"/>
    <x v="0"/>
    <x v="11"/>
    <x v="2"/>
    <x v="1"/>
    <x v="2"/>
    <x v="7"/>
    <x v="1"/>
    <x v="3"/>
    <x v="2"/>
  </r>
  <r>
    <x v="16"/>
    <x v="16"/>
    <x v="3"/>
    <x v="0"/>
    <x v="1"/>
    <x v="1"/>
    <x v="0"/>
    <x v="7"/>
    <x v="4"/>
    <x v="1"/>
    <x v="2"/>
    <x v="8"/>
    <x v="0"/>
    <x v="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B3:L9" firstHeaderRow="1" firstDataRow="3" firstDataCol="1"/>
  <pivotFields count="15">
    <pivotField compact="0" defaultSubtotal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compact="0" defaultSubtotal="0" showAll="0">
      <items count="17">
        <item x="0"/>
        <item x="9"/>
        <item x="10"/>
        <item x="11"/>
        <item x="12"/>
        <item x="13"/>
        <item x="14"/>
        <item x="15"/>
        <item x="16"/>
        <item x="1"/>
        <item x="2"/>
        <item x="3"/>
        <item x="4"/>
        <item x="5"/>
        <item x="6"/>
        <item x="7"/>
        <item x="8"/>
      </items>
    </pivotField>
    <pivotField compact="0" defaultSubtotal="0" showAll="0"/>
    <pivotField compact="0" defaultSubtotal="0" showAll="0"/>
    <pivotField axis="axisCol" compact="0" defaultSubtotal="0" showAll="0">
      <items count="4">
        <item x="2"/>
        <item x="3"/>
        <item x="1"/>
        <item x="0"/>
      </items>
    </pivotField>
    <pivotField axis="axisRow" compact="0" defaultSubtotal="0" showAll="0">
      <items count="3">
        <item x="2"/>
        <item x="0"/>
        <item x="1"/>
      </items>
    </pivotField>
    <pivotField compact="0" defaultSubtotal="0" showAll="0"/>
    <pivotField compact="0" defaultSubtotal="0" showAll="0">
      <items count="13">
        <item x="3"/>
        <item x="0"/>
        <item x="2"/>
        <item x="5"/>
        <item x="1"/>
        <item x="6"/>
        <item x="7"/>
        <item x="12"/>
        <item x="10"/>
        <item x="9"/>
        <item x="11"/>
        <item x="8"/>
        <item x="4"/>
      </items>
    </pivotField>
    <pivotField compact="0" defaultSubtotal="0" showAll="0"/>
    <pivotField axis="axisCol" compact="0" defaultSubtotal="0" showAll="0">
      <items count="3">
        <item x="0"/>
        <item x="2"/>
        <item x="1"/>
      </items>
    </pivotField>
    <pivotField compact="0" defaultSubtotal="0" showAll="0"/>
    <pivotField compact="0" defaultSubtotal="0" numFmtId="58" showAll="0"/>
    <pivotField compact="0" defaultSubtotal="0" showAll="0"/>
    <pivotField compact="0" defaultSubtotal="0" showAll="0"/>
    <pivotField compact="0" defaultSubtotal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2">
    <field x="9"/>
    <field x="4"/>
  </colFields>
  <colItems count="10">
    <i>
      <x/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2"/>
    </i>
    <i r="1">
      <x v="3"/>
    </i>
    <i t="grand">
      <x/>
    </i>
  </colItems>
  <dataFields count="1">
    <dataField name="计数项:姓名" fld="1" subtotal="count" baseField="0" baseItem="0"/>
  </dataFields>
  <pivotTableStyleInfo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T23"/>
  <sheetViews>
    <sheetView showGridLines="0" tabSelected="1" workbookViewId="0">
      <selection activeCell="G11" sqref="G11"/>
    </sheetView>
  </sheetViews>
  <sheetFormatPr defaultColWidth="9" defaultRowHeight="32" customHeight="1"/>
  <cols>
    <col min="1" max="1" width="3" style="13" customWidth="1"/>
    <col min="2" max="2" width="4.5" style="13" customWidth="1"/>
    <col min="3" max="3" width="12" style="13" customWidth="1"/>
    <col min="4" max="4" width="8.375" style="13" customWidth="1"/>
    <col min="5" max="6" width="8.875" style="13" customWidth="1"/>
    <col min="7" max="7" width="13.75" style="13" customWidth="1"/>
    <col min="8" max="8" width="8.625" style="13" customWidth="1"/>
    <col min="9" max="9" width="12.25" style="13" customWidth="1"/>
    <col min="10" max="13" width="13.125" style="13" customWidth="1"/>
    <col min="14" max="14" width="12.5" style="13" customWidth="1"/>
    <col min="15" max="15" width="13.125" style="13" customWidth="1"/>
    <col min="16" max="16" width="12.5" style="13" customWidth="1"/>
    <col min="17" max="16384" width="9" style="13"/>
  </cols>
  <sheetData>
    <row r="1" ht="11" customHeight="1" spans="2:16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customHeight="1" spans="2:16">
      <c r="B2" s="15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ht="15" customHeight="1" spans="2:16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customHeight="1" spans="2:16">
      <c r="B4" s="16" t="s">
        <v>1</v>
      </c>
      <c r="C4" s="16"/>
      <c r="D4" s="17">
        <f>COUNTA(C7:C1000)</f>
        <v>17</v>
      </c>
      <c r="E4" s="18"/>
      <c r="F4" s="19"/>
      <c r="G4" s="16" t="s">
        <v>2</v>
      </c>
      <c r="H4" s="16"/>
      <c r="I4" s="17">
        <f>COUNTIF(P7:P1000,"录取")</f>
        <v>7</v>
      </c>
      <c r="J4" s="18"/>
      <c r="K4" s="16"/>
      <c r="L4" s="16"/>
      <c r="M4" s="23"/>
      <c r="N4" s="19"/>
      <c r="O4" s="18"/>
      <c r="P4" s="19"/>
    </row>
    <row r="5" ht="5" customHeight="1" spans="2:16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ht="28" customHeight="1" spans="2:20">
      <c r="B6" s="21" t="s">
        <v>3</v>
      </c>
      <c r="C6" s="21" t="s">
        <v>4</v>
      </c>
      <c r="D6" s="21" t="s">
        <v>5</v>
      </c>
      <c r="E6" s="21" t="s">
        <v>6</v>
      </c>
      <c r="F6" s="21" t="s">
        <v>7</v>
      </c>
      <c r="G6" s="21" t="s">
        <v>8</v>
      </c>
      <c r="H6" s="21" t="s">
        <v>9</v>
      </c>
      <c r="I6" s="21" t="s">
        <v>10</v>
      </c>
      <c r="J6" s="21" t="s">
        <v>11</v>
      </c>
      <c r="K6" s="21" t="s">
        <v>12</v>
      </c>
      <c r="L6" s="21" t="s">
        <v>13</v>
      </c>
      <c r="M6" s="21" t="s">
        <v>14</v>
      </c>
      <c r="N6" s="21" t="s">
        <v>15</v>
      </c>
      <c r="O6" s="21" t="s">
        <v>16</v>
      </c>
      <c r="P6" s="21" t="s">
        <v>17</v>
      </c>
      <c r="R6"/>
      <c r="S6" s="26" t="s">
        <v>8</v>
      </c>
      <c r="T6" s="26" t="s">
        <v>18</v>
      </c>
    </row>
    <row r="7" ht="28" customHeight="1" spans="2:20">
      <c r="B7" s="22">
        <v>1</v>
      </c>
      <c r="C7" s="22" t="s">
        <v>19</v>
      </c>
      <c r="D7" s="22">
        <v>25</v>
      </c>
      <c r="E7" s="22" t="s">
        <v>20</v>
      </c>
      <c r="F7" s="22" t="s">
        <v>21</v>
      </c>
      <c r="G7" s="22" t="s">
        <v>22</v>
      </c>
      <c r="H7" s="22" t="s">
        <v>23</v>
      </c>
      <c r="I7" s="24">
        <v>2</v>
      </c>
      <c r="J7" s="22" t="s">
        <v>24</v>
      </c>
      <c r="K7" s="22" t="str">
        <f>VLOOKUP(G7,$S$6:$T$9,2,0)</f>
        <v>销售部</v>
      </c>
      <c r="L7" s="25" t="s">
        <v>25</v>
      </c>
      <c r="M7" s="25">
        <v>44605</v>
      </c>
      <c r="N7" s="25" t="s">
        <v>26</v>
      </c>
      <c r="O7" s="25">
        <v>44606</v>
      </c>
      <c r="P7" s="25" t="s">
        <v>27</v>
      </c>
      <c r="R7"/>
      <c r="S7" s="26" t="s">
        <v>22</v>
      </c>
      <c r="T7" s="26" t="s">
        <v>28</v>
      </c>
    </row>
    <row r="8" ht="28" customHeight="1" spans="2:20">
      <c r="B8" s="22">
        <v>2</v>
      </c>
      <c r="C8" s="22" t="s">
        <v>29</v>
      </c>
      <c r="D8" s="22">
        <v>35</v>
      </c>
      <c r="E8" s="22" t="s">
        <v>20</v>
      </c>
      <c r="F8" s="22" t="s">
        <v>30</v>
      </c>
      <c r="G8" s="22" t="s">
        <v>22</v>
      </c>
      <c r="H8" s="22" t="s">
        <v>23</v>
      </c>
      <c r="I8" s="24">
        <v>8</v>
      </c>
      <c r="J8" s="22" t="s">
        <v>31</v>
      </c>
      <c r="K8" s="22" t="str">
        <f t="shared" ref="K8:K23" si="0">VLOOKUP(G8,$S$6:$T$9,2,0)</f>
        <v>销售部</v>
      </c>
      <c r="L8" s="22" t="s">
        <v>32</v>
      </c>
      <c r="M8" s="25">
        <v>44606</v>
      </c>
      <c r="N8" s="25" t="s">
        <v>26</v>
      </c>
      <c r="O8" s="25">
        <v>44607</v>
      </c>
      <c r="P8" s="22" t="s">
        <v>33</v>
      </c>
      <c r="R8"/>
      <c r="S8" s="26" t="s">
        <v>34</v>
      </c>
      <c r="T8" s="26" t="s">
        <v>35</v>
      </c>
    </row>
    <row r="9" ht="28" customHeight="1" spans="2:20">
      <c r="B9" s="22">
        <v>3</v>
      </c>
      <c r="C9" s="22" t="s">
        <v>36</v>
      </c>
      <c r="D9" s="22">
        <v>28</v>
      </c>
      <c r="E9" s="22" t="s">
        <v>20</v>
      </c>
      <c r="F9" s="22" t="s">
        <v>21</v>
      </c>
      <c r="G9" s="22" t="s">
        <v>34</v>
      </c>
      <c r="H9" s="22" t="s">
        <v>23</v>
      </c>
      <c r="I9" s="24">
        <v>3</v>
      </c>
      <c r="J9" s="22" t="s">
        <v>24</v>
      </c>
      <c r="K9" s="22" t="str">
        <f t="shared" si="0"/>
        <v>工程部</v>
      </c>
      <c r="L9" s="22" t="s">
        <v>37</v>
      </c>
      <c r="M9" s="25">
        <v>44607</v>
      </c>
      <c r="N9" s="25" t="s">
        <v>26</v>
      </c>
      <c r="O9" s="25">
        <v>44608</v>
      </c>
      <c r="P9" s="22" t="s">
        <v>33</v>
      </c>
      <c r="R9"/>
      <c r="S9" s="26" t="s">
        <v>38</v>
      </c>
      <c r="T9" s="26" t="s">
        <v>39</v>
      </c>
    </row>
    <row r="10" ht="28" customHeight="1" spans="2:16">
      <c r="B10" s="22">
        <v>4</v>
      </c>
      <c r="C10" s="22" t="s">
        <v>40</v>
      </c>
      <c r="D10" s="22">
        <v>23</v>
      </c>
      <c r="E10" s="22" t="s">
        <v>20</v>
      </c>
      <c r="F10" s="22" t="s">
        <v>21</v>
      </c>
      <c r="G10" s="22" t="s">
        <v>34</v>
      </c>
      <c r="H10" s="22" t="s">
        <v>23</v>
      </c>
      <c r="I10" s="24">
        <v>1</v>
      </c>
      <c r="J10" s="22" t="s">
        <v>24</v>
      </c>
      <c r="K10" s="22" t="str">
        <f t="shared" si="0"/>
        <v>工程部</v>
      </c>
      <c r="L10" s="22" t="s">
        <v>37</v>
      </c>
      <c r="M10" s="25">
        <v>44607</v>
      </c>
      <c r="N10" s="22" t="s">
        <v>41</v>
      </c>
      <c r="O10" s="25"/>
      <c r="P10" s="22"/>
    </row>
    <row r="11" ht="28" customHeight="1" spans="2:16">
      <c r="B11" s="22">
        <v>5</v>
      </c>
      <c r="C11" s="22" t="s">
        <v>42</v>
      </c>
      <c r="D11" s="22">
        <v>22</v>
      </c>
      <c r="E11" s="22" t="s">
        <v>20</v>
      </c>
      <c r="F11" s="22" t="s">
        <v>21</v>
      </c>
      <c r="G11" s="22" t="s">
        <v>38</v>
      </c>
      <c r="H11" s="22" t="s">
        <v>23</v>
      </c>
      <c r="I11" s="24" t="s">
        <v>23</v>
      </c>
      <c r="J11" s="22" t="s">
        <v>24</v>
      </c>
      <c r="K11" s="22" t="str">
        <f t="shared" si="0"/>
        <v>财务部</v>
      </c>
      <c r="L11" s="22" t="s">
        <v>43</v>
      </c>
      <c r="M11" s="25">
        <v>44608</v>
      </c>
      <c r="N11" s="25" t="s">
        <v>26</v>
      </c>
      <c r="O11" s="25">
        <v>44610</v>
      </c>
      <c r="P11" s="25" t="s">
        <v>27</v>
      </c>
    </row>
    <row r="12" ht="28" customHeight="1" spans="2:16">
      <c r="B12" s="22">
        <v>6</v>
      </c>
      <c r="C12" s="22" t="s">
        <v>44</v>
      </c>
      <c r="D12" s="22">
        <v>32</v>
      </c>
      <c r="E12" s="22" t="s">
        <v>20</v>
      </c>
      <c r="F12" s="22" t="s">
        <v>30</v>
      </c>
      <c r="G12" s="22" t="s">
        <v>38</v>
      </c>
      <c r="H12" s="22" t="s">
        <v>45</v>
      </c>
      <c r="I12" s="24">
        <v>6</v>
      </c>
      <c r="J12" s="22" t="s">
        <v>46</v>
      </c>
      <c r="K12" s="22" t="str">
        <f t="shared" si="0"/>
        <v>财务部</v>
      </c>
      <c r="L12" s="22" t="s">
        <v>47</v>
      </c>
      <c r="M12" s="25">
        <v>44608</v>
      </c>
      <c r="N12" s="25" t="s">
        <v>26</v>
      </c>
      <c r="O12" s="25">
        <v>44610</v>
      </c>
      <c r="P12" s="25" t="s">
        <v>27</v>
      </c>
    </row>
    <row r="13" ht="28" customHeight="1" spans="2:16">
      <c r="B13" s="22">
        <v>7</v>
      </c>
      <c r="C13" s="22" t="s">
        <v>48</v>
      </c>
      <c r="D13" s="22">
        <v>37</v>
      </c>
      <c r="E13" s="22" t="s">
        <v>20</v>
      </c>
      <c r="F13" s="22" t="s">
        <v>21</v>
      </c>
      <c r="G13" s="22" t="s">
        <v>34</v>
      </c>
      <c r="H13" s="22" t="s">
        <v>23</v>
      </c>
      <c r="I13" s="24" t="s">
        <v>49</v>
      </c>
      <c r="J13" s="22" t="s">
        <v>24</v>
      </c>
      <c r="K13" s="22" t="str">
        <f t="shared" si="0"/>
        <v>工程部</v>
      </c>
      <c r="L13" s="22" t="s">
        <v>37</v>
      </c>
      <c r="M13" s="25">
        <v>44608</v>
      </c>
      <c r="N13" s="22" t="s">
        <v>26</v>
      </c>
      <c r="O13" s="25">
        <v>44610</v>
      </c>
      <c r="P13" s="22" t="s">
        <v>33</v>
      </c>
    </row>
    <row r="14" ht="28" customHeight="1" spans="2:16">
      <c r="B14" s="22">
        <v>8</v>
      </c>
      <c r="C14" s="22" t="s">
        <v>50</v>
      </c>
      <c r="D14" s="22">
        <v>22</v>
      </c>
      <c r="E14" s="22" t="s">
        <v>20</v>
      </c>
      <c r="F14" s="22" t="s">
        <v>21</v>
      </c>
      <c r="G14" s="22" t="s">
        <v>34</v>
      </c>
      <c r="H14" s="22" t="s">
        <v>23</v>
      </c>
      <c r="I14" s="24" t="s">
        <v>51</v>
      </c>
      <c r="J14" s="22" t="s">
        <v>31</v>
      </c>
      <c r="K14" s="22" t="str">
        <f t="shared" si="0"/>
        <v>工程部</v>
      </c>
      <c r="L14" s="22" t="s">
        <v>37</v>
      </c>
      <c r="M14" s="25">
        <v>44608</v>
      </c>
      <c r="N14" s="22" t="s">
        <v>26</v>
      </c>
      <c r="O14" s="25">
        <v>44610</v>
      </c>
      <c r="P14" s="22" t="s">
        <v>27</v>
      </c>
    </row>
    <row r="15" ht="28" customHeight="1" spans="2:16">
      <c r="B15" s="22">
        <v>9</v>
      </c>
      <c r="C15" s="22" t="s">
        <v>52</v>
      </c>
      <c r="D15" s="22">
        <v>40</v>
      </c>
      <c r="E15" s="22" t="s">
        <v>20</v>
      </c>
      <c r="F15" s="22" t="s">
        <v>53</v>
      </c>
      <c r="G15" s="22" t="s">
        <v>38</v>
      </c>
      <c r="H15" s="22" t="s">
        <v>54</v>
      </c>
      <c r="I15" s="24" t="s">
        <v>49</v>
      </c>
      <c r="J15" s="22" t="s">
        <v>24</v>
      </c>
      <c r="K15" s="22" t="str">
        <f t="shared" si="0"/>
        <v>财务部</v>
      </c>
      <c r="L15" s="22" t="s">
        <v>47</v>
      </c>
      <c r="M15" s="25">
        <v>44608</v>
      </c>
      <c r="N15" s="22" t="s">
        <v>26</v>
      </c>
      <c r="O15" s="25">
        <v>44610</v>
      </c>
      <c r="P15" s="22" t="s">
        <v>27</v>
      </c>
    </row>
    <row r="16" ht="28" customHeight="1" spans="2:16">
      <c r="B16" s="22">
        <v>10</v>
      </c>
      <c r="C16" s="22" t="s">
        <v>55</v>
      </c>
      <c r="D16" s="22">
        <v>38</v>
      </c>
      <c r="E16" s="22" t="s">
        <v>20</v>
      </c>
      <c r="F16" s="22" t="s">
        <v>56</v>
      </c>
      <c r="G16" s="22" t="s">
        <v>38</v>
      </c>
      <c r="H16" s="22" t="s">
        <v>45</v>
      </c>
      <c r="I16" s="24" t="s">
        <v>57</v>
      </c>
      <c r="J16" s="22" t="s">
        <v>58</v>
      </c>
      <c r="K16" s="22" t="str">
        <f t="shared" si="0"/>
        <v>财务部</v>
      </c>
      <c r="L16" s="22" t="s">
        <v>47</v>
      </c>
      <c r="M16" s="25">
        <v>44609</v>
      </c>
      <c r="N16" s="22" t="s">
        <v>26</v>
      </c>
      <c r="O16" s="25">
        <v>44610</v>
      </c>
      <c r="P16" s="22" t="s">
        <v>27</v>
      </c>
    </row>
    <row r="17" ht="28" customHeight="1" spans="2:16">
      <c r="B17" s="22">
        <v>11</v>
      </c>
      <c r="C17" s="22" t="s">
        <v>59</v>
      </c>
      <c r="D17" s="22">
        <v>29</v>
      </c>
      <c r="E17" s="22" t="s">
        <v>20</v>
      </c>
      <c r="F17" s="22" t="s">
        <v>30</v>
      </c>
      <c r="G17" s="22" t="s">
        <v>34</v>
      </c>
      <c r="H17" s="22" t="s">
        <v>23</v>
      </c>
      <c r="I17" s="24" t="s">
        <v>60</v>
      </c>
      <c r="J17" s="22" t="s">
        <v>24</v>
      </c>
      <c r="K17" s="22" t="str">
        <f t="shared" si="0"/>
        <v>工程部</v>
      </c>
      <c r="L17" s="22" t="s">
        <v>37</v>
      </c>
      <c r="M17" s="25">
        <v>44610</v>
      </c>
      <c r="N17" s="22" t="s">
        <v>26</v>
      </c>
      <c r="O17" s="25">
        <v>44611</v>
      </c>
      <c r="P17" s="22" t="s">
        <v>61</v>
      </c>
    </row>
    <row r="18" ht="28" customHeight="1" spans="2:16">
      <c r="B18" s="22">
        <v>12</v>
      </c>
      <c r="C18" s="22" t="s">
        <v>62</v>
      </c>
      <c r="D18" s="22">
        <v>26</v>
      </c>
      <c r="E18" s="22" t="s">
        <v>20</v>
      </c>
      <c r="F18" s="22" t="s">
        <v>21</v>
      </c>
      <c r="G18" s="22" t="s">
        <v>22</v>
      </c>
      <c r="H18" s="22" t="s">
        <v>45</v>
      </c>
      <c r="I18" s="24" t="s">
        <v>63</v>
      </c>
      <c r="J18" s="22" t="s">
        <v>58</v>
      </c>
      <c r="K18" s="22" t="str">
        <f t="shared" si="0"/>
        <v>销售部</v>
      </c>
      <c r="L18" s="25" t="s">
        <v>25</v>
      </c>
      <c r="M18" s="25">
        <v>44611</v>
      </c>
      <c r="N18" s="22" t="s">
        <v>41</v>
      </c>
      <c r="O18" s="25"/>
      <c r="P18" s="22"/>
    </row>
    <row r="19" ht="28" customHeight="1" spans="2:16">
      <c r="B19" s="22">
        <v>13</v>
      </c>
      <c r="C19" s="22" t="s">
        <v>64</v>
      </c>
      <c r="D19" s="22">
        <v>26</v>
      </c>
      <c r="E19" s="22" t="s">
        <v>20</v>
      </c>
      <c r="F19" s="22" t="s">
        <v>21</v>
      </c>
      <c r="G19" s="22" t="s">
        <v>22</v>
      </c>
      <c r="H19" s="22" t="s">
        <v>23</v>
      </c>
      <c r="I19" s="24" t="s">
        <v>63</v>
      </c>
      <c r="J19" s="22" t="s">
        <v>31</v>
      </c>
      <c r="K19" s="22" t="str">
        <f t="shared" si="0"/>
        <v>销售部</v>
      </c>
      <c r="L19" s="25" t="s">
        <v>25</v>
      </c>
      <c r="M19" s="25">
        <v>44611</v>
      </c>
      <c r="N19" s="22" t="s">
        <v>41</v>
      </c>
      <c r="O19" s="25"/>
      <c r="P19" s="22"/>
    </row>
    <row r="20" ht="28" customHeight="1" spans="2:16">
      <c r="B20" s="22">
        <v>14</v>
      </c>
      <c r="C20" s="22" t="s">
        <v>65</v>
      </c>
      <c r="D20" s="22">
        <v>29</v>
      </c>
      <c r="E20" s="22" t="s">
        <v>20</v>
      </c>
      <c r="F20" s="22" t="s">
        <v>53</v>
      </c>
      <c r="G20" s="22" t="s">
        <v>34</v>
      </c>
      <c r="H20" s="22" t="s">
        <v>54</v>
      </c>
      <c r="I20" s="24" t="s">
        <v>66</v>
      </c>
      <c r="J20" s="22" t="s">
        <v>31</v>
      </c>
      <c r="K20" s="22" t="str">
        <f t="shared" si="0"/>
        <v>工程部</v>
      </c>
      <c r="L20" s="22" t="s">
        <v>37</v>
      </c>
      <c r="M20" s="25">
        <v>44611</v>
      </c>
      <c r="N20" s="22" t="s">
        <v>26</v>
      </c>
      <c r="O20" s="25">
        <v>44614</v>
      </c>
      <c r="P20" s="22" t="s">
        <v>33</v>
      </c>
    </row>
    <row r="21" ht="28" customHeight="1" spans="2:16">
      <c r="B21" s="22">
        <v>15</v>
      </c>
      <c r="C21" s="22" t="s">
        <v>67</v>
      </c>
      <c r="D21" s="22">
        <v>25</v>
      </c>
      <c r="E21" s="22" t="s">
        <v>20</v>
      </c>
      <c r="F21" s="22" t="s">
        <v>30</v>
      </c>
      <c r="G21" s="22" t="s">
        <v>22</v>
      </c>
      <c r="H21" s="22" t="s">
        <v>45</v>
      </c>
      <c r="I21" s="24" t="s">
        <v>68</v>
      </c>
      <c r="J21" s="22" t="s">
        <v>69</v>
      </c>
      <c r="K21" s="22" t="str">
        <f t="shared" si="0"/>
        <v>销售部</v>
      </c>
      <c r="L21" s="22" t="s">
        <v>32</v>
      </c>
      <c r="M21" s="25">
        <v>44611</v>
      </c>
      <c r="N21" s="22" t="s">
        <v>26</v>
      </c>
      <c r="O21" s="25">
        <v>44615</v>
      </c>
      <c r="P21" s="22" t="s">
        <v>27</v>
      </c>
    </row>
    <row r="22" ht="28" customHeight="1" spans="2:16">
      <c r="B22" s="22">
        <v>16</v>
      </c>
      <c r="C22" s="22" t="s">
        <v>70</v>
      </c>
      <c r="D22" s="22">
        <v>30</v>
      </c>
      <c r="E22" s="22" t="s">
        <v>20</v>
      </c>
      <c r="F22" s="22" t="s">
        <v>30</v>
      </c>
      <c r="G22" s="22" t="s">
        <v>34</v>
      </c>
      <c r="H22" s="22" t="s">
        <v>23</v>
      </c>
      <c r="I22" s="24" t="s">
        <v>66</v>
      </c>
      <c r="J22" s="22" t="s">
        <v>46</v>
      </c>
      <c r="K22" s="22" t="str">
        <f t="shared" si="0"/>
        <v>工程部</v>
      </c>
      <c r="L22" s="22" t="s">
        <v>37</v>
      </c>
      <c r="M22" s="25">
        <v>44612</v>
      </c>
      <c r="N22" s="22" t="s">
        <v>41</v>
      </c>
      <c r="O22" s="25"/>
      <c r="P22" s="22"/>
    </row>
    <row r="23" ht="28" customHeight="1" spans="2:16">
      <c r="B23" s="22">
        <v>17</v>
      </c>
      <c r="C23" s="22" t="s">
        <v>71</v>
      </c>
      <c r="D23" s="22">
        <v>23</v>
      </c>
      <c r="E23" s="22" t="s">
        <v>20</v>
      </c>
      <c r="F23" s="22" t="s">
        <v>30</v>
      </c>
      <c r="G23" s="22" t="s">
        <v>34</v>
      </c>
      <c r="H23" s="22" t="s">
        <v>23</v>
      </c>
      <c r="I23" s="24" t="s">
        <v>51</v>
      </c>
      <c r="J23" s="22" t="s">
        <v>69</v>
      </c>
      <c r="K23" s="22" t="str">
        <f t="shared" si="0"/>
        <v>工程部</v>
      </c>
      <c r="L23" s="22" t="s">
        <v>37</v>
      </c>
      <c r="M23" s="25">
        <v>44613</v>
      </c>
      <c r="N23" s="22" t="s">
        <v>26</v>
      </c>
      <c r="O23" s="25">
        <v>44617</v>
      </c>
      <c r="P23" s="22" t="s">
        <v>61</v>
      </c>
    </row>
  </sheetData>
  <mergeCells count="4">
    <mergeCell ref="B2:P2"/>
    <mergeCell ref="B4:C4"/>
    <mergeCell ref="G4:H4"/>
    <mergeCell ref="K4:L4"/>
  </mergeCells>
  <conditionalFormatting sqref="B7:P23">
    <cfRule type="expression" dxfId="0" priority="2">
      <formula>$P7="录取"</formula>
    </cfRule>
  </conditionalFormatting>
  <dataValidations count="2">
    <dataValidation type="list" allowBlank="1" showInputMessage="1" showErrorMessage="1" sqref="N7 N10 N11 N12 N13 N8:N9 N14:N23">
      <formula1>"通过,不通过"</formula1>
    </dataValidation>
    <dataValidation type="list" allowBlank="1" showInputMessage="1" showErrorMessage="1" sqref="P7 P10 P11 P12 P13 P8:P9 P14:P17 P18:P23">
      <formula1>"录取,不录取,待考虑"</formula1>
    </dataValidation>
  </dataValidations>
  <printOptions horizontalCentered="1" verticalCentered="1"/>
  <pageMargins left="0.236111111111111" right="0" top="0.236111111111111" bottom="0" header="0.5" footer="0.5"/>
  <pageSetup paperSize="1" scale="83" fitToHeight="0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K20" sqref="K20"/>
    </sheetView>
  </sheetViews>
  <sheetFormatPr defaultColWidth="9" defaultRowHeight="13.5" outlineLevelRow="4" outlineLevelCol="5"/>
  <sheetData>
    <row r="1" spans="1:6">
      <c r="A1" s="12" t="s">
        <v>7</v>
      </c>
      <c r="B1" s="12" t="s">
        <v>72</v>
      </c>
      <c r="E1" s="12"/>
      <c r="F1" s="12"/>
    </row>
    <row r="2" spans="1:6">
      <c r="A2" s="12" t="s">
        <v>21</v>
      </c>
      <c r="B2" s="12">
        <f>COUNTIF(Sheet1!$F$7:$F$23,A2)</f>
        <v>8</v>
      </c>
      <c r="E2" s="12"/>
      <c r="F2" s="12"/>
    </row>
    <row r="3" spans="1:6">
      <c r="A3" s="12" t="s">
        <v>30</v>
      </c>
      <c r="B3" s="12">
        <f>COUNTIF(Sheet1!$F$7:$F$23,A3)</f>
        <v>6</v>
      </c>
      <c r="E3" s="12"/>
      <c r="F3" s="12"/>
    </row>
    <row r="4" spans="1:6">
      <c r="A4" s="12" t="s">
        <v>53</v>
      </c>
      <c r="B4" s="12">
        <f>COUNTIF(Sheet1!$F$7:$F$23,A4)</f>
        <v>2</v>
      </c>
      <c r="E4" s="12"/>
      <c r="F4" s="12"/>
    </row>
    <row r="5" spans="1:2">
      <c r="A5" s="12" t="s">
        <v>56</v>
      </c>
      <c r="B5" s="12">
        <f>COUNTIF(Sheet1!$F$7:$F$23,A5)</f>
        <v>1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9"/>
  <sheetViews>
    <sheetView workbookViewId="0">
      <selection activeCell="D7" sqref="D7"/>
    </sheetView>
  </sheetViews>
  <sheetFormatPr defaultColWidth="9" defaultRowHeight="13.5"/>
  <cols>
    <col min="2" max="2" width="12"/>
    <col min="3" max="11" width="10.875"/>
    <col min="12" max="12" width="5.125"/>
    <col min="13" max="13" width="8.70833333333333"/>
    <col min="14" max="14" width="12"/>
    <col min="15" max="16" width="5.125"/>
  </cols>
  <sheetData>
    <row r="3" spans="2:12">
      <c r="B3" s="1" t="s">
        <v>73</v>
      </c>
      <c r="C3" s="1" t="s">
        <v>12</v>
      </c>
      <c r="D3" s="1" t="s">
        <v>7</v>
      </c>
      <c r="E3" s="1"/>
      <c r="F3" s="2"/>
      <c r="G3" s="2"/>
      <c r="H3" s="2"/>
      <c r="I3" s="2"/>
      <c r="J3" s="2"/>
      <c r="K3" s="2"/>
      <c r="L3" s="8"/>
    </row>
    <row r="4" spans="2:12">
      <c r="B4" s="3"/>
      <c r="C4" s="1" t="s">
        <v>28</v>
      </c>
      <c r="D4" s="2"/>
      <c r="E4" s="1" t="s">
        <v>39</v>
      </c>
      <c r="F4" s="2"/>
      <c r="G4" s="2"/>
      <c r="H4" s="2"/>
      <c r="I4" s="1" t="s">
        <v>35</v>
      </c>
      <c r="J4" s="2"/>
      <c r="K4" s="2"/>
      <c r="L4" s="9" t="s">
        <v>74</v>
      </c>
    </row>
    <row r="5" spans="2:12">
      <c r="B5" s="1" t="s">
        <v>8</v>
      </c>
      <c r="C5" s="1" t="s">
        <v>30</v>
      </c>
      <c r="D5" s="4" t="s">
        <v>21</v>
      </c>
      <c r="E5" s="1" t="s">
        <v>53</v>
      </c>
      <c r="F5" s="4" t="s">
        <v>56</v>
      </c>
      <c r="G5" s="4" t="s">
        <v>30</v>
      </c>
      <c r="H5" s="4" t="s">
        <v>21</v>
      </c>
      <c r="I5" s="1" t="s">
        <v>53</v>
      </c>
      <c r="J5" s="4" t="s">
        <v>30</v>
      </c>
      <c r="K5" s="4" t="s">
        <v>21</v>
      </c>
      <c r="L5" s="10"/>
    </row>
    <row r="6" spans="2:12">
      <c r="B6" s="1" t="s">
        <v>38</v>
      </c>
      <c r="C6" s="1"/>
      <c r="D6" s="4"/>
      <c r="E6" s="1">
        <v>1</v>
      </c>
      <c r="F6" s="4">
        <v>1</v>
      </c>
      <c r="G6" s="4">
        <v>1</v>
      </c>
      <c r="H6" s="4">
        <v>1</v>
      </c>
      <c r="I6" s="1"/>
      <c r="J6" s="4"/>
      <c r="K6" s="4"/>
      <c r="L6" s="9">
        <v>4</v>
      </c>
    </row>
    <row r="7" spans="2:12">
      <c r="B7" s="3" t="s">
        <v>22</v>
      </c>
      <c r="C7" s="3">
        <v>2</v>
      </c>
      <c r="D7" s="5">
        <v>3</v>
      </c>
      <c r="E7" s="3"/>
      <c r="F7" s="5"/>
      <c r="G7" s="5"/>
      <c r="H7" s="5"/>
      <c r="I7" s="3"/>
      <c r="J7" s="5"/>
      <c r="K7" s="5"/>
      <c r="L7" s="10">
        <v>5</v>
      </c>
    </row>
    <row r="8" spans="2:12">
      <c r="B8" s="3" t="s">
        <v>34</v>
      </c>
      <c r="C8" s="3"/>
      <c r="D8" s="5"/>
      <c r="E8" s="3"/>
      <c r="F8" s="5"/>
      <c r="G8" s="5"/>
      <c r="H8" s="5"/>
      <c r="I8" s="3">
        <v>1</v>
      </c>
      <c r="J8" s="5">
        <v>3</v>
      </c>
      <c r="K8" s="5">
        <v>4</v>
      </c>
      <c r="L8" s="10">
        <v>8</v>
      </c>
    </row>
    <row r="9" spans="2:12">
      <c r="B9" s="6" t="s">
        <v>74</v>
      </c>
      <c r="C9" s="6">
        <v>2</v>
      </c>
      <c r="D9" s="7">
        <v>3</v>
      </c>
      <c r="E9" s="6">
        <v>1</v>
      </c>
      <c r="F9" s="7">
        <v>1</v>
      </c>
      <c r="G9" s="7">
        <v>1</v>
      </c>
      <c r="H9" s="7">
        <v>1</v>
      </c>
      <c r="I9" s="6">
        <v>1</v>
      </c>
      <c r="J9" s="7">
        <v>3</v>
      </c>
      <c r="K9" s="7">
        <v>4</v>
      </c>
      <c r="L9" s="11">
        <v>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nbc-cwb01</dc:creator>
  <cp:lastModifiedBy>微信用户</cp:lastModifiedBy>
  <dcterms:created xsi:type="dcterms:W3CDTF">2020-06-18T03:12:00Z</dcterms:created>
  <dcterms:modified xsi:type="dcterms:W3CDTF">2025-10-30T08:38:11Z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FDD8F6790004442AA7EDC3F98DD7D018</vt:lpwstr>
  </property>
  <property fmtid="{D5CDD505-2E9C-101B-9397-08002B2CF9AE}" pid="4" name="KSOTemplateUUID">
    <vt:lpwstr>v1.0_mb_FFIzsT6gpeYTG+WvnHQj9g==</vt:lpwstr>
  </property>
</Properties>
</file>
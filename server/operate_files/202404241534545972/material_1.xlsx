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50" windowHeight="11775" activeTab="1"/>
  </bookViews>
  <sheets>
    <sheet name="Sheet1" sheetId="1" r:id="rId1"/>
    <sheet name="销售数据" sheetId="4" r:id="rId2"/>
    <sheet name="Sheet2" sheetId="2" r:id="rId3"/>
    <sheet name="Sheet3" sheetId="3" r:id="rId4"/>
  </sheets>
  <definedNames>
    <definedName name="日期">Sheet3!$A$1:$A$15</definedName>
  </definedNames>
  <calcPr calcId="144525"/>
  <pivotCaches>
    <pivotCache cacheId="0" r:id="rId5"/>
  </pivotCaches>
</workbook>
</file>

<file path=xl/sharedStrings.xml><?xml version="1.0" encoding="utf-8"?>
<sst xmlns="http://schemas.openxmlformats.org/spreadsheetml/2006/main" count="161" uniqueCount="35">
  <si>
    <t>订单编号</t>
  </si>
  <si>
    <t>销售人员</t>
  </si>
  <si>
    <t>产品类型</t>
  </si>
  <si>
    <t>付款方式</t>
  </si>
  <si>
    <t>销售数量</t>
  </si>
  <si>
    <t>单价</t>
  </si>
  <si>
    <t>退款金额</t>
  </si>
  <si>
    <t>销售金额</t>
  </si>
  <si>
    <t>销售日期</t>
  </si>
  <si>
    <t>销售地点</t>
  </si>
  <si>
    <t>业绩指标</t>
  </si>
  <si>
    <t>王五</t>
  </si>
  <si>
    <t>电子产品</t>
  </si>
  <si>
    <t>支付宝</t>
  </si>
  <si>
    <t>北京</t>
  </si>
  <si>
    <t>王五电子产品销售总金额</t>
  </si>
  <si>
    <t>小明</t>
  </si>
  <si>
    <t>家电</t>
  </si>
  <si>
    <t>微信</t>
  </si>
  <si>
    <t>上海</t>
  </si>
  <si>
    <t>销售金额超过8万的个数</t>
  </si>
  <si>
    <t>小红</t>
  </si>
  <si>
    <t>银行转账</t>
  </si>
  <si>
    <t>杭州</t>
  </si>
  <si>
    <t>单价最高</t>
  </si>
  <si>
    <t>小李</t>
  </si>
  <si>
    <t>深圳</t>
  </si>
  <si>
    <t>赵六</t>
  </si>
  <si>
    <t>广州</t>
  </si>
  <si>
    <t>个人护理</t>
  </si>
  <si>
    <t>厨房电器</t>
  </si>
  <si>
    <t>汇总</t>
  </si>
  <si>
    <t>行标签</t>
  </si>
  <si>
    <t>求和项:销售金额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</si>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</sst>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&quot;QD&quot;@"/>
  </numFmts>
  <fonts count="24">
    <font>
      <sz val="11"/>
      <color theme="1"/>
      <name val="宋体"/>
      <charset val="134"/>
      <scheme val="minor"/>
    </font>
    <font>
      <b/>
      <sz val="15"/>
      <color theme="0"/>
      <name val="楷体"/>
      <charset val="134"/>
    </font>
    <font>
      <sz val="13"/>
      <color theme="1"/>
      <name val="宋体"/>
      <charset val="134"/>
      <scheme val="minor"/>
    </font>
    <font>
      <b/>
      <sz val="13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double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4" fillId="3" borderId="2" xfId="0" applyNumberFormat="1" applyFont="1" applyFill="1" applyBorder="1" applyAlignment="1" applyProtection="1">
      <alignment vertical="center"/>
    </xf>
    <xf numFmtId="0" fontId="4" fillId="3" borderId="3" xfId="0" applyNumberFormat="1" applyFont="1" applyFill="1" applyBorder="1" applyAlignment="1" applyProtection="1">
      <alignment vertical="center"/>
    </xf>
    <xf numFmtId="0" fontId="3" fillId="3" borderId="4" xfId="0" applyNumberFormat="1" applyFont="1" applyFill="1" applyBorder="1" applyAlignment="1" applyProtection="1">
      <alignment vertical="center"/>
    </xf>
    <xf numFmtId="14" fontId="2" fillId="0" borderId="1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vertical="center"/>
    </xf>
    <xf numFmtId="0" fontId="2" fillId="0" borderId="6" xfId="0" applyNumberFormat="1" applyFont="1" applyFill="1" applyBorder="1" applyAlignment="1" applyProtection="1">
      <alignment vertical="center"/>
    </xf>
    <xf numFmtId="0" fontId="4" fillId="3" borderId="7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销售对比图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gradFill>
              <a:gsLst>
                <a:gs pos="0">
                  <a:schemeClr val="accent1">
                    <a:alpha val="80000"/>
                    <a:hueOff val="-1670000"/>
                  </a:schemeClr>
                </a:gs>
                <a:gs pos="100000">
                  <a:schemeClr val="accent1">
                    <a:alpha val="8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75000"/>
                      <a:hueOff val="-1670000"/>
                    </a:schemeClr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Sheet1!$B$9:$B$12</c:f>
              <c:strCache>
                <c:ptCount val="4"/>
                <c:pt idx="0">
                  <c:v>小红</c:v>
                </c:pt>
                <c:pt idx="1">
                  <c:v>小明</c:v>
                </c:pt>
                <c:pt idx="2">
                  <c:v>赵六</c:v>
                </c:pt>
                <c:pt idx="3">
                  <c:v>小李</c:v>
                </c:pt>
              </c:strCache>
            </c:strRef>
          </c:cat>
          <c:val>
            <c:numRef>
              <c:f>Sheet1!$H$9:$H$12</c:f>
              <c:numCache>
                <c:formatCode>General</c:formatCode>
                <c:ptCount val="4"/>
                <c:pt idx="0">
                  <c:v>10750</c:v>
                </c:pt>
                <c:pt idx="1">
                  <c:v>25000</c:v>
                </c:pt>
                <c:pt idx="2">
                  <c:v>100000</c:v>
                </c:pt>
                <c:pt idx="3">
                  <c:v>90000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133682"/>
        <c:axId val="970203326"/>
      </c:radarChart>
      <c:catAx>
        <c:axId val="4951336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203326"/>
        <c:crosses val="autoZero"/>
        <c:auto val="1"/>
        <c:lblAlgn val="ctr"/>
        <c:lblOffset val="100"/>
        <c:noMultiLvlLbl val="0"/>
      </c:catAx>
      <c:valAx>
        <c:axId val="9702033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1336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[标准文件 - 副本.xlsx]Sheet2!家电付款方式金额汇总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multiLvlStrRef>
              <c:f>Sheet2!$A$4:$A$12</c:f>
              <c:multiLvlStrCache>
                <c:ptCount val="5"/>
                <c:lvl>
                  <c:pt idx="0">
                    <c:v>小明</c:v>
                  </c:pt>
                  <c:pt idx="1">
                    <c:v>赵六</c:v>
                  </c:pt>
                  <c:pt idx="2">
                    <c:v>小红</c:v>
                  </c:pt>
                  <c:pt idx="3">
                    <c:v>小李</c:v>
                  </c:pt>
                  <c:pt idx="4">
                    <c:v>赵六</c:v>
                  </c:pt>
                </c:lvl>
                <c:lvl>
                  <c:pt idx="0">
                    <c:v>微信</c:v>
                  </c:pt>
                  <c:pt idx="2">
                    <c:v>银行转账</c:v>
                  </c:pt>
                  <c:pt idx="3">
                    <c:v>支付宝</c:v>
                  </c:pt>
                </c:lvl>
              </c:multiLvlStrCache>
            </c:multiLvlStrRef>
          </c:cat>
          <c:val>
            <c:numRef>
              <c:f>Sheet2!$B$4:$B$12</c:f>
              <c:numCache>
                <c:formatCode>General</c:formatCode>
                <c:ptCount val="5"/>
                <c:pt idx="0">
                  <c:v>147000</c:v>
                </c:pt>
                <c:pt idx="1">
                  <c:v>100000</c:v>
                </c:pt>
                <c:pt idx="2">
                  <c:v>120000</c:v>
                </c:pt>
                <c:pt idx="3">
                  <c:v>95000</c:v>
                </c:pt>
                <c:pt idx="4">
                  <c:v>87500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463959727"/>
        <c:axId val="998416354"/>
      </c:barChart>
      <c:catAx>
        <c:axId val="463959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8416354"/>
        <c:crosses val="autoZero"/>
        <c:auto val="1"/>
        <c:lblAlgn val="ctr"/>
        <c:lblOffset val="100"/>
        <c:noMultiLvlLbl val="0"/>
      </c:catAx>
      <c:valAx>
        <c:axId val="9984163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959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alpha val="80000"/>
              <a:hueOff val="-1670000"/>
            </a:schemeClr>
          </a:gs>
          <a:gs pos="100000">
            <a:schemeClr val="phClr">
              <a:alpha val="80000"/>
            </a:schemeClr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alpha val="80000"/>
              <a:hueOff val="-1670000"/>
            </a:schemeClr>
          </a:gs>
          <a:gs pos="100000">
            <a:schemeClr val="phClr">
              <a:alpha val="80000"/>
            </a:schemeClr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615950</xdr:colOff>
      <xdr:row>19</xdr:row>
      <xdr:rowOff>31750</xdr:rowOff>
    </xdr:from>
    <xdr:to>
      <xdr:col>8</xdr:col>
      <xdr:colOff>479425</xdr:colOff>
      <xdr:row>35</xdr:row>
      <xdr:rowOff>31750</xdr:rowOff>
    </xdr:to>
    <xdr:graphicFrame>
      <xdr:nvGraphicFramePr>
        <xdr:cNvPr id="2" name="图表 1"/>
        <xdr:cNvGraphicFramePr/>
      </xdr:nvGraphicFramePr>
      <xdr:xfrm>
        <a:off x="1368425" y="3613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781050</xdr:colOff>
      <xdr:row>21</xdr:row>
      <xdr:rowOff>98425</xdr:rowOff>
    </xdr:from>
    <xdr:to>
      <xdr:col>6</xdr:col>
      <xdr:colOff>501650</xdr:colOff>
      <xdr:row>37</xdr:row>
      <xdr:rowOff>98425</xdr:rowOff>
    </xdr:to>
    <xdr:graphicFrame>
      <xdr:nvGraphicFramePr>
        <xdr:cNvPr id="2" name="图表 1"/>
        <xdr:cNvGraphicFramePr/>
      </xdr:nvGraphicFramePr>
      <xdr:xfrm>
        <a:off x="714375" y="3698875"/>
        <a:ext cx="51879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456.4333680556" refreshedBy="zy" recordCount="15">
  <cacheSource type="worksheet">
    <worksheetSource ref="A1:J16" sheet="销售数据"/>
  </cacheSource>
  <cacheFields count="10">
    <cacheField name="订单编号" numFmtId="177">
      <sharedItems containsSemiMixedTypes="0" containsString="0" containsNumber="1" containsInteger="1" minValue="0" maxValue="10015" count="15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</sharedItems>
    </cacheField>
    <cacheField name="销售人员" numFmtId="0">
      <sharedItems count="5">
        <s v="王五"/>
        <s v="小明"/>
        <s v="小红"/>
        <s v="小李"/>
        <s v="赵六"/>
      </sharedItems>
    </cacheField>
    <cacheField name="产品类型" numFmtId="0">
      <sharedItems count="4">
        <s v="电子产品"/>
        <s v="家电"/>
        <s v="个人护理"/>
        <s v="厨房电器"/>
      </sharedItems>
    </cacheField>
    <cacheField name="付款方式" numFmtId="0">
      <sharedItems count="3">
        <s v="支付宝"/>
        <s v="微信"/>
        <s v="银行转账"/>
      </sharedItems>
    </cacheField>
    <cacheField name="销售数量" numFmtId="0">
      <sharedItems containsSemiMixedTypes="0" containsString="0" containsNumber="1" containsInteger="1" minValue="0" maxValue="100" count="14">
        <n v="100"/>
        <n v="50"/>
        <n v="30"/>
        <n v="20"/>
        <n v="10"/>
        <n v="55"/>
        <n v="70"/>
        <n v="85"/>
        <n v="25"/>
        <n v="40"/>
        <n v="60"/>
        <n v="35"/>
        <n v="15"/>
        <n v="45"/>
      </sharedItems>
    </cacheField>
    <cacheField name="单价" numFmtId="0">
      <sharedItems containsSemiMixedTypes="0" containsString="0" containsNumber="1" containsInteger="1" minValue="0" maxValue="5000" count="14">
        <n v="2000"/>
        <n v="3000"/>
        <n v="4000"/>
        <n v="5000"/>
        <n v="600"/>
        <n v="300"/>
        <n v="150"/>
        <n v="1000"/>
        <n v="2500"/>
        <n v="1500"/>
        <n v="3500"/>
        <n v="1200"/>
        <n v="1800"/>
        <n v="800"/>
      </sharedItems>
    </cacheField>
    <cacheField name="退款金额" numFmtId="0">
      <sharedItems containsSemiMixedTypes="0" containsString="0" containsNumber="1" containsInteger="1" minValue="0" maxValue="5000" count="4">
        <n v="0"/>
        <n v="3000"/>
        <n v="5000"/>
        <n v="2000"/>
      </sharedItems>
    </cacheField>
    <cacheField name="销售金额" numFmtId="0">
      <sharedItems containsSemiMixedTypes="0" containsString="0" containsNumber="1" containsInteger="1" minValue="0" maxValue="200000" count="15">
        <n v="200000"/>
        <n v="147000"/>
        <n v="120000"/>
        <n v="95000"/>
        <n v="45000"/>
        <n v="33000"/>
        <n v="21000"/>
        <n v="10750"/>
        <n v="25000"/>
        <n v="100000"/>
        <n v="90000"/>
        <n v="87500"/>
        <n v="39000"/>
        <n v="27000"/>
        <n v="36000"/>
      </sharedItems>
    </cacheField>
    <cacheField name="销售日期" numFmtId="14">
      <sharedItems containsSemiMixedTypes="0" containsString="0" containsNonDate="0" containsDate="1" minDate="2023-01-05T00:00:00" maxDate="2024-03-15T00:00:00" count="15">
        <d v="2023-01-05T00:00:00"/>
        <d v="2023-02-10T00:00:00"/>
        <d v="2023-03-15T00:00:00"/>
        <d v="2023-04-20T00:00:00"/>
        <d v="2023-11-25T00:00:00"/>
        <d v="2023-12-30T00:00:00"/>
        <d v="2024-01-05T00:00:00"/>
        <d v="2024-02-10T00:00:00"/>
        <d v="2024-03-15T00:00:00"/>
        <d v="2023-05-25T00:00:00"/>
        <d v="2023-06-30T00:00:00"/>
        <d v="2023-07-05T00:00:00"/>
        <d v="2023-08-10T00:00:00"/>
        <d v="2023-09-15T00:00:00"/>
        <d v="2023-10-20T00:00:00"/>
      </sharedItems>
    </cacheField>
    <cacheField name="销售地点" numFmtId="0">
      <sharedItems count="5">
        <s v="北京"/>
        <s v="上海"/>
        <s v="杭州"/>
        <s v="深圳"/>
        <s v="广州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1"/>
    <x v="2"/>
    <x v="2"/>
    <x v="2"/>
    <x v="0"/>
    <x v="2"/>
    <x v="2"/>
    <x v="2"/>
  </r>
  <r>
    <x v="3"/>
    <x v="3"/>
    <x v="1"/>
    <x v="0"/>
    <x v="3"/>
    <x v="3"/>
    <x v="2"/>
    <x v="3"/>
    <x v="3"/>
    <x v="3"/>
  </r>
  <r>
    <x v="4"/>
    <x v="4"/>
    <x v="0"/>
    <x v="1"/>
    <x v="4"/>
    <x v="3"/>
    <x v="2"/>
    <x v="4"/>
    <x v="4"/>
    <x v="4"/>
  </r>
  <r>
    <x v="5"/>
    <x v="0"/>
    <x v="2"/>
    <x v="2"/>
    <x v="5"/>
    <x v="4"/>
    <x v="0"/>
    <x v="5"/>
    <x v="5"/>
    <x v="0"/>
  </r>
  <r>
    <x v="6"/>
    <x v="1"/>
    <x v="2"/>
    <x v="0"/>
    <x v="6"/>
    <x v="5"/>
    <x v="0"/>
    <x v="6"/>
    <x v="6"/>
    <x v="1"/>
  </r>
  <r>
    <x v="7"/>
    <x v="2"/>
    <x v="2"/>
    <x v="1"/>
    <x v="7"/>
    <x v="6"/>
    <x v="3"/>
    <x v="7"/>
    <x v="7"/>
    <x v="4"/>
  </r>
  <r>
    <x v="8"/>
    <x v="1"/>
    <x v="3"/>
    <x v="2"/>
    <x v="8"/>
    <x v="7"/>
    <x v="0"/>
    <x v="8"/>
    <x v="8"/>
    <x v="3"/>
  </r>
  <r>
    <x v="9"/>
    <x v="4"/>
    <x v="1"/>
    <x v="1"/>
    <x v="9"/>
    <x v="8"/>
    <x v="0"/>
    <x v="9"/>
    <x v="9"/>
    <x v="2"/>
  </r>
  <r>
    <x v="10"/>
    <x v="3"/>
    <x v="3"/>
    <x v="2"/>
    <x v="10"/>
    <x v="9"/>
    <x v="0"/>
    <x v="10"/>
    <x v="10"/>
    <x v="0"/>
  </r>
  <r>
    <x v="11"/>
    <x v="4"/>
    <x v="1"/>
    <x v="0"/>
    <x v="8"/>
    <x v="10"/>
    <x v="0"/>
    <x v="11"/>
    <x v="11"/>
    <x v="1"/>
  </r>
  <r>
    <x v="12"/>
    <x v="0"/>
    <x v="3"/>
    <x v="1"/>
    <x v="11"/>
    <x v="11"/>
    <x v="1"/>
    <x v="12"/>
    <x v="12"/>
    <x v="4"/>
  </r>
  <r>
    <x v="13"/>
    <x v="3"/>
    <x v="3"/>
    <x v="2"/>
    <x v="12"/>
    <x v="12"/>
    <x v="0"/>
    <x v="13"/>
    <x v="13"/>
    <x v="0"/>
  </r>
  <r>
    <x v="14"/>
    <x v="0"/>
    <x v="0"/>
    <x v="0"/>
    <x v="13"/>
    <x v="13"/>
    <x v="0"/>
    <x v="14"/>
    <x v="1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家电付款方式金额汇总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0" multipleFieldFilters="0" chartFormat="2">
  <location ref="A3:B12" firstHeaderRow="1" firstDataRow="1" firstDataCol="1" rowPageCount="1" colPageCount="1"/>
  <pivotFields count="10">
    <pivotField defaultSubtotal="0" numFmtId="17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defaultSubtotal="0" showAll="0">
      <items count="5">
        <item x="0"/>
        <item x="2"/>
        <item x="3"/>
        <item x="1"/>
        <item x="4"/>
      </items>
    </pivotField>
    <pivotField axis="axisPage" defaultSubtotal="0" showAll="0">
      <items count="4">
        <item x="3"/>
        <item x="0"/>
        <item x="2"/>
        <item x="1"/>
      </items>
    </pivotField>
    <pivotField axis="axisRow" defaultSubtotal="0" showAll="0">
      <items count="3">
        <item x="1"/>
        <item x="2"/>
        <item x="0"/>
      </items>
    </pivotField>
    <pivotField defaultSubtotal="0" showAll="0"/>
    <pivotField defaultSubtotal="0" showAll="0"/>
    <pivotField defaultSubtotal="0" showAll="0"/>
    <pivotField dataField="1" defaultSubtotal="0" showAll="0">
      <items count="15">
        <item x="7"/>
        <item x="6"/>
        <item x="8"/>
        <item x="13"/>
        <item x="5"/>
        <item x="14"/>
        <item x="12"/>
        <item x="4"/>
        <item x="11"/>
        <item x="10"/>
        <item x="3"/>
        <item x="9"/>
        <item x="2"/>
        <item x="1"/>
        <item x="0"/>
      </items>
    </pivotField>
    <pivotField defaultSubtotal="0" numFmtId="14" showAll="0"/>
    <pivotField defaultSubtotal="0" showAll="0"/>
  </pivotFields>
  <rowFields count="2">
    <field x="3"/>
    <field x="1"/>
  </rowFields>
  <rowItems count="9">
    <i>
      <x/>
    </i>
    <i r="1">
      <x v="3"/>
    </i>
    <i r="1">
      <x v="4"/>
    </i>
    <i>
      <x v="1"/>
    </i>
    <i r="1">
      <x v="1"/>
    </i>
    <i>
      <x v="2"/>
    </i>
    <i r="1">
      <x v="2"/>
    </i>
    <i r="1">
      <x v="4"/>
    </i>
    <i t="grand">
      <x/>
    </i>
  </rowItems>
  <colItems count="1">
    <i/>
  </colItems>
  <pageFields count="1">
    <pageField fld="2" item="3"/>
  </pageFields>
  <dataFields count="1">
    <dataField name="求和项:销售金额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J24" sqref="J24"/>
    </sheetView>
  </sheetViews>
  <sheetFormatPr defaultColWidth="9" defaultRowHeight="13.5"/>
  <cols>
    <col min="1" max="5" width="9.875" customWidth="1"/>
    <col min="6" max="6" width="5.875" customWidth="1"/>
    <col min="7" max="8" width="9.875" customWidth="1"/>
    <col min="9" max="9" width="12.875" customWidth="1"/>
    <col min="10" max="10" width="9.875" customWidth="1"/>
    <col min="11" max="11" width="12.25" customWidth="1"/>
    <col min="12" max="12" width="23.375" customWidth="1"/>
    <col min="13" max="13" width="10.25" customWidth="1"/>
  </cols>
  <sheetData>
    <row r="1" ht="15" spans="1: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4" t="s">
        <v>10</v>
      </c>
    </row>
    <row r="2" ht="15" spans="1:13">
      <c r="A2" s="11">
        <v>10001</v>
      </c>
      <c r="B2" s="11" t="s">
        <v>11</v>
      </c>
      <c r="C2" s="11" t="s">
        <v>12</v>
      </c>
      <c r="D2" s="11" t="s">
        <v>13</v>
      </c>
      <c r="E2" s="11">
        <v>100</v>
      </c>
      <c r="F2" s="11">
        <v>2000</v>
      </c>
      <c r="G2" s="11">
        <v>0</v>
      </c>
      <c r="H2" s="11">
        <v>200000</v>
      </c>
      <c r="I2" s="15">
        <f t="array" ref="I2:I16">日期</f>
        <v>44931</v>
      </c>
      <c r="J2" s="11" t="s">
        <v>14</v>
      </c>
      <c r="K2" s="16" t="str">
        <f>IF(AND(H2&gt;80000,G2=0),"完成指标","未完成指标")</f>
        <v>完成指标</v>
      </c>
      <c r="L2" s="9" t="s">
        <v>15</v>
      </c>
      <c r="M2" s="9"/>
    </row>
    <row r="3" ht="15" spans="1:13">
      <c r="A3" s="11">
        <v>10002</v>
      </c>
      <c r="B3" s="11" t="s">
        <v>16</v>
      </c>
      <c r="C3" s="11" t="s">
        <v>17</v>
      </c>
      <c r="D3" s="11" t="s">
        <v>18</v>
      </c>
      <c r="E3" s="11">
        <v>50</v>
      </c>
      <c r="F3" s="11">
        <v>3000</v>
      </c>
      <c r="G3" s="11">
        <v>3000</v>
      </c>
      <c r="H3" s="11">
        <v>147000</v>
      </c>
      <c r="I3" s="15">
        <v>44967</v>
      </c>
      <c r="J3" s="11" t="s">
        <v>19</v>
      </c>
      <c r="K3" s="16" t="str">
        <f t="shared" ref="K3:K16" si="0">IF(AND(H3&gt;80000,G3=0),"完成指标","未完成指标")</f>
        <v>未完成指标</v>
      </c>
      <c r="L3" s="9" t="s">
        <v>20</v>
      </c>
      <c r="M3" s="9"/>
    </row>
    <row r="4" ht="15" spans="1:13">
      <c r="A4" s="11">
        <v>10003</v>
      </c>
      <c r="B4" s="11" t="s">
        <v>21</v>
      </c>
      <c r="C4" s="11" t="s">
        <v>17</v>
      </c>
      <c r="D4" s="11" t="s">
        <v>22</v>
      </c>
      <c r="E4" s="11">
        <v>30</v>
      </c>
      <c r="F4" s="11">
        <v>4000</v>
      </c>
      <c r="G4" s="11">
        <v>0</v>
      </c>
      <c r="H4" s="11">
        <v>120000</v>
      </c>
      <c r="I4" s="15">
        <v>45000</v>
      </c>
      <c r="J4" s="11" t="s">
        <v>23</v>
      </c>
      <c r="K4" s="16" t="str">
        <f t="shared" si="0"/>
        <v>完成指标</v>
      </c>
      <c r="L4" s="9" t="s">
        <v>24</v>
      </c>
      <c r="M4" s="9"/>
    </row>
    <row r="5" ht="15" spans="1:11">
      <c r="A5" s="11">
        <v>10004</v>
      </c>
      <c r="B5" s="11" t="s">
        <v>25</v>
      </c>
      <c r="C5" s="11" t="s">
        <v>17</v>
      </c>
      <c r="D5" s="11" t="s">
        <v>13</v>
      </c>
      <c r="E5" s="11">
        <v>20</v>
      </c>
      <c r="F5" s="11">
        <v>5000</v>
      </c>
      <c r="G5" s="11">
        <v>5000</v>
      </c>
      <c r="H5" s="11">
        <v>95000</v>
      </c>
      <c r="I5" s="15">
        <v>45036</v>
      </c>
      <c r="J5" s="11" t="s">
        <v>26</v>
      </c>
      <c r="K5" s="16" t="str">
        <f t="shared" si="0"/>
        <v>未完成指标</v>
      </c>
    </row>
    <row r="6" ht="15" spans="1:11">
      <c r="A6" s="11">
        <v>10005</v>
      </c>
      <c r="B6" s="11" t="s">
        <v>27</v>
      </c>
      <c r="C6" s="11" t="s">
        <v>12</v>
      </c>
      <c r="D6" s="11" t="s">
        <v>18</v>
      </c>
      <c r="E6" s="11">
        <v>10</v>
      </c>
      <c r="F6" s="11">
        <v>5000</v>
      </c>
      <c r="G6" s="11">
        <v>5000</v>
      </c>
      <c r="H6" s="11">
        <v>45000</v>
      </c>
      <c r="I6" s="15">
        <v>45255</v>
      </c>
      <c r="J6" s="11" t="s">
        <v>28</v>
      </c>
      <c r="K6" s="16" t="str">
        <f t="shared" si="0"/>
        <v>未完成指标</v>
      </c>
    </row>
    <row r="7" ht="15" spans="1:11">
      <c r="A7" s="11">
        <v>10006</v>
      </c>
      <c r="B7" s="11" t="s">
        <v>11</v>
      </c>
      <c r="C7" s="11" t="s">
        <v>29</v>
      </c>
      <c r="D7" s="11" t="s">
        <v>22</v>
      </c>
      <c r="E7" s="11">
        <v>55</v>
      </c>
      <c r="F7" s="11">
        <v>600</v>
      </c>
      <c r="G7" s="11">
        <v>0</v>
      </c>
      <c r="H7" s="11">
        <v>33000</v>
      </c>
      <c r="I7" s="15">
        <v>45290</v>
      </c>
      <c r="J7" s="11" t="s">
        <v>14</v>
      </c>
      <c r="K7" s="16" t="str">
        <f t="shared" si="0"/>
        <v>未完成指标</v>
      </c>
    </row>
    <row r="8" ht="15" spans="1:11">
      <c r="A8" s="11">
        <v>10007</v>
      </c>
      <c r="B8" s="11" t="s">
        <v>16</v>
      </c>
      <c r="C8" s="11" t="s">
        <v>29</v>
      </c>
      <c r="D8" s="11" t="s">
        <v>13</v>
      </c>
      <c r="E8" s="11">
        <v>70</v>
      </c>
      <c r="F8" s="11">
        <v>300</v>
      </c>
      <c r="G8" s="11">
        <v>0</v>
      </c>
      <c r="H8" s="11">
        <v>21000</v>
      </c>
      <c r="I8" s="15">
        <v>45296</v>
      </c>
      <c r="J8" s="11" t="s">
        <v>19</v>
      </c>
      <c r="K8" s="16" t="str">
        <f t="shared" si="0"/>
        <v>未完成指标</v>
      </c>
    </row>
    <row r="9" ht="15" spans="1:11">
      <c r="A9" s="11">
        <v>10008</v>
      </c>
      <c r="B9" s="11" t="s">
        <v>21</v>
      </c>
      <c r="C9" s="11" t="s">
        <v>29</v>
      </c>
      <c r="D9" s="11" t="s">
        <v>18</v>
      </c>
      <c r="E9" s="11">
        <v>85</v>
      </c>
      <c r="F9" s="11">
        <v>150</v>
      </c>
      <c r="G9" s="11">
        <v>2000</v>
      </c>
      <c r="H9" s="11">
        <v>10750</v>
      </c>
      <c r="I9" s="15">
        <v>45332</v>
      </c>
      <c r="J9" s="11" t="s">
        <v>28</v>
      </c>
      <c r="K9" s="16" t="str">
        <f t="shared" si="0"/>
        <v>未完成指标</v>
      </c>
    </row>
    <row r="10" ht="15" spans="1:11">
      <c r="A10" s="11">
        <v>10009</v>
      </c>
      <c r="B10" s="11" t="s">
        <v>16</v>
      </c>
      <c r="C10" s="11" t="s">
        <v>30</v>
      </c>
      <c r="D10" s="11" t="s">
        <v>22</v>
      </c>
      <c r="E10" s="11">
        <v>25</v>
      </c>
      <c r="F10" s="11">
        <v>1000</v>
      </c>
      <c r="G10" s="11">
        <v>0</v>
      </c>
      <c r="H10" s="11">
        <v>25000</v>
      </c>
      <c r="I10" s="15">
        <v>45366</v>
      </c>
      <c r="J10" s="11" t="s">
        <v>26</v>
      </c>
      <c r="K10" s="16" t="str">
        <f t="shared" si="0"/>
        <v>未完成指标</v>
      </c>
    </row>
    <row r="11" ht="15" spans="1:11">
      <c r="A11" s="11">
        <v>10010</v>
      </c>
      <c r="B11" s="11" t="s">
        <v>27</v>
      </c>
      <c r="C11" s="11" t="s">
        <v>17</v>
      </c>
      <c r="D11" s="11" t="s">
        <v>18</v>
      </c>
      <c r="E11" s="11">
        <v>40</v>
      </c>
      <c r="F11" s="11">
        <v>2500</v>
      </c>
      <c r="G11" s="11">
        <v>0</v>
      </c>
      <c r="H11" s="11">
        <v>100000</v>
      </c>
      <c r="I11" s="15">
        <v>45071</v>
      </c>
      <c r="J11" s="11" t="s">
        <v>23</v>
      </c>
      <c r="K11" s="16" t="str">
        <f t="shared" si="0"/>
        <v>完成指标</v>
      </c>
    </row>
    <row r="12" ht="15" spans="1:11">
      <c r="A12" s="11">
        <v>10011</v>
      </c>
      <c r="B12" s="11" t="s">
        <v>25</v>
      </c>
      <c r="C12" s="11" t="s">
        <v>30</v>
      </c>
      <c r="D12" s="11" t="s">
        <v>22</v>
      </c>
      <c r="E12" s="11">
        <v>60</v>
      </c>
      <c r="F12" s="11">
        <v>1500</v>
      </c>
      <c r="G12" s="11">
        <v>0</v>
      </c>
      <c r="H12" s="11">
        <v>90000</v>
      </c>
      <c r="I12" s="15">
        <v>45107</v>
      </c>
      <c r="J12" s="11" t="s">
        <v>14</v>
      </c>
      <c r="K12" s="16" t="str">
        <f t="shared" si="0"/>
        <v>完成指标</v>
      </c>
    </row>
    <row r="13" ht="15" spans="1:11">
      <c r="A13" s="11">
        <v>10012</v>
      </c>
      <c r="B13" s="11" t="s">
        <v>27</v>
      </c>
      <c r="C13" s="11" t="s">
        <v>17</v>
      </c>
      <c r="D13" s="11" t="s">
        <v>13</v>
      </c>
      <c r="E13" s="11">
        <v>25</v>
      </c>
      <c r="F13" s="11">
        <v>3500</v>
      </c>
      <c r="G13" s="11">
        <v>0</v>
      </c>
      <c r="H13" s="11">
        <v>87500</v>
      </c>
      <c r="I13" s="15">
        <v>45112</v>
      </c>
      <c r="J13" s="11" t="s">
        <v>19</v>
      </c>
      <c r="K13" s="16" t="str">
        <f t="shared" si="0"/>
        <v>完成指标</v>
      </c>
    </row>
    <row r="14" ht="15" spans="1:11">
      <c r="A14" s="11">
        <v>10013</v>
      </c>
      <c r="B14" s="11" t="s">
        <v>11</v>
      </c>
      <c r="C14" s="11" t="s">
        <v>30</v>
      </c>
      <c r="D14" s="11" t="s">
        <v>18</v>
      </c>
      <c r="E14" s="11">
        <v>35</v>
      </c>
      <c r="F14" s="11">
        <v>1200</v>
      </c>
      <c r="G14" s="11">
        <v>3000</v>
      </c>
      <c r="H14" s="11">
        <v>39000</v>
      </c>
      <c r="I14" s="15">
        <v>45148</v>
      </c>
      <c r="J14" s="11" t="s">
        <v>28</v>
      </c>
      <c r="K14" s="16" t="str">
        <f t="shared" si="0"/>
        <v>未完成指标</v>
      </c>
    </row>
    <row r="15" ht="15" spans="1:11">
      <c r="A15" s="11">
        <v>10014</v>
      </c>
      <c r="B15" s="11" t="s">
        <v>25</v>
      </c>
      <c r="C15" s="11" t="s">
        <v>30</v>
      </c>
      <c r="D15" s="11" t="s">
        <v>22</v>
      </c>
      <c r="E15" s="11">
        <v>15</v>
      </c>
      <c r="F15" s="11">
        <v>1800</v>
      </c>
      <c r="G15" s="11">
        <v>0</v>
      </c>
      <c r="H15" s="11">
        <v>27000</v>
      </c>
      <c r="I15" s="15">
        <v>45184</v>
      </c>
      <c r="J15" s="11" t="s">
        <v>14</v>
      </c>
      <c r="K15" s="16" t="str">
        <f t="shared" si="0"/>
        <v>未完成指标</v>
      </c>
    </row>
    <row r="16" ht="15.75" spans="1:11">
      <c r="A16" s="11">
        <v>10015</v>
      </c>
      <c r="B16" s="11" t="s">
        <v>11</v>
      </c>
      <c r="C16" s="11" t="s">
        <v>12</v>
      </c>
      <c r="D16" s="11" t="s">
        <v>13</v>
      </c>
      <c r="E16" s="11">
        <v>45</v>
      </c>
      <c r="F16" s="11">
        <v>800</v>
      </c>
      <c r="G16" s="11">
        <v>0</v>
      </c>
      <c r="H16" s="11">
        <v>36000</v>
      </c>
      <c r="I16" s="15">
        <v>45219</v>
      </c>
      <c r="J16" s="11" t="s">
        <v>19</v>
      </c>
      <c r="K16" s="17" t="str">
        <f t="shared" si="0"/>
        <v>未完成指标</v>
      </c>
    </row>
    <row r="17" ht="14.25" spans="1:11">
      <c r="A17" s="12" t="s">
        <v>31</v>
      </c>
      <c r="B17" s="13"/>
      <c r="C17" s="13"/>
      <c r="D17" s="13"/>
      <c r="E17" s="13"/>
      <c r="F17" s="13"/>
      <c r="G17" s="13"/>
      <c r="H17" s="13"/>
      <c r="I17" s="13"/>
      <c r="J17" s="13">
        <f>SUBTOTAL(103,Sheet1!$J$2:$J$16)</f>
        <v>15</v>
      </c>
      <c r="K17" s="18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M16"/>
  <sheetViews>
    <sheetView tabSelected="1" workbookViewId="0">
      <selection activeCell="E23" sqref="E23"/>
    </sheetView>
  </sheetViews>
  <sheetFormatPr defaultColWidth="9" defaultRowHeight="13.5"/>
  <cols>
    <col min="1" max="5" width="9.875" customWidth="1"/>
    <col min="6" max="6" width="5.875" customWidth="1"/>
    <col min="7" max="8" width="9.875" customWidth="1"/>
    <col min="9" max="9" width="12.875" customWidth="1"/>
    <col min="10" max="10" width="9.875" customWidth="1"/>
    <col min="12" max="12" width="23.375" customWidth="1"/>
    <col min="13" max="13" width="10.25" customWidth="1"/>
  </cols>
  <sheetData>
    <row r="1" ht="18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/>
    </row>
    <row r="2" ht="15" spans="1:13">
      <c r="A2" s="5">
        <v>10001</v>
      </c>
      <c r="B2" s="6" t="s">
        <v>11</v>
      </c>
      <c r="C2" s="6" t="s">
        <v>12</v>
      </c>
      <c r="D2" s="6" t="s">
        <v>13</v>
      </c>
      <c r="E2" s="6">
        <v>100</v>
      </c>
      <c r="F2" s="6">
        <v>2000</v>
      </c>
      <c r="G2" s="6">
        <v>0</v>
      </c>
      <c r="H2" s="6">
        <v>200000</v>
      </c>
      <c r="I2" s="8">
        <v>44931</v>
      </c>
      <c r="J2" s="6" t="s">
        <v>14</v>
      </c>
      <c r="K2" s="7"/>
      <c r="L2" s="9" t="s">
        <v>15</v>
      </c>
      <c r="M2" s="9">
        <f>SUMIFS(H2:H16,B2:B16,B2,C2:C16,C2)</f>
        <v>236000</v>
      </c>
    </row>
    <row r="3" ht="15" spans="1:13">
      <c r="A3" s="5">
        <v>10002</v>
      </c>
      <c r="B3" s="6" t="s">
        <v>16</v>
      </c>
      <c r="C3" s="6" t="s">
        <v>17</v>
      </c>
      <c r="D3" s="6" t="s">
        <v>18</v>
      </c>
      <c r="E3" s="6">
        <v>50</v>
      </c>
      <c r="F3" s="6">
        <v>3000</v>
      </c>
      <c r="G3" s="6">
        <v>3000</v>
      </c>
      <c r="H3" s="6">
        <v>147000</v>
      </c>
      <c r="I3" s="8">
        <v>44967</v>
      </c>
      <c r="J3" s="6" t="s">
        <v>19</v>
      </c>
      <c r="K3" s="7"/>
      <c r="L3" s="9" t="s">
        <v>20</v>
      </c>
      <c r="M3" s="9">
        <f>COUNTIF(H2:H16,"&gt;80000")</f>
        <v>7</v>
      </c>
    </row>
    <row r="4" ht="15" spans="1:13">
      <c r="A4" s="5">
        <v>10003</v>
      </c>
      <c r="B4" s="6" t="s">
        <v>21</v>
      </c>
      <c r="C4" s="6" t="s">
        <v>17</v>
      </c>
      <c r="D4" s="6" t="s">
        <v>22</v>
      </c>
      <c r="E4" s="6">
        <v>30</v>
      </c>
      <c r="F4" s="6">
        <v>4000</v>
      </c>
      <c r="G4" s="6">
        <v>0</v>
      </c>
      <c r="H4" s="6">
        <v>120000</v>
      </c>
      <c r="I4" s="8">
        <v>45000</v>
      </c>
      <c r="J4" s="6" t="s">
        <v>23</v>
      </c>
      <c r="K4" s="7"/>
      <c r="L4" s="9" t="s">
        <v>24</v>
      </c>
      <c r="M4" s="9">
        <f>MAX(F2:F16)</f>
        <v>5000</v>
      </c>
    </row>
    <row r="5" ht="15" spans="1:11">
      <c r="A5" s="5">
        <v>10004</v>
      </c>
      <c r="B5" s="6" t="s">
        <v>25</v>
      </c>
      <c r="C5" s="6" t="s">
        <v>17</v>
      </c>
      <c r="D5" s="6" t="s">
        <v>13</v>
      </c>
      <c r="E5" s="6">
        <v>20</v>
      </c>
      <c r="F5" s="6">
        <v>5000</v>
      </c>
      <c r="G5" s="6">
        <v>5000</v>
      </c>
      <c r="H5" s="6">
        <v>95000</v>
      </c>
      <c r="I5" s="8">
        <v>45036</v>
      </c>
      <c r="J5" s="6" t="s">
        <v>26</v>
      </c>
      <c r="K5" s="7"/>
    </row>
    <row r="6" ht="15" spans="1:11">
      <c r="A6" s="5">
        <v>10005</v>
      </c>
      <c r="B6" s="6" t="s">
        <v>27</v>
      </c>
      <c r="C6" s="6" t="s">
        <v>12</v>
      </c>
      <c r="D6" s="6" t="s">
        <v>18</v>
      </c>
      <c r="E6" s="6">
        <v>10</v>
      </c>
      <c r="F6" s="6">
        <v>5000</v>
      </c>
      <c r="G6" s="6">
        <v>5000</v>
      </c>
      <c r="H6" s="6">
        <v>45000</v>
      </c>
      <c r="I6" s="8">
        <v>45255</v>
      </c>
      <c r="J6" s="6" t="s">
        <v>28</v>
      </c>
      <c r="K6" s="7"/>
    </row>
    <row r="7" ht="15" spans="1:11">
      <c r="A7" s="5">
        <v>10006</v>
      </c>
      <c r="B7" s="6" t="s">
        <v>11</v>
      </c>
      <c r="C7" s="6" t="s">
        <v>29</v>
      </c>
      <c r="D7" s="6" t="s">
        <v>22</v>
      </c>
      <c r="E7" s="6">
        <v>55</v>
      </c>
      <c r="F7" s="6">
        <v>600</v>
      </c>
      <c r="G7" s="6">
        <v>0</v>
      </c>
      <c r="H7" s="6">
        <v>33000</v>
      </c>
      <c r="I7" s="8">
        <v>45290</v>
      </c>
      <c r="J7" s="6" t="s">
        <v>14</v>
      </c>
      <c r="K7" s="7"/>
    </row>
    <row r="8" ht="15" spans="1:11">
      <c r="A8" s="5">
        <v>10007</v>
      </c>
      <c r="B8" s="6" t="s">
        <v>16</v>
      </c>
      <c r="C8" s="6" t="s">
        <v>29</v>
      </c>
      <c r="D8" s="6" t="s">
        <v>13</v>
      </c>
      <c r="E8" s="6">
        <v>70</v>
      </c>
      <c r="F8" s="6">
        <v>300</v>
      </c>
      <c r="G8" s="6">
        <v>0</v>
      </c>
      <c r="H8" s="6">
        <v>21000</v>
      </c>
      <c r="I8" s="8">
        <v>45296</v>
      </c>
      <c r="J8" s="6" t="s">
        <v>19</v>
      </c>
      <c r="K8" s="7"/>
    </row>
    <row r="9" ht="15" spans="1:11">
      <c r="A9" s="5">
        <v>10008</v>
      </c>
      <c r="B9" s="6" t="s">
        <v>21</v>
      </c>
      <c r="C9" s="6" t="s">
        <v>29</v>
      </c>
      <c r="D9" s="6" t="s">
        <v>18</v>
      </c>
      <c r="E9" s="6">
        <v>85</v>
      </c>
      <c r="F9" s="6">
        <v>150</v>
      </c>
      <c r="G9" s="6">
        <v>2000</v>
      </c>
      <c r="H9" s="6">
        <v>10750</v>
      </c>
      <c r="I9" s="8">
        <v>45332</v>
      </c>
      <c r="J9" s="6" t="s">
        <v>28</v>
      </c>
      <c r="K9" s="7"/>
    </row>
    <row r="10" ht="15" spans="1:11">
      <c r="A10" s="5">
        <v>10009</v>
      </c>
      <c r="B10" s="6" t="s">
        <v>16</v>
      </c>
      <c r="C10" s="6" t="s">
        <v>30</v>
      </c>
      <c r="D10" s="6" t="s">
        <v>22</v>
      </c>
      <c r="E10" s="6">
        <v>25</v>
      </c>
      <c r="F10" s="6">
        <v>1000</v>
      </c>
      <c r="G10" s="6">
        <v>0</v>
      </c>
      <c r="H10" s="6">
        <v>25000</v>
      </c>
      <c r="I10" s="8">
        <v>45366</v>
      </c>
      <c r="J10" s="6" t="s">
        <v>26</v>
      </c>
      <c r="K10" s="7"/>
    </row>
    <row r="11" ht="15" spans="1:11">
      <c r="A11" s="5">
        <v>10010</v>
      </c>
      <c r="B11" s="6" t="s">
        <v>27</v>
      </c>
      <c r="C11" s="6" t="s">
        <v>17</v>
      </c>
      <c r="D11" s="6" t="s">
        <v>18</v>
      </c>
      <c r="E11" s="6">
        <v>40</v>
      </c>
      <c r="F11" s="6">
        <v>2500</v>
      </c>
      <c r="G11" s="6">
        <v>0</v>
      </c>
      <c r="H11" s="6">
        <v>100000</v>
      </c>
      <c r="I11" s="8">
        <v>45071</v>
      </c>
      <c r="J11" s="6" t="s">
        <v>23</v>
      </c>
      <c r="K11" s="7"/>
    </row>
    <row r="12" ht="15" spans="1:11">
      <c r="A12" s="5">
        <v>10011</v>
      </c>
      <c r="B12" s="6" t="s">
        <v>25</v>
      </c>
      <c r="C12" s="6" t="s">
        <v>30</v>
      </c>
      <c r="D12" s="6" t="s">
        <v>22</v>
      </c>
      <c r="E12" s="6">
        <v>60</v>
      </c>
      <c r="F12" s="6">
        <v>1500</v>
      </c>
      <c r="G12" s="6">
        <v>0</v>
      </c>
      <c r="H12" s="6">
        <v>90000</v>
      </c>
      <c r="I12" s="8">
        <v>45107</v>
      </c>
      <c r="J12" s="6" t="s">
        <v>14</v>
      </c>
      <c r="K12" s="7"/>
    </row>
    <row r="13" ht="15" spans="1:11">
      <c r="A13" s="5">
        <v>10012</v>
      </c>
      <c r="B13" s="6" t="s">
        <v>27</v>
      </c>
      <c r="C13" s="6" t="s">
        <v>17</v>
      </c>
      <c r="D13" s="6" t="s">
        <v>13</v>
      </c>
      <c r="E13" s="6">
        <v>25</v>
      </c>
      <c r="F13" s="6">
        <v>3500</v>
      </c>
      <c r="G13" s="6">
        <v>0</v>
      </c>
      <c r="H13" s="6">
        <v>87500</v>
      </c>
      <c r="I13" s="8">
        <v>45112</v>
      </c>
      <c r="J13" s="6" t="s">
        <v>19</v>
      </c>
      <c r="K13" s="7"/>
    </row>
    <row r="14" ht="15" spans="1:11">
      <c r="A14" s="5">
        <v>10013</v>
      </c>
      <c r="B14" s="6" t="s">
        <v>11</v>
      </c>
      <c r="C14" s="6" t="s">
        <v>30</v>
      </c>
      <c r="D14" s="6" t="s">
        <v>18</v>
      </c>
      <c r="E14" s="6">
        <v>35</v>
      </c>
      <c r="F14" s="6">
        <v>1200</v>
      </c>
      <c r="G14" s="6">
        <v>3000</v>
      </c>
      <c r="H14" s="6">
        <v>39000</v>
      </c>
      <c r="I14" s="8">
        <v>45148</v>
      </c>
      <c r="J14" s="6" t="s">
        <v>28</v>
      </c>
      <c r="K14" s="7"/>
    </row>
    <row r="15" ht="15" spans="1:11">
      <c r="A15" s="5">
        <v>10014</v>
      </c>
      <c r="B15" s="6" t="s">
        <v>25</v>
      </c>
      <c r="C15" s="6" t="s">
        <v>30</v>
      </c>
      <c r="D15" s="6" t="s">
        <v>22</v>
      </c>
      <c r="E15" s="6">
        <v>15</v>
      </c>
      <c r="F15" s="6">
        <v>1800</v>
      </c>
      <c r="G15" s="6">
        <v>0</v>
      </c>
      <c r="H15" s="6">
        <v>27000</v>
      </c>
      <c r="I15" s="8">
        <v>45184</v>
      </c>
      <c r="J15" s="6" t="s">
        <v>14</v>
      </c>
      <c r="K15" s="7"/>
    </row>
    <row r="16" ht="15" spans="1:11">
      <c r="A16" s="5">
        <v>10015</v>
      </c>
      <c r="B16" s="6" t="s">
        <v>11</v>
      </c>
      <c r="C16" s="6" t="s">
        <v>12</v>
      </c>
      <c r="D16" s="6" t="s">
        <v>13</v>
      </c>
      <c r="E16" s="6">
        <v>45</v>
      </c>
      <c r="F16" s="6">
        <v>800</v>
      </c>
      <c r="G16" s="6">
        <v>0</v>
      </c>
      <c r="H16" s="6">
        <v>36000</v>
      </c>
      <c r="I16" s="8">
        <v>45219</v>
      </c>
      <c r="J16" s="6" t="s">
        <v>19</v>
      </c>
      <c r="K16" s="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F7" sqref="F7"/>
    </sheetView>
  </sheetViews>
  <sheetFormatPr defaultColWidth="9" defaultRowHeight="13.5" outlineLevelCol="1"/>
  <cols>
    <col min="1" max="1" width="9.375"/>
    <col min="2" max="3" width="17.25"/>
  </cols>
  <sheetData>
    <row r="1" spans="1:2">
      <c r="A1" t="s">
        <v>2</v>
      </c>
      <c r="B1" t="s">
        <v>17</v>
      </c>
    </row>
    <row r="3" spans="1:2">
      <c r="A3" t="s">
        <v>32</v>
      </c>
      <c r="B3" t="s">
        <v>33</v>
      </c>
    </row>
    <row r="4" spans="1:1">
      <c r="A4" s="2" t="s">
        <v>18</v>
      </c>
    </row>
    <row r="5" spans="1:2">
      <c r="A5" s="3" t="s">
        <v>16</v>
      </c>
      <c r="B5">
        <v>147000</v>
      </c>
    </row>
    <row r="6" spans="1:2">
      <c r="A6" s="3" t="s">
        <v>27</v>
      </c>
      <c r="B6">
        <v>100000</v>
      </c>
    </row>
    <row r="7" spans="1:1">
      <c r="A7" s="2" t="s">
        <v>22</v>
      </c>
    </row>
    <row r="8" spans="1:2">
      <c r="A8" s="3" t="s">
        <v>21</v>
      </c>
      <c r="B8">
        <v>120000</v>
      </c>
    </row>
    <row r="9" spans="1:1">
      <c r="A9" s="2" t="s">
        <v>13</v>
      </c>
    </row>
    <row r="10" spans="1:2">
      <c r="A10" s="3" t="s">
        <v>25</v>
      </c>
      <c r="B10">
        <v>95000</v>
      </c>
    </row>
    <row r="11" spans="1:2">
      <c r="A11" s="3" t="s">
        <v>27</v>
      </c>
      <c r="B11">
        <v>87500</v>
      </c>
    </row>
    <row r="12" spans="1:2">
      <c r="A12" s="2" t="s">
        <v>34</v>
      </c>
      <c r="B12">
        <v>549500</v>
      </c>
    </row>
  </sheetData>
  <pageMargins left="1.96805555555556" right="0.700694444444445" top="1.96805555555556" bottom="0.751388888888889" header="0.298611111111111" footer="0.298611111111111"/>
  <pageSetup paperSize="1" orientation="landscape" horizontalDpi="600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E14" sqref="E14"/>
    </sheetView>
  </sheetViews>
  <sheetFormatPr defaultColWidth="9" defaultRowHeight="13.5" outlineLevelCol="4"/>
  <cols>
    <col min="5" max="5" width="15.625"/>
  </cols>
  <sheetData>
    <row r="1" spans="1:5">
      <c r="A1">
        <v>44931</v>
      </c>
      <c r="E1" s="1"/>
    </row>
    <row r="2" spans="1:5">
      <c r="A2">
        <v>44967</v>
      </c>
      <c r="E2" s="1"/>
    </row>
    <row r="3" spans="1:5">
      <c r="A3">
        <v>45000</v>
      </c>
      <c r="E3" s="1"/>
    </row>
    <row r="4" spans="1:5">
      <c r="A4">
        <v>45036</v>
      </c>
      <c r="E4" s="1"/>
    </row>
    <row r="5" spans="1:5">
      <c r="A5">
        <v>45255</v>
      </c>
      <c r="E5" s="1"/>
    </row>
    <row r="6" spans="1:5">
      <c r="A6">
        <v>45290</v>
      </c>
      <c r="E6" s="1"/>
    </row>
    <row r="7" spans="1:5">
      <c r="A7">
        <v>45296</v>
      </c>
      <c r="E7" s="1"/>
    </row>
    <row r="8" spans="1:5">
      <c r="A8">
        <v>45332</v>
      </c>
      <c r="E8" s="1"/>
    </row>
    <row r="9" spans="1:5">
      <c r="A9">
        <v>45366</v>
      </c>
      <c r="E9" s="1"/>
    </row>
    <row r="10" spans="1:1">
      <c r="A10">
        <v>45071</v>
      </c>
    </row>
    <row r="11" spans="1:1">
      <c r="A11">
        <v>45107</v>
      </c>
    </row>
    <row r="12" spans="1:1">
      <c r="A12">
        <v>45112</v>
      </c>
    </row>
    <row r="13" spans="1:1">
      <c r="A13">
        <v>45148</v>
      </c>
    </row>
    <row r="14" spans="1:1">
      <c r="A14">
        <v>45184</v>
      </c>
    </row>
    <row r="15" spans="1:1">
      <c r="A15">
        <v>45219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销售数据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湖北技能高考-陈欢</cp:lastModifiedBy>
  <dcterms:created xsi:type="dcterms:W3CDTF">2023-05-12T11:15:00Z</dcterms:created>
  <dcterms:modified xsi:type="dcterms:W3CDTF">2024-06-14T08:36:35Z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
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665" windowHeight="12255"/>
  </bookViews>
  <sheets>
    <sheet name="第一学期期末成绩" sheetId="1" r:id="rId1"/>
    <sheet name="柱状分析图" sheetId="5" r:id="rId2"/>
    <sheet name="成绩汇总" sheetId="4" r:id="rId3"/>
    <sheet name="Sheet2" sheetId="2" r:id="rId4"/>
    <sheet name="Sheet3" sheetId="3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<sst xmlns="http://schemas.openxmlformats.org/spreadsheetml/2006/main" count="71" uniqueCount="40">
  <si>
    <t>学号</t>
  </si>
  <si>
    <t>姓名</t>
  </si>
  <si>
    <t>班级</t>
  </si>
  <si>
    <t>语文</t>
  </si>
  <si>
    <t>数学</t>
  </si>
  <si>
    <t>英语</t>
  </si>
  <si>
    <t>生物</t>
  </si>
  <si>
    <t>地理</t>
  </si>
  <si>
    <t>历史</t>
  </si>
  <si>
    <t>政治</t>
  </si>
  <si>
    <t>总分</t>
  </si>
  <si>
    <t>平均分</t>
  </si>
  <si>
    <t>包宏伟</t>
  </si>
  <si>
    <t>陈万地</t>
  </si>
  <si>
    <t>杜学江</t>
  </si>
  <si>
    <t>符合</t>
  </si>
  <si>
    <t>吉祥</t>
  </si>
  <si>
    <t>李北大</t>
  </si>
  <si>
    <t>李娜娜</t>
  </si>
  <si>
    <t>刘康锋</t>
  </si>
  <si>
    <t>刘鹏举</t>
  </si>
  <si>
    <t>倪冬声</t>
  </si>
  <si>
    <t>齐飞扬</t>
  </si>
  <si>
    <t>苏解放</t>
  </si>
  <si>
    <t>孙玉敏</t>
  </si>
  <si>
    <t>王清华</t>
  </si>
  <si>
    <t>谢如康</t>
  </si>
  <si>
    <t>闫朝霞</t>
  </si>
  <si>
    <t>曾令煊</t>
  </si>
  <si>
    <t>张桂花</t>
  </si>
  <si>
    <t>平均值项:语文</t>
  </si>
  <si>
    <t>平均值项:数学</t>
  </si>
  <si>
    <t>1班</t>
  </si>
  <si>
    <t>2班</t>
  </si>
  <si>
    <t>3班</t>
  </si>
  <si>
    <t>总计</t>
  </si>
  <si>
    <t>1班 平均值</t>
  </si>
  <si>
    <t>2班 平均值</t>
  </si>
  <si>
    <t>3班 平均值</t>
  </si>
  <si>
    <t>总平均值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</si>
</sst>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4">
    <font>
      <sz val="11"/>
      <color theme="1"/>
      <name val="宋体"/>
      <charset val="134"/>
      <scheme val="minor"/>
    </font>
    <font>
      <sz val="12"/>
      <color theme="0"/>
      <name val="微软雅黑"/>
      <charset val="134"/>
    </font>
    <font>
      <sz val="12"/>
      <color theme="1"/>
      <name val="微软雅黑"/>
      <charset val="134"/>
    </font>
    <font>
      <b/>
      <sz val="12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double">
        <color rgb="FF0070C0"/>
      </left>
      <right style="thin">
        <color rgb="FFFFC000"/>
      </right>
      <top style="double">
        <color rgb="FF0070C0"/>
      </top>
      <bottom style="thin">
        <color rgb="FFFFC000"/>
      </bottom>
      <diagonal/>
    </border>
    <border>
      <left style="thin">
        <color rgb="FFFFC000"/>
      </left>
      <right style="thin">
        <color rgb="FFFFC000"/>
      </right>
      <top style="double">
        <color rgb="FF0070C0"/>
      </top>
      <bottom style="thin">
        <color rgb="FFFFC000"/>
      </bottom>
      <diagonal/>
    </border>
    <border>
      <left style="double">
        <color rgb="FF0070C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double">
        <color rgb="FF0070C0"/>
      </left>
      <right style="thin">
        <color rgb="FFFFC000"/>
      </right>
      <top style="thin">
        <color rgb="FFFFC000"/>
      </top>
      <bottom style="double">
        <color rgb="FF0070C0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double">
        <color rgb="FF0070C0"/>
      </bottom>
      <diagonal/>
    </border>
    <border>
      <left style="thin">
        <color rgb="FFFFC000"/>
      </left>
      <right style="double">
        <color rgb="FF0070C0"/>
      </right>
      <top style="double">
        <color rgb="FF0070C0"/>
      </top>
      <bottom style="thin">
        <color rgb="FFFFC000"/>
      </bottom>
      <diagonal/>
    </border>
    <border>
      <left style="thin">
        <color rgb="FFFFC000"/>
      </left>
      <right style="double">
        <color rgb="FF0070C0"/>
      </right>
      <top style="thin">
        <color rgb="FFFFC000"/>
      </top>
      <bottom style="thin">
        <color rgb="FFFFC000"/>
      </bottom>
      <diagonal/>
    </border>
    <border>
      <left style="thin">
        <color rgb="FFFFC000"/>
      </left>
      <right style="double">
        <color rgb="FF0070C0"/>
      </right>
      <top style="thin">
        <color rgb="FFFFC000"/>
      </top>
      <bottom style="double">
        <color rgb="FF0070C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0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3" applyNumberFormat="0" applyAlignment="0" applyProtection="0">
      <alignment vertical="center"/>
    </xf>
    <xf numFmtId="0" fontId="14" fillId="5" borderId="14" applyNumberFormat="0" applyAlignment="0" applyProtection="0">
      <alignment vertical="center"/>
    </xf>
    <xf numFmtId="0" fontId="15" fillId="5" borderId="13" applyNumberFormat="0" applyAlignment="0" applyProtection="0">
      <alignment vertical="center"/>
    </xf>
    <xf numFmtId="0" fontId="16" fillId="6" borderId="15" applyNumberFormat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76" fontId="1" fillId="2" borderId="7" xfId="0" applyNumberFormat="1" applyFont="1" applyFill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00B0F0"/>
        </patternFill>
      </fill>
    </dxf>
    <dxf>
      <font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[学生成绩单 - 副本.xlsx]第一学期期末成绩!数据透视表1</c:name>
    <c:fmtId val="0"/>
  </c:pivotSource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第一学期期末成绩!$B$21</c:f>
              <c:strCache>
                <c:ptCount val="1"/>
                <c:pt idx="0">
                  <c:v>平均值项:语文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第一学期期末成绩!$A$22:$A$25</c:f>
              <c:strCache>
                <c:ptCount val="3"/>
                <c:pt idx="0">
                  <c:v>1班</c:v>
                </c:pt>
                <c:pt idx="1">
                  <c:v>2班</c:v>
                </c:pt>
                <c:pt idx="2">
                  <c:v>3班</c:v>
                </c:pt>
              </c:strCache>
            </c:strRef>
          </c:cat>
          <c:val>
            <c:numRef>
              <c:f>第一学期期末成绩!$B$22:$B$25</c:f>
              <c:numCache>
                <c:formatCode>General</c:formatCode>
                <c:ptCount val="3"/>
                <c:pt idx="0">
                  <c:v>97.0833333333333</c:v>
                </c:pt>
                <c:pt idx="1">
                  <c:v>95.3333333333333</c:v>
                </c:pt>
                <c:pt idx="2">
                  <c:v>91.4166666666667</c:v>
                </c:pt>
              </c:numCache>
            </c:numRef>
          </c:val>
        </c:ser>
        <c:ser>
          <c:idx val="1"/>
          <c:order val="1"/>
          <c:tx>
            <c:strRef>
              <c:f>第一学期期末成绩!$C$21</c:f>
              <c:strCache>
                <c:ptCount val="1"/>
                <c:pt idx="0">
                  <c:v>平均值项:数学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第一学期期末成绩!$A$22:$A$25</c:f>
              <c:strCache>
                <c:ptCount val="3"/>
                <c:pt idx="0">
                  <c:v>1班</c:v>
                </c:pt>
                <c:pt idx="1">
                  <c:v>2班</c:v>
                </c:pt>
                <c:pt idx="2">
                  <c:v>3班</c:v>
                </c:pt>
              </c:strCache>
            </c:strRef>
          </c:cat>
          <c:val>
            <c:numRef>
              <c:f>第一学期期末成绩!$C$22:$C$25</c:f>
              <c:numCache>
                <c:formatCode>General</c:formatCode>
                <c:ptCount val="3"/>
                <c:pt idx="0">
                  <c:v>101.833333333333</c:v>
                </c:pt>
                <c:pt idx="1">
                  <c:v>102.166666666667</c:v>
                </c:pt>
                <c:pt idx="2">
                  <c:v>95.5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6"/>
        <c:overlap val="-32"/>
        <c:axId val="861127169"/>
        <c:axId val="822270881"/>
      </c:barChart>
      <c:catAx>
        <c:axId val="86112716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2270881"/>
        <c:crosses val="autoZero"/>
        <c:auto val="1"/>
        <c:lblAlgn val="ctr"/>
        <c:lblOffset val="100"/>
        <c:noMultiLvlLbl val="0"/>
      </c:catAx>
      <c:valAx>
        <c:axId val="82227088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112716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各班平均成绩图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成绩汇总!$D$1</c:f>
              <c:strCache>
                <c:ptCount val="1"/>
                <c:pt idx="0">
                  <c:v>语文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成绩汇总!$C$2:$C$22</c:f>
              <c:strCache>
                <c:ptCount val="3"/>
                <c:pt idx="0">
                  <c:v>1班 平均值</c:v>
                </c:pt>
                <c:pt idx="1">
                  <c:v>2班 平均值</c:v>
                </c:pt>
                <c:pt idx="2">
                  <c:v>3班 平均值</c:v>
                </c:pt>
              </c:strCache>
            </c:strRef>
          </c:cat>
          <c:val>
            <c:numRef>
              <c:f>成绩汇总!$D$2:$D$22</c:f>
              <c:numCache>
                <c:formatCode>0.00_ </c:formatCode>
                <c:ptCount val="3"/>
                <c:pt idx="0">
                  <c:v>97.0833333333333</c:v>
                </c:pt>
                <c:pt idx="1">
                  <c:v>95.3333333333333</c:v>
                </c:pt>
                <c:pt idx="2">
                  <c:v>91.4166666666667</c:v>
                </c:pt>
              </c:numCache>
            </c:numRef>
          </c:val>
        </c:ser>
        <c:ser>
          <c:idx val="1"/>
          <c:order val="1"/>
          <c:tx>
            <c:strRef>
              <c:f>成绩汇总!$E$1</c:f>
              <c:strCache>
                <c:ptCount val="1"/>
                <c:pt idx="0">
                  <c:v>数学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成绩汇总!$C$2:$C$22</c:f>
              <c:strCache>
                <c:ptCount val="3"/>
                <c:pt idx="0">
                  <c:v>1班 平均值</c:v>
                </c:pt>
                <c:pt idx="1">
                  <c:v>2班 平均值</c:v>
                </c:pt>
                <c:pt idx="2">
                  <c:v>3班 平均值</c:v>
                </c:pt>
              </c:strCache>
            </c:strRef>
          </c:cat>
          <c:val>
            <c:numRef>
              <c:f>成绩汇总!$E$2:$E$22</c:f>
              <c:numCache>
                <c:formatCode>0.00_ </c:formatCode>
                <c:ptCount val="3"/>
                <c:pt idx="0">
                  <c:v>101.833333333333</c:v>
                </c:pt>
                <c:pt idx="1">
                  <c:v>102.166666666667</c:v>
                </c:pt>
                <c:pt idx="2">
                  <c:v>95.5</c:v>
                </c:pt>
              </c:numCache>
            </c:numRef>
          </c:val>
        </c:ser>
        <c:ser>
          <c:idx val="2"/>
          <c:order val="2"/>
          <c:tx>
            <c:strRef>
              <c:f>成绩汇总!$F$1</c:f>
              <c:strCache>
                <c:ptCount val="1"/>
                <c:pt idx="0">
                  <c:v>英语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成绩汇总!$C$2:$C$22</c:f>
              <c:strCache>
                <c:ptCount val="3"/>
                <c:pt idx="0">
                  <c:v>1班 平均值</c:v>
                </c:pt>
                <c:pt idx="1">
                  <c:v>2班 平均值</c:v>
                </c:pt>
                <c:pt idx="2">
                  <c:v>3班 平均值</c:v>
                </c:pt>
              </c:strCache>
            </c:strRef>
          </c:cat>
          <c:val>
            <c:numRef>
              <c:f>成绩汇总!$F$2:$F$22</c:f>
              <c:numCache>
                <c:formatCode>0.00_ </c:formatCode>
                <c:ptCount val="3"/>
                <c:pt idx="0">
                  <c:v>105.833333333333</c:v>
                </c:pt>
                <c:pt idx="1">
                  <c:v>97</c:v>
                </c:pt>
                <c:pt idx="2">
                  <c:v>97.8333333333333</c:v>
                </c:pt>
              </c:numCache>
            </c:numRef>
          </c:val>
        </c:ser>
        <c:ser>
          <c:idx val="3"/>
          <c:order val="3"/>
          <c:tx>
            <c:strRef>
              <c:f>成绩汇总!$G$1</c:f>
              <c:strCache>
                <c:ptCount val="1"/>
                <c:pt idx="0">
                  <c:v>生物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成绩汇总!$C$2:$C$22</c:f>
              <c:strCache>
                <c:ptCount val="3"/>
                <c:pt idx="0">
                  <c:v>1班 平均值</c:v>
                </c:pt>
                <c:pt idx="1">
                  <c:v>2班 平均值</c:v>
                </c:pt>
                <c:pt idx="2">
                  <c:v>3班 平均值</c:v>
                </c:pt>
              </c:strCache>
            </c:strRef>
          </c:cat>
          <c:val>
            <c:numRef>
              <c:f>成绩汇总!$G$2:$G$22</c:f>
              <c:numCache>
                <c:formatCode>0.00_ </c:formatCode>
                <c:ptCount val="3"/>
                <c:pt idx="0">
                  <c:v>89</c:v>
                </c:pt>
                <c:pt idx="1">
                  <c:v>89.8333333333333</c:v>
                </c:pt>
                <c:pt idx="2">
                  <c:v>89.8333333333333</c:v>
                </c:pt>
              </c:numCache>
            </c:numRef>
          </c:val>
        </c:ser>
        <c:ser>
          <c:idx val="4"/>
          <c:order val="4"/>
          <c:tx>
            <c:strRef>
              <c:f>成绩汇总!$H$1</c:f>
              <c:strCache>
                <c:ptCount val="1"/>
                <c:pt idx="0">
                  <c:v>地理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成绩汇总!$C$2:$C$22</c:f>
              <c:strCache>
                <c:ptCount val="3"/>
                <c:pt idx="0">
                  <c:v>1班 平均值</c:v>
                </c:pt>
                <c:pt idx="1">
                  <c:v>2班 平均值</c:v>
                </c:pt>
                <c:pt idx="2">
                  <c:v>3班 平均值</c:v>
                </c:pt>
              </c:strCache>
            </c:strRef>
          </c:cat>
          <c:val>
            <c:numRef>
              <c:f>成绩汇总!$H$2:$H$22</c:f>
              <c:numCache>
                <c:formatCode>0.00_ </c:formatCode>
                <c:ptCount val="3"/>
                <c:pt idx="0">
                  <c:v>90</c:v>
                </c:pt>
                <c:pt idx="1">
                  <c:v>91.3333333333333</c:v>
                </c:pt>
                <c:pt idx="2">
                  <c:v>88.6666666666667</c:v>
                </c:pt>
              </c:numCache>
            </c:numRef>
          </c:val>
        </c:ser>
        <c:ser>
          <c:idx val="5"/>
          <c:order val="5"/>
          <c:tx>
            <c:strRef>
              <c:f>成绩汇总!$I$1</c:f>
              <c:strCache>
                <c:ptCount val="1"/>
                <c:pt idx="0">
                  <c:v>历史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成绩汇总!$C$2:$C$22</c:f>
              <c:strCache>
                <c:ptCount val="3"/>
                <c:pt idx="0">
                  <c:v>1班 平均值</c:v>
                </c:pt>
                <c:pt idx="1">
                  <c:v>2班 平均值</c:v>
                </c:pt>
                <c:pt idx="2">
                  <c:v>3班 平均值</c:v>
                </c:pt>
              </c:strCache>
            </c:strRef>
          </c:cat>
          <c:val>
            <c:numRef>
              <c:f>成绩汇总!$I$2:$I$22</c:f>
              <c:numCache>
                <c:formatCode>0.00_ </c:formatCode>
                <c:ptCount val="3"/>
                <c:pt idx="0">
                  <c:v>93</c:v>
                </c:pt>
                <c:pt idx="1">
                  <c:v>85.3333333333333</c:v>
                </c:pt>
                <c:pt idx="2">
                  <c:v>91.6666666666667</c:v>
                </c:pt>
              </c:numCache>
            </c:numRef>
          </c:val>
        </c:ser>
        <c:ser>
          <c:idx val="6"/>
          <c:order val="6"/>
          <c:tx>
            <c:strRef>
              <c:f>成绩汇总!$J$1</c:f>
              <c:strCache>
                <c:ptCount val="1"/>
                <c:pt idx="0">
                  <c:v>政治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成绩汇总!$C$2:$C$22</c:f>
              <c:strCache>
                <c:ptCount val="3"/>
                <c:pt idx="0">
                  <c:v>1班 平均值</c:v>
                </c:pt>
                <c:pt idx="1">
                  <c:v>2班 平均值</c:v>
                </c:pt>
                <c:pt idx="2">
                  <c:v>3班 平均值</c:v>
                </c:pt>
              </c:strCache>
            </c:strRef>
          </c:cat>
          <c:val>
            <c:numRef>
              <c:f>成绩汇总!$J$2:$J$22</c:f>
              <c:numCache>
                <c:formatCode>0.00_ </c:formatCode>
                <c:ptCount val="3"/>
                <c:pt idx="0">
                  <c:v>89.1666666666667</c:v>
                </c:pt>
                <c:pt idx="1">
                  <c:v>90.3333333333333</c:v>
                </c:pt>
                <c:pt idx="2">
                  <c:v>87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44099458"/>
        <c:axId val="727529670"/>
      </c:barChart>
      <c:catAx>
        <c:axId val="4409945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7529670"/>
        <c:crosses val="autoZero"/>
        <c:auto val="1"/>
        <c:lblAlgn val="ctr"/>
        <c:lblOffset val="100"/>
        <c:noMultiLvlLbl val="0"/>
      </c:catAx>
      <c:valAx>
        <c:axId val="72752967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09945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278130</xdr:colOff>
      <xdr:row>26</xdr:row>
      <xdr:rowOff>107315</xdr:rowOff>
    </xdr:from>
    <xdr:to>
      <xdr:col>5</xdr:col>
      <xdr:colOff>532130</xdr:colOff>
      <xdr:row>42</xdr:row>
      <xdr:rowOff>83185</xdr:rowOff>
    </xdr:to>
    <xdr:graphicFrame>
      <xdr:nvGraphicFramePr>
        <xdr:cNvPr id="2" name="图表 1"/>
        <xdr:cNvGraphicFramePr/>
      </xdr:nvGraphicFramePr>
      <xdr:xfrm>
        <a:off x="278130" y="6142990"/>
        <a:ext cx="5083175" cy="27190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396240</xdr:colOff>
      <xdr:row>35</xdr:row>
      <xdr:rowOff>83820</xdr:rowOff>
    </xdr:to>
    <xdr:graphicFrame>
      <xdr:nvGraphicFramePr>
        <xdr:cNvPr id="3" name="图表 2"/>
        <xdr:cNvGraphicFramePr/>
      </xdr:nvGraphicFramePr>
      <xdr:xfrm>
        <a:off x="0" y="0"/>
        <a:ext cx="9311640" cy="60845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617.4534143519" refreshedBy="25472" recordCount="18">
  <cacheSource type="worksheet">
    <worksheetSource ref="A1:L19" sheet="第一学期期末成绩"/>
  </cacheSource>
  <cacheFields count="12">
    <cacheField name="学号" numFmtId="49">
      <sharedItems containsSemiMixedTypes="0" containsString="0" containsNumber="1" containsInteger="1" minValue="120101" maxValue="120306" count="18">
        <n v="120305"/>
        <n v="120203"/>
        <n v="120104"/>
        <n v="120301"/>
        <n v="120306"/>
        <n v="120206"/>
        <n v="120302"/>
        <n v="120204"/>
        <n v="120201"/>
        <n v="120304"/>
        <n v="120103"/>
        <n v="120105"/>
        <n v="120202"/>
        <n v="120205"/>
        <n v="120102"/>
        <n v="120303"/>
        <n v="120101"/>
        <n v="120106"/>
      </sharedItems>
    </cacheField>
    <cacheField name="姓名" numFmtId="0">
      <sharedItems count="18">
        <s v="包宏伟"/>
        <s v="陈万地"/>
        <s v="杜学江"/>
        <s v="符合"/>
        <s v="吉祥"/>
        <s v="李北大"/>
        <s v="李娜娜"/>
        <s v="刘康锋"/>
        <s v="刘鹏举"/>
        <s v="倪冬声"/>
        <s v="齐飞扬"/>
        <s v="苏解放"/>
        <s v="孙玉敏"/>
        <s v="王清华"/>
        <s v="谢如康"/>
        <s v="闫朝霞"/>
        <s v="曾令煊"/>
        <s v="张桂花"/>
      </sharedItems>
    </cacheField>
    <cacheField name="班级" numFmtId="0">
      <sharedItems count="3">
        <s v="3班"/>
        <s v="2班"/>
        <s v="1班"/>
      </sharedItems>
    </cacheField>
    <cacheField name="语文" numFmtId="176">
      <sharedItems containsSemiMixedTypes="0" containsString="0" containsNumber="1" minValue="78" maxValue="110" count="17">
        <n v="91.5"/>
        <n v="93"/>
        <n v="102"/>
        <n v="99"/>
        <n v="101"/>
        <n v="100.5"/>
        <n v="78"/>
        <n v="95.5"/>
        <n v="93.5"/>
        <n v="95"/>
        <n v="88"/>
        <n v="86"/>
        <n v="103.5"/>
        <n v="110"/>
        <n v="84"/>
        <n v="97.5"/>
        <n v="90"/>
      </sharedItems>
    </cacheField>
    <cacheField name="数学" numFmtId="176">
      <sharedItems containsSemiMixedTypes="0" containsString="0" containsNumber="1" containsInteger="1" minValue="85" maxValue="116" count="15">
        <n v="89"/>
        <n v="99"/>
        <n v="116"/>
        <n v="98"/>
        <n v="94"/>
        <n v="103"/>
        <n v="95"/>
        <n v="92"/>
        <n v="107"/>
        <n v="97"/>
        <n v="85"/>
        <n v="105"/>
        <n v="100"/>
        <n v="106"/>
        <n v="111"/>
      </sharedItems>
    </cacheField>
    <cacheField name="英语" numFmtId="176">
      <sharedItems containsSemiMixedTypes="0" containsString="0" containsNumber="1" containsInteger="1" minValue="89" maxValue="116" count="14">
        <n v="94"/>
        <n v="92"/>
        <n v="113"/>
        <n v="101"/>
        <n v="99"/>
        <n v="104"/>
        <n v="96"/>
        <n v="102"/>
        <n v="89"/>
        <n v="105"/>
        <n v="98"/>
        <n v="97"/>
        <n v="108"/>
        <n v="116"/>
      </sharedItems>
    </cacheField>
    <cacheField name="生物" numFmtId="176">
      <sharedItems containsSemiMixedTypes="0" containsString="0" containsNumber="1" containsInteger="1" minValue="72" maxValue="100" count="15">
        <n v="92"/>
        <n v="86"/>
        <n v="78"/>
        <n v="95"/>
        <n v="90"/>
        <n v="88"/>
        <n v="82"/>
        <n v="84"/>
        <n v="100"/>
        <n v="93"/>
        <n v="98"/>
        <n v="89"/>
        <n v="99"/>
        <n v="87"/>
        <n v="72"/>
      </sharedItems>
    </cacheField>
    <cacheField name="地理" numFmtId="176">
      <sharedItems containsSemiMixedTypes="0" containsString="0" containsNumber="1" containsInteger="1" minValue="73" maxValue="99" count="12">
        <n v="91"/>
        <n v="86"/>
        <n v="88"/>
        <n v="87"/>
        <n v="89"/>
        <n v="90"/>
        <n v="95"/>
        <n v="93"/>
        <n v="92"/>
        <n v="73"/>
        <n v="78"/>
        <n v="99"/>
      </sharedItems>
    </cacheField>
    <cacheField name="历史" numFmtId="176">
      <sharedItems containsSemiMixedTypes="0" containsString="0" containsNumber="1" containsInteger="1" minValue="73" maxValue="99" count="11">
        <n v="86"/>
        <n v="73"/>
        <n v="95"/>
        <n v="78"/>
        <n v="93"/>
        <n v="91"/>
        <n v="92"/>
        <n v="88"/>
        <n v="90"/>
        <n v="89"/>
        <n v="99"/>
      </sharedItems>
    </cacheField>
    <cacheField name="政治" numFmtId="176">
      <sharedItems containsSemiMixedTypes="0" containsString="0" containsNumber="1" containsInteger="1" minValue="73" maxValue="96" count="12">
        <n v="86"/>
        <n v="92"/>
        <n v="73"/>
        <n v="78"/>
        <n v="93"/>
        <n v="90"/>
        <n v="84"/>
        <n v="88"/>
        <n v="91"/>
        <n v="89"/>
        <n v="96"/>
        <n v="95"/>
      </sharedItems>
    </cacheField>
    <cacheField name="总分" numFmtId="176">
      <sharedItems containsSemiMixedTypes="0" containsString="0" containsNumber="1" minValue="616" maxValue="703.5" count="18">
        <n v="629.5"/>
        <n v="621"/>
        <n v="656"/>
        <n v="657"/>
        <n v="659"/>
        <n v="652.5"/>
        <n v="616"/>
        <n v="645.5"/>
        <n v="674.5"/>
        <n v="662"/>
        <n v="649"/>
        <n v="635"/>
        <n v="639"/>
        <n v="675.5"/>
        <n v="680"/>
        <n v="628"/>
        <n v="703.5"/>
        <n v="672"/>
      </sharedItems>
    </cacheField>
    <cacheField name="平均分" numFmtId="176">
      <sharedItems containsSemiMixedTypes="0" containsString="0" containsNumber="1" minValue="88" maxValue="100.5" count="18">
        <n v="89.9285714285714"/>
        <n v="88.7142857142857"/>
        <n v="93.7142857142857"/>
        <n v="93.8571428571429"/>
        <n v="94.1428571428571"/>
        <n v="93.2142857142857"/>
        <n v="88"/>
        <n v="92.2142857142857"/>
        <n v="96.3571428571429"/>
        <n v="94.5714285714286"/>
        <n v="92.7142857142857"/>
        <n v="90.7142857142857"/>
        <n v="91.2857142857143"/>
        <n v="96.5"/>
        <n v="97.1428571428571"/>
        <n v="89.7142857142857"/>
        <n v="100.5"/>
        <n v="96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">
  <r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1"/>
    <x v="1"/>
  </r>
  <r>
    <x v="2"/>
    <x v="2"/>
    <x v="2"/>
    <x v="2"/>
    <x v="2"/>
    <x v="2"/>
    <x v="2"/>
    <x v="2"/>
    <x v="0"/>
    <x v="2"/>
    <x v="2"/>
    <x v="2"/>
  </r>
  <r>
    <x v="3"/>
    <x v="3"/>
    <x v="0"/>
    <x v="3"/>
    <x v="3"/>
    <x v="3"/>
    <x v="3"/>
    <x v="0"/>
    <x v="2"/>
    <x v="3"/>
    <x v="3"/>
    <x v="3"/>
  </r>
  <r>
    <x v="4"/>
    <x v="4"/>
    <x v="0"/>
    <x v="4"/>
    <x v="4"/>
    <x v="4"/>
    <x v="4"/>
    <x v="3"/>
    <x v="2"/>
    <x v="4"/>
    <x v="4"/>
    <x v="4"/>
  </r>
  <r>
    <x v="5"/>
    <x v="5"/>
    <x v="1"/>
    <x v="5"/>
    <x v="5"/>
    <x v="5"/>
    <x v="5"/>
    <x v="4"/>
    <x v="3"/>
    <x v="5"/>
    <x v="5"/>
    <x v="5"/>
  </r>
  <r>
    <x v="6"/>
    <x v="6"/>
    <x v="0"/>
    <x v="6"/>
    <x v="6"/>
    <x v="0"/>
    <x v="6"/>
    <x v="5"/>
    <x v="4"/>
    <x v="6"/>
    <x v="6"/>
    <x v="6"/>
  </r>
  <r>
    <x v="7"/>
    <x v="7"/>
    <x v="1"/>
    <x v="7"/>
    <x v="7"/>
    <x v="6"/>
    <x v="7"/>
    <x v="6"/>
    <x v="5"/>
    <x v="1"/>
    <x v="7"/>
    <x v="7"/>
  </r>
  <r>
    <x v="8"/>
    <x v="8"/>
    <x v="1"/>
    <x v="8"/>
    <x v="8"/>
    <x v="6"/>
    <x v="8"/>
    <x v="7"/>
    <x v="6"/>
    <x v="4"/>
    <x v="8"/>
    <x v="8"/>
  </r>
  <r>
    <x v="9"/>
    <x v="9"/>
    <x v="0"/>
    <x v="9"/>
    <x v="9"/>
    <x v="7"/>
    <x v="9"/>
    <x v="6"/>
    <x v="6"/>
    <x v="7"/>
    <x v="9"/>
    <x v="9"/>
  </r>
  <r>
    <x v="10"/>
    <x v="10"/>
    <x v="2"/>
    <x v="9"/>
    <x v="10"/>
    <x v="4"/>
    <x v="10"/>
    <x v="8"/>
    <x v="6"/>
    <x v="7"/>
    <x v="10"/>
    <x v="10"/>
  </r>
  <r>
    <x v="11"/>
    <x v="11"/>
    <x v="2"/>
    <x v="10"/>
    <x v="3"/>
    <x v="3"/>
    <x v="11"/>
    <x v="9"/>
    <x v="2"/>
    <x v="8"/>
    <x v="11"/>
    <x v="11"/>
  </r>
  <r>
    <x v="12"/>
    <x v="12"/>
    <x v="1"/>
    <x v="11"/>
    <x v="8"/>
    <x v="8"/>
    <x v="5"/>
    <x v="8"/>
    <x v="7"/>
    <x v="9"/>
    <x v="12"/>
    <x v="12"/>
  </r>
  <r>
    <x v="13"/>
    <x v="13"/>
    <x v="1"/>
    <x v="12"/>
    <x v="11"/>
    <x v="9"/>
    <x v="9"/>
    <x v="7"/>
    <x v="8"/>
    <x v="0"/>
    <x v="13"/>
    <x v="13"/>
  </r>
  <r>
    <x v="14"/>
    <x v="14"/>
    <x v="2"/>
    <x v="13"/>
    <x v="6"/>
    <x v="10"/>
    <x v="12"/>
    <x v="7"/>
    <x v="4"/>
    <x v="1"/>
    <x v="14"/>
    <x v="14"/>
  </r>
  <r>
    <x v="15"/>
    <x v="15"/>
    <x v="0"/>
    <x v="14"/>
    <x v="12"/>
    <x v="11"/>
    <x v="13"/>
    <x v="10"/>
    <x v="9"/>
    <x v="4"/>
    <x v="15"/>
    <x v="15"/>
  </r>
  <r>
    <x v="16"/>
    <x v="16"/>
    <x v="2"/>
    <x v="15"/>
    <x v="13"/>
    <x v="12"/>
    <x v="10"/>
    <x v="11"/>
    <x v="10"/>
    <x v="10"/>
    <x v="16"/>
    <x v="16"/>
  </r>
  <r>
    <x v="17"/>
    <x v="17"/>
    <x v="2"/>
    <x v="16"/>
    <x v="14"/>
    <x v="13"/>
    <x v="14"/>
    <x v="6"/>
    <x v="4"/>
    <x v="11"/>
    <x v="17"/>
    <x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 chartFormat="2">
  <location ref="A21:C25" firstHeaderRow="0" firstDataRow="1" firstDataCol="1"/>
  <pivotFields count="12">
    <pivotField compact="0" numFmtId="49" showAll="0"/>
    <pivotField compact="0" showAll="0"/>
    <pivotField axis="axisRow" compact="0" showAll="0">
      <items count="4">
        <item x="2"/>
        <item x="1"/>
        <item x="0"/>
        <item t="default"/>
      </items>
    </pivotField>
    <pivotField dataField="1" compact="0" numFmtId="176" showAll="0">
      <items count="18">
        <item x="6"/>
        <item x="14"/>
        <item x="11"/>
        <item x="10"/>
        <item x="16"/>
        <item x="0"/>
        <item x="1"/>
        <item x="8"/>
        <item x="9"/>
        <item x="7"/>
        <item x="15"/>
        <item x="3"/>
        <item x="5"/>
        <item x="4"/>
        <item x="2"/>
        <item x="12"/>
        <item x="13"/>
        <item t="default"/>
      </items>
    </pivotField>
    <pivotField dataField="1" compact="0" numFmtId="176" showAll="0"/>
    <pivotField compact="0" numFmtId="176" showAll="0">
      <items count="15">
        <item x="8"/>
        <item x="1"/>
        <item x="0"/>
        <item x="6"/>
        <item x="11"/>
        <item x="10"/>
        <item x="4"/>
        <item x="3"/>
        <item x="7"/>
        <item x="5"/>
        <item x="9"/>
        <item x="12"/>
        <item x="2"/>
        <item x="13"/>
        <item t="default"/>
      </items>
    </pivotField>
    <pivotField compact="0" numFmtId="176" showAll="0"/>
    <pivotField compact="0" numFmtId="176" showAll="0"/>
    <pivotField compact="0" numFmtId="176" showAll="0"/>
    <pivotField compact="0" numFmtId="176" showAll="0"/>
    <pivotField compact="0" numFmtId="176" showAll="0"/>
    <pivotField compact="0" numFmtId="176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平均值项:语文" fld="3" subtotal="average" baseField="0" baseItem="0"/>
    <dataField name="平均值项:数学" fld="4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9"/>
  <sheetViews>
    <sheetView tabSelected="1" zoomScale="85" zoomScaleNormal="85" workbookViewId="0">
      <selection activeCell="G24" sqref="G24"/>
    </sheetView>
  </sheetViews>
  <sheetFormatPr defaultColWidth="9" defaultRowHeight="13.5"/>
  <cols>
    <col min="1" max="1" width="7.375" style="1"/>
    <col min="2" max="3" width="14"/>
    <col min="4" max="6" width="14" style="2"/>
    <col min="7" max="8" width="18.25" style="2"/>
    <col min="9" max="12" width="8.375" style="2"/>
    <col min="13" max="18" width="8.375"/>
    <col min="19" max="19" width="5.125"/>
  </cols>
  <sheetData>
    <row r="1" ht="20" customHeight="1" spans="1:12">
      <c r="A1" s="3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21" t="s">
        <v>11</v>
      </c>
    </row>
    <row r="2" ht="20" customHeight="1" spans="1:12">
      <c r="A2" s="6">
        <v>120305</v>
      </c>
      <c r="B2" s="7" t="s">
        <v>12</v>
      </c>
      <c r="C2" s="8" t="str">
        <f>MID(A2,4,1)&amp;"班"</f>
        <v>3班</v>
      </c>
      <c r="D2" s="9">
        <v>91.5</v>
      </c>
      <c r="E2" s="9">
        <v>89</v>
      </c>
      <c r="F2" s="9">
        <v>94</v>
      </c>
      <c r="G2" s="9">
        <v>92</v>
      </c>
      <c r="H2" s="9">
        <v>91</v>
      </c>
      <c r="I2" s="9">
        <v>86</v>
      </c>
      <c r="J2" s="9">
        <v>86</v>
      </c>
      <c r="K2" s="9">
        <f>SUM(D2:J2)</f>
        <v>629.5</v>
      </c>
      <c r="L2" s="22">
        <f>AVERAGE(D2:J2)</f>
        <v>89.9285714285714</v>
      </c>
    </row>
    <row r="3" ht="20" customHeight="1" spans="1:12">
      <c r="A3" s="6">
        <v>120203</v>
      </c>
      <c r="B3" s="7" t="s">
        <v>13</v>
      </c>
      <c r="C3" s="8" t="str">
        <f t="shared" ref="C3:C19" si="0">MID(A3,4,1)&amp;"班"</f>
        <v>2班</v>
      </c>
      <c r="D3" s="9">
        <v>93</v>
      </c>
      <c r="E3" s="9">
        <v>99</v>
      </c>
      <c r="F3" s="9">
        <v>92</v>
      </c>
      <c r="G3" s="9">
        <v>86</v>
      </c>
      <c r="H3" s="9">
        <v>86</v>
      </c>
      <c r="I3" s="9">
        <v>73</v>
      </c>
      <c r="J3" s="9">
        <v>92</v>
      </c>
      <c r="K3" s="9">
        <f t="shared" ref="K3:K19" si="1">SUM(D3:J3)</f>
        <v>621</v>
      </c>
      <c r="L3" s="22">
        <f t="shared" ref="L3:L19" si="2">AVERAGE(D3:J3)</f>
        <v>88.7142857142857</v>
      </c>
    </row>
    <row r="4" ht="20" customHeight="1" spans="1:12">
      <c r="A4" s="6">
        <v>120104</v>
      </c>
      <c r="B4" s="7" t="s">
        <v>14</v>
      </c>
      <c r="C4" s="8" t="str">
        <f t="shared" si="0"/>
        <v>1班</v>
      </c>
      <c r="D4" s="9">
        <v>102</v>
      </c>
      <c r="E4" s="9">
        <v>116</v>
      </c>
      <c r="F4" s="9">
        <v>113</v>
      </c>
      <c r="G4" s="9">
        <v>78</v>
      </c>
      <c r="H4" s="9">
        <v>88</v>
      </c>
      <c r="I4" s="9">
        <v>86</v>
      </c>
      <c r="J4" s="9">
        <v>73</v>
      </c>
      <c r="K4" s="9">
        <f t="shared" si="1"/>
        <v>656</v>
      </c>
      <c r="L4" s="22">
        <f t="shared" si="2"/>
        <v>93.7142857142857</v>
      </c>
    </row>
    <row r="5" ht="20" customHeight="1" spans="1:12">
      <c r="A5" s="6">
        <v>120301</v>
      </c>
      <c r="B5" s="7" t="s">
        <v>15</v>
      </c>
      <c r="C5" s="8" t="str">
        <f t="shared" si="0"/>
        <v>3班</v>
      </c>
      <c r="D5" s="9">
        <v>99</v>
      </c>
      <c r="E5" s="9">
        <v>98</v>
      </c>
      <c r="F5" s="9">
        <v>101</v>
      </c>
      <c r="G5" s="9">
        <v>95</v>
      </c>
      <c r="H5" s="9">
        <v>91</v>
      </c>
      <c r="I5" s="9">
        <v>95</v>
      </c>
      <c r="J5" s="9">
        <v>78</v>
      </c>
      <c r="K5" s="9">
        <f t="shared" si="1"/>
        <v>657</v>
      </c>
      <c r="L5" s="22">
        <f t="shared" si="2"/>
        <v>93.8571428571429</v>
      </c>
    </row>
    <row r="6" ht="20" customHeight="1" spans="1:12">
      <c r="A6" s="6">
        <v>120306</v>
      </c>
      <c r="B6" s="7" t="s">
        <v>16</v>
      </c>
      <c r="C6" s="8" t="str">
        <f t="shared" si="0"/>
        <v>3班</v>
      </c>
      <c r="D6" s="9">
        <v>101</v>
      </c>
      <c r="E6" s="9">
        <v>94</v>
      </c>
      <c r="F6" s="9">
        <v>99</v>
      </c>
      <c r="G6" s="9">
        <v>90</v>
      </c>
      <c r="H6" s="9">
        <v>87</v>
      </c>
      <c r="I6" s="9">
        <v>95</v>
      </c>
      <c r="J6" s="9">
        <v>93</v>
      </c>
      <c r="K6" s="9">
        <f t="shared" si="1"/>
        <v>659</v>
      </c>
      <c r="L6" s="22">
        <f t="shared" si="2"/>
        <v>94.1428571428571</v>
      </c>
    </row>
    <row r="7" ht="20" customHeight="1" spans="1:12">
      <c r="A7" s="6">
        <v>120206</v>
      </c>
      <c r="B7" s="7" t="s">
        <v>17</v>
      </c>
      <c r="C7" s="8" t="str">
        <f t="shared" si="0"/>
        <v>2班</v>
      </c>
      <c r="D7" s="9">
        <v>100.5</v>
      </c>
      <c r="E7" s="9">
        <v>103</v>
      </c>
      <c r="F7" s="9">
        <v>104</v>
      </c>
      <c r="G7" s="9">
        <v>88</v>
      </c>
      <c r="H7" s="9">
        <v>89</v>
      </c>
      <c r="I7" s="9">
        <v>78</v>
      </c>
      <c r="J7" s="9">
        <v>90</v>
      </c>
      <c r="K7" s="9">
        <f t="shared" si="1"/>
        <v>652.5</v>
      </c>
      <c r="L7" s="22">
        <f t="shared" si="2"/>
        <v>93.2142857142857</v>
      </c>
    </row>
    <row r="8" ht="20" customHeight="1" spans="1:12">
      <c r="A8" s="6">
        <v>120302</v>
      </c>
      <c r="B8" s="7" t="s">
        <v>18</v>
      </c>
      <c r="C8" s="8" t="str">
        <f t="shared" si="0"/>
        <v>3班</v>
      </c>
      <c r="D8" s="9">
        <v>78</v>
      </c>
      <c r="E8" s="9">
        <v>95</v>
      </c>
      <c r="F8" s="9">
        <v>94</v>
      </c>
      <c r="G8" s="9">
        <v>82</v>
      </c>
      <c r="H8" s="9">
        <v>90</v>
      </c>
      <c r="I8" s="9">
        <v>93</v>
      </c>
      <c r="J8" s="9">
        <v>84</v>
      </c>
      <c r="K8" s="9">
        <f t="shared" si="1"/>
        <v>616</v>
      </c>
      <c r="L8" s="22">
        <f t="shared" si="2"/>
        <v>88</v>
      </c>
    </row>
    <row r="9" ht="20" customHeight="1" spans="1:12">
      <c r="A9" s="6">
        <v>120204</v>
      </c>
      <c r="B9" s="7" t="s">
        <v>19</v>
      </c>
      <c r="C9" s="8" t="str">
        <f t="shared" si="0"/>
        <v>2班</v>
      </c>
      <c r="D9" s="9">
        <v>95.5</v>
      </c>
      <c r="E9" s="9">
        <v>92</v>
      </c>
      <c r="F9" s="9">
        <v>96</v>
      </c>
      <c r="G9" s="9">
        <v>84</v>
      </c>
      <c r="H9" s="9">
        <v>95</v>
      </c>
      <c r="I9" s="9">
        <v>91</v>
      </c>
      <c r="J9" s="9">
        <v>92</v>
      </c>
      <c r="K9" s="9">
        <f t="shared" si="1"/>
        <v>645.5</v>
      </c>
      <c r="L9" s="22">
        <f t="shared" si="2"/>
        <v>92.2142857142857</v>
      </c>
    </row>
    <row r="10" ht="20" customHeight="1" spans="1:12">
      <c r="A10" s="6">
        <v>120201</v>
      </c>
      <c r="B10" s="7" t="s">
        <v>20</v>
      </c>
      <c r="C10" s="8" t="str">
        <f t="shared" si="0"/>
        <v>2班</v>
      </c>
      <c r="D10" s="9">
        <v>93.5</v>
      </c>
      <c r="E10" s="9">
        <v>107</v>
      </c>
      <c r="F10" s="9">
        <v>96</v>
      </c>
      <c r="G10" s="9">
        <v>100</v>
      </c>
      <c r="H10" s="9">
        <v>93</v>
      </c>
      <c r="I10" s="9">
        <v>92</v>
      </c>
      <c r="J10" s="9">
        <v>93</v>
      </c>
      <c r="K10" s="9">
        <f t="shared" si="1"/>
        <v>674.5</v>
      </c>
      <c r="L10" s="22">
        <f t="shared" si="2"/>
        <v>96.3571428571429</v>
      </c>
    </row>
    <row r="11" ht="20" customHeight="1" spans="1:12">
      <c r="A11" s="6">
        <v>120304</v>
      </c>
      <c r="B11" s="7" t="s">
        <v>21</v>
      </c>
      <c r="C11" s="8" t="str">
        <f t="shared" si="0"/>
        <v>3班</v>
      </c>
      <c r="D11" s="9">
        <v>95</v>
      </c>
      <c r="E11" s="9">
        <v>97</v>
      </c>
      <c r="F11" s="9">
        <v>102</v>
      </c>
      <c r="G11" s="9">
        <v>93</v>
      </c>
      <c r="H11" s="9">
        <v>95</v>
      </c>
      <c r="I11" s="9">
        <v>92</v>
      </c>
      <c r="J11" s="9">
        <v>88</v>
      </c>
      <c r="K11" s="9">
        <f t="shared" si="1"/>
        <v>662</v>
      </c>
      <c r="L11" s="22">
        <f t="shared" si="2"/>
        <v>94.5714285714286</v>
      </c>
    </row>
    <row r="12" ht="20" customHeight="1" spans="1:12">
      <c r="A12" s="6">
        <v>120103</v>
      </c>
      <c r="B12" s="7" t="s">
        <v>22</v>
      </c>
      <c r="C12" s="8" t="str">
        <f t="shared" si="0"/>
        <v>1班</v>
      </c>
      <c r="D12" s="9">
        <v>95</v>
      </c>
      <c r="E12" s="9">
        <v>85</v>
      </c>
      <c r="F12" s="9">
        <v>99</v>
      </c>
      <c r="G12" s="9">
        <v>98</v>
      </c>
      <c r="H12" s="9">
        <v>92</v>
      </c>
      <c r="I12" s="9">
        <v>92</v>
      </c>
      <c r="J12" s="9">
        <v>88</v>
      </c>
      <c r="K12" s="9">
        <f t="shared" si="1"/>
        <v>649</v>
      </c>
      <c r="L12" s="22">
        <f t="shared" si="2"/>
        <v>92.7142857142857</v>
      </c>
    </row>
    <row r="13" ht="20" customHeight="1" spans="1:12">
      <c r="A13" s="6">
        <v>120105</v>
      </c>
      <c r="B13" s="7" t="s">
        <v>23</v>
      </c>
      <c r="C13" s="8" t="str">
        <f t="shared" si="0"/>
        <v>1班</v>
      </c>
      <c r="D13" s="9">
        <v>88</v>
      </c>
      <c r="E13" s="9">
        <v>98</v>
      </c>
      <c r="F13" s="9">
        <v>101</v>
      </c>
      <c r="G13" s="9">
        <v>89</v>
      </c>
      <c r="H13" s="9">
        <v>73</v>
      </c>
      <c r="I13" s="9">
        <v>95</v>
      </c>
      <c r="J13" s="9">
        <v>91</v>
      </c>
      <c r="K13" s="9">
        <f t="shared" si="1"/>
        <v>635</v>
      </c>
      <c r="L13" s="22">
        <f t="shared" si="2"/>
        <v>90.7142857142857</v>
      </c>
    </row>
    <row r="14" ht="20" customHeight="1" spans="1:12">
      <c r="A14" s="6">
        <v>120202</v>
      </c>
      <c r="B14" s="7" t="s">
        <v>24</v>
      </c>
      <c r="C14" s="8" t="str">
        <f t="shared" si="0"/>
        <v>2班</v>
      </c>
      <c r="D14" s="9">
        <v>86</v>
      </c>
      <c r="E14" s="9">
        <v>107</v>
      </c>
      <c r="F14" s="9">
        <v>89</v>
      </c>
      <c r="G14" s="9">
        <v>88</v>
      </c>
      <c r="H14" s="9">
        <v>92</v>
      </c>
      <c r="I14" s="9">
        <v>88</v>
      </c>
      <c r="J14" s="9">
        <v>89</v>
      </c>
      <c r="K14" s="9">
        <f t="shared" si="1"/>
        <v>639</v>
      </c>
      <c r="L14" s="22">
        <f t="shared" si="2"/>
        <v>91.2857142857143</v>
      </c>
    </row>
    <row r="15" ht="20" customHeight="1" spans="1:12">
      <c r="A15" s="6">
        <v>120205</v>
      </c>
      <c r="B15" s="7" t="s">
        <v>25</v>
      </c>
      <c r="C15" s="8" t="str">
        <f t="shared" si="0"/>
        <v>2班</v>
      </c>
      <c r="D15" s="9">
        <v>103.5</v>
      </c>
      <c r="E15" s="9">
        <v>105</v>
      </c>
      <c r="F15" s="9">
        <v>105</v>
      </c>
      <c r="G15" s="9">
        <v>93</v>
      </c>
      <c r="H15" s="9">
        <v>93</v>
      </c>
      <c r="I15" s="9">
        <v>90</v>
      </c>
      <c r="J15" s="9">
        <v>86</v>
      </c>
      <c r="K15" s="9">
        <f t="shared" si="1"/>
        <v>675.5</v>
      </c>
      <c r="L15" s="22">
        <f t="shared" si="2"/>
        <v>96.5</v>
      </c>
    </row>
    <row r="16" ht="20" customHeight="1" spans="1:12">
      <c r="A16" s="6">
        <v>120102</v>
      </c>
      <c r="B16" s="7" t="s">
        <v>26</v>
      </c>
      <c r="C16" s="8" t="str">
        <f t="shared" si="0"/>
        <v>1班</v>
      </c>
      <c r="D16" s="9">
        <v>110</v>
      </c>
      <c r="E16" s="9">
        <v>95</v>
      </c>
      <c r="F16" s="9">
        <v>98</v>
      </c>
      <c r="G16" s="9">
        <v>99</v>
      </c>
      <c r="H16" s="9">
        <v>93</v>
      </c>
      <c r="I16" s="9">
        <v>93</v>
      </c>
      <c r="J16" s="9">
        <v>92</v>
      </c>
      <c r="K16" s="9">
        <f t="shared" si="1"/>
        <v>680</v>
      </c>
      <c r="L16" s="22">
        <f t="shared" si="2"/>
        <v>97.1428571428571</v>
      </c>
    </row>
    <row r="17" ht="20" customHeight="1" spans="1:12">
      <c r="A17" s="6">
        <v>120303</v>
      </c>
      <c r="B17" s="7" t="s">
        <v>27</v>
      </c>
      <c r="C17" s="8" t="str">
        <f t="shared" si="0"/>
        <v>3班</v>
      </c>
      <c r="D17" s="9">
        <v>84</v>
      </c>
      <c r="E17" s="9">
        <v>100</v>
      </c>
      <c r="F17" s="9">
        <v>97</v>
      </c>
      <c r="G17" s="9">
        <v>87</v>
      </c>
      <c r="H17" s="9">
        <v>78</v>
      </c>
      <c r="I17" s="9">
        <v>89</v>
      </c>
      <c r="J17" s="9">
        <v>93</v>
      </c>
      <c r="K17" s="9">
        <f t="shared" si="1"/>
        <v>628</v>
      </c>
      <c r="L17" s="22">
        <f t="shared" si="2"/>
        <v>89.7142857142857</v>
      </c>
    </row>
    <row r="18" ht="20" customHeight="1" spans="1:12">
      <c r="A18" s="6">
        <v>120101</v>
      </c>
      <c r="B18" s="7" t="s">
        <v>28</v>
      </c>
      <c r="C18" s="8" t="str">
        <f t="shared" si="0"/>
        <v>1班</v>
      </c>
      <c r="D18" s="9">
        <v>97.5</v>
      </c>
      <c r="E18" s="9">
        <v>106</v>
      </c>
      <c r="F18" s="9">
        <v>108</v>
      </c>
      <c r="G18" s="9">
        <v>98</v>
      </c>
      <c r="H18" s="9">
        <v>99</v>
      </c>
      <c r="I18" s="9">
        <v>99</v>
      </c>
      <c r="J18" s="9">
        <v>96</v>
      </c>
      <c r="K18" s="9">
        <f t="shared" si="1"/>
        <v>703.5</v>
      </c>
      <c r="L18" s="22">
        <f t="shared" si="2"/>
        <v>100.5</v>
      </c>
    </row>
    <row r="19" ht="20" customHeight="1" spans="1:12">
      <c r="A19" s="25">
        <v>120106</v>
      </c>
      <c r="B19" s="26" t="s">
        <v>29</v>
      </c>
      <c r="C19" s="27" t="str">
        <f t="shared" si="0"/>
        <v>1班</v>
      </c>
      <c r="D19" s="28">
        <v>90</v>
      </c>
      <c r="E19" s="28">
        <v>111</v>
      </c>
      <c r="F19" s="28">
        <v>116</v>
      </c>
      <c r="G19" s="28">
        <v>72</v>
      </c>
      <c r="H19" s="28">
        <v>95</v>
      </c>
      <c r="I19" s="28">
        <v>93</v>
      </c>
      <c r="J19" s="28">
        <v>95</v>
      </c>
      <c r="K19" s="28">
        <f t="shared" si="1"/>
        <v>672</v>
      </c>
      <c r="L19" s="29">
        <f t="shared" si="2"/>
        <v>96</v>
      </c>
    </row>
    <row r="20" ht="14.25"/>
    <row r="21" spans="1:12">
      <c r="A21" t="s">
        <v>2</v>
      </c>
      <c r="B21" t="s">
        <v>30</v>
      </c>
      <c r="C21" t="s">
        <v>31</v>
      </c>
      <c r="D21"/>
      <c r="E21"/>
      <c r="F21"/>
      <c r="G21"/>
      <c r="H21"/>
      <c r="I21"/>
      <c r="J21"/>
      <c r="K21"/>
      <c r="L21"/>
    </row>
    <row r="22" spans="1:12">
      <c r="A22" t="s">
        <v>32</v>
      </c>
      <c r="B22">
        <v>97.0833333333333</v>
      </c>
      <c r="C22">
        <v>101.833333333333</v>
      </c>
      <c r="D22"/>
      <c r="E22"/>
      <c r="F22"/>
      <c r="G22"/>
      <c r="H22"/>
      <c r="I22"/>
      <c r="J22"/>
      <c r="K22"/>
      <c r="L22"/>
    </row>
    <row r="23" spans="1:12">
      <c r="A23" t="s">
        <v>33</v>
      </c>
      <c r="B23">
        <v>95.3333333333333</v>
      </c>
      <c r="C23">
        <v>102.166666666667</v>
      </c>
      <c r="D23"/>
      <c r="E23"/>
      <c r="F23"/>
      <c r="G23"/>
      <c r="H23"/>
      <c r="I23"/>
      <c r="J23"/>
      <c r="K23"/>
      <c r="L23"/>
    </row>
    <row r="24" spans="1:12">
      <c r="A24" t="s">
        <v>34</v>
      </c>
      <c r="B24">
        <v>91.4166666666667</v>
      </c>
      <c r="C24">
        <v>95.5</v>
      </c>
      <c r="D24"/>
      <c r="E24"/>
      <c r="F24"/>
      <c r="G24"/>
      <c r="H24"/>
      <c r="I24"/>
      <c r="J24"/>
      <c r="K24"/>
      <c r="L24"/>
    </row>
    <row r="25" spans="1:12">
      <c r="A25" t="s">
        <v>35</v>
      </c>
      <c r="B25">
        <v>94.6111111111111</v>
      </c>
      <c r="C25">
        <v>99.8333333333333</v>
      </c>
      <c r="D25"/>
      <c r="E25"/>
      <c r="F25"/>
      <c r="G25"/>
      <c r="H25"/>
      <c r="I25"/>
      <c r="J25"/>
      <c r="K25"/>
      <c r="L25"/>
    </row>
    <row r="26" spans="1:12">
      <c r="A26"/>
      <c r="B26"/>
      <c r="C26"/>
      <c r="D26"/>
      <c r="E26"/>
      <c r="F26"/>
      <c r="G26"/>
      <c r="H26"/>
      <c r="I26"/>
      <c r="J26"/>
      <c r="K26"/>
      <c r="L26"/>
    </row>
    <row r="27" spans="1:10">
      <c r="A27"/>
      <c r="B27"/>
      <c r="C27"/>
      <c r="D27"/>
      <c r="E27"/>
      <c r="F27"/>
      <c r="G27"/>
      <c r="H27"/>
      <c r="I27"/>
      <c r="J27"/>
    </row>
    <row r="28" spans="1:10">
      <c r="A28"/>
      <c r="B28"/>
      <c r="C28"/>
      <c r="D28"/>
      <c r="E28"/>
      <c r="F28"/>
      <c r="G28"/>
      <c r="H28"/>
      <c r="I28"/>
      <c r="J28"/>
    </row>
    <row r="29" spans="1:10">
      <c r="A29"/>
      <c r="B29"/>
      <c r="C29"/>
      <c r="D29"/>
      <c r="E29"/>
      <c r="F29"/>
      <c r="G29"/>
      <c r="H29"/>
      <c r="I29"/>
      <c r="J29"/>
    </row>
    <row r="30" spans="1:10">
      <c r="A30"/>
      <c r="B30"/>
      <c r="C30"/>
      <c r="D30"/>
      <c r="E30"/>
      <c r="F30"/>
      <c r="G30"/>
      <c r="H30"/>
      <c r="I30"/>
      <c r="J30"/>
    </row>
    <row r="31" spans="1:10">
      <c r="A31"/>
      <c r="B31"/>
      <c r="C31"/>
      <c r="D31"/>
      <c r="E31"/>
      <c r="F31"/>
      <c r="G31"/>
      <c r="H31"/>
      <c r="I31"/>
      <c r="J31"/>
    </row>
    <row r="32" spans="1:10">
      <c r="A32"/>
      <c r="B32"/>
      <c r="C32"/>
      <c r="D32"/>
      <c r="E32"/>
      <c r="F32"/>
      <c r="G32"/>
      <c r="H32"/>
      <c r="I32"/>
      <c r="J32"/>
    </row>
    <row r="33" spans="1:10">
      <c r="A33"/>
      <c r="B33"/>
      <c r="C33"/>
      <c r="D33"/>
      <c r="E33"/>
      <c r="F33"/>
      <c r="G33"/>
      <c r="H33"/>
      <c r="I33"/>
      <c r="J33"/>
    </row>
    <row r="34" spans="1:10">
      <c r="A34"/>
      <c r="B34"/>
      <c r="C34"/>
      <c r="D34"/>
      <c r="E34"/>
      <c r="F34"/>
      <c r="G34"/>
      <c r="H34"/>
      <c r="I34"/>
      <c r="J34"/>
    </row>
    <row r="35" spans="1:10">
      <c r="A35"/>
      <c r="B35"/>
      <c r="C35"/>
      <c r="D35"/>
      <c r="E35"/>
      <c r="F35"/>
      <c r="G35"/>
      <c r="H35"/>
      <c r="I35"/>
      <c r="J35"/>
    </row>
    <row r="36" spans="1:10">
      <c r="A36"/>
      <c r="B36"/>
      <c r="C36"/>
      <c r="D36"/>
      <c r="E36"/>
      <c r="F36"/>
      <c r="G36"/>
      <c r="H36"/>
      <c r="I36"/>
      <c r="J36"/>
    </row>
    <row r="37" spans="1:10">
      <c r="A37"/>
      <c r="B37"/>
      <c r="C37"/>
      <c r="D37"/>
      <c r="E37"/>
      <c r="F37"/>
      <c r="G37"/>
      <c r="H37"/>
      <c r="I37"/>
      <c r="J37"/>
    </row>
    <row r="38" spans="1:10">
      <c r="A38"/>
      <c r="B38"/>
      <c r="C38"/>
      <c r="D38"/>
      <c r="E38"/>
      <c r="F38"/>
      <c r="G38"/>
      <c r="H38"/>
      <c r="I38"/>
      <c r="J38"/>
    </row>
    <row r="39" spans="1:10">
      <c r="A39"/>
      <c r="B39"/>
      <c r="C39"/>
      <c r="D39"/>
      <c r="E39"/>
      <c r="F39"/>
      <c r="G39"/>
      <c r="H39"/>
      <c r="I39"/>
      <c r="J39"/>
    </row>
    <row r="40" spans="1:10">
      <c r="A40"/>
      <c r="B40"/>
      <c r="C40"/>
      <c r="D40"/>
      <c r="E40"/>
      <c r="F40"/>
      <c r="G40"/>
      <c r="H40"/>
      <c r="I40"/>
      <c r="J40"/>
    </row>
    <row r="41" spans="1:10">
      <c r="A41"/>
      <c r="B41"/>
      <c r="C41"/>
      <c r="D41"/>
      <c r="E41"/>
      <c r="F41"/>
      <c r="G41"/>
      <c r="H41"/>
      <c r="I41"/>
      <c r="J41"/>
    </row>
    <row r="42" spans="1:10">
      <c r="A42"/>
      <c r="B42"/>
      <c r="D42"/>
      <c r="E42"/>
      <c r="F42"/>
      <c r="G42"/>
      <c r="H42"/>
      <c r="I42"/>
      <c r="J42"/>
    </row>
    <row r="43" spans="1:10">
      <c r="A43"/>
      <c r="B43"/>
      <c r="D43"/>
      <c r="E43"/>
      <c r="F43"/>
      <c r="G43"/>
      <c r="H43"/>
      <c r="I43"/>
      <c r="J43"/>
    </row>
    <row r="44" spans="1:10">
      <c r="A44"/>
      <c r="B44"/>
      <c r="C44"/>
      <c r="D44"/>
      <c r="E44"/>
      <c r="F44"/>
      <c r="G44"/>
      <c r="H44"/>
      <c r="I44"/>
      <c r="J44"/>
    </row>
    <row r="45" spans="1:10">
      <c r="A45"/>
      <c r="B45"/>
      <c r="C45"/>
      <c r="D45"/>
      <c r="E45"/>
      <c r="F45"/>
      <c r="G45"/>
      <c r="H45"/>
      <c r="I45"/>
      <c r="J45"/>
    </row>
    <row r="46" spans="1:10">
      <c r="A46"/>
      <c r="B46"/>
      <c r="C46"/>
      <c r="D46"/>
      <c r="E46"/>
      <c r="F46"/>
      <c r="G46"/>
      <c r="H46"/>
      <c r="I46"/>
      <c r="J46"/>
    </row>
    <row r="47" spans="1:10">
      <c r="A47"/>
      <c r="B47"/>
      <c r="D47"/>
      <c r="E47"/>
      <c r="F47"/>
      <c r="G47"/>
      <c r="H47"/>
      <c r="I47"/>
      <c r="J47"/>
    </row>
    <row r="48" spans="1:10">
      <c r="A48"/>
      <c r="B48"/>
      <c r="D48"/>
      <c r="E48"/>
      <c r="F48"/>
      <c r="G48"/>
      <c r="H48"/>
      <c r="I48"/>
      <c r="J48"/>
    </row>
    <row r="49" spans="1:10">
      <c r="A49"/>
      <c r="B49"/>
      <c r="D49"/>
      <c r="E49"/>
      <c r="F49"/>
      <c r="G49"/>
      <c r="H49"/>
      <c r="I49"/>
      <c r="J49"/>
    </row>
    <row r="50" spans="1:10">
      <c r="A50"/>
      <c r="B50"/>
      <c r="D50"/>
      <c r="E50"/>
      <c r="F50"/>
      <c r="G50"/>
      <c r="H50"/>
      <c r="I50"/>
      <c r="J50"/>
    </row>
    <row r="51" spans="1:10">
      <c r="A51"/>
      <c r="B51"/>
      <c r="D51"/>
      <c r="E51"/>
      <c r="F51"/>
      <c r="G51"/>
      <c r="H51"/>
      <c r="I51"/>
      <c r="J51"/>
    </row>
    <row r="52" spans="1:10">
      <c r="A52"/>
      <c r="B52"/>
      <c r="C52"/>
      <c r="D52"/>
      <c r="E52"/>
      <c r="F52"/>
      <c r="G52"/>
      <c r="H52"/>
      <c r="I52"/>
      <c r="J52"/>
    </row>
    <row r="53" spans="1:10">
      <c r="A53"/>
      <c r="B53"/>
      <c r="C53"/>
      <c r="D53"/>
      <c r="E53"/>
      <c r="F53"/>
      <c r="G53"/>
      <c r="H53"/>
      <c r="I53"/>
      <c r="J53"/>
    </row>
    <row r="54" spans="1:10">
      <c r="A54"/>
      <c r="B54"/>
      <c r="C54"/>
      <c r="D54"/>
      <c r="E54"/>
      <c r="F54"/>
      <c r="G54"/>
      <c r="H54"/>
      <c r="I54"/>
      <c r="J54"/>
    </row>
    <row r="55" spans="1:10">
      <c r="A55"/>
      <c r="B55"/>
      <c r="D55"/>
      <c r="E55"/>
      <c r="F55"/>
      <c r="G55"/>
      <c r="H55"/>
      <c r="I55"/>
      <c r="J55"/>
    </row>
    <row r="56" spans="1:10">
      <c r="A56"/>
      <c r="B56"/>
      <c r="C56"/>
      <c r="D56"/>
      <c r="E56"/>
      <c r="F56"/>
      <c r="G56"/>
      <c r="H56"/>
      <c r="I56"/>
      <c r="J56"/>
    </row>
    <row r="57" spans="1:10">
      <c r="A57"/>
      <c r="B57"/>
      <c r="C57"/>
      <c r="D57"/>
      <c r="E57"/>
      <c r="F57"/>
      <c r="G57"/>
      <c r="H57"/>
      <c r="I57"/>
      <c r="J57"/>
    </row>
    <row r="58" spans="1:10">
      <c r="A58"/>
      <c r="B58"/>
      <c r="C58"/>
      <c r="D58"/>
      <c r="E58"/>
      <c r="F58"/>
      <c r="G58"/>
      <c r="H58"/>
      <c r="I58"/>
      <c r="J58"/>
    </row>
    <row r="59" spans="1:10">
      <c r="A59"/>
      <c r="D59"/>
      <c r="E59"/>
      <c r="F59"/>
      <c r="G59"/>
      <c r="H59"/>
      <c r="I59"/>
      <c r="J59"/>
    </row>
  </sheetData>
  <conditionalFormatting sqref="D2:F19">
    <cfRule type="cellIs" dxfId="0" priority="3" operator="greaterThanOrEqual">
      <formula>110</formula>
    </cfRule>
  </conditionalFormatting>
  <conditionalFormatting sqref="G2:J19">
    <cfRule type="cellIs" dxfId="1" priority="1" operator="greaterThanOrEqual">
      <formula>95</formula>
    </cfRule>
  </conditionalFormatting>
  <conditionalFormatting sqref="G20:J1048576">
    <cfRule type="cellIs" dxfId="1" priority="2" operator="greaterThanOrEqual">
      <formula>95</formula>
    </cfRule>
  </conditionalFormatting>
  <pageMargins left="0.7" right="0.7" top="0.75" bottom="0.75" header="0.3" footer="0.3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showRowColHeaders="0"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L24"/>
  <sheetViews>
    <sheetView zoomScale="85" zoomScaleNormal="85" topLeftCell="B1" workbookViewId="0">
      <selection activeCell="C1" sqref="C1:J22"/>
    </sheetView>
  </sheetViews>
  <sheetFormatPr defaultColWidth="9" defaultRowHeight="13.5"/>
  <cols>
    <col min="1" max="1" width="10.625" style="1" customWidth="1"/>
    <col min="2" max="3" width="10.625" customWidth="1"/>
    <col min="4" max="12" width="10.625" style="2" customWidth="1"/>
  </cols>
  <sheetData>
    <row r="1" ht="20" customHeight="1" spans="1:12">
      <c r="A1" s="3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21" t="s">
        <v>11</v>
      </c>
    </row>
    <row r="2" ht="20" hidden="1" customHeight="1" outlineLevel="2" spans="1:12">
      <c r="A2" s="6">
        <v>120104</v>
      </c>
      <c r="B2" s="7" t="s">
        <v>14</v>
      </c>
      <c r="C2" s="8" t="str">
        <f>MID(A2,4,1)&amp;"班"</f>
        <v>1班</v>
      </c>
      <c r="D2" s="9">
        <v>102</v>
      </c>
      <c r="E2" s="9">
        <v>116</v>
      </c>
      <c r="F2" s="9">
        <v>113</v>
      </c>
      <c r="G2" s="9">
        <v>78</v>
      </c>
      <c r="H2" s="9">
        <v>88</v>
      </c>
      <c r="I2" s="9">
        <v>86</v>
      </c>
      <c r="J2" s="9">
        <v>73</v>
      </c>
      <c r="K2" s="9">
        <f>SUM(D2:J2)</f>
        <v>656</v>
      </c>
      <c r="L2" s="22">
        <f>AVERAGE(D2:J2)</f>
        <v>93.7142857142857</v>
      </c>
    </row>
    <row r="3" ht="20" hidden="1" customHeight="1" outlineLevel="2" spans="1:12">
      <c r="A3" s="6">
        <v>120103</v>
      </c>
      <c r="B3" s="7" t="s">
        <v>22</v>
      </c>
      <c r="C3" s="8" t="str">
        <f>MID(A3,4,1)&amp;"班"</f>
        <v>1班</v>
      </c>
      <c r="D3" s="9">
        <v>95</v>
      </c>
      <c r="E3" s="9">
        <v>85</v>
      </c>
      <c r="F3" s="9">
        <v>99</v>
      </c>
      <c r="G3" s="9">
        <v>98</v>
      </c>
      <c r="H3" s="9">
        <v>92</v>
      </c>
      <c r="I3" s="9">
        <v>92</v>
      </c>
      <c r="J3" s="9">
        <v>88</v>
      </c>
      <c r="K3" s="9">
        <f>SUM(D3:J3)</f>
        <v>649</v>
      </c>
      <c r="L3" s="22">
        <f>AVERAGE(D3:J3)</f>
        <v>92.7142857142857</v>
      </c>
    </row>
    <row r="4" ht="20" hidden="1" customHeight="1" outlineLevel="2" spans="1:12">
      <c r="A4" s="6">
        <v>120105</v>
      </c>
      <c r="B4" s="7" t="s">
        <v>23</v>
      </c>
      <c r="C4" s="8" t="str">
        <f>MID(A4,4,1)&amp;"班"</f>
        <v>1班</v>
      </c>
      <c r="D4" s="9">
        <v>88</v>
      </c>
      <c r="E4" s="9">
        <v>98</v>
      </c>
      <c r="F4" s="9">
        <v>101</v>
      </c>
      <c r="G4" s="9">
        <v>89</v>
      </c>
      <c r="H4" s="9">
        <v>73</v>
      </c>
      <c r="I4" s="9">
        <v>95</v>
      </c>
      <c r="J4" s="9">
        <v>91</v>
      </c>
      <c r="K4" s="9">
        <f>SUM(D4:J4)</f>
        <v>635</v>
      </c>
      <c r="L4" s="22">
        <f>AVERAGE(D4:J4)</f>
        <v>90.7142857142857</v>
      </c>
    </row>
    <row r="5" ht="20" hidden="1" customHeight="1" outlineLevel="2" spans="1:12">
      <c r="A5" s="6">
        <v>120102</v>
      </c>
      <c r="B5" s="7" t="s">
        <v>26</v>
      </c>
      <c r="C5" s="8" t="str">
        <f>MID(A5,4,1)&amp;"班"</f>
        <v>1班</v>
      </c>
      <c r="D5" s="9">
        <v>110</v>
      </c>
      <c r="E5" s="9">
        <v>95</v>
      </c>
      <c r="F5" s="9">
        <v>98</v>
      </c>
      <c r="G5" s="9">
        <v>99</v>
      </c>
      <c r="H5" s="9">
        <v>93</v>
      </c>
      <c r="I5" s="9">
        <v>93</v>
      </c>
      <c r="J5" s="9">
        <v>92</v>
      </c>
      <c r="K5" s="9">
        <f>SUM(D5:J5)</f>
        <v>680</v>
      </c>
      <c r="L5" s="22">
        <f>AVERAGE(D5:J5)</f>
        <v>97.1428571428571</v>
      </c>
    </row>
    <row r="6" ht="20" hidden="1" customHeight="1" outlineLevel="2" spans="1:12">
      <c r="A6" s="6">
        <v>120101</v>
      </c>
      <c r="B6" s="7" t="s">
        <v>28</v>
      </c>
      <c r="C6" s="8" t="str">
        <f>MID(A6,4,1)&amp;"班"</f>
        <v>1班</v>
      </c>
      <c r="D6" s="9">
        <v>97.5</v>
      </c>
      <c r="E6" s="9">
        <v>106</v>
      </c>
      <c r="F6" s="9">
        <v>108</v>
      </c>
      <c r="G6" s="9">
        <v>98</v>
      </c>
      <c r="H6" s="9">
        <v>99</v>
      </c>
      <c r="I6" s="9">
        <v>99</v>
      </c>
      <c r="J6" s="9">
        <v>96</v>
      </c>
      <c r="K6" s="9">
        <f>SUM(D6:J6)</f>
        <v>703.5</v>
      </c>
      <c r="L6" s="22">
        <f>AVERAGE(D6:J6)</f>
        <v>100.5</v>
      </c>
    </row>
    <row r="7" ht="20" hidden="1" customHeight="1" outlineLevel="2" spans="1:12">
      <c r="A7" s="10">
        <v>120106</v>
      </c>
      <c r="B7" s="11" t="s">
        <v>29</v>
      </c>
      <c r="C7" s="12" t="str">
        <f>MID(A7,4,1)&amp;"班"</f>
        <v>1班</v>
      </c>
      <c r="D7" s="13">
        <v>90</v>
      </c>
      <c r="E7" s="13">
        <v>111</v>
      </c>
      <c r="F7" s="13">
        <v>116</v>
      </c>
      <c r="G7" s="13">
        <v>72</v>
      </c>
      <c r="H7" s="13">
        <v>95</v>
      </c>
      <c r="I7" s="13">
        <v>93</v>
      </c>
      <c r="J7" s="13">
        <v>95</v>
      </c>
      <c r="K7" s="13">
        <f>SUM(D7:J7)</f>
        <v>672</v>
      </c>
      <c r="L7" s="23">
        <f>AVERAGE(D7:J7)</f>
        <v>96</v>
      </c>
    </row>
    <row r="8" ht="20" customHeight="1" outlineLevel="1" collapsed="1" spans="1:12">
      <c r="A8" s="10"/>
      <c r="B8" s="11"/>
      <c r="C8" s="14" t="s">
        <v>36</v>
      </c>
      <c r="D8" s="13">
        <f>SUBTOTAL(1,D2:D7)</f>
        <v>97.0833333333333</v>
      </c>
      <c r="E8" s="13">
        <f>SUBTOTAL(1,E2:E7)</f>
        <v>101.833333333333</v>
      </c>
      <c r="F8" s="13">
        <f>SUBTOTAL(1,F2:F7)</f>
        <v>105.833333333333</v>
      </c>
      <c r="G8" s="13">
        <f>SUBTOTAL(1,G2:G7)</f>
        <v>89</v>
      </c>
      <c r="H8" s="13">
        <f>SUBTOTAL(1,H2:H7)</f>
        <v>90</v>
      </c>
      <c r="I8" s="13">
        <f>SUBTOTAL(1,I2:I7)</f>
        <v>93</v>
      </c>
      <c r="J8" s="13">
        <f>SUBTOTAL(1,J2:J7)</f>
        <v>89.1666666666667</v>
      </c>
      <c r="K8" s="13"/>
      <c r="L8" s="23"/>
    </row>
    <row r="9" ht="20" hidden="1" customHeight="1" outlineLevel="2" spans="1:12">
      <c r="A9" s="6">
        <v>120203</v>
      </c>
      <c r="B9" s="7" t="s">
        <v>13</v>
      </c>
      <c r="C9" s="8" t="str">
        <f>MID(A9,4,1)&amp;"班"</f>
        <v>2班</v>
      </c>
      <c r="D9" s="9">
        <v>93</v>
      </c>
      <c r="E9" s="9">
        <v>99</v>
      </c>
      <c r="F9" s="9">
        <v>92</v>
      </c>
      <c r="G9" s="9">
        <v>86</v>
      </c>
      <c r="H9" s="9">
        <v>86</v>
      </c>
      <c r="I9" s="9">
        <v>73</v>
      </c>
      <c r="J9" s="9">
        <v>92</v>
      </c>
      <c r="K9" s="9">
        <f>SUM(D9:J9)</f>
        <v>621</v>
      </c>
      <c r="L9" s="22">
        <f>AVERAGE(D9:J9)</f>
        <v>88.7142857142857</v>
      </c>
    </row>
    <row r="10" ht="20" hidden="1" customHeight="1" outlineLevel="2" spans="1:12">
      <c r="A10" s="6">
        <v>120206</v>
      </c>
      <c r="B10" s="7" t="s">
        <v>17</v>
      </c>
      <c r="C10" s="8" t="str">
        <f>MID(A10,4,1)&amp;"班"</f>
        <v>2班</v>
      </c>
      <c r="D10" s="9">
        <v>100.5</v>
      </c>
      <c r="E10" s="9">
        <v>103</v>
      </c>
      <c r="F10" s="9">
        <v>104</v>
      </c>
      <c r="G10" s="9">
        <v>88</v>
      </c>
      <c r="H10" s="9">
        <v>89</v>
      </c>
      <c r="I10" s="9">
        <v>78</v>
      </c>
      <c r="J10" s="9">
        <v>90</v>
      </c>
      <c r="K10" s="9">
        <f>SUM(D10:J10)</f>
        <v>652.5</v>
      </c>
      <c r="L10" s="22">
        <f>AVERAGE(D10:J10)</f>
        <v>93.2142857142857</v>
      </c>
    </row>
    <row r="11" ht="20" hidden="1" customHeight="1" outlineLevel="2" spans="1:12">
      <c r="A11" s="6">
        <v>120204</v>
      </c>
      <c r="B11" s="7" t="s">
        <v>19</v>
      </c>
      <c r="C11" s="8" t="str">
        <f>MID(A11,4,1)&amp;"班"</f>
        <v>2班</v>
      </c>
      <c r="D11" s="9">
        <v>95.5</v>
      </c>
      <c r="E11" s="9">
        <v>92</v>
      </c>
      <c r="F11" s="9">
        <v>96</v>
      </c>
      <c r="G11" s="9">
        <v>84</v>
      </c>
      <c r="H11" s="9">
        <v>95</v>
      </c>
      <c r="I11" s="9">
        <v>91</v>
      </c>
      <c r="J11" s="9">
        <v>92</v>
      </c>
      <c r="K11" s="9">
        <f>SUM(D11:J11)</f>
        <v>645.5</v>
      </c>
      <c r="L11" s="22">
        <f>AVERAGE(D11:J11)</f>
        <v>92.2142857142857</v>
      </c>
    </row>
    <row r="12" ht="20" hidden="1" customHeight="1" outlineLevel="2" spans="1:12">
      <c r="A12" s="6">
        <v>120201</v>
      </c>
      <c r="B12" s="7" t="s">
        <v>20</v>
      </c>
      <c r="C12" s="8" t="str">
        <f>MID(A12,4,1)&amp;"班"</f>
        <v>2班</v>
      </c>
      <c r="D12" s="9">
        <v>93.5</v>
      </c>
      <c r="E12" s="9">
        <v>107</v>
      </c>
      <c r="F12" s="9">
        <v>96</v>
      </c>
      <c r="G12" s="9">
        <v>100</v>
      </c>
      <c r="H12" s="9">
        <v>93</v>
      </c>
      <c r="I12" s="9">
        <v>92</v>
      </c>
      <c r="J12" s="9">
        <v>93</v>
      </c>
      <c r="K12" s="9">
        <f>SUM(D12:J12)</f>
        <v>674.5</v>
      </c>
      <c r="L12" s="22">
        <f>AVERAGE(D12:J12)</f>
        <v>96.3571428571429</v>
      </c>
    </row>
    <row r="13" ht="20" hidden="1" customHeight="1" outlineLevel="2" spans="1:12">
      <c r="A13" s="6">
        <v>120202</v>
      </c>
      <c r="B13" s="7" t="s">
        <v>24</v>
      </c>
      <c r="C13" s="8" t="str">
        <f>MID(A13,4,1)&amp;"班"</f>
        <v>2班</v>
      </c>
      <c r="D13" s="9">
        <v>86</v>
      </c>
      <c r="E13" s="9">
        <v>107</v>
      </c>
      <c r="F13" s="9">
        <v>89</v>
      </c>
      <c r="G13" s="9">
        <v>88</v>
      </c>
      <c r="H13" s="9">
        <v>92</v>
      </c>
      <c r="I13" s="9">
        <v>88</v>
      </c>
      <c r="J13" s="9">
        <v>89</v>
      </c>
      <c r="K13" s="9">
        <f>SUM(D13:J13)</f>
        <v>639</v>
      </c>
      <c r="L13" s="22">
        <f>AVERAGE(D13:J13)</f>
        <v>91.2857142857143</v>
      </c>
    </row>
    <row r="14" ht="20" hidden="1" customHeight="1" outlineLevel="2" spans="1:12">
      <c r="A14" s="6">
        <v>120205</v>
      </c>
      <c r="B14" s="7" t="s">
        <v>25</v>
      </c>
      <c r="C14" s="8" t="str">
        <f>MID(A14,4,1)&amp;"班"</f>
        <v>2班</v>
      </c>
      <c r="D14" s="9">
        <v>103.5</v>
      </c>
      <c r="E14" s="9">
        <v>105</v>
      </c>
      <c r="F14" s="9">
        <v>105</v>
      </c>
      <c r="G14" s="9">
        <v>93</v>
      </c>
      <c r="H14" s="9">
        <v>93</v>
      </c>
      <c r="I14" s="9">
        <v>90</v>
      </c>
      <c r="J14" s="9">
        <v>86</v>
      </c>
      <c r="K14" s="9">
        <f>SUM(D14:J14)</f>
        <v>675.5</v>
      </c>
      <c r="L14" s="22">
        <f>AVERAGE(D14:J14)</f>
        <v>96.5</v>
      </c>
    </row>
    <row r="15" ht="20" customHeight="1" outlineLevel="1" collapsed="1" spans="1:12">
      <c r="A15" s="6"/>
      <c r="B15" s="7"/>
      <c r="C15" s="15" t="s">
        <v>37</v>
      </c>
      <c r="D15" s="9">
        <f>SUBTOTAL(1,D9:D14)</f>
        <v>95.3333333333333</v>
      </c>
      <c r="E15" s="9">
        <f>SUBTOTAL(1,E9:E14)</f>
        <v>102.166666666667</v>
      </c>
      <c r="F15" s="9">
        <f>SUBTOTAL(1,F9:F14)</f>
        <v>97</v>
      </c>
      <c r="G15" s="9">
        <f>SUBTOTAL(1,G9:G14)</f>
        <v>89.8333333333333</v>
      </c>
      <c r="H15" s="9">
        <f>SUBTOTAL(1,H9:H14)</f>
        <v>91.3333333333333</v>
      </c>
      <c r="I15" s="9">
        <f>SUBTOTAL(1,I9:I14)</f>
        <v>85.3333333333333</v>
      </c>
      <c r="J15" s="9">
        <f>SUBTOTAL(1,J9:J14)</f>
        <v>90.3333333333333</v>
      </c>
      <c r="K15" s="9"/>
      <c r="L15" s="22"/>
    </row>
    <row r="16" ht="20" hidden="1" customHeight="1" outlineLevel="2" spans="1:12">
      <c r="A16" s="6">
        <v>120305</v>
      </c>
      <c r="B16" s="7" t="s">
        <v>12</v>
      </c>
      <c r="C16" s="8" t="str">
        <f>MID(A16,4,1)&amp;"班"</f>
        <v>3班</v>
      </c>
      <c r="D16" s="9">
        <v>91.5</v>
      </c>
      <c r="E16" s="9">
        <v>89</v>
      </c>
      <c r="F16" s="9">
        <v>94</v>
      </c>
      <c r="G16" s="9">
        <v>92</v>
      </c>
      <c r="H16" s="9">
        <v>91</v>
      </c>
      <c r="I16" s="9">
        <v>86</v>
      </c>
      <c r="J16" s="9">
        <v>86</v>
      </c>
      <c r="K16" s="9">
        <f>SUM(D16:J16)</f>
        <v>629.5</v>
      </c>
      <c r="L16" s="22">
        <f>AVERAGE(D16:J16)</f>
        <v>89.9285714285714</v>
      </c>
    </row>
    <row r="17" ht="20" hidden="1" customHeight="1" outlineLevel="2" spans="1:12">
      <c r="A17" s="6">
        <v>120301</v>
      </c>
      <c r="B17" s="7" t="s">
        <v>15</v>
      </c>
      <c r="C17" s="8" t="str">
        <f>MID(A17,4,1)&amp;"班"</f>
        <v>3班</v>
      </c>
      <c r="D17" s="9">
        <v>99</v>
      </c>
      <c r="E17" s="9">
        <v>98</v>
      </c>
      <c r="F17" s="9">
        <v>101</v>
      </c>
      <c r="G17" s="9">
        <v>95</v>
      </c>
      <c r="H17" s="9">
        <v>91</v>
      </c>
      <c r="I17" s="9">
        <v>95</v>
      </c>
      <c r="J17" s="9">
        <v>78</v>
      </c>
      <c r="K17" s="9">
        <f>SUM(D17:J17)</f>
        <v>657</v>
      </c>
      <c r="L17" s="22">
        <f>AVERAGE(D17:J17)</f>
        <v>93.8571428571429</v>
      </c>
    </row>
    <row r="18" ht="20" hidden="1" customHeight="1" outlineLevel="2" spans="1:12">
      <c r="A18" s="6">
        <v>120306</v>
      </c>
      <c r="B18" s="7" t="s">
        <v>16</v>
      </c>
      <c r="C18" s="8" t="str">
        <f>MID(A18,4,1)&amp;"班"</f>
        <v>3班</v>
      </c>
      <c r="D18" s="9">
        <v>101</v>
      </c>
      <c r="E18" s="9">
        <v>94</v>
      </c>
      <c r="F18" s="9">
        <v>99</v>
      </c>
      <c r="G18" s="9">
        <v>90</v>
      </c>
      <c r="H18" s="9">
        <v>87</v>
      </c>
      <c r="I18" s="9">
        <v>95</v>
      </c>
      <c r="J18" s="9">
        <v>93</v>
      </c>
      <c r="K18" s="9">
        <f>SUM(D18:J18)</f>
        <v>659</v>
      </c>
      <c r="L18" s="22">
        <f>AVERAGE(D18:J18)</f>
        <v>94.1428571428571</v>
      </c>
    </row>
    <row r="19" ht="20" hidden="1" customHeight="1" outlineLevel="2" spans="1:12">
      <c r="A19" s="6">
        <v>120302</v>
      </c>
      <c r="B19" s="7" t="s">
        <v>18</v>
      </c>
      <c r="C19" s="8" t="str">
        <f>MID(A19,4,1)&amp;"班"</f>
        <v>3班</v>
      </c>
      <c r="D19" s="9">
        <v>78</v>
      </c>
      <c r="E19" s="9">
        <v>95</v>
      </c>
      <c r="F19" s="9">
        <v>94</v>
      </c>
      <c r="G19" s="9">
        <v>82</v>
      </c>
      <c r="H19" s="9">
        <v>90</v>
      </c>
      <c r="I19" s="9">
        <v>93</v>
      </c>
      <c r="J19" s="9">
        <v>84</v>
      </c>
      <c r="K19" s="9">
        <f>SUM(D19:J19)</f>
        <v>616</v>
      </c>
      <c r="L19" s="22">
        <f>AVERAGE(D19:J19)</f>
        <v>88</v>
      </c>
    </row>
    <row r="20" ht="20" hidden="1" customHeight="1" outlineLevel="2" spans="1:12">
      <c r="A20" s="6">
        <v>120304</v>
      </c>
      <c r="B20" s="7" t="s">
        <v>21</v>
      </c>
      <c r="C20" s="8" t="str">
        <f>MID(A20,4,1)&amp;"班"</f>
        <v>3班</v>
      </c>
      <c r="D20" s="9">
        <v>95</v>
      </c>
      <c r="E20" s="9">
        <v>97</v>
      </c>
      <c r="F20" s="9">
        <v>102</v>
      </c>
      <c r="G20" s="9">
        <v>93</v>
      </c>
      <c r="H20" s="9">
        <v>95</v>
      </c>
      <c r="I20" s="9">
        <v>92</v>
      </c>
      <c r="J20" s="9">
        <v>88</v>
      </c>
      <c r="K20" s="9">
        <f>SUM(D20:J20)</f>
        <v>662</v>
      </c>
      <c r="L20" s="22">
        <f>AVERAGE(D20:J20)</f>
        <v>94.5714285714286</v>
      </c>
    </row>
    <row r="21" ht="20" hidden="1" customHeight="1" outlineLevel="2" spans="1:12">
      <c r="A21" s="16">
        <v>120303</v>
      </c>
      <c r="B21" s="17" t="s">
        <v>27</v>
      </c>
      <c r="C21" s="18" t="str">
        <f>MID(A21,4,1)&amp;"班"</f>
        <v>3班</v>
      </c>
      <c r="D21" s="19">
        <v>84</v>
      </c>
      <c r="E21" s="19">
        <v>100</v>
      </c>
      <c r="F21" s="19">
        <v>97</v>
      </c>
      <c r="G21" s="19">
        <v>87</v>
      </c>
      <c r="H21" s="19">
        <v>78</v>
      </c>
      <c r="I21" s="19">
        <v>89</v>
      </c>
      <c r="J21" s="19">
        <v>93</v>
      </c>
      <c r="K21" s="19">
        <f>SUM(D21:J21)</f>
        <v>628</v>
      </c>
      <c r="L21" s="24">
        <f>AVERAGE(D21:J21)</f>
        <v>89.7142857142857</v>
      </c>
    </row>
    <row r="22" ht="20" customHeight="1" outlineLevel="1" collapsed="1" spans="1:12">
      <c r="A22" s="16"/>
      <c r="B22" s="17"/>
      <c r="C22" s="20" t="s">
        <v>38</v>
      </c>
      <c r="D22" s="19">
        <f>SUBTOTAL(1,D16:D21)</f>
        <v>91.4166666666667</v>
      </c>
      <c r="E22" s="19">
        <f>SUBTOTAL(1,E16:E21)</f>
        <v>95.5</v>
      </c>
      <c r="F22" s="19">
        <f>SUBTOTAL(1,F16:F21)</f>
        <v>97.8333333333333</v>
      </c>
      <c r="G22" s="19">
        <f>SUBTOTAL(1,G16:G21)</f>
        <v>89.8333333333333</v>
      </c>
      <c r="H22" s="19">
        <f>SUBTOTAL(1,H16:H21)</f>
        <v>88.6666666666667</v>
      </c>
      <c r="I22" s="19">
        <f>SUBTOTAL(1,I16:I21)</f>
        <v>91.6666666666667</v>
      </c>
      <c r="J22" s="19">
        <f>SUBTOTAL(1,J16:J21)</f>
        <v>87</v>
      </c>
      <c r="K22" s="19"/>
      <c r="L22" s="24"/>
    </row>
    <row r="23" ht="20" customHeight="1" spans="1:12">
      <c r="A23" s="16"/>
      <c r="B23" s="17"/>
      <c r="C23" s="20" t="s">
        <v>39</v>
      </c>
      <c r="D23" s="19">
        <f>SUBTOTAL(1,D2:D21)</f>
        <v>94.6111111111111</v>
      </c>
      <c r="E23" s="19">
        <f>SUBTOTAL(1,E2:E21)</f>
        <v>99.8333333333333</v>
      </c>
      <c r="F23" s="19">
        <f>SUBTOTAL(1,F2:F21)</f>
        <v>100.222222222222</v>
      </c>
      <c r="G23" s="19">
        <f>SUBTOTAL(1,G2:G21)</f>
        <v>89.5555555555556</v>
      </c>
      <c r="H23" s="19">
        <f>SUBTOTAL(1,H2:H21)</f>
        <v>90</v>
      </c>
      <c r="I23" s="19">
        <f>SUBTOTAL(1,I2:I21)</f>
        <v>90</v>
      </c>
      <c r="J23" s="19">
        <f>SUBTOTAL(1,J2:J21)</f>
        <v>88.8333333333333</v>
      </c>
      <c r="K23" s="19"/>
      <c r="L23" s="24"/>
    </row>
    <row r="24" ht="14.25"/>
  </sheetData>
  <sortState ref="A2:L19">
    <sortCondition ref="C2"/>
  </sortState>
  <conditionalFormatting sqref="D2:F23">
    <cfRule type="cellIs" dxfId="0" priority="3" operator="greaterThanOrEqual">
      <formula>110</formula>
    </cfRule>
  </conditionalFormatting>
  <conditionalFormatting sqref="G2:J23">
    <cfRule type="cellIs" dxfId="1" priority="1" operator="greaterThanOrEqual">
      <formula>95</formula>
    </cfRule>
  </conditionalFormatting>
  <conditionalFormatting sqref="G24:J1048576">
    <cfRule type="cellIs" dxfId="1" priority="2" operator="greaterThanOrEqual">
      <formula>95</formula>
    </cfRule>
  </conditionalFormatting>
  <pageMargins left="0.7" right="0.7" top="0.75" bottom="0.75" header="0.3" footer="0.3"/>
  <pageSetup paperSize="9" orientation="portrait"/>
  <headerFooter/>
  <rowBreaks count="3" manualBreakCount="3">
    <brk id="8" max="16383" man="1"/>
    <brk id="15" max="16383" man="1"/>
    <brk id="23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neea</Company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第一学期期末成绩</vt:lpstr>
      <vt:lpstr>柱状分析图</vt:lpstr>
      <vt:lpstr>成绩汇总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neea</dc:creator>
  <cp:lastModifiedBy>微信用户</cp:lastModifiedBy>
  <dcterms:created xsi:type="dcterms:W3CDTF">2013-03-03T01:44:00Z</dcterms:created>
  <dcterms:modified xsi:type="dcterms:W3CDTF">2024-11-21T03:01:31Z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2052-12.1.0.18372</vt:lpwstr>
  </property>
  <property fmtid="{D5CDD505-2E9C-101B-9397-08002B2CF9AE}" pid="3" name="ICV">
    <vt:lpwstr>9CB8844D934F46F89B383FBA0005EF55_12</vt:lpwstr>
  </property>
</Properties>
</file>
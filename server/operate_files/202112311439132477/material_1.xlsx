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筛选" sheetId="2" r:id="rId2"/>
    <sheet name="学生平均分比较表" sheetId="3" r:id="rId3"/>
  </sheets>
  <definedNames>
    <definedName name="_xlnm._FilterDatabase" localSheetId="1" hidden="1">筛选!$A$3:$L$16</definedName>
    <definedName name="_xlnm.Criteria" localSheetId="1">筛选!$A$1:$B$2</definedName>
    <definedName name="_xlnm.Extract" localSheetId="1">筛选!#REF!</definedName>
  </definedNames>
  <calcPr calcId="144525"/>
</workbook>
</file>

<file path=xl/calcChain.xml><?xml version="1.0" encoding="utf-8"?>
<calcChain xmlns="http://schemas.openxmlformats.org/spreadsheetml/2006/main">
  <c r="L16" i="2" l="1"/>
  <c r="K16" i="2"/>
  <c r="C16" i="2"/>
  <c r="L15" i="2"/>
  <c r="K15" i="2"/>
  <c r="C15" i="2"/>
  <c r="L14" i="2"/>
  <c r="K14" i="2"/>
  <c r="C14" i="2"/>
  <c r="L13" i="2"/>
  <c r="K13" i="2"/>
  <c r="C13" i="2"/>
  <c r="L12" i="2"/>
  <c r="K12" i="2"/>
  <c r="C12" i="2"/>
  <c r="L11" i="2"/>
  <c r="K11" i="2"/>
  <c r="C11" i="2"/>
  <c r="L10" i="2"/>
  <c r="K10" i="2"/>
  <c r="C10" i="2"/>
  <c r="L9" i="2"/>
  <c r="K9" i="2"/>
  <c r="C9" i="2"/>
  <c r="L8" i="2"/>
  <c r="K8" i="2"/>
  <c r="C8" i="2"/>
  <c r="L7" i="2"/>
  <c r="K7" i="2"/>
  <c r="C7" i="2"/>
  <c r="L6" i="2"/>
  <c r="K6" i="2"/>
  <c r="C6" i="2"/>
  <c r="L5" i="2"/>
  <c r="K5" i="2"/>
  <c r="C5" i="2"/>
  <c r="L4" i="2"/>
  <c r="K4" i="2"/>
  <c r="C4" i="2"/>
  <c r="C10" i="1" l="1"/>
  <c r="C5" i="1"/>
  <c r="C13" i="1"/>
  <c r="C11" i="1"/>
  <c r="C8" i="1"/>
  <c r="C15" i="1"/>
  <c r="C7" i="1"/>
  <c r="C6" i="1"/>
  <c r="C12" i="1"/>
  <c r="C3" i="1"/>
  <c r="C4" i="1"/>
  <c r="C9" i="1"/>
  <c r="C14" i="1"/>
  <c r="L10" i="1" l="1"/>
  <c r="L5" i="1"/>
  <c r="L13" i="1"/>
  <c r="L11" i="1"/>
  <c r="L8" i="1"/>
  <c r="L15" i="1"/>
  <c r="L7" i="1"/>
  <c r="L6" i="1"/>
  <c r="L12" i="1"/>
  <c r="L3" i="1"/>
  <c r="L4" i="1"/>
  <c r="L9" i="1"/>
  <c r="L14" i="1"/>
  <c r="K10" i="1"/>
  <c r="K5" i="1"/>
  <c r="K13" i="1"/>
  <c r="K11" i="1"/>
  <c r="K8" i="1"/>
  <c r="K15" i="1"/>
  <c r="K7" i="1"/>
  <c r="K6" i="1"/>
  <c r="K12" i="1"/>
  <c r="K3" i="1"/>
  <c r="K4" i="1"/>
  <c r="K9" i="1"/>
  <c r="K14" i="1"/>
</calcChain>
</file>

<file path=xl/sharedStrings.xml><?xml version="1.0" encoding="utf-8"?>
<sst xmlns="http://schemas.openxmlformats.org/spreadsheetml/2006/main" count="55" uniqueCount="42">
  <si>
    <t>学号</t>
  </si>
  <si>
    <t>姓名</t>
  </si>
  <si>
    <t>班级</t>
  </si>
  <si>
    <t>高等代数</t>
  </si>
  <si>
    <t>数学分析</t>
  </si>
  <si>
    <t>大学英语</t>
  </si>
  <si>
    <t>大学物理</t>
  </si>
  <si>
    <t>VB程序设计</t>
  </si>
  <si>
    <t>C语言程序设计</t>
  </si>
  <si>
    <t>Matlab</t>
  </si>
  <si>
    <t>孟听</t>
    <phoneticPr fontId="1" type="noConversion"/>
  </si>
  <si>
    <t>林语</t>
    <phoneticPr fontId="1" type="noConversion"/>
  </si>
  <si>
    <t>肖思贤</t>
    <phoneticPr fontId="1" type="noConversion"/>
  </si>
  <si>
    <t>沈佳宇</t>
    <phoneticPr fontId="1" type="noConversion"/>
  </si>
  <si>
    <t>苏轩宇</t>
    <phoneticPr fontId="1" type="noConversion"/>
  </si>
  <si>
    <t>魏莹</t>
    <phoneticPr fontId="1" type="noConversion"/>
  </si>
  <si>
    <t>蓝思雨</t>
    <phoneticPr fontId="1" type="noConversion"/>
  </si>
  <si>
    <t>陈曦</t>
    <phoneticPr fontId="1" type="noConversion"/>
  </si>
  <si>
    <t>刘伟</t>
    <phoneticPr fontId="1" type="noConversion"/>
  </si>
  <si>
    <t>张佳乐</t>
    <phoneticPr fontId="1" type="noConversion"/>
  </si>
  <si>
    <t>齐琪</t>
    <phoneticPr fontId="1" type="noConversion"/>
  </si>
  <si>
    <t>董悦</t>
    <phoneticPr fontId="1" type="noConversion"/>
  </si>
  <si>
    <t>欧阳雨曦</t>
    <phoneticPr fontId="1" type="noConversion"/>
  </si>
  <si>
    <t>学生考试成绩统计表</t>
    <phoneticPr fontId="1" type="noConversion"/>
  </si>
  <si>
    <t>总分</t>
    <phoneticPr fontId="1" type="noConversion"/>
  </si>
  <si>
    <t>平均分</t>
    <phoneticPr fontId="1" type="noConversion"/>
  </si>
  <si>
    <t>总分</t>
  </si>
  <si>
    <t>平均分</t>
  </si>
  <si>
    <t>齐琪</t>
  </si>
  <si>
    <t>董悦</t>
  </si>
  <si>
    <t>肖思贤</t>
  </si>
  <si>
    <t>刘伟</t>
  </si>
  <si>
    <t>陈曦</t>
  </si>
  <si>
    <t>魏莹</t>
  </si>
  <si>
    <t>欧阳雨曦</t>
  </si>
  <si>
    <t>林语</t>
  </si>
  <si>
    <t>苏轩宇</t>
  </si>
  <si>
    <t>张佳乐</t>
  </si>
  <si>
    <t>沈佳宇</t>
  </si>
  <si>
    <t>孟听</t>
  </si>
  <si>
    <t>蓝思雨</t>
  </si>
  <si>
    <t>&gt;=95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</si>
</sst>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华文行楷"/>
      <family val="3"/>
      <charset val="134"/>
    </font>
    <font>
      <sz val="14"/>
      <color theme="1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ck">
        <color rgb="FF0070C0"/>
      </left>
      <right style="double">
        <color rgb="FFFFC000"/>
      </right>
      <top style="thick">
        <color rgb="FF0070C0"/>
      </top>
      <bottom style="double">
        <color rgb="FFFFC000"/>
      </bottom>
      <diagonal/>
    </border>
    <border>
      <left style="double">
        <color rgb="FFFFC000"/>
      </left>
      <right style="double">
        <color rgb="FFFFC000"/>
      </right>
      <top style="thick">
        <color rgb="FF0070C0"/>
      </top>
      <bottom style="double">
        <color rgb="FFFFC000"/>
      </bottom>
      <diagonal/>
    </border>
    <border>
      <left style="double">
        <color rgb="FFFFC000"/>
      </left>
      <right style="thick">
        <color rgb="FF0070C0"/>
      </right>
      <top style="thick">
        <color rgb="FF0070C0"/>
      </top>
      <bottom style="double">
        <color rgb="FFFFC000"/>
      </bottom>
      <diagonal/>
    </border>
    <border>
      <left style="thick">
        <color rgb="FF0070C0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thick">
        <color rgb="FF0070C0"/>
      </right>
      <top style="double">
        <color rgb="FFFFC000"/>
      </top>
      <bottom style="double">
        <color rgb="FFFFC000"/>
      </bottom>
      <diagonal/>
    </border>
    <border>
      <left style="thick">
        <color rgb="FF0070C0"/>
      </left>
      <right style="double">
        <color rgb="FFFFC000"/>
      </right>
      <top style="double">
        <color rgb="FFFFC000"/>
      </top>
      <bottom style="thick">
        <color rgb="FF0070C0"/>
      </bottom>
      <diagonal/>
    </border>
    <border>
      <left style="double">
        <color rgb="FFFFC000"/>
      </left>
      <right style="double">
        <color rgb="FFFFC000"/>
      </right>
      <top style="double">
        <color rgb="FFFFC000"/>
      </top>
      <bottom style="thick">
        <color rgb="FF0070C0"/>
      </bottom>
      <diagonal/>
    </border>
    <border>
      <left style="double">
        <color rgb="FFFFC000"/>
      </left>
      <right style="thick">
        <color rgb="FF0070C0"/>
      </right>
      <top style="double">
        <color rgb="FFFFC000"/>
      </top>
      <bottom style="thick">
        <color rgb="FF0070C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0" fillId="0" borderId="5" xfId="0" applyNumberFormat="1" applyBorder="1"/>
    <xf numFmtId="17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0" fillId="0" borderId="8" xfId="0" applyNumberFormat="1" applyBorder="1"/>
    <xf numFmtId="176" fontId="3" fillId="0" borderId="9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6" fontId="0" fillId="0" borderId="0" xfId="0" applyNumberFormat="1"/>
    <xf numFmtId="0" fontId="2" fillId="0" borderId="0" xfId="0" applyFont="1" applyAlignment="1">
      <alignment horizontal="centerContinuous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1" i="0" u="none" strike="noStrike" baseline="0">
                <a:effectLst/>
              </a:rPr>
              <a:t>学生平均分比较图</a:t>
            </a:r>
            <a:endParaRPr lang="zh-CN" alt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平均分</c:v>
                </c:pt>
              </c:strCache>
            </c:strRef>
          </c:tx>
          <c:invertIfNegative val="0"/>
          <c:cat>
            <c:strRef>
              <c:f>Sheet1!$B$3:$B$15</c:f>
              <c:strCache>
                <c:ptCount val="13"/>
                <c:pt idx="0">
                  <c:v>齐琪</c:v>
                </c:pt>
                <c:pt idx="1">
                  <c:v>董悦</c:v>
                </c:pt>
                <c:pt idx="2">
                  <c:v>肖思贤</c:v>
                </c:pt>
                <c:pt idx="3">
                  <c:v>刘伟</c:v>
                </c:pt>
                <c:pt idx="4">
                  <c:v>陈曦</c:v>
                </c:pt>
                <c:pt idx="5">
                  <c:v>魏莹</c:v>
                </c:pt>
                <c:pt idx="6">
                  <c:v>欧阳雨曦</c:v>
                </c:pt>
                <c:pt idx="7">
                  <c:v>林语</c:v>
                </c:pt>
                <c:pt idx="8">
                  <c:v>苏轩宇</c:v>
                </c:pt>
                <c:pt idx="9">
                  <c:v>张佳乐</c:v>
                </c:pt>
                <c:pt idx="10">
                  <c:v>沈佳宇</c:v>
                </c:pt>
                <c:pt idx="11">
                  <c:v>孟听</c:v>
                </c:pt>
                <c:pt idx="12">
                  <c:v>蓝思雨</c:v>
                </c:pt>
              </c:strCache>
            </c:strRef>
          </c:cat>
          <c:val>
            <c:numRef>
              <c:f>Sheet1!$L$3:$L$15</c:f>
              <c:numCache>
                <c:formatCode>0.00_ </c:formatCode>
                <c:ptCount val="13"/>
                <c:pt idx="0">
                  <c:v>92.285714285714292</c:v>
                </c:pt>
                <c:pt idx="1">
                  <c:v>90.428571428571431</c:v>
                </c:pt>
                <c:pt idx="2">
                  <c:v>87</c:v>
                </c:pt>
                <c:pt idx="3">
                  <c:v>94.214285714285708</c:v>
                </c:pt>
                <c:pt idx="4">
                  <c:v>92.214285714285708</c:v>
                </c:pt>
                <c:pt idx="5">
                  <c:v>91.214285714285708</c:v>
                </c:pt>
                <c:pt idx="6">
                  <c:v>90</c:v>
                </c:pt>
                <c:pt idx="7">
                  <c:v>88.714285714285708</c:v>
                </c:pt>
                <c:pt idx="8">
                  <c:v>93.857142857142861</c:v>
                </c:pt>
                <c:pt idx="9">
                  <c:v>93.714285714285708</c:v>
                </c:pt>
                <c:pt idx="10">
                  <c:v>90.142857142857139</c:v>
                </c:pt>
                <c:pt idx="11">
                  <c:v>89.928571428571431</c:v>
                </c:pt>
                <c:pt idx="12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8021888"/>
        <c:axId val="200200960"/>
        <c:axId val="0"/>
      </c:bar3DChart>
      <c:catAx>
        <c:axId val="218021888"/>
        <c:scaling>
          <c:orientation val="minMax"/>
        </c:scaling>
        <c:delete val="0"/>
        <c:axPos val="b"/>
        <c:majorTickMark val="out"/>
        <c:minorTickMark val="none"/>
        <c:tickLblPos val="nextTo"/>
        <c:crossAx val="200200960"/>
        <c:crosses val="autoZero"/>
        <c:auto val="1"/>
        <c:lblAlgn val="ctr"/>
        <c:lblOffset val="100"/>
        <c:noMultiLvlLbl val="0"/>
      </c:catAx>
      <c:valAx>
        <c:axId val="200200960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218021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14</xdr:row>
      <xdr:rowOff>76200</xdr:rowOff>
    </xdr:from>
    <xdr:to>
      <xdr:col>11</xdr:col>
      <xdr:colOff>390525</xdr:colOff>
      <xdr:row>30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/>
  </sheetViews>
  <sheetFormatPr defaultRowHeight="13.5" x14ac:dyDescent="0.15"/>
  <cols>
    <col min="1" max="1" width="9.25" bestFit="1" customWidth="1"/>
    <col min="2" max="2" width="11.875" bestFit="1" customWidth="1"/>
    <col min="3" max="3" width="6.75" bestFit="1" customWidth="1"/>
    <col min="4" max="7" width="11.875" bestFit="1" customWidth="1"/>
    <col min="8" max="8" width="14.625" bestFit="1" customWidth="1"/>
    <col min="9" max="9" width="18.875" bestFit="1" customWidth="1"/>
    <col min="10" max="10" width="9.25" bestFit="1" customWidth="1"/>
    <col min="11" max="11" width="9.125" bestFit="1" customWidth="1"/>
    <col min="12" max="12" width="9.25" bestFit="1" customWidth="1"/>
  </cols>
  <sheetData>
    <row r="1" spans="1:12" ht="21.75" thickBot="1" x14ac:dyDescent="0.2">
      <c r="A1" s="15" t="s">
        <v>23</v>
      </c>
      <c r="B1" s="1"/>
      <c r="C1" s="1"/>
      <c r="D1" s="1"/>
      <c r="E1" s="2"/>
      <c r="F1" s="1"/>
      <c r="G1" s="1"/>
      <c r="H1" s="1"/>
      <c r="I1" s="1"/>
      <c r="J1" s="1"/>
      <c r="K1" s="1"/>
      <c r="L1" s="1"/>
    </row>
    <row r="2" spans="1:12" ht="20.100000000000001" customHeight="1" thickTop="1" thickBot="1" x14ac:dyDescent="0.2">
      <c r="A2" s="11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24</v>
      </c>
      <c r="L2" s="13" t="s">
        <v>25</v>
      </c>
    </row>
    <row r="3" spans="1:12" ht="20.100000000000001" customHeight="1" thickTop="1" thickBot="1" x14ac:dyDescent="0.2">
      <c r="A3" s="3">
        <v>120103</v>
      </c>
      <c r="B3" s="4" t="s">
        <v>20</v>
      </c>
      <c r="C3" s="4" t="str">
        <f t="shared" ref="C3:C15" si="0">MID(A3,4,1)&amp;"班"</f>
        <v>1班</v>
      </c>
      <c r="D3" s="4">
        <v>95</v>
      </c>
      <c r="E3" s="4">
        <v>85</v>
      </c>
      <c r="F3" s="4">
        <v>96</v>
      </c>
      <c r="G3" s="4">
        <v>98</v>
      </c>
      <c r="H3" s="4">
        <v>92</v>
      </c>
      <c r="I3" s="4">
        <v>92</v>
      </c>
      <c r="J3" s="4">
        <v>88</v>
      </c>
      <c r="K3" s="5">
        <f t="shared" ref="K3:K15" si="1">SUM(D3:J3)</f>
        <v>646</v>
      </c>
      <c r="L3" s="6">
        <f t="shared" ref="L3:L15" si="2">AVERAGE(D3:J3)</f>
        <v>92.285714285714292</v>
      </c>
    </row>
    <row r="4" spans="1:12" ht="20.100000000000001" customHeight="1" thickTop="1" thickBot="1" x14ac:dyDescent="0.2">
      <c r="A4" s="3">
        <v>120105</v>
      </c>
      <c r="B4" s="4" t="s">
        <v>21</v>
      </c>
      <c r="C4" s="4" t="str">
        <f t="shared" si="0"/>
        <v>1班</v>
      </c>
      <c r="D4" s="4">
        <v>88</v>
      </c>
      <c r="E4" s="4">
        <v>98</v>
      </c>
      <c r="F4" s="4">
        <v>99</v>
      </c>
      <c r="G4" s="4">
        <v>89</v>
      </c>
      <c r="H4" s="4">
        <v>73</v>
      </c>
      <c r="I4" s="4">
        <v>95</v>
      </c>
      <c r="J4" s="4">
        <v>91</v>
      </c>
      <c r="K4" s="5">
        <f t="shared" si="1"/>
        <v>633</v>
      </c>
      <c r="L4" s="6">
        <f t="shared" si="2"/>
        <v>90.428571428571431</v>
      </c>
    </row>
    <row r="5" spans="1:12" ht="20.100000000000001" customHeight="1" thickTop="1" thickBot="1" x14ac:dyDescent="0.2">
      <c r="A5" s="3">
        <v>120104</v>
      </c>
      <c r="B5" s="4" t="s">
        <v>12</v>
      </c>
      <c r="C5" s="4" t="str">
        <f t="shared" si="0"/>
        <v>1班</v>
      </c>
      <c r="D5" s="4">
        <v>93</v>
      </c>
      <c r="E5" s="4">
        <v>99</v>
      </c>
      <c r="F5" s="4">
        <v>92</v>
      </c>
      <c r="G5" s="4">
        <v>78</v>
      </c>
      <c r="H5" s="4">
        <v>88</v>
      </c>
      <c r="I5" s="4">
        <v>86</v>
      </c>
      <c r="J5" s="4">
        <v>73</v>
      </c>
      <c r="K5" s="5">
        <f t="shared" si="1"/>
        <v>609</v>
      </c>
      <c r="L5" s="6">
        <f t="shared" si="2"/>
        <v>87</v>
      </c>
    </row>
    <row r="6" spans="1:12" ht="20.100000000000001" customHeight="1" thickTop="1" thickBot="1" x14ac:dyDescent="0.2">
      <c r="A6" s="3">
        <v>120201</v>
      </c>
      <c r="B6" s="4" t="s">
        <v>18</v>
      </c>
      <c r="C6" s="4" t="str">
        <f t="shared" si="0"/>
        <v>2班</v>
      </c>
      <c r="D6" s="4">
        <v>93.5</v>
      </c>
      <c r="E6" s="4">
        <v>92</v>
      </c>
      <c r="F6" s="4">
        <v>96</v>
      </c>
      <c r="G6" s="4">
        <v>100</v>
      </c>
      <c r="H6" s="4">
        <v>93</v>
      </c>
      <c r="I6" s="4">
        <v>92</v>
      </c>
      <c r="J6" s="4">
        <v>93</v>
      </c>
      <c r="K6" s="5">
        <f t="shared" si="1"/>
        <v>659.5</v>
      </c>
      <c r="L6" s="6">
        <f t="shared" si="2"/>
        <v>94.214285714285708</v>
      </c>
    </row>
    <row r="7" spans="1:12" ht="20.100000000000001" customHeight="1" thickTop="1" thickBot="1" x14ac:dyDescent="0.2">
      <c r="A7" s="3">
        <v>120204</v>
      </c>
      <c r="B7" s="4" t="s">
        <v>17</v>
      </c>
      <c r="C7" s="4" t="str">
        <f t="shared" si="0"/>
        <v>2班</v>
      </c>
      <c r="D7" s="4">
        <v>95.5</v>
      </c>
      <c r="E7" s="4">
        <v>92</v>
      </c>
      <c r="F7" s="4">
        <v>96</v>
      </c>
      <c r="G7" s="4">
        <v>84</v>
      </c>
      <c r="H7" s="4">
        <v>95</v>
      </c>
      <c r="I7" s="4">
        <v>91</v>
      </c>
      <c r="J7" s="4">
        <v>92</v>
      </c>
      <c r="K7" s="5">
        <f t="shared" si="1"/>
        <v>645.5</v>
      </c>
      <c r="L7" s="6">
        <f t="shared" si="2"/>
        <v>92.214285714285708</v>
      </c>
    </row>
    <row r="8" spans="1:12" ht="20.100000000000001" customHeight="1" thickTop="1" thickBot="1" x14ac:dyDescent="0.2">
      <c r="A8" s="3">
        <v>120206</v>
      </c>
      <c r="B8" s="4" t="s">
        <v>15</v>
      </c>
      <c r="C8" s="4" t="str">
        <f t="shared" si="0"/>
        <v>2班</v>
      </c>
      <c r="D8" s="4">
        <v>100.5</v>
      </c>
      <c r="E8" s="4">
        <v>94</v>
      </c>
      <c r="F8" s="4">
        <v>99</v>
      </c>
      <c r="G8" s="4">
        <v>88</v>
      </c>
      <c r="H8" s="4">
        <v>89</v>
      </c>
      <c r="I8" s="4">
        <v>78</v>
      </c>
      <c r="J8" s="4">
        <v>90</v>
      </c>
      <c r="K8" s="5">
        <f t="shared" si="1"/>
        <v>638.5</v>
      </c>
      <c r="L8" s="6">
        <f t="shared" si="2"/>
        <v>91.214285714285708</v>
      </c>
    </row>
    <row r="9" spans="1:12" ht="20.100000000000001" customHeight="1" thickTop="1" thickBot="1" x14ac:dyDescent="0.2">
      <c r="A9" s="3">
        <v>120202</v>
      </c>
      <c r="B9" s="4" t="s">
        <v>22</v>
      </c>
      <c r="C9" s="4" t="str">
        <f t="shared" si="0"/>
        <v>2班</v>
      </c>
      <c r="D9" s="4">
        <v>86</v>
      </c>
      <c r="E9" s="4">
        <v>98</v>
      </c>
      <c r="F9" s="4">
        <v>89</v>
      </c>
      <c r="G9" s="4">
        <v>88</v>
      </c>
      <c r="H9" s="4">
        <v>92</v>
      </c>
      <c r="I9" s="4">
        <v>88</v>
      </c>
      <c r="J9" s="4">
        <v>89</v>
      </c>
      <c r="K9" s="5">
        <f t="shared" si="1"/>
        <v>630</v>
      </c>
      <c r="L9" s="6">
        <f t="shared" si="2"/>
        <v>90</v>
      </c>
    </row>
    <row r="10" spans="1:12" ht="20.100000000000001" customHeight="1" thickTop="1" thickBot="1" x14ac:dyDescent="0.2">
      <c r="A10" s="3">
        <v>120203</v>
      </c>
      <c r="B10" s="4" t="s">
        <v>11</v>
      </c>
      <c r="C10" s="4" t="str">
        <f t="shared" si="0"/>
        <v>2班</v>
      </c>
      <c r="D10" s="4">
        <v>93</v>
      </c>
      <c r="E10" s="4">
        <v>99</v>
      </c>
      <c r="F10" s="4">
        <v>92</v>
      </c>
      <c r="G10" s="4">
        <v>86</v>
      </c>
      <c r="H10" s="4">
        <v>86</v>
      </c>
      <c r="I10" s="4">
        <v>73</v>
      </c>
      <c r="J10" s="4">
        <v>92</v>
      </c>
      <c r="K10" s="5">
        <f t="shared" si="1"/>
        <v>621</v>
      </c>
      <c r="L10" s="6">
        <f t="shared" si="2"/>
        <v>88.714285714285708</v>
      </c>
    </row>
    <row r="11" spans="1:12" ht="20.100000000000001" customHeight="1" thickTop="1" thickBot="1" x14ac:dyDescent="0.2">
      <c r="A11" s="3">
        <v>120306</v>
      </c>
      <c r="B11" s="4" t="s">
        <v>14</v>
      </c>
      <c r="C11" s="4" t="str">
        <f t="shared" si="0"/>
        <v>3班</v>
      </c>
      <c r="D11" s="4">
        <v>99</v>
      </c>
      <c r="E11" s="4">
        <v>94</v>
      </c>
      <c r="F11" s="4">
        <v>99</v>
      </c>
      <c r="G11" s="4">
        <v>90</v>
      </c>
      <c r="H11" s="4">
        <v>87</v>
      </c>
      <c r="I11" s="4">
        <v>95</v>
      </c>
      <c r="J11" s="4">
        <v>93</v>
      </c>
      <c r="K11" s="5">
        <f t="shared" si="1"/>
        <v>657</v>
      </c>
      <c r="L11" s="6">
        <f t="shared" si="2"/>
        <v>93.857142857142861</v>
      </c>
    </row>
    <row r="12" spans="1:12" ht="20.100000000000001" customHeight="1" thickTop="1" thickBot="1" x14ac:dyDescent="0.2">
      <c r="A12" s="3">
        <v>120304</v>
      </c>
      <c r="B12" s="4" t="s">
        <v>19</v>
      </c>
      <c r="C12" s="4" t="str">
        <f t="shared" si="0"/>
        <v>3班</v>
      </c>
      <c r="D12" s="4">
        <v>95</v>
      </c>
      <c r="E12" s="4">
        <v>97</v>
      </c>
      <c r="F12" s="4">
        <v>96</v>
      </c>
      <c r="G12" s="4">
        <v>93</v>
      </c>
      <c r="H12" s="4">
        <v>95</v>
      </c>
      <c r="I12" s="4">
        <v>92</v>
      </c>
      <c r="J12" s="4">
        <v>88</v>
      </c>
      <c r="K12" s="5">
        <f t="shared" si="1"/>
        <v>656</v>
      </c>
      <c r="L12" s="6">
        <f t="shared" si="2"/>
        <v>93.714285714285708</v>
      </c>
    </row>
    <row r="13" spans="1:12" ht="20.100000000000001" customHeight="1" thickTop="1" thickBot="1" x14ac:dyDescent="0.2">
      <c r="A13" s="3">
        <v>120301</v>
      </c>
      <c r="B13" s="4" t="s">
        <v>13</v>
      </c>
      <c r="C13" s="4" t="str">
        <f t="shared" si="0"/>
        <v>3班</v>
      </c>
      <c r="D13" s="4">
        <v>99</v>
      </c>
      <c r="E13" s="4">
        <v>98</v>
      </c>
      <c r="F13" s="4">
        <v>92</v>
      </c>
      <c r="G13" s="4">
        <v>78</v>
      </c>
      <c r="H13" s="4">
        <v>91</v>
      </c>
      <c r="I13" s="4">
        <v>95</v>
      </c>
      <c r="J13" s="4">
        <v>78</v>
      </c>
      <c r="K13" s="5">
        <f t="shared" si="1"/>
        <v>631</v>
      </c>
      <c r="L13" s="6">
        <f t="shared" si="2"/>
        <v>90.142857142857139</v>
      </c>
    </row>
    <row r="14" spans="1:12" ht="20.100000000000001" customHeight="1" thickTop="1" thickBot="1" x14ac:dyDescent="0.2">
      <c r="A14" s="3">
        <v>120305</v>
      </c>
      <c r="B14" s="4" t="s">
        <v>10</v>
      </c>
      <c r="C14" s="4" t="str">
        <f t="shared" si="0"/>
        <v>3班</v>
      </c>
      <c r="D14" s="4">
        <v>91.5</v>
      </c>
      <c r="E14" s="4">
        <v>89</v>
      </c>
      <c r="F14" s="4">
        <v>94</v>
      </c>
      <c r="G14" s="4">
        <v>92</v>
      </c>
      <c r="H14" s="4">
        <v>91</v>
      </c>
      <c r="I14" s="4">
        <v>86</v>
      </c>
      <c r="J14" s="4">
        <v>86</v>
      </c>
      <c r="K14" s="5">
        <f t="shared" si="1"/>
        <v>629.5</v>
      </c>
      <c r="L14" s="6">
        <f t="shared" si="2"/>
        <v>89.928571428571431</v>
      </c>
    </row>
    <row r="15" spans="1:12" ht="20.100000000000001" customHeight="1" thickTop="1" thickBot="1" x14ac:dyDescent="0.2">
      <c r="A15" s="7">
        <v>120302</v>
      </c>
      <c r="B15" s="8" t="s">
        <v>16</v>
      </c>
      <c r="C15" s="8" t="str">
        <f t="shared" si="0"/>
        <v>3班</v>
      </c>
      <c r="D15" s="8">
        <v>78</v>
      </c>
      <c r="E15" s="8">
        <v>95</v>
      </c>
      <c r="F15" s="8">
        <v>94</v>
      </c>
      <c r="G15" s="8">
        <v>82</v>
      </c>
      <c r="H15" s="8">
        <v>90</v>
      </c>
      <c r="I15" s="8">
        <v>93</v>
      </c>
      <c r="J15" s="8">
        <v>84</v>
      </c>
      <c r="K15" s="9">
        <f t="shared" si="1"/>
        <v>616</v>
      </c>
      <c r="L15" s="10">
        <f t="shared" si="2"/>
        <v>88</v>
      </c>
    </row>
    <row r="16" spans="1:12" ht="14.25" thickTop="1" x14ac:dyDescent="0.15"/>
  </sheetData>
  <sortState ref="A3:L15">
    <sortCondition ref="C3:C15"/>
    <sortCondition descending="1" ref="K3:K1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6"/>
  <sheetViews>
    <sheetView workbookViewId="0">
      <selection activeCell="E30" sqref="E30"/>
    </sheetView>
  </sheetViews>
  <sheetFormatPr defaultRowHeight="13.5" x14ac:dyDescent="0.15"/>
  <sheetData>
    <row r="1" spans="1:12" x14ac:dyDescent="0.15">
      <c r="A1" t="s">
        <v>3</v>
      </c>
      <c r="B1" t="s">
        <v>5</v>
      </c>
    </row>
    <row r="2" spans="1:12" x14ac:dyDescent="0.15">
      <c r="A2" t="s">
        <v>41</v>
      </c>
      <c r="B2" t="s">
        <v>41</v>
      </c>
    </row>
    <row r="3" spans="1:12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26</v>
      </c>
      <c r="L3" t="s">
        <v>27</v>
      </c>
    </row>
    <row r="4" spans="1:12" x14ac:dyDescent="0.15">
      <c r="A4">
        <v>120103</v>
      </c>
      <c r="B4" t="s">
        <v>28</v>
      </c>
      <c r="C4" t="str">
        <f t="shared" ref="C4:C16" si="0">MID(A4,4,1)&amp;"班"</f>
        <v>1班</v>
      </c>
      <c r="D4">
        <v>95</v>
      </c>
      <c r="E4">
        <v>85</v>
      </c>
      <c r="F4">
        <v>96</v>
      </c>
      <c r="G4">
        <v>98</v>
      </c>
      <c r="H4">
        <v>92</v>
      </c>
      <c r="I4">
        <v>92</v>
      </c>
      <c r="J4">
        <v>88</v>
      </c>
      <c r="K4" s="14">
        <f t="shared" ref="K4:K16" si="1">SUM(D4:J4)</f>
        <v>646</v>
      </c>
      <c r="L4" s="14">
        <f t="shared" ref="L4:L16" si="2">AVERAGE(D4:J4)</f>
        <v>92.285714285714292</v>
      </c>
    </row>
    <row r="5" spans="1:12" hidden="1" x14ac:dyDescent="0.15">
      <c r="A5">
        <v>120105</v>
      </c>
      <c r="B5" t="s">
        <v>29</v>
      </c>
      <c r="C5" t="str">
        <f t="shared" si="0"/>
        <v>1班</v>
      </c>
      <c r="D5">
        <v>88</v>
      </c>
      <c r="E5">
        <v>98</v>
      </c>
      <c r="F5">
        <v>99</v>
      </c>
      <c r="G5">
        <v>89</v>
      </c>
      <c r="H5">
        <v>73</v>
      </c>
      <c r="I5">
        <v>95</v>
      </c>
      <c r="J5">
        <v>91</v>
      </c>
      <c r="K5" s="14">
        <f t="shared" si="1"/>
        <v>633</v>
      </c>
      <c r="L5" s="14">
        <f t="shared" si="2"/>
        <v>90.428571428571431</v>
      </c>
    </row>
    <row r="6" spans="1:12" hidden="1" x14ac:dyDescent="0.15">
      <c r="A6">
        <v>120104</v>
      </c>
      <c r="B6" t="s">
        <v>30</v>
      </c>
      <c r="C6" t="str">
        <f t="shared" si="0"/>
        <v>1班</v>
      </c>
      <c r="D6">
        <v>93</v>
      </c>
      <c r="E6">
        <v>99</v>
      </c>
      <c r="F6">
        <v>92</v>
      </c>
      <c r="G6">
        <v>78</v>
      </c>
      <c r="H6">
        <v>88</v>
      </c>
      <c r="I6">
        <v>86</v>
      </c>
      <c r="J6">
        <v>73</v>
      </c>
      <c r="K6" s="14">
        <f t="shared" si="1"/>
        <v>609</v>
      </c>
      <c r="L6" s="14">
        <f t="shared" si="2"/>
        <v>87</v>
      </c>
    </row>
    <row r="7" spans="1:12" hidden="1" x14ac:dyDescent="0.15">
      <c r="A7">
        <v>120201</v>
      </c>
      <c r="B7" t="s">
        <v>31</v>
      </c>
      <c r="C7" t="str">
        <f t="shared" si="0"/>
        <v>2班</v>
      </c>
      <c r="D7">
        <v>93.5</v>
      </c>
      <c r="E7">
        <v>92</v>
      </c>
      <c r="F7">
        <v>96</v>
      </c>
      <c r="G7">
        <v>100</v>
      </c>
      <c r="H7">
        <v>93</v>
      </c>
      <c r="I7">
        <v>92</v>
      </c>
      <c r="J7">
        <v>93</v>
      </c>
      <c r="K7" s="14">
        <f t="shared" si="1"/>
        <v>659.5</v>
      </c>
      <c r="L7" s="14">
        <f t="shared" si="2"/>
        <v>94.214285714285708</v>
      </c>
    </row>
    <row r="8" spans="1:12" x14ac:dyDescent="0.15">
      <c r="A8">
        <v>120204</v>
      </c>
      <c r="B8" t="s">
        <v>32</v>
      </c>
      <c r="C8" t="str">
        <f t="shared" si="0"/>
        <v>2班</v>
      </c>
      <c r="D8">
        <v>95.5</v>
      </c>
      <c r="E8">
        <v>92</v>
      </c>
      <c r="F8">
        <v>96</v>
      </c>
      <c r="G8">
        <v>84</v>
      </c>
      <c r="H8">
        <v>95</v>
      </c>
      <c r="I8">
        <v>91</v>
      </c>
      <c r="J8">
        <v>92</v>
      </c>
      <c r="K8" s="14">
        <f t="shared" si="1"/>
        <v>645.5</v>
      </c>
      <c r="L8" s="14">
        <f t="shared" si="2"/>
        <v>92.214285714285708</v>
      </c>
    </row>
    <row r="9" spans="1:12" x14ac:dyDescent="0.15">
      <c r="A9">
        <v>120206</v>
      </c>
      <c r="B9" t="s">
        <v>33</v>
      </c>
      <c r="C9" t="str">
        <f t="shared" si="0"/>
        <v>2班</v>
      </c>
      <c r="D9">
        <v>100.5</v>
      </c>
      <c r="E9">
        <v>94</v>
      </c>
      <c r="F9">
        <v>99</v>
      </c>
      <c r="G9">
        <v>88</v>
      </c>
      <c r="H9">
        <v>89</v>
      </c>
      <c r="I9">
        <v>78</v>
      </c>
      <c r="J9">
        <v>90</v>
      </c>
      <c r="K9" s="14">
        <f t="shared" si="1"/>
        <v>638.5</v>
      </c>
      <c r="L9" s="14">
        <f t="shared" si="2"/>
        <v>91.214285714285708</v>
      </c>
    </row>
    <row r="10" spans="1:12" hidden="1" x14ac:dyDescent="0.15">
      <c r="A10">
        <v>120202</v>
      </c>
      <c r="B10" t="s">
        <v>34</v>
      </c>
      <c r="C10" t="str">
        <f t="shared" si="0"/>
        <v>2班</v>
      </c>
      <c r="D10">
        <v>86</v>
      </c>
      <c r="E10">
        <v>98</v>
      </c>
      <c r="F10">
        <v>89</v>
      </c>
      <c r="G10">
        <v>88</v>
      </c>
      <c r="H10">
        <v>92</v>
      </c>
      <c r="I10">
        <v>88</v>
      </c>
      <c r="J10">
        <v>89</v>
      </c>
      <c r="K10" s="14">
        <f t="shared" si="1"/>
        <v>630</v>
      </c>
      <c r="L10" s="14">
        <f t="shared" si="2"/>
        <v>90</v>
      </c>
    </row>
    <row r="11" spans="1:12" hidden="1" x14ac:dyDescent="0.15">
      <c r="A11">
        <v>120203</v>
      </c>
      <c r="B11" t="s">
        <v>35</v>
      </c>
      <c r="C11" t="str">
        <f t="shared" si="0"/>
        <v>2班</v>
      </c>
      <c r="D11">
        <v>93</v>
      </c>
      <c r="E11">
        <v>99</v>
      </c>
      <c r="F11">
        <v>92</v>
      </c>
      <c r="G11">
        <v>86</v>
      </c>
      <c r="H11">
        <v>86</v>
      </c>
      <c r="I11">
        <v>73</v>
      </c>
      <c r="J11">
        <v>92</v>
      </c>
      <c r="K11" s="14">
        <f t="shared" si="1"/>
        <v>621</v>
      </c>
      <c r="L11" s="14">
        <f t="shared" si="2"/>
        <v>88.714285714285708</v>
      </c>
    </row>
    <row r="12" spans="1:12" x14ac:dyDescent="0.15">
      <c r="A12">
        <v>120306</v>
      </c>
      <c r="B12" t="s">
        <v>36</v>
      </c>
      <c r="C12" t="str">
        <f t="shared" si="0"/>
        <v>3班</v>
      </c>
      <c r="D12">
        <v>99</v>
      </c>
      <c r="E12">
        <v>94</v>
      </c>
      <c r="F12">
        <v>99</v>
      </c>
      <c r="G12">
        <v>90</v>
      </c>
      <c r="H12">
        <v>87</v>
      </c>
      <c r="I12">
        <v>95</v>
      </c>
      <c r="J12">
        <v>93</v>
      </c>
      <c r="K12" s="14">
        <f t="shared" si="1"/>
        <v>657</v>
      </c>
      <c r="L12" s="14">
        <f t="shared" si="2"/>
        <v>93.857142857142861</v>
      </c>
    </row>
    <row r="13" spans="1:12" x14ac:dyDescent="0.15">
      <c r="A13">
        <v>120304</v>
      </c>
      <c r="B13" t="s">
        <v>37</v>
      </c>
      <c r="C13" t="str">
        <f t="shared" si="0"/>
        <v>3班</v>
      </c>
      <c r="D13">
        <v>95</v>
      </c>
      <c r="E13">
        <v>97</v>
      </c>
      <c r="F13">
        <v>96</v>
      </c>
      <c r="G13">
        <v>93</v>
      </c>
      <c r="H13">
        <v>95</v>
      </c>
      <c r="I13">
        <v>92</v>
      </c>
      <c r="J13">
        <v>88</v>
      </c>
      <c r="K13" s="14">
        <f t="shared" si="1"/>
        <v>656</v>
      </c>
      <c r="L13" s="14">
        <f t="shared" si="2"/>
        <v>93.714285714285708</v>
      </c>
    </row>
    <row r="14" spans="1:12" hidden="1" x14ac:dyDescent="0.15">
      <c r="A14">
        <v>120301</v>
      </c>
      <c r="B14" t="s">
        <v>38</v>
      </c>
      <c r="C14" t="str">
        <f t="shared" si="0"/>
        <v>3班</v>
      </c>
      <c r="D14">
        <v>99</v>
      </c>
      <c r="E14">
        <v>98</v>
      </c>
      <c r="F14">
        <v>92</v>
      </c>
      <c r="G14">
        <v>78</v>
      </c>
      <c r="H14">
        <v>91</v>
      </c>
      <c r="I14">
        <v>95</v>
      </c>
      <c r="J14">
        <v>78</v>
      </c>
      <c r="K14" s="14">
        <f t="shared" si="1"/>
        <v>631</v>
      </c>
      <c r="L14" s="14">
        <f t="shared" si="2"/>
        <v>90.142857142857139</v>
      </c>
    </row>
    <row r="15" spans="1:12" hidden="1" x14ac:dyDescent="0.15">
      <c r="A15">
        <v>120305</v>
      </c>
      <c r="B15" t="s">
        <v>39</v>
      </c>
      <c r="C15" t="str">
        <f t="shared" si="0"/>
        <v>3班</v>
      </c>
      <c r="D15">
        <v>91.5</v>
      </c>
      <c r="E15">
        <v>89</v>
      </c>
      <c r="F15">
        <v>94</v>
      </c>
      <c r="G15">
        <v>92</v>
      </c>
      <c r="H15">
        <v>91</v>
      </c>
      <c r="I15">
        <v>86</v>
      </c>
      <c r="J15">
        <v>86</v>
      </c>
      <c r="K15" s="14">
        <f t="shared" si="1"/>
        <v>629.5</v>
      </c>
      <c r="L15" s="14">
        <f t="shared" si="2"/>
        <v>89.928571428571431</v>
      </c>
    </row>
    <row r="16" spans="1:12" hidden="1" x14ac:dyDescent="0.15">
      <c r="A16">
        <v>120302</v>
      </c>
      <c r="B16" t="s">
        <v>40</v>
      </c>
      <c r="C16" t="str">
        <f t="shared" si="0"/>
        <v>3班</v>
      </c>
      <c r="D16">
        <v>78</v>
      </c>
      <c r="E16">
        <v>95</v>
      </c>
      <c r="F16">
        <v>94</v>
      </c>
      <c r="G16">
        <v>82</v>
      </c>
      <c r="H16">
        <v>90</v>
      </c>
      <c r="I16">
        <v>93</v>
      </c>
      <c r="J16">
        <v>84</v>
      </c>
      <c r="K16" s="14">
        <f t="shared" si="1"/>
        <v>616</v>
      </c>
      <c r="L16" s="14">
        <f t="shared" si="2"/>
        <v>88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9" sqref="C19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筛选</vt:lpstr>
      <vt:lpstr>学生平均分比较表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2022-01-24T08:40:54Z</dcterms:modified>
</cp:coreProperties>
</file>
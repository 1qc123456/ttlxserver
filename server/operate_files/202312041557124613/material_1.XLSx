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 activeTab="2"/>
  </bookViews>
  <sheets>
    <sheet name="Sheet1" sheetId="1" r:id="rId1"/>
    <sheet name="排序分类汇总表" sheetId="2" r:id="rId2"/>
    <sheet name="图表" sheetId="3" r:id="rId3"/>
  </sheets>
  <calcPr calcId="144525"/>
</workbook>
</file>

<file path=xl/sharedStrings.xml><?xml version="1.0" encoding="utf-8"?>
<sst xmlns="http://schemas.openxmlformats.org/spreadsheetml/2006/main" count="158" uniqueCount="85">
  <si>
    <t>学生成绩统计</t>
  </si>
  <si>
    <t>系</t>
  </si>
  <si>
    <t>学号</t>
  </si>
  <si>
    <t xml:space="preserve">姓名 </t>
  </si>
  <si>
    <t>高数</t>
  </si>
  <si>
    <t>外语</t>
  </si>
  <si>
    <t>计算机基础</t>
  </si>
  <si>
    <t>平均分</t>
  </si>
  <si>
    <t xml:space="preserve">计算机 </t>
  </si>
  <si>
    <r>
      <rPr>
        <sz val="12"/>
        <rFont val="宋体"/>
        <charset val="134"/>
      </rPr>
      <t>001</t>
    </r>
  </si>
  <si>
    <t>王海</t>
  </si>
  <si>
    <r>
      <rPr>
        <sz val="12"/>
        <rFont val="宋体"/>
        <charset val="134"/>
      </rPr>
      <t>002</t>
    </r>
  </si>
  <si>
    <t>赵萌萌</t>
  </si>
  <si>
    <t>学科</t>
  </si>
  <si>
    <t>经济学</t>
  </si>
  <si>
    <r>
      <rPr>
        <sz val="12"/>
        <rFont val="宋体"/>
        <charset val="134"/>
      </rPr>
      <t>003</t>
    </r>
  </si>
  <si>
    <t>孙丽</t>
  </si>
  <si>
    <t>优秀率</t>
  </si>
  <si>
    <t>环保</t>
  </si>
  <si>
    <r>
      <rPr>
        <sz val="12"/>
        <rFont val="宋体"/>
        <charset val="134"/>
      </rPr>
      <t>004</t>
    </r>
  </si>
  <si>
    <t>李壮</t>
  </si>
  <si>
    <t>法律</t>
  </si>
  <si>
    <r>
      <rPr>
        <sz val="12"/>
        <rFont val="宋体"/>
        <charset val="134"/>
      </rPr>
      <t>005</t>
    </r>
  </si>
  <si>
    <t>张小明</t>
  </si>
  <si>
    <r>
      <rPr>
        <sz val="12"/>
        <rFont val="宋体"/>
        <charset val="134"/>
      </rPr>
      <t>006</t>
    </r>
  </si>
  <si>
    <t>周蓉</t>
  </si>
  <si>
    <r>
      <rPr>
        <sz val="12"/>
        <rFont val="宋体"/>
        <charset val="134"/>
      </rPr>
      <t>007</t>
    </r>
  </si>
  <si>
    <t>黄小小</t>
  </si>
  <si>
    <r>
      <rPr>
        <sz val="12"/>
        <rFont val="宋体"/>
        <charset val="134"/>
      </rPr>
      <t>008</t>
    </r>
  </si>
  <si>
    <t>马伟</t>
  </si>
  <si>
    <r>
      <rPr>
        <sz val="12"/>
        <rFont val="宋体"/>
        <charset val="134"/>
      </rPr>
      <t>009</t>
    </r>
  </si>
  <si>
    <t>杨天</t>
  </si>
  <si>
    <r>
      <rPr>
        <sz val="12"/>
        <rFont val="宋体"/>
        <charset val="134"/>
      </rPr>
      <t>010</t>
    </r>
  </si>
  <si>
    <t>吴健树</t>
  </si>
  <si>
    <r>
      <rPr>
        <sz val="12"/>
        <rFont val="宋体"/>
        <charset val="134"/>
      </rPr>
      <t>011</t>
    </r>
  </si>
  <si>
    <t>李东敏</t>
  </si>
  <si>
    <r>
      <rPr>
        <sz val="12"/>
        <rFont val="宋体"/>
        <charset val="134"/>
      </rPr>
      <t>012</t>
    </r>
  </si>
  <si>
    <t>金凯</t>
  </si>
  <si>
    <r>
      <rPr>
        <sz val="12"/>
        <rFont val="宋体"/>
        <charset val="134"/>
      </rPr>
      <t>013</t>
    </r>
  </si>
  <si>
    <t>刘燕</t>
  </si>
  <si>
    <r>
      <rPr>
        <sz val="12"/>
        <rFont val="宋体"/>
        <charset val="134"/>
      </rPr>
      <t>014</t>
    </r>
  </si>
  <si>
    <t>欧阳飞</t>
  </si>
  <si>
    <r>
      <rPr>
        <sz val="12"/>
        <rFont val="宋体"/>
        <charset val="134"/>
      </rPr>
      <t>015</t>
    </r>
  </si>
  <si>
    <t>李阳阳</t>
  </si>
  <si>
    <r>
      <rPr>
        <sz val="12"/>
        <rFont val="宋体"/>
        <charset val="134"/>
      </rPr>
      <t>016</t>
    </r>
  </si>
  <si>
    <t>高靖</t>
  </si>
  <si>
    <r>
      <rPr>
        <sz val="12"/>
        <rFont val="宋体"/>
        <charset val="134"/>
      </rPr>
      <t>017</t>
    </r>
  </si>
  <si>
    <t>刘小彬</t>
  </si>
  <si>
    <r>
      <rPr>
        <sz val="12"/>
        <rFont val="宋体"/>
        <charset val="134"/>
      </rPr>
      <t>018</t>
    </r>
  </si>
  <si>
    <t>孙汉臣</t>
  </si>
  <si>
    <r>
      <rPr>
        <sz val="12"/>
        <rFont val="宋体"/>
        <charset val="134"/>
      </rPr>
      <t>019</t>
    </r>
  </si>
  <si>
    <t>严和平</t>
  </si>
  <si>
    <r>
      <rPr>
        <sz val="12"/>
        <rFont val="宋体"/>
        <charset val="134"/>
      </rPr>
      <t>020</t>
    </r>
  </si>
  <si>
    <t>殷美娟</t>
  </si>
  <si>
    <r>
      <rPr>
        <sz val="12"/>
        <rFont val="宋体"/>
        <charset val="134"/>
      </rPr>
      <t>021</t>
    </r>
  </si>
  <si>
    <t>邓康</t>
  </si>
  <si>
    <r>
      <rPr>
        <sz val="12"/>
        <rFont val="宋体"/>
        <charset val="134"/>
      </rPr>
      <t>022</t>
    </r>
  </si>
  <si>
    <t>李晓</t>
  </si>
  <si>
    <t>012</t>
  </si>
  <si>
    <t>007</t>
  </si>
  <si>
    <t>005</t>
  </si>
  <si>
    <t>014</t>
  </si>
  <si>
    <t>019</t>
  </si>
  <si>
    <t>016</t>
  </si>
  <si>
    <t>021</t>
  </si>
  <si>
    <t>法律 平均值</t>
  </si>
  <si>
    <t>004</t>
  </si>
  <si>
    <t>011</t>
  </si>
  <si>
    <t>环保 平均值</t>
  </si>
  <si>
    <t>002</t>
  </si>
  <si>
    <t>017</t>
  </si>
  <si>
    <t>022</t>
  </si>
  <si>
    <t>008</t>
  </si>
  <si>
    <t>001</t>
  </si>
  <si>
    <t>009</t>
  </si>
  <si>
    <t>计算机  平均值</t>
  </si>
  <si>
    <t>010</t>
  </si>
  <si>
    <t>013</t>
  </si>
  <si>
    <t>003</t>
  </si>
  <si>
    <t>018</t>
  </si>
  <si>
    <t>015</t>
  </si>
  <si>
    <t>020</t>
  </si>
  <si>
    <t>006</t>
  </si>
  <si>
    <t>经济学 平均值</t>
  </si>
  <si>
    <t>总计平均值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</si>
</sst>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3">
    <font>
      <sz val="12"/>
      <name val="宋体"/>
      <charset val="134"/>
    </font>
    <font>
      <b/>
      <sz val="12"/>
      <name val="宋体"/>
      <charset val="134"/>
    </font>
    <font>
      <b/>
      <sz val="20"/>
      <color rgb="FF0070C0"/>
      <name val="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0070C0"/>
      </left>
      <right style="double">
        <color rgb="FF002060"/>
      </right>
      <top style="thick">
        <color rgb="FF0070C0"/>
      </top>
      <bottom style="double">
        <color rgb="FF002060"/>
      </bottom>
      <diagonal/>
    </border>
    <border>
      <left style="double">
        <color rgb="FF002060"/>
      </left>
      <right style="double">
        <color rgb="FF002060"/>
      </right>
      <top style="thick">
        <color rgb="FF0070C0"/>
      </top>
      <bottom style="double">
        <color rgb="FF002060"/>
      </bottom>
      <diagonal/>
    </border>
    <border>
      <left style="double">
        <color rgb="FF002060"/>
      </left>
      <right style="thick">
        <color rgb="FF0070C0"/>
      </right>
      <top style="thick">
        <color rgb="FF0070C0"/>
      </top>
      <bottom style="double">
        <color rgb="FF002060"/>
      </bottom>
      <diagonal/>
    </border>
    <border>
      <left style="thick">
        <color rgb="FF0070C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 style="thick">
        <color rgb="FF0070C0"/>
      </right>
      <top style="double">
        <color rgb="FF002060"/>
      </top>
      <bottom style="double">
        <color rgb="FF002060"/>
      </bottom>
      <diagonal/>
    </border>
    <border>
      <left style="thick">
        <color rgb="FF0070C0"/>
      </left>
      <right style="double">
        <color rgb="FF002060"/>
      </right>
      <top style="double">
        <color rgb="FF002060"/>
      </top>
      <bottom style="thick">
        <color rgb="FF0070C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thick">
        <color rgb="FF0070C0"/>
      </bottom>
      <diagonal/>
    </border>
    <border>
      <left style="double">
        <color rgb="FF002060"/>
      </left>
      <right style="thick">
        <color rgb="FF0070C0"/>
      </right>
      <top style="double">
        <color rgb="FF002060"/>
      </top>
      <bottom style="thick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5" xfId="0" applyFont="1" applyBorder="1">
      <alignment vertical="center"/>
    </xf>
    <xf numFmtId="177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Font="1" applyBorder="1">
      <alignment vertical="center"/>
    </xf>
    <xf numFmtId="0" fontId="0" fillId="0" borderId="8" xfId="0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center"/>
    </xf>
    <xf numFmtId="0" fontId="0" fillId="0" borderId="0" xfId="0" applyFont="1">
      <alignment vertical="center"/>
    </xf>
    <xf numFmtId="10" fontId="0" fillId="0" borderId="0" xfId="0" applyNumberFormat="1">
      <alignment vertical="center"/>
    </xf>
    <xf numFmtId="0" fontId="0" fillId="0" borderId="5" xfId="0" applyFont="1" applyBorder="1" quotePrefix="1">
      <alignment vertical="center"/>
    </xf>
    <xf numFmtId="0" fontId="0" fillId="0" borderId="8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各系三门课均分比较图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排序分类汇总表!$D$2</c:f>
              <c:strCache>
                <c:ptCount val="1"/>
                <c:pt idx="0">
                  <c:v>高数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(排序分类汇总表!$A$10,排序分类汇总表!$A$13,排序分类汇总表!$A$20,排序分类汇总表!$A$28)</c:f>
              <c:strCache>
                <c:ptCount val="4"/>
                <c:pt idx="0">
                  <c:v>法律 平均值</c:v>
                </c:pt>
                <c:pt idx="1">
                  <c:v>环保 平均值</c:v>
                </c:pt>
                <c:pt idx="2">
                  <c:v>计算机  平均值</c:v>
                </c:pt>
                <c:pt idx="3">
                  <c:v>经济学 平均值</c:v>
                </c:pt>
              </c:strCache>
            </c:strRef>
          </c:cat>
          <c:val>
            <c:numRef>
              <c:f>(排序分类汇总表!$D$10,排序分类汇总表!$D$13,排序分类汇总表!$D$20,排序分类汇总表!$D$28)</c:f>
              <c:numCache>
                <c:formatCode>0.00_ </c:formatCode>
                <c:ptCount val="4"/>
                <c:pt idx="0">
                  <c:v>82.8571428571429</c:v>
                </c:pt>
                <c:pt idx="1">
                  <c:v>77.5</c:v>
                </c:pt>
                <c:pt idx="2">
                  <c:v>72.5</c:v>
                </c:pt>
                <c:pt idx="3">
                  <c:v>72.1428571428571</c:v>
                </c:pt>
              </c:numCache>
            </c:numRef>
          </c:val>
        </c:ser>
        <c:ser>
          <c:idx val="1"/>
          <c:order val="1"/>
          <c:tx>
            <c:strRef>
              <c:f>排序分类汇总表!$E$2</c:f>
              <c:strCache>
                <c:ptCount val="1"/>
                <c:pt idx="0">
                  <c:v>外语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(排序分类汇总表!$A$10,排序分类汇总表!$A$13,排序分类汇总表!$A$20,排序分类汇总表!$A$28)</c:f>
              <c:strCache>
                <c:ptCount val="4"/>
                <c:pt idx="0">
                  <c:v>法律 平均值</c:v>
                </c:pt>
                <c:pt idx="1">
                  <c:v>环保 平均值</c:v>
                </c:pt>
                <c:pt idx="2">
                  <c:v>计算机  平均值</c:v>
                </c:pt>
                <c:pt idx="3">
                  <c:v>经济学 平均值</c:v>
                </c:pt>
              </c:strCache>
            </c:strRef>
          </c:cat>
          <c:val>
            <c:numRef>
              <c:f>(排序分类汇总表!$E$10,排序分类汇总表!$E$13,排序分类汇总表!$E$20,排序分类汇总表!$E$28)</c:f>
              <c:numCache>
                <c:formatCode>0.00_ </c:formatCode>
                <c:ptCount val="4"/>
                <c:pt idx="0">
                  <c:v>69</c:v>
                </c:pt>
                <c:pt idx="1">
                  <c:v>74.5</c:v>
                </c:pt>
                <c:pt idx="2">
                  <c:v>64</c:v>
                </c:pt>
                <c:pt idx="3">
                  <c:v>78.8571428571429</c:v>
                </c:pt>
              </c:numCache>
            </c:numRef>
          </c:val>
        </c:ser>
        <c:ser>
          <c:idx val="2"/>
          <c:order val="2"/>
          <c:tx>
            <c:strRef>
              <c:f>排序分类汇总表!$F$2</c:f>
              <c:strCache>
                <c:ptCount val="1"/>
                <c:pt idx="0">
                  <c:v>计算机基础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(排序分类汇总表!$A$10,排序分类汇总表!$A$13,排序分类汇总表!$A$20,排序分类汇总表!$A$28)</c:f>
              <c:strCache>
                <c:ptCount val="4"/>
                <c:pt idx="0">
                  <c:v>法律 平均值</c:v>
                </c:pt>
                <c:pt idx="1">
                  <c:v>环保 平均值</c:v>
                </c:pt>
                <c:pt idx="2">
                  <c:v>计算机  平均值</c:v>
                </c:pt>
                <c:pt idx="3">
                  <c:v>经济学 平均值</c:v>
                </c:pt>
              </c:strCache>
            </c:strRef>
          </c:cat>
          <c:val>
            <c:numRef>
              <c:f>(排序分类汇总表!$F$10,排序分类汇总表!$F$13,排序分类汇总表!$F$20,排序分类汇总表!$F$28)</c:f>
              <c:numCache>
                <c:formatCode>0.00_ </c:formatCode>
                <c:ptCount val="4"/>
                <c:pt idx="0">
                  <c:v>77.7142857142857</c:v>
                </c:pt>
                <c:pt idx="1">
                  <c:v>76.5</c:v>
                </c:pt>
                <c:pt idx="2">
                  <c:v>81</c:v>
                </c:pt>
                <c:pt idx="3">
                  <c:v>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34874240"/>
        <c:axId val="134875776"/>
      </c:barChart>
      <c:catAx>
        <c:axId val="1348742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75776"/>
        <c:crosses val="autoZero"/>
        <c:auto val="1"/>
        <c:lblAlgn val="ctr"/>
        <c:lblOffset val="100"/>
        <c:noMultiLvlLbl val="0"/>
      </c:catAx>
      <c:valAx>
        <c:axId val="13487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7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457200</xdr:colOff>
      <xdr:row>17</xdr:row>
      <xdr:rowOff>28575</xdr:rowOff>
    </xdr:to>
    <xdr:graphicFrame>
      <xdr:nvGraphicFramePr>
        <xdr:cNvPr id="2" name="图表 1"/>
        <xdr:cNvGraphicFramePr/>
      </xdr:nvGraphicFramePr>
      <xdr:xfrm>
        <a:off x="685800" y="3619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70" zoomScaleNormal="70" workbookViewId="0">
      <selection activeCell="AA28" sqref="AA28"/>
    </sheetView>
  </sheetViews>
  <sheetFormatPr defaultColWidth="9" defaultRowHeight="14.25"/>
  <cols>
    <col min="6" max="6" width="11.625" customWidth="1"/>
    <col min="10" max="10" width="11.625" customWidth="1"/>
    <col min="13" max="13" width="11.625" customWidth="1"/>
  </cols>
  <sheetData>
    <row r="1" ht="25" customHeight="1" spans="1:7">
      <c r="A1" s="3" t="s">
        <v>0</v>
      </c>
      <c r="B1" s="4"/>
      <c r="C1" s="4"/>
      <c r="D1" s="4"/>
      <c r="E1" s="4"/>
      <c r="F1" s="4"/>
      <c r="G1" s="5"/>
    </row>
    <row r="2" ht="15.75" spans="1: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</row>
    <row r="3" ht="15.75" spans="1:7">
      <c r="A3" s="6" t="s">
        <v>8</v>
      </c>
      <c r="B3" s="18" t="s">
        <v>9</v>
      </c>
      <c r="C3" s="7" t="s">
        <v>10</v>
      </c>
      <c r="D3" s="7">
        <v>60</v>
      </c>
      <c r="E3" s="7">
        <v>58</v>
      </c>
      <c r="F3" s="7">
        <v>80</v>
      </c>
      <c r="G3" s="10">
        <f>AVERAGE(D3:F3)</f>
        <v>66</v>
      </c>
    </row>
    <row r="4" ht="15.75" spans="1:13">
      <c r="A4" s="6" t="s">
        <v>8</v>
      </c>
      <c r="B4" s="18" t="s">
        <v>11</v>
      </c>
      <c r="C4" s="7" t="s">
        <v>12</v>
      </c>
      <c r="D4" s="7">
        <v>85</v>
      </c>
      <c r="E4" s="7">
        <v>87</v>
      </c>
      <c r="F4" s="7">
        <v>90</v>
      </c>
      <c r="G4" s="10">
        <f t="shared" ref="G4:G24" si="0">AVERAGE(D4:F4)</f>
        <v>87.3333333333333</v>
      </c>
      <c r="J4" s="16" t="s">
        <v>13</v>
      </c>
      <c r="K4" s="16" t="s">
        <v>4</v>
      </c>
      <c r="L4" s="16" t="s">
        <v>5</v>
      </c>
      <c r="M4" s="16" t="s">
        <v>6</v>
      </c>
    </row>
    <row r="5" ht="15.75" spans="1:13">
      <c r="A5" s="6" t="s">
        <v>14</v>
      </c>
      <c r="B5" s="18" t="s">
        <v>15</v>
      </c>
      <c r="C5" s="7" t="s">
        <v>16</v>
      </c>
      <c r="D5" s="7">
        <v>78</v>
      </c>
      <c r="E5" s="7">
        <v>79</v>
      </c>
      <c r="F5" s="7">
        <v>78</v>
      </c>
      <c r="G5" s="10">
        <f t="shared" si="0"/>
        <v>78.3333333333333</v>
      </c>
      <c r="J5" s="16" t="s">
        <v>17</v>
      </c>
      <c r="K5" s="17">
        <f>COUNTIF(D$3:D$24,"&gt;=80")/22</f>
        <v>0.363636363636364</v>
      </c>
      <c r="L5" s="17">
        <f>COUNTIF(E$3:E$24,"&gt;=80")/22</f>
        <v>0.318181818181818</v>
      </c>
      <c r="M5" s="17">
        <f>COUNTIF(F$3:F$24,"&gt;=80")/22</f>
        <v>0.5</v>
      </c>
    </row>
    <row r="6" ht="15.75" spans="1:7">
      <c r="A6" s="6" t="s">
        <v>18</v>
      </c>
      <c r="B6" s="18" t="s">
        <v>19</v>
      </c>
      <c r="C6" s="7" t="s">
        <v>20</v>
      </c>
      <c r="D6" s="7">
        <v>90</v>
      </c>
      <c r="E6" s="7">
        <v>80</v>
      </c>
      <c r="F6" s="7">
        <v>85</v>
      </c>
      <c r="G6" s="10">
        <f t="shared" si="0"/>
        <v>85</v>
      </c>
    </row>
    <row r="7" ht="15.75" spans="1:7">
      <c r="A7" s="6" t="s">
        <v>21</v>
      </c>
      <c r="B7" s="18" t="s">
        <v>22</v>
      </c>
      <c r="C7" s="7" t="s">
        <v>23</v>
      </c>
      <c r="D7" s="7">
        <v>87</v>
      </c>
      <c r="E7" s="7">
        <v>60</v>
      </c>
      <c r="F7" s="7">
        <v>78</v>
      </c>
      <c r="G7" s="10">
        <f t="shared" si="0"/>
        <v>75</v>
      </c>
    </row>
    <row r="8" ht="15.75" spans="1:7">
      <c r="A8" s="6" t="s">
        <v>14</v>
      </c>
      <c r="B8" s="18" t="s">
        <v>24</v>
      </c>
      <c r="C8" s="7" t="s">
        <v>25</v>
      </c>
      <c r="D8" s="7">
        <v>79</v>
      </c>
      <c r="E8" s="7">
        <v>55</v>
      </c>
      <c r="F8" s="7">
        <v>47</v>
      </c>
      <c r="G8" s="10">
        <f t="shared" si="0"/>
        <v>60.3333333333333</v>
      </c>
    </row>
    <row r="9" ht="15.75" spans="1:7">
      <c r="A9" s="6" t="s">
        <v>21</v>
      </c>
      <c r="B9" s="18" t="s">
        <v>26</v>
      </c>
      <c r="C9" s="7" t="s">
        <v>27</v>
      </c>
      <c r="D9" s="7">
        <v>89</v>
      </c>
      <c r="E9" s="7">
        <v>88</v>
      </c>
      <c r="F9" s="7">
        <v>80</v>
      </c>
      <c r="G9" s="10">
        <f t="shared" si="0"/>
        <v>85.6666666666667</v>
      </c>
    </row>
    <row r="10" ht="15.75" spans="1:7">
      <c r="A10" s="6" t="s">
        <v>8</v>
      </c>
      <c r="B10" s="18" t="s">
        <v>28</v>
      </c>
      <c r="C10" s="7" t="s">
        <v>29</v>
      </c>
      <c r="D10" s="7">
        <v>77</v>
      </c>
      <c r="E10" s="7">
        <v>35</v>
      </c>
      <c r="F10" s="7">
        <v>89</v>
      </c>
      <c r="G10" s="10">
        <f t="shared" si="0"/>
        <v>67</v>
      </c>
    </row>
    <row r="11" ht="15.75" spans="1:7">
      <c r="A11" s="6" t="s">
        <v>8</v>
      </c>
      <c r="B11" s="18" t="s">
        <v>30</v>
      </c>
      <c r="C11" s="7" t="s">
        <v>31</v>
      </c>
      <c r="D11" s="7">
        <v>45</v>
      </c>
      <c r="E11" s="7">
        <v>76</v>
      </c>
      <c r="F11" s="7">
        <v>76</v>
      </c>
      <c r="G11" s="10">
        <f t="shared" si="0"/>
        <v>65.6666666666667</v>
      </c>
    </row>
    <row r="12" ht="15.75" spans="1:7">
      <c r="A12" s="6" t="s">
        <v>14</v>
      </c>
      <c r="B12" s="18" t="s">
        <v>32</v>
      </c>
      <c r="C12" s="7" t="s">
        <v>33</v>
      </c>
      <c r="D12" s="7">
        <v>87</v>
      </c>
      <c r="E12" s="7">
        <v>86</v>
      </c>
      <c r="F12" s="7">
        <v>92</v>
      </c>
      <c r="G12" s="10">
        <f t="shared" si="0"/>
        <v>88.3333333333333</v>
      </c>
    </row>
    <row r="13" ht="15.75" spans="1:7">
      <c r="A13" s="6" t="s">
        <v>18</v>
      </c>
      <c r="B13" s="18" t="s">
        <v>34</v>
      </c>
      <c r="C13" s="7" t="s">
        <v>35</v>
      </c>
      <c r="D13" s="7">
        <v>65</v>
      </c>
      <c r="E13" s="7">
        <v>69</v>
      </c>
      <c r="F13" s="7">
        <v>68</v>
      </c>
      <c r="G13" s="10">
        <f t="shared" si="0"/>
        <v>67.3333333333333</v>
      </c>
    </row>
    <row r="14" ht="15.75" spans="1:7">
      <c r="A14" s="6" t="s">
        <v>21</v>
      </c>
      <c r="B14" s="18" t="s">
        <v>36</v>
      </c>
      <c r="C14" s="7" t="s">
        <v>37</v>
      </c>
      <c r="D14" s="7">
        <v>98</v>
      </c>
      <c r="E14" s="7">
        <v>79</v>
      </c>
      <c r="F14" s="7">
        <v>93</v>
      </c>
      <c r="G14" s="10">
        <f t="shared" si="0"/>
        <v>90</v>
      </c>
    </row>
    <row r="15" ht="15.75" spans="1:7">
      <c r="A15" s="6" t="s">
        <v>14</v>
      </c>
      <c r="B15" s="18" t="s">
        <v>38</v>
      </c>
      <c r="C15" s="7" t="s">
        <v>39</v>
      </c>
      <c r="D15" s="7">
        <v>64</v>
      </c>
      <c r="E15" s="7">
        <v>86</v>
      </c>
      <c r="F15" s="7">
        <v>95</v>
      </c>
      <c r="G15" s="10">
        <f t="shared" si="0"/>
        <v>81.6666666666667</v>
      </c>
    </row>
    <row r="16" ht="15.75" spans="1:7">
      <c r="A16" s="6" t="s">
        <v>21</v>
      </c>
      <c r="B16" s="18" t="s">
        <v>40</v>
      </c>
      <c r="C16" s="7" t="s">
        <v>41</v>
      </c>
      <c r="D16" s="7">
        <v>85</v>
      </c>
      <c r="E16" s="7">
        <v>69</v>
      </c>
      <c r="F16" s="7">
        <v>68</v>
      </c>
      <c r="G16" s="10">
        <f t="shared" si="0"/>
        <v>74</v>
      </c>
    </row>
    <row r="17" ht="15.75" spans="1:7">
      <c r="A17" s="6" t="s">
        <v>14</v>
      </c>
      <c r="B17" s="18" t="s">
        <v>42</v>
      </c>
      <c r="C17" s="7" t="s">
        <v>43</v>
      </c>
      <c r="D17" s="7">
        <v>65</v>
      </c>
      <c r="E17" s="7">
        <v>89</v>
      </c>
      <c r="F17" s="7">
        <v>67</v>
      </c>
      <c r="G17" s="10">
        <f t="shared" si="0"/>
        <v>73.6666666666667</v>
      </c>
    </row>
    <row r="18" ht="15.75" spans="1:7">
      <c r="A18" s="6" t="s">
        <v>21</v>
      </c>
      <c r="B18" s="18" t="s">
        <v>44</v>
      </c>
      <c r="C18" s="7" t="s">
        <v>45</v>
      </c>
      <c r="D18" s="7">
        <v>78</v>
      </c>
      <c r="E18" s="7">
        <v>62</v>
      </c>
      <c r="F18" s="7">
        <v>68</v>
      </c>
      <c r="G18" s="10">
        <f t="shared" si="0"/>
        <v>69.3333333333333</v>
      </c>
    </row>
    <row r="19" ht="15.75" spans="1:7">
      <c r="A19" s="6" t="s">
        <v>8</v>
      </c>
      <c r="B19" s="18" t="s">
        <v>46</v>
      </c>
      <c r="C19" s="7" t="s">
        <v>47</v>
      </c>
      <c r="D19" s="7">
        <v>90</v>
      </c>
      <c r="E19" s="7">
        <v>78</v>
      </c>
      <c r="F19" s="7">
        <v>58</v>
      </c>
      <c r="G19" s="10">
        <f t="shared" si="0"/>
        <v>75.3333333333333</v>
      </c>
    </row>
    <row r="20" ht="15.75" spans="1:7">
      <c r="A20" s="6" t="s">
        <v>14</v>
      </c>
      <c r="B20" s="18" t="s">
        <v>48</v>
      </c>
      <c r="C20" s="7" t="s">
        <v>49</v>
      </c>
      <c r="D20" s="7">
        <v>69</v>
      </c>
      <c r="E20" s="7">
        <v>98</v>
      </c>
      <c r="F20" s="7">
        <v>67</v>
      </c>
      <c r="G20" s="10">
        <f t="shared" si="0"/>
        <v>78</v>
      </c>
    </row>
    <row r="21" ht="15.75" spans="1:7">
      <c r="A21" s="6" t="s">
        <v>21</v>
      </c>
      <c r="B21" s="18" t="s">
        <v>50</v>
      </c>
      <c r="C21" s="7" t="s">
        <v>51</v>
      </c>
      <c r="D21" s="7">
        <v>67</v>
      </c>
      <c r="E21" s="7">
        <v>62</v>
      </c>
      <c r="F21" s="7">
        <v>90</v>
      </c>
      <c r="G21" s="10">
        <f t="shared" si="0"/>
        <v>73</v>
      </c>
    </row>
    <row r="22" ht="15.75" spans="1:7">
      <c r="A22" s="6" t="s">
        <v>14</v>
      </c>
      <c r="B22" s="18" t="s">
        <v>52</v>
      </c>
      <c r="C22" s="7" t="s">
        <v>53</v>
      </c>
      <c r="D22" s="7">
        <v>63</v>
      </c>
      <c r="E22" s="7">
        <v>59</v>
      </c>
      <c r="F22" s="7">
        <v>86</v>
      </c>
      <c r="G22" s="10">
        <f t="shared" si="0"/>
        <v>69.3333333333333</v>
      </c>
    </row>
    <row r="23" ht="15.75" spans="1:7">
      <c r="A23" s="6" t="s">
        <v>21</v>
      </c>
      <c r="B23" s="18" t="s">
        <v>54</v>
      </c>
      <c r="C23" s="7" t="s">
        <v>55</v>
      </c>
      <c r="D23" s="7">
        <v>76</v>
      </c>
      <c r="E23" s="7">
        <v>63</v>
      </c>
      <c r="F23" s="7">
        <v>67</v>
      </c>
      <c r="G23" s="10">
        <f t="shared" si="0"/>
        <v>68.6666666666667</v>
      </c>
    </row>
    <row r="24" ht="15.75" spans="1:7">
      <c r="A24" s="11" t="s">
        <v>8</v>
      </c>
      <c r="B24" s="19" t="s">
        <v>56</v>
      </c>
      <c r="C24" s="13" t="s">
        <v>57</v>
      </c>
      <c r="D24" s="13">
        <v>78</v>
      </c>
      <c r="E24" s="13">
        <v>50</v>
      </c>
      <c r="F24" s="13">
        <v>93</v>
      </c>
      <c r="G24" s="14">
        <f t="shared" si="0"/>
        <v>73.6666666666667</v>
      </c>
    </row>
    <row r="25" ht="15" spans="3:3">
      <c r="C25" s="15"/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zoomScale="70" zoomScaleNormal="70" workbookViewId="0">
      <selection activeCell="O49" sqref="O49"/>
    </sheetView>
  </sheetViews>
  <sheetFormatPr defaultColWidth="9" defaultRowHeight="14.25" outlineLevelCol="6"/>
  <sheetData>
    <row r="1" spans="1:1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hidden="1" outlineLevel="2" spans="1:7">
      <c r="A3" t="s">
        <v>21</v>
      </c>
      <c r="B3" t="s">
        <v>58</v>
      </c>
      <c r="C3" t="s">
        <v>37</v>
      </c>
      <c r="D3">
        <v>98</v>
      </c>
      <c r="E3">
        <v>79</v>
      </c>
      <c r="F3">
        <v>93</v>
      </c>
      <c r="G3">
        <v>90</v>
      </c>
    </row>
    <row r="4" hidden="1" outlineLevel="2" spans="1:7">
      <c r="A4" t="s">
        <v>21</v>
      </c>
      <c r="B4" t="s">
        <v>59</v>
      </c>
      <c r="C4" t="s">
        <v>27</v>
      </c>
      <c r="D4">
        <v>89</v>
      </c>
      <c r="E4">
        <v>88</v>
      </c>
      <c r="F4">
        <v>80</v>
      </c>
      <c r="G4">
        <v>85.6666666666667</v>
      </c>
    </row>
    <row r="5" hidden="1" outlineLevel="2" spans="1:7">
      <c r="A5" t="s">
        <v>21</v>
      </c>
      <c r="B5" t="s">
        <v>60</v>
      </c>
      <c r="C5" t="s">
        <v>23</v>
      </c>
      <c r="D5">
        <v>87</v>
      </c>
      <c r="E5">
        <v>60</v>
      </c>
      <c r="F5">
        <v>78</v>
      </c>
      <c r="G5">
        <v>75</v>
      </c>
    </row>
    <row r="6" hidden="1" outlineLevel="2" spans="1:7">
      <c r="A6" t="s">
        <v>21</v>
      </c>
      <c r="B6" t="s">
        <v>61</v>
      </c>
      <c r="C6" t="s">
        <v>41</v>
      </c>
      <c r="D6">
        <v>85</v>
      </c>
      <c r="E6">
        <v>69</v>
      </c>
      <c r="F6">
        <v>68</v>
      </c>
      <c r="G6">
        <v>74</v>
      </c>
    </row>
    <row r="7" hidden="1" outlineLevel="2" spans="1:7">
      <c r="A7" t="s">
        <v>21</v>
      </c>
      <c r="B7" t="s">
        <v>62</v>
      </c>
      <c r="C7" t="s">
        <v>51</v>
      </c>
      <c r="D7">
        <v>67</v>
      </c>
      <c r="E7">
        <v>62</v>
      </c>
      <c r="F7">
        <v>90</v>
      </c>
      <c r="G7">
        <v>73</v>
      </c>
    </row>
    <row r="8" hidden="1" outlineLevel="2" spans="1:7">
      <c r="A8" t="s">
        <v>21</v>
      </c>
      <c r="B8" t="s">
        <v>63</v>
      </c>
      <c r="C8" t="s">
        <v>45</v>
      </c>
      <c r="D8">
        <v>78</v>
      </c>
      <c r="E8">
        <v>62</v>
      </c>
      <c r="F8">
        <v>68</v>
      </c>
      <c r="G8">
        <v>69.3333333333333</v>
      </c>
    </row>
    <row r="9" hidden="1" outlineLevel="2" spans="1:7">
      <c r="A9" t="s">
        <v>21</v>
      </c>
      <c r="B9" t="s">
        <v>64</v>
      </c>
      <c r="C9" t="s">
        <v>55</v>
      </c>
      <c r="D9">
        <v>76</v>
      </c>
      <c r="E9">
        <v>63</v>
      </c>
      <c r="F9">
        <v>67</v>
      </c>
      <c r="G9">
        <v>68.6666666666667</v>
      </c>
    </row>
    <row r="10" outlineLevel="1" collapsed="1" spans="1:6">
      <c r="A10" s="1" t="s">
        <v>65</v>
      </c>
      <c r="D10" s="2">
        <f>SUBTOTAL(1,D3:D9)</f>
        <v>82.8571428571429</v>
      </c>
      <c r="E10" s="2">
        <f>SUBTOTAL(1,E3:E9)</f>
        <v>69</v>
      </c>
      <c r="F10" s="2">
        <f>SUBTOTAL(1,F3:F9)</f>
        <v>77.7142857142857</v>
      </c>
    </row>
    <row r="11" hidden="1" outlineLevel="2" spans="1:7">
      <c r="A11" t="s">
        <v>18</v>
      </c>
      <c r="B11" t="s">
        <v>66</v>
      </c>
      <c r="C11" t="s">
        <v>20</v>
      </c>
      <c r="D11">
        <v>90</v>
      </c>
      <c r="E11">
        <v>80</v>
      </c>
      <c r="F11">
        <v>85</v>
      </c>
      <c r="G11">
        <v>85</v>
      </c>
    </row>
    <row r="12" hidden="1" outlineLevel="2" spans="1:7">
      <c r="A12" t="s">
        <v>18</v>
      </c>
      <c r="B12" t="s">
        <v>67</v>
      </c>
      <c r="C12" t="s">
        <v>35</v>
      </c>
      <c r="D12">
        <v>65</v>
      </c>
      <c r="E12">
        <v>69</v>
      </c>
      <c r="F12">
        <v>68</v>
      </c>
      <c r="G12">
        <v>67.3333333333333</v>
      </c>
    </row>
    <row r="13" outlineLevel="1" collapsed="1" spans="1:6">
      <c r="A13" s="1" t="s">
        <v>68</v>
      </c>
      <c r="D13" s="2">
        <f>SUBTOTAL(1,D11:D12)</f>
        <v>77.5</v>
      </c>
      <c r="E13" s="2">
        <f>SUBTOTAL(1,E11:E12)</f>
        <v>74.5</v>
      </c>
      <c r="F13" s="2">
        <f>SUBTOTAL(1,F11:F12)</f>
        <v>76.5</v>
      </c>
    </row>
    <row r="14" hidden="1" outlineLevel="2" spans="1:7">
      <c r="A14" t="s">
        <v>8</v>
      </c>
      <c r="B14" t="s">
        <v>69</v>
      </c>
      <c r="C14" t="s">
        <v>12</v>
      </c>
      <c r="D14">
        <v>85</v>
      </c>
      <c r="E14">
        <v>87</v>
      </c>
      <c r="F14">
        <v>90</v>
      </c>
      <c r="G14">
        <v>87.3333333333333</v>
      </c>
    </row>
    <row r="15" hidden="1" outlineLevel="2" spans="1:7">
      <c r="A15" t="s">
        <v>8</v>
      </c>
      <c r="B15" t="s">
        <v>70</v>
      </c>
      <c r="C15" t="s">
        <v>47</v>
      </c>
      <c r="D15">
        <v>90</v>
      </c>
      <c r="E15">
        <v>78</v>
      </c>
      <c r="F15">
        <v>58</v>
      </c>
      <c r="G15">
        <v>75.3333333333333</v>
      </c>
    </row>
    <row r="16" hidden="1" outlineLevel="2" spans="1:7">
      <c r="A16" t="s">
        <v>8</v>
      </c>
      <c r="B16" t="s">
        <v>71</v>
      </c>
      <c r="C16" t="s">
        <v>57</v>
      </c>
      <c r="D16">
        <v>78</v>
      </c>
      <c r="E16">
        <v>50</v>
      </c>
      <c r="F16">
        <v>93</v>
      </c>
      <c r="G16">
        <v>73.6666666666667</v>
      </c>
    </row>
    <row r="17" hidden="1" outlineLevel="2" spans="1:7">
      <c r="A17" t="s">
        <v>8</v>
      </c>
      <c r="B17" t="s">
        <v>72</v>
      </c>
      <c r="C17" t="s">
        <v>29</v>
      </c>
      <c r="D17">
        <v>77</v>
      </c>
      <c r="E17">
        <v>35</v>
      </c>
      <c r="F17">
        <v>89</v>
      </c>
      <c r="G17">
        <v>67</v>
      </c>
    </row>
    <row r="18" hidden="1" outlineLevel="2" spans="1:7">
      <c r="A18" t="s">
        <v>8</v>
      </c>
      <c r="B18" t="s">
        <v>73</v>
      </c>
      <c r="C18" t="s">
        <v>10</v>
      </c>
      <c r="D18">
        <v>60</v>
      </c>
      <c r="E18">
        <v>58</v>
      </c>
      <c r="F18">
        <v>80</v>
      </c>
      <c r="G18">
        <v>66</v>
      </c>
    </row>
    <row r="19" hidden="1" outlineLevel="2" spans="1:7">
      <c r="A19" t="s">
        <v>8</v>
      </c>
      <c r="B19" t="s">
        <v>74</v>
      </c>
      <c r="C19" t="s">
        <v>31</v>
      </c>
      <c r="D19">
        <v>45</v>
      </c>
      <c r="E19">
        <v>76</v>
      </c>
      <c r="F19">
        <v>76</v>
      </c>
      <c r="G19">
        <v>65.6666666666667</v>
      </c>
    </row>
    <row r="20" outlineLevel="1" collapsed="1" spans="1:6">
      <c r="A20" s="1" t="s">
        <v>75</v>
      </c>
      <c r="D20" s="2">
        <f>SUBTOTAL(1,D14:D19)</f>
        <v>72.5</v>
      </c>
      <c r="E20" s="2">
        <f>SUBTOTAL(1,E14:E19)</f>
        <v>64</v>
      </c>
      <c r="F20" s="2">
        <f>SUBTOTAL(1,F14:F19)</f>
        <v>81</v>
      </c>
    </row>
    <row r="21" hidden="1" outlineLevel="2" spans="1:7">
      <c r="A21" t="s">
        <v>14</v>
      </c>
      <c r="B21" t="s">
        <v>76</v>
      </c>
      <c r="C21" t="s">
        <v>33</v>
      </c>
      <c r="D21">
        <v>87</v>
      </c>
      <c r="E21">
        <v>86</v>
      </c>
      <c r="F21">
        <v>92</v>
      </c>
      <c r="G21">
        <v>88.3333333333333</v>
      </c>
    </row>
    <row r="22" hidden="1" outlineLevel="2" spans="1:7">
      <c r="A22" t="s">
        <v>14</v>
      </c>
      <c r="B22" t="s">
        <v>77</v>
      </c>
      <c r="C22" t="s">
        <v>39</v>
      </c>
      <c r="D22">
        <v>64</v>
      </c>
      <c r="E22">
        <v>86</v>
      </c>
      <c r="F22">
        <v>95</v>
      </c>
      <c r="G22">
        <v>81.6666666666667</v>
      </c>
    </row>
    <row r="23" hidden="1" outlineLevel="2" spans="1:7">
      <c r="A23" t="s">
        <v>14</v>
      </c>
      <c r="B23" t="s">
        <v>78</v>
      </c>
      <c r="C23" t="s">
        <v>16</v>
      </c>
      <c r="D23">
        <v>78</v>
      </c>
      <c r="E23">
        <v>79</v>
      </c>
      <c r="F23">
        <v>78</v>
      </c>
      <c r="G23">
        <v>78.3333333333333</v>
      </c>
    </row>
    <row r="24" hidden="1" outlineLevel="2" spans="1:7">
      <c r="A24" t="s">
        <v>14</v>
      </c>
      <c r="B24" t="s">
        <v>79</v>
      </c>
      <c r="C24" t="s">
        <v>49</v>
      </c>
      <c r="D24">
        <v>69</v>
      </c>
      <c r="E24">
        <v>98</v>
      </c>
      <c r="F24">
        <v>67</v>
      </c>
      <c r="G24">
        <v>78</v>
      </c>
    </row>
    <row r="25" hidden="1" outlineLevel="2" spans="1:7">
      <c r="A25" t="s">
        <v>14</v>
      </c>
      <c r="B25" t="s">
        <v>80</v>
      </c>
      <c r="C25" t="s">
        <v>43</v>
      </c>
      <c r="D25">
        <v>65</v>
      </c>
      <c r="E25">
        <v>89</v>
      </c>
      <c r="F25">
        <v>67</v>
      </c>
      <c r="G25">
        <v>73.6666666666667</v>
      </c>
    </row>
    <row r="26" hidden="1" outlineLevel="2" spans="1:7">
      <c r="A26" t="s">
        <v>14</v>
      </c>
      <c r="B26" t="s">
        <v>81</v>
      </c>
      <c r="C26" t="s">
        <v>53</v>
      </c>
      <c r="D26">
        <v>63</v>
      </c>
      <c r="E26">
        <v>59</v>
      </c>
      <c r="F26">
        <v>86</v>
      </c>
      <c r="G26">
        <v>69.3333333333333</v>
      </c>
    </row>
    <row r="27" hidden="1" outlineLevel="2" spans="1:7">
      <c r="A27" t="s">
        <v>14</v>
      </c>
      <c r="B27" t="s">
        <v>82</v>
      </c>
      <c r="C27" t="s">
        <v>25</v>
      </c>
      <c r="D27">
        <v>79</v>
      </c>
      <c r="E27">
        <v>55</v>
      </c>
      <c r="F27">
        <v>47</v>
      </c>
      <c r="G27">
        <v>60.3333333333333</v>
      </c>
    </row>
    <row r="28" outlineLevel="1" collapsed="1" spans="1:6">
      <c r="A28" s="1" t="s">
        <v>83</v>
      </c>
      <c r="D28" s="2">
        <f>SUBTOTAL(1,D21:D27)</f>
        <v>72.1428571428571</v>
      </c>
      <c r="E28" s="2">
        <f>SUBTOTAL(1,E21:E27)</f>
        <v>78.8571428571429</v>
      </c>
      <c r="F28" s="2">
        <f>SUBTOTAL(1,F21:F27)</f>
        <v>76</v>
      </c>
    </row>
    <row r="29" spans="1:6">
      <c r="A29" s="1" t="s">
        <v>84</v>
      </c>
      <c r="D29">
        <f>SUBTOTAL(1,D3:D27)</f>
        <v>76.1363636363636</v>
      </c>
      <c r="E29">
        <f>SUBTOTAL(1,E3:E27)</f>
        <v>71.2727272727273</v>
      </c>
      <c r="F29">
        <f>SUBTOTAL(1,F3:F27)</f>
        <v>77.9545454545455</v>
      </c>
    </row>
  </sheetData>
  <sortState ref="A3:G24">
    <sortCondition ref="A3:A24"/>
    <sortCondition ref="G3:G24" descending="1"/>
  </sortState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K23" sqref="K23"/>
    </sheetView>
  </sheetViews>
  <sheetFormatPr defaultColWidth="9" defaultRowHeight="14.25"/>
  <sheetData/>
  <pageMargins left="0.75" right="0.75" top="1" bottom="1" header="0.5" footer="0.5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排序分类汇总表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zy</cp:lastModifiedBy>
  <dcterms:created xsi:type="dcterms:W3CDTF">2012-02-26T10:52:00Z</dcterms:created>
  <dcterms:modified xsi:type="dcterms:W3CDTF">2023-12-02T01:04:22Z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50D99629AFF24FB2B8F35AF2F5AD43A4_12</vt:lpwstr>
  </property>
  <property fmtid="{D5CDD505-2E9C-101B-9397-08002B2CF9AE}" pid="3" name="KSOProductBuildVer">
    <vt:lpwstr>2052-12.1.0.15712</vt:lpwstr>
  </property>
</Properties>
</file>
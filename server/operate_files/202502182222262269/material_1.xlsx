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1400" activeTab="3"/>
  </bookViews>
  <sheets>
    <sheet name="商品销售透视表" sheetId="6" r:id="rId1"/>
    <sheet name="销售情况表" sheetId="1" r:id="rId2"/>
    <sheet name="商品单价" sheetId="2" r:id="rId3"/>
    <sheet name="月统计表" sheetId="5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<sst xmlns="http://schemas.openxmlformats.org/spreadsheetml/2006/main" count="204" uniqueCount="77">
  <si>
    <t>销售经理</t>
  </si>
  <si>
    <t>(全部)</t>
  </si>
  <si>
    <t>预购类型</t>
  </si>
  <si>
    <t>值</t>
  </si>
  <si>
    <t>批发</t>
  </si>
  <si>
    <t>团购</t>
  </si>
  <si>
    <t>成交额汇总</t>
  </si>
  <si>
    <t>成交额占比汇总</t>
  </si>
  <si>
    <t>咨询商品编码</t>
  </si>
  <si>
    <t>成交额</t>
  </si>
  <si>
    <t>成交额占比</t>
  </si>
  <si>
    <t>011201</t>
  </si>
  <si>
    <t>011202</t>
  </si>
  <si>
    <t>011203</t>
  </si>
  <si>
    <t>011204</t>
  </si>
  <si>
    <t>011205</t>
  </si>
  <si>
    <t>总计</t>
  </si>
  <si>
    <t>鹏程公司销售情况表格</t>
  </si>
  <si>
    <t>客户姓名</t>
  </si>
  <si>
    <t>性别</t>
  </si>
  <si>
    <t>咨询日期</t>
  </si>
  <si>
    <t>咨询时间</t>
  </si>
  <si>
    <t>商品单价</t>
  </si>
  <si>
    <t>预购数量</t>
  </si>
  <si>
    <t>成交数量</t>
  </si>
  <si>
    <t>成交金额</t>
  </si>
  <si>
    <t>陈华</t>
  </si>
  <si>
    <t>男</t>
  </si>
  <si>
    <t>张乐</t>
  </si>
  <si>
    <t>高明</t>
  </si>
  <si>
    <r>
      <rPr>
        <sz val="12"/>
        <rFont val="宋体"/>
        <charset val="134"/>
      </rPr>
      <t>01120</t>
    </r>
    <r>
      <rPr>
        <sz val="12"/>
        <rFont val="宋体"/>
        <charset val="134"/>
      </rPr>
      <t>2</t>
    </r>
  </si>
  <si>
    <t>李子</t>
  </si>
  <si>
    <t>高友</t>
  </si>
  <si>
    <t>尤勇</t>
  </si>
  <si>
    <t>李耀</t>
  </si>
  <si>
    <t>郑雅婷</t>
  </si>
  <si>
    <t>女</t>
  </si>
  <si>
    <t>彭强</t>
  </si>
  <si>
    <t>申新</t>
  </si>
  <si>
    <t>孙毅</t>
  </si>
  <si>
    <t>方明</t>
  </si>
  <si>
    <t>谷新</t>
  </si>
  <si>
    <t>平长</t>
  </si>
  <si>
    <t>田秘</t>
  </si>
  <si>
    <t>廖元</t>
  </si>
  <si>
    <t>钱平</t>
  </si>
  <si>
    <t>李涛</t>
  </si>
  <si>
    <t>朱玲玲</t>
  </si>
  <si>
    <r>
      <rPr>
        <sz val="12"/>
        <rFont val="宋体"/>
        <charset val="134"/>
      </rPr>
      <t>01120</t>
    </r>
    <r>
      <rPr>
        <sz val="12"/>
        <rFont val="宋体"/>
        <charset val="134"/>
      </rPr>
      <t>4</t>
    </r>
  </si>
  <si>
    <t>周霞</t>
  </si>
  <si>
    <t>吕林</t>
  </si>
  <si>
    <t>施琅</t>
  </si>
  <si>
    <t>韩希</t>
  </si>
  <si>
    <t>冯志刚</t>
  </si>
  <si>
    <t>李浩</t>
  </si>
  <si>
    <t>王伟</t>
  </si>
  <si>
    <t>王瑞</t>
  </si>
  <si>
    <t>周长</t>
  </si>
  <si>
    <t>卫东</t>
  </si>
  <si>
    <t>郝置</t>
  </si>
  <si>
    <t>薛包</t>
  </si>
  <si>
    <t>曾华</t>
  </si>
  <si>
    <t>吴亦凡</t>
  </si>
  <si>
    <t>彭军</t>
  </si>
  <si>
    <t>商品价格表</t>
  </si>
  <si>
    <t>商品编码</t>
  </si>
  <si>
    <t>单价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</si>
  <si>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11201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</si>
  <si>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11202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</si>
  <si>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11203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</si>
  <si>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11204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</si>
  <si>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11205</t>
    </r>
  </si>
  <si>
    <t>销售经理成交金额按月统计表(单位：元)</t>
  </si>
  <si>
    <t>一月</t>
  </si>
  <si>
    <t>二月</t>
  </si>
  <si>
    <t>三月</t>
  </si>
  <si>
    <t>总和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</si>
</sst>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\-mm\-dd"/>
    <numFmt numFmtId="178" formatCode="[$-F400]h:mm:ss\ AM/PM"/>
    <numFmt numFmtId="179" formatCode="#,##0_ "/>
  </numFmts>
  <fonts count="23">
    <font>
      <sz val="12"/>
      <name val="宋体"/>
      <charset val="134"/>
    </font>
    <font>
      <b/>
      <sz val="12"/>
      <name val="宋体"/>
      <charset val="134"/>
    </font>
    <font>
      <sz val="16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5">
    <dxf>
      <numFmt numFmtId="180" formatCode="0_ "/>
    </dxf>
    <dxf>
      <numFmt numFmtId="179" formatCode="#,##0_ "/>
    </dxf>
    <dxf>
      <numFmt numFmtId="179" formatCode="#,##0_ "/>
    </dxf>
    <dxf>
      <numFmt numFmtId="179" formatCode="#,##0_ "/>
    </dxf>
    <dxf>
      <numFmt numFmtId="177" formatCode="yyyy\-mm\-dd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8" formatCode="[$-F400]h:mm:ss\ AM/PM"/>
    </dxf>
    <dxf>
      <numFmt numFmtId="49" formatCode="@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销售经理成交金额按月统计表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月统计表!$B$2</c:f>
              <c:strCache>
                <c:ptCount val="1"/>
                <c:pt idx="0">
                  <c:v>一月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月统计表!$A$3:$A$5</c:f>
              <c:strCache>
                <c:ptCount val="3"/>
                <c:pt idx="0">
                  <c:v>张乐</c:v>
                </c:pt>
                <c:pt idx="1">
                  <c:v>李耀</c:v>
                </c:pt>
                <c:pt idx="2">
                  <c:v>高友</c:v>
                </c:pt>
              </c:strCache>
            </c:strRef>
          </c:cat>
          <c:val>
            <c:numRef>
              <c:f>月统计表!$B$3:$B$5</c:f>
              <c:numCache>
                <c:formatCode>#,##0.00_ </c:formatCode>
                <c:ptCount val="3"/>
                <c:pt idx="0">
                  <c:v>388800</c:v>
                </c:pt>
                <c:pt idx="1">
                  <c:v>416950</c:v>
                </c:pt>
                <c:pt idx="2">
                  <c:v>506325</c:v>
                </c:pt>
              </c:numCache>
            </c:numRef>
          </c:val>
        </c:ser>
        <c:ser>
          <c:idx val="1"/>
          <c:order val="1"/>
          <c:tx>
            <c:strRef>
              <c:f>月统计表!$C$2</c:f>
              <c:strCache>
                <c:ptCount val="1"/>
                <c:pt idx="0">
                  <c:v>二月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月统计表!$A$3:$A$5</c:f>
              <c:strCache>
                <c:ptCount val="3"/>
                <c:pt idx="0">
                  <c:v>张乐</c:v>
                </c:pt>
                <c:pt idx="1">
                  <c:v>李耀</c:v>
                </c:pt>
                <c:pt idx="2">
                  <c:v>高友</c:v>
                </c:pt>
              </c:strCache>
            </c:strRef>
          </c:cat>
          <c:val>
            <c:numRef>
              <c:f>月统计表!$C$3:$C$5</c:f>
              <c:numCache>
                <c:formatCode>#,##0.00_ </c:formatCode>
                <c:ptCount val="3"/>
                <c:pt idx="0">
                  <c:v>243863</c:v>
                </c:pt>
                <c:pt idx="1">
                  <c:v>653154</c:v>
                </c:pt>
                <c:pt idx="2">
                  <c:v>939400</c:v>
                </c:pt>
              </c:numCache>
            </c:numRef>
          </c:val>
        </c:ser>
        <c:ser>
          <c:idx val="2"/>
          <c:order val="2"/>
          <c:tx>
            <c:strRef>
              <c:f>月统计表!$D$2</c:f>
              <c:strCache>
                <c:ptCount val="1"/>
                <c:pt idx="0">
                  <c:v>三月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月统计表!$A$3:$A$5</c:f>
              <c:strCache>
                <c:ptCount val="3"/>
                <c:pt idx="0">
                  <c:v>张乐</c:v>
                </c:pt>
                <c:pt idx="1">
                  <c:v>李耀</c:v>
                </c:pt>
                <c:pt idx="2">
                  <c:v>高友</c:v>
                </c:pt>
              </c:strCache>
            </c:strRef>
          </c:cat>
          <c:val>
            <c:numRef>
              <c:f>月统计表!$D$3:$D$5</c:f>
              <c:numCache>
                <c:formatCode>#,##0.00_ </c:formatCode>
                <c:ptCount val="3"/>
                <c:pt idx="0">
                  <c:v>94683</c:v>
                </c:pt>
                <c:pt idx="1">
                  <c:v>114900</c:v>
                </c:pt>
                <c:pt idx="2">
                  <c:v>652000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658686646"/>
        <c:axId val="829202135"/>
      </c:barChart>
      <c:catAx>
        <c:axId val="6586866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202135"/>
        <c:crosses val="autoZero"/>
        <c:auto val="1"/>
        <c:lblAlgn val="ctr"/>
        <c:lblOffset val="100"/>
        <c:noMultiLvlLbl val="0"/>
      </c:catAx>
      <c:valAx>
        <c:axId val="829202135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686646"/>
        <c:crosses val="autoZero"/>
        <c:crossBetween val="between"/>
        <c:majorUnit val="250000"/>
        <c:minorUnit val="50000"/>
        <c:dispUnits>
          <c:builtInUnit val="ten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136525</xdr:colOff>
      <xdr:row>7</xdr:row>
      <xdr:rowOff>82550</xdr:rowOff>
    </xdr:from>
    <xdr:to>
      <xdr:col>4</xdr:col>
      <xdr:colOff>1019175</xdr:colOff>
      <xdr:row>22</xdr:row>
      <xdr:rowOff>111125</xdr:rowOff>
    </xdr:to>
    <xdr:graphicFrame>
      <xdr:nvGraphicFramePr>
        <xdr:cNvPr id="4" name="图表 1"/>
        <xdr:cNvGraphicFramePr/>
      </xdr:nvGraphicFramePr>
      <xdr:xfrm>
        <a:off x="136525" y="1349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12.4619328704" refreshedBy="25472" recordCount="31">
  <cacheSource type="worksheet">
    <worksheetSource name="表2"/>
  </cacheSource>
  <cacheFields count="11">
    <cacheField name="客户姓名" numFmtId="0">
      <sharedItems count="31">
        <s v="陈华"/>
        <s v="高明"/>
        <s v="李子"/>
        <s v="尤勇"/>
        <s v="郑雅婷"/>
        <s v="彭强"/>
        <s v="申新"/>
        <s v="孙毅"/>
        <s v="方明"/>
        <s v="谷新"/>
        <s v="平长"/>
        <s v="田秘"/>
        <s v="廖元"/>
        <s v="钱平"/>
        <s v="李涛"/>
        <s v="朱玲玲"/>
        <s v="周霞"/>
        <s v="吕林"/>
        <s v="施琅"/>
        <s v="韩希"/>
        <s v="冯志刚"/>
        <s v="李浩"/>
        <s v="王伟"/>
        <s v="王瑞"/>
        <s v="周长"/>
        <s v="卫东"/>
        <s v="郝置"/>
        <s v="薛包"/>
        <s v="曾华"/>
        <s v="吴亦凡"/>
        <s v="彭军"/>
      </sharedItems>
    </cacheField>
    <cacheField name="性别" numFmtId="0">
      <sharedItems count="2">
        <s v="男"/>
        <s v="女"/>
      </sharedItems>
    </cacheField>
    <cacheField name="咨询日期" numFmtId="177">
      <sharedItems containsSemiMixedTypes="0" containsString="0" containsNonDate="0" containsDate="1" minDate="2014-01-05T00:00:00" maxDate="2014-03-28T00:00:00" count="30">
        <d v="2014-01-05T00:00:00"/>
        <d v="2014-01-08T00:00:00"/>
        <d v="2014-01-10T00:00:00"/>
        <d v="2014-01-12T00:00:00"/>
        <d v="2014-01-14T00:00:00"/>
        <d v="2014-01-17T00:00:00"/>
        <d v="2014-01-21T00:00:00"/>
        <d v="2014-01-23T00:00:00"/>
        <d v="2014-01-25T00:00:00"/>
        <d v="2014-02-02T00:00:00"/>
        <d v="2014-02-04T00:00:00"/>
        <d v="2014-02-09T00:00:00"/>
        <d v="2014-02-14T00:00:00"/>
        <d v="2014-02-15T00:00:00"/>
        <d v="2014-02-16T00:00:00"/>
        <d v="2014-02-20T00:00:00"/>
        <d v="2014-02-21T00:00:00"/>
        <d v="2014-02-22T00:00:00"/>
        <d v="2014-02-25T00:00:00"/>
        <d v="2014-02-27T00:00:00"/>
        <d v="2014-03-01T00:00:00"/>
        <d v="2014-03-02T00:00:00"/>
        <d v="2014-03-08T00:00:00"/>
        <d v="2014-03-11T00:00:00"/>
        <d v="2014-03-14T00:00:00"/>
        <d v="2014-03-17T00:00:00"/>
        <d v="2014-03-19T00:00:00"/>
        <d v="2014-03-23T00:00:00"/>
        <d v="2014-03-24T00:00:00"/>
        <d v="2014-03-28T00:00:00"/>
      </sharedItems>
    </cacheField>
    <cacheField name="咨询时间" numFmtId="178">
      <sharedItems containsSemiMixedTypes="0" containsString="0" containsNonDate="0" containsDate="1" minDate="1899-12-30T08:47:34" maxDate="1899-12-30T21:24:07" count="30">
        <d v="1899-12-30T09:10:13"/>
        <d v="1899-12-30T10:22:31"/>
        <d v="1899-12-30T12:21:09"/>
        <d v="1899-12-30T09:41:34"/>
        <d v="1899-12-30T15:10:35"/>
        <d v="1899-12-30T10:48:12"/>
        <d v="1899-12-30T13:20:45"/>
        <d v="1899-12-30T12:43:05"/>
        <d v="1899-12-30T17:25:31"/>
        <d v="1899-12-30T11:23:15"/>
        <d v="1899-12-30T09:22:31"/>
        <d v="1899-12-30T10:47:34"/>
        <d v="1899-12-30T13:00:23"/>
        <d v="1899-12-30T15:33:40"/>
        <d v="1899-12-30T16:57:12"/>
        <d v="1899-12-30T17:23:34"/>
        <d v="1899-12-30T21:24:07"/>
        <d v="1899-12-30T13:23:34"/>
        <d v="1899-12-30T12:23:23"/>
        <d v="1899-12-30T12:13:00"/>
        <d v="1899-12-30T11:23:11"/>
        <d v="1899-12-30T15:32:28"/>
        <d v="1899-12-30T11:27:17"/>
        <d v="1899-12-30T12:51:23"/>
        <d v="1899-12-30T08:47:34"/>
        <d v="1899-12-30T13:28:31"/>
        <d v="1899-12-30T16:35:10"/>
        <d v="1899-12-30T17:55:31"/>
        <d v="1899-12-30T10:43:02"/>
        <d v="1899-12-30T11:24:07"/>
      </sharedItems>
    </cacheField>
    <cacheField name="咨询商品编码" numFmtId="49">
      <sharedItems count="5">
        <s v="011201"/>
        <s v="011202"/>
        <s v="011205"/>
        <s v="011203"/>
        <s v="011204"/>
      </sharedItems>
    </cacheField>
    <cacheField name="商品单价" numFmtId="0">
      <sharedItems containsSemiMixedTypes="0" containsString="0" containsNumber="1" minValue="18" maxValue="326" count="5">
        <n v="78.5"/>
        <n v="326"/>
        <n v="298"/>
        <n v="18"/>
        <n v="169.5"/>
      </sharedItems>
    </cacheField>
    <cacheField name="预购类型" numFmtId="0">
      <sharedItems count="2">
        <s v="团购"/>
        <s v="批发"/>
      </sharedItems>
    </cacheField>
    <cacheField name="预购数量" numFmtId="0">
      <sharedItems containsSemiMixedTypes="0" containsString="0" containsNumber="1" containsInteger="1" minValue="0" maxValue="3000" count="21">
        <n v="800"/>
        <n v="3000"/>
        <n v="0"/>
        <n v="700"/>
        <n v="1500"/>
        <n v="2500"/>
        <n v="200"/>
        <n v="1000"/>
        <n v="350"/>
        <n v="400"/>
        <n v="2000"/>
        <n v="500"/>
        <n v="10"/>
        <n v="220"/>
        <n v="123"/>
        <n v="8"/>
        <n v="2"/>
        <n v="900"/>
        <n v="1200"/>
        <n v="600"/>
        <n v="5"/>
      </sharedItems>
    </cacheField>
    <cacheField name="成交数量" numFmtId="0">
      <sharedItems containsSemiMixedTypes="0" containsString="0" containsNumber="1" containsInteger="1" minValue="0" maxValue="2000" count="15">
        <n v="800"/>
        <n v="1000"/>
        <n v="0"/>
        <n v="700"/>
        <n v="1500"/>
        <n v="2000"/>
        <n v="350"/>
        <n v="400"/>
        <n v="500"/>
        <n v="218"/>
        <n v="123"/>
        <n v="8"/>
        <n v="2"/>
        <n v="1200"/>
        <n v="600"/>
      </sharedItems>
    </cacheField>
    <cacheField name="成交金额" numFmtId="0">
      <sharedItems containsSemiMixedTypes="0" containsString="0" containsNumber="1" containsInteger="1" minValue="0" maxValue="652000" count="20">
        <n v="62800"/>
        <n v="326000"/>
        <n v="0"/>
        <n v="54950"/>
        <n v="447000"/>
        <n v="36000"/>
        <n v="59325"/>
        <n v="130400"/>
        <n v="169500"/>
        <n v="157000"/>
        <n v="18000"/>
        <n v="39250"/>
        <n v="652000"/>
        <n v="17113"/>
        <n v="36654"/>
        <n v="144"/>
        <n v="339"/>
        <n v="67800"/>
        <n v="94200"/>
        <n v="47100"/>
      </sharedItems>
    </cacheField>
    <cacheField name="销售经理" numFmtId="0">
      <sharedItems count="3">
        <s v="张乐"/>
        <s v="高友"/>
        <s v="李耀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0"/>
  </r>
  <r>
    <x v="2"/>
    <x v="0"/>
    <x v="2"/>
    <x v="2"/>
    <x v="0"/>
    <x v="0"/>
    <x v="0"/>
    <x v="2"/>
    <x v="2"/>
    <x v="2"/>
    <x v="1"/>
  </r>
  <r>
    <x v="3"/>
    <x v="0"/>
    <x v="3"/>
    <x v="3"/>
    <x v="0"/>
    <x v="0"/>
    <x v="0"/>
    <x v="3"/>
    <x v="3"/>
    <x v="3"/>
    <x v="2"/>
  </r>
  <r>
    <x v="4"/>
    <x v="1"/>
    <x v="4"/>
    <x v="4"/>
    <x v="2"/>
    <x v="2"/>
    <x v="1"/>
    <x v="4"/>
    <x v="4"/>
    <x v="4"/>
    <x v="1"/>
  </r>
  <r>
    <x v="5"/>
    <x v="0"/>
    <x v="5"/>
    <x v="5"/>
    <x v="3"/>
    <x v="3"/>
    <x v="1"/>
    <x v="5"/>
    <x v="5"/>
    <x v="5"/>
    <x v="2"/>
  </r>
  <r>
    <x v="6"/>
    <x v="1"/>
    <x v="6"/>
    <x v="6"/>
    <x v="4"/>
    <x v="4"/>
    <x v="0"/>
    <x v="6"/>
    <x v="2"/>
    <x v="2"/>
    <x v="0"/>
  </r>
  <r>
    <x v="7"/>
    <x v="0"/>
    <x v="7"/>
    <x v="7"/>
    <x v="1"/>
    <x v="1"/>
    <x v="1"/>
    <x v="7"/>
    <x v="1"/>
    <x v="1"/>
    <x v="2"/>
  </r>
  <r>
    <x v="8"/>
    <x v="1"/>
    <x v="8"/>
    <x v="8"/>
    <x v="4"/>
    <x v="4"/>
    <x v="0"/>
    <x v="8"/>
    <x v="6"/>
    <x v="6"/>
    <x v="1"/>
  </r>
  <r>
    <x v="9"/>
    <x v="0"/>
    <x v="9"/>
    <x v="9"/>
    <x v="1"/>
    <x v="1"/>
    <x v="0"/>
    <x v="9"/>
    <x v="7"/>
    <x v="7"/>
    <x v="1"/>
  </r>
  <r>
    <x v="10"/>
    <x v="0"/>
    <x v="10"/>
    <x v="0"/>
    <x v="4"/>
    <x v="4"/>
    <x v="1"/>
    <x v="7"/>
    <x v="1"/>
    <x v="8"/>
    <x v="2"/>
  </r>
  <r>
    <x v="11"/>
    <x v="1"/>
    <x v="10"/>
    <x v="10"/>
    <x v="3"/>
    <x v="3"/>
    <x v="0"/>
    <x v="2"/>
    <x v="2"/>
    <x v="2"/>
    <x v="1"/>
  </r>
  <r>
    <x v="12"/>
    <x v="1"/>
    <x v="11"/>
    <x v="11"/>
    <x v="0"/>
    <x v="0"/>
    <x v="1"/>
    <x v="10"/>
    <x v="5"/>
    <x v="9"/>
    <x v="1"/>
  </r>
  <r>
    <x v="13"/>
    <x v="0"/>
    <x v="12"/>
    <x v="12"/>
    <x v="3"/>
    <x v="3"/>
    <x v="1"/>
    <x v="7"/>
    <x v="1"/>
    <x v="10"/>
    <x v="0"/>
  </r>
  <r>
    <x v="14"/>
    <x v="1"/>
    <x v="13"/>
    <x v="13"/>
    <x v="0"/>
    <x v="0"/>
    <x v="0"/>
    <x v="11"/>
    <x v="8"/>
    <x v="11"/>
    <x v="0"/>
  </r>
  <r>
    <x v="15"/>
    <x v="1"/>
    <x v="14"/>
    <x v="14"/>
    <x v="4"/>
    <x v="4"/>
    <x v="1"/>
    <x v="7"/>
    <x v="1"/>
    <x v="8"/>
    <x v="0"/>
  </r>
  <r>
    <x v="16"/>
    <x v="1"/>
    <x v="15"/>
    <x v="15"/>
    <x v="1"/>
    <x v="1"/>
    <x v="1"/>
    <x v="10"/>
    <x v="5"/>
    <x v="12"/>
    <x v="1"/>
  </r>
  <r>
    <x v="17"/>
    <x v="1"/>
    <x v="16"/>
    <x v="16"/>
    <x v="1"/>
    <x v="1"/>
    <x v="0"/>
    <x v="12"/>
    <x v="2"/>
    <x v="2"/>
    <x v="2"/>
  </r>
  <r>
    <x v="18"/>
    <x v="0"/>
    <x v="17"/>
    <x v="17"/>
    <x v="0"/>
    <x v="0"/>
    <x v="0"/>
    <x v="13"/>
    <x v="9"/>
    <x v="13"/>
    <x v="0"/>
  </r>
  <r>
    <x v="19"/>
    <x v="1"/>
    <x v="18"/>
    <x v="18"/>
    <x v="2"/>
    <x v="2"/>
    <x v="0"/>
    <x v="14"/>
    <x v="10"/>
    <x v="14"/>
    <x v="2"/>
  </r>
  <r>
    <x v="20"/>
    <x v="0"/>
    <x v="19"/>
    <x v="19"/>
    <x v="2"/>
    <x v="2"/>
    <x v="1"/>
    <x v="4"/>
    <x v="4"/>
    <x v="4"/>
    <x v="2"/>
  </r>
  <r>
    <x v="21"/>
    <x v="0"/>
    <x v="20"/>
    <x v="20"/>
    <x v="3"/>
    <x v="3"/>
    <x v="0"/>
    <x v="15"/>
    <x v="11"/>
    <x v="15"/>
    <x v="0"/>
  </r>
  <r>
    <x v="22"/>
    <x v="0"/>
    <x v="21"/>
    <x v="21"/>
    <x v="4"/>
    <x v="4"/>
    <x v="0"/>
    <x v="16"/>
    <x v="12"/>
    <x v="16"/>
    <x v="0"/>
  </r>
  <r>
    <x v="23"/>
    <x v="0"/>
    <x v="22"/>
    <x v="22"/>
    <x v="4"/>
    <x v="4"/>
    <x v="0"/>
    <x v="9"/>
    <x v="7"/>
    <x v="17"/>
    <x v="2"/>
  </r>
  <r>
    <x v="24"/>
    <x v="1"/>
    <x v="23"/>
    <x v="23"/>
    <x v="3"/>
    <x v="3"/>
    <x v="0"/>
    <x v="0"/>
    <x v="2"/>
    <x v="2"/>
    <x v="1"/>
  </r>
  <r>
    <x v="25"/>
    <x v="0"/>
    <x v="24"/>
    <x v="24"/>
    <x v="1"/>
    <x v="1"/>
    <x v="1"/>
    <x v="10"/>
    <x v="5"/>
    <x v="12"/>
    <x v="1"/>
  </r>
  <r>
    <x v="26"/>
    <x v="0"/>
    <x v="25"/>
    <x v="25"/>
    <x v="1"/>
    <x v="1"/>
    <x v="0"/>
    <x v="17"/>
    <x v="2"/>
    <x v="2"/>
    <x v="0"/>
  </r>
  <r>
    <x v="27"/>
    <x v="0"/>
    <x v="26"/>
    <x v="26"/>
    <x v="2"/>
    <x v="2"/>
    <x v="0"/>
    <x v="2"/>
    <x v="2"/>
    <x v="2"/>
    <x v="2"/>
  </r>
  <r>
    <x v="28"/>
    <x v="0"/>
    <x v="27"/>
    <x v="27"/>
    <x v="0"/>
    <x v="0"/>
    <x v="1"/>
    <x v="18"/>
    <x v="13"/>
    <x v="18"/>
    <x v="0"/>
  </r>
  <r>
    <x v="29"/>
    <x v="1"/>
    <x v="28"/>
    <x v="28"/>
    <x v="0"/>
    <x v="0"/>
    <x v="0"/>
    <x v="19"/>
    <x v="14"/>
    <x v="19"/>
    <x v="2"/>
  </r>
  <r>
    <x v="30"/>
    <x v="0"/>
    <x v="29"/>
    <x v="29"/>
    <x v="3"/>
    <x v="3"/>
    <x v="0"/>
    <x v="20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dataPosition="1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outline="1" compactData="0" outlineData="1" showDrill="1" multipleFieldFilters="0">
  <location ref="A3:G11" firstHeaderRow="1" firstDataRow="3" firstDataCol="1" rowPageCount="1" colPageCount="1"/>
  <pivotFields count="11">
    <pivotField compact="0" showAll="0">
      <items count="32">
        <item x="28"/>
        <item x="0"/>
        <item x="8"/>
        <item x="20"/>
        <item x="1"/>
        <item x="9"/>
        <item x="19"/>
        <item x="26"/>
        <item x="21"/>
        <item x="14"/>
        <item x="2"/>
        <item x="12"/>
        <item x="17"/>
        <item x="30"/>
        <item x="5"/>
        <item x="10"/>
        <item x="13"/>
        <item x="6"/>
        <item x="18"/>
        <item x="7"/>
        <item x="11"/>
        <item x="23"/>
        <item x="22"/>
        <item x="25"/>
        <item x="29"/>
        <item x="27"/>
        <item x="3"/>
        <item x="4"/>
        <item x="16"/>
        <item x="24"/>
        <item x="15"/>
        <item t="default"/>
      </items>
    </pivotField>
    <pivotField compact="0" showAll="0"/>
    <pivotField compact="0" numFmtId="177" showAll="0"/>
    <pivotField compact="0" numFmtId="178" showAll="0"/>
    <pivotField axis="axisRow" compact="0" showAll="0">
      <items count="6">
        <item x="0"/>
        <item x="1"/>
        <item x="3"/>
        <item x="4"/>
        <item x="2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dataField="1" compact="0" showAll="0">
      <items count="21">
        <item x="2"/>
        <item x="15"/>
        <item x="16"/>
        <item x="13"/>
        <item x="10"/>
        <item x="5"/>
        <item x="14"/>
        <item x="11"/>
        <item x="19"/>
        <item x="3"/>
        <item x="6"/>
        <item x="0"/>
        <item x="17"/>
        <item x="18"/>
        <item x="7"/>
        <item x="9"/>
        <item x="8"/>
        <item x="1"/>
        <item x="4"/>
        <item x="12"/>
        <item t="default"/>
      </items>
    </pivotField>
    <pivotField axis="axisPage" compact="0" showAll="0">
      <items count="4">
        <item x="1"/>
        <item x="2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0"/>
  </pageFields>
  <dataFields count="2">
    <dataField name="成交额" fld="9" baseField="0" baseItem="0"/>
    <dataField name="成交额占比" fld="9" showDataAs="percentOfCol" baseField="0" baseItem="0" numFmtId="10"/>
  </dataFields>
  <formats count="4">
    <format dxfId="0">
      <pivotArea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3">
      <pivotArea grandCol="1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2:K33" totalsRowShown="0">
  <sortState ref="A2:K33">
    <sortCondition ref="C3:C33"/>
    <sortCondition ref="D3:D33"/>
  </sortState>
  <tableColumns count="11">
    <tableColumn id="1" name="客户姓名"/>
    <tableColumn id="2" name="性别"/>
    <tableColumn id="3" name="咨询日期" dataDxfId="4"/>
    <tableColumn id="4" name="咨询时间" dataDxfId="5"/>
    <tableColumn id="5" name="咨询商品编码" dataDxfId="6"/>
    <tableColumn id="10" name="商品单价"/>
    <tableColumn id="6" name="预购类型"/>
    <tableColumn id="7" name="预购数量"/>
    <tableColumn id="8" name="成交数量"/>
    <tableColumn id="11" name="成交金额"/>
    <tableColumn id="9" name="销售经理" dataDxf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C29" sqref="C29"/>
    </sheetView>
  </sheetViews>
  <sheetFormatPr defaultColWidth="9" defaultRowHeight="14.25" outlineLevelCol="6"/>
  <cols>
    <col min="1" max="1" width="15.375" customWidth="1"/>
    <col min="2" max="5" width="13.375"/>
    <col min="6" max="6" width="11.5"/>
    <col min="7" max="7" width="15.75"/>
  </cols>
  <sheetData>
    <row r="1" spans="1:2">
      <c r="A1" t="s">
        <v>0</v>
      </c>
      <c r="B1" t="s">
        <v>1</v>
      </c>
    </row>
    <row r="3" spans="1:7">
      <c r="A3" s="14"/>
      <c r="B3" s="14" t="s">
        <v>2</v>
      </c>
      <c r="C3" s="14" t="s">
        <v>3</v>
      </c>
      <c r="D3" s="14"/>
      <c r="E3" s="14"/>
      <c r="F3" s="14"/>
      <c r="G3" s="14"/>
    </row>
    <row r="4" spans="1:7">
      <c r="A4" s="14"/>
      <c r="B4" s="15" t="s">
        <v>4</v>
      </c>
      <c r="C4" s="16"/>
      <c r="D4" s="15" t="s">
        <v>5</v>
      </c>
      <c r="E4" s="16"/>
      <c r="F4" s="15" t="s">
        <v>6</v>
      </c>
      <c r="G4" s="15" t="s">
        <v>7</v>
      </c>
    </row>
    <row r="5" spans="1:7">
      <c r="A5" s="14" t="s">
        <v>8</v>
      </c>
      <c r="B5" s="15" t="s">
        <v>9</v>
      </c>
      <c r="C5" s="15" t="s">
        <v>10</v>
      </c>
      <c r="D5" s="15" t="s">
        <v>9</v>
      </c>
      <c r="E5" s="15" t="s">
        <v>10</v>
      </c>
      <c r="F5" s="16"/>
      <c r="G5" s="16"/>
    </row>
    <row r="6" spans="1:7">
      <c r="A6" s="14" t="s">
        <v>11</v>
      </c>
      <c r="B6" s="17">
        <v>251200</v>
      </c>
      <c r="C6" s="18">
        <v>0.0718905615019175</v>
      </c>
      <c r="D6" s="17">
        <v>221213</v>
      </c>
      <c r="E6" s="18">
        <v>0.428811243033681</v>
      </c>
      <c r="F6" s="17">
        <v>472413</v>
      </c>
      <c r="G6" s="18">
        <v>0.117806524815621</v>
      </c>
    </row>
    <row r="7" spans="1:7">
      <c r="A7" s="14" t="s">
        <v>12</v>
      </c>
      <c r="B7" s="17">
        <v>1956000</v>
      </c>
      <c r="C7" s="18">
        <v>0.55978478621716</v>
      </c>
      <c r="D7" s="17">
        <v>130400</v>
      </c>
      <c r="E7" s="18">
        <v>0.252774412406106</v>
      </c>
      <c r="F7" s="17">
        <v>2086400</v>
      </c>
      <c r="G7" s="18">
        <v>0.520289520769562</v>
      </c>
    </row>
    <row r="8" spans="1:7">
      <c r="A8" s="14" t="s">
        <v>13</v>
      </c>
      <c r="B8" s="17">
        <v>54000</v>
      </c>
      <c r="C8" s="18">
        <v>0.0154541812145842</v>
      </c>
      <c r="D8" s="17">
        <v>144</v>
      </c>
      <c r="E8" s="18">
        <v>0.000279137387933123</v>
      </c>
      <c r="F8" s="17">
        <v>54144</v>
      </c>
      <c r="G8" s="18">
        <v>0.0135019918580076</v>
      </c>
    </row>
    <row r="9" spans="1:7">
      <c r="A9" s="14" t="s">
        <v>14</v>
      </c>
      <c r="B9" s="17">
        <v>339000</v>
      </c>
      <c r="C9" s="18">
        <v>0.0970179154026673</v>
      </c>
      <c r="D9" s="17">
        <v>127464</v>
      </c>
      <c r="E9" s="18">
        <v>0.247083111218803</v>
      </c>
      <c r="F9" s="17">
        <v>466464</v>
      </c>
      <c r="G9" s="18">
        <v>0.116323011414998</v>
      </c>
    </row>
    <row r="10" spans="1:7">
      <c r="A10" s="14" t="s">
        <v>15</v>
      </c>
      <c r="B10" s="17">
        <v>894000</v>
      </c>
      <c r="C10" s="18">
        <v>0.255852555663671</v>
      </c>
      <c r="D10" s="17">
        <v>36654</v>
      </c>
      <c r="E10" s="18">
        <v>0.0710520959534771</v>
      </c>
      <c r="F10" s="17">
        <v>930654</v>
      </c>
      <c r="G10" s="18">
        <v>0.232078951141812</v>
      </c>
    </row>
    <row r="11" spans="1:7">
      <c r="A11" s="14" t="s">
        <v>16</v>
      </c>
      <c r="B11" s="17">
        <v>3494200</v>
      </c>
      <c r="C11" s="18">
        <v>1</v>
      </c>
      <c r="D11" s="17">
        <v>515875</v>
      </c>
      <c r="E11" s="18">
        <v>1</v>
      </c>
      <c r="F11" s="17">
        <v>4010075</v>
      </c>
      <c r="G11" s="18">
        <v>1</v>
      </c>
    </row>
  </sheetData>
  <mergeCells count="4">
    <mergeCell ref="B4:C4"/>
    <mergeCell ref="D4:E4"/>
    <mergeCell ref="F4:F5"/>
    <mergeCell ref="G4:G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3"/>
  <sheetViews>
    <sheetView workbookViewId="0">
      <selection activeCell="J4" sqref="J4"/>
    </sheetView>
  </sheetViews>
  <sheetFormatPr defaultColWidth="9" defaultRowHeight="14.25"/>
  <cols>
    <col min="1" max="1" width="9.375" customWidth="1"/>
    <col min="2" max="2" width="5.375" customWidth="1"/>
    <col min="3" max="3" width="10.375" customWidth="1"/>
    <col min="4" max="4" width="9.375" customWidth="1"/>
    <col min="5" max="6" width="13.75" style="5" customWidth="1"/>
    <col min="7" max="11" width="9.375" customWidth="1"/>
    <col min="14" max="14" width="9.5" customWidth="1"/>
    <col min="15" max="15" width="10.5" customWidth="1"/>
  </cols>
  <sheetData>
    <row r="1" ht="28.5" customHeight="1" spans="1:11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>
      <c r="A2" t="s">
        <v>18</v>
      </c>
      <c r="B2" t="s">
        <v>19</v>
      </c>
      <c r="C2" t="s">
        <v>20</v>
      </c>
      <c r="D2" s="7" t="s">
        <v>21</v>
      </c>
      <c r="E2" s="8" t="s">
        <v>8</v>
      </c>
      <c r="F2" s="8" t="s">
        <v>22</v>
      </c>
      <c r="G2" s="7" t="s">
        <v>2</v>
      </c>
      <c r="H2" s="7" t="s">
        <v>23</v>
      </c>
      <c r="I2" s="7" t="s">
        <v>24</v>
      </c>
      <c r="J2" s="7" t="s">
        <v>25</v>
      </c>
      <c r="K2" s="7" t="s">
        <v>0</v>
      </c>
      <c r="L2" s="7"/>
    </row>
    <row r="3" spans="1:11">
      <c r="A3" t="s">
        <v>26</v>
      </c>
      <c r="B3" t="s">
        <v>27</v>
      </c>
      <c r="C3" s="9">
        <v>41644</v>
      </c>
      <c r="D3" s="10">
        <v>0.382094907407407</v>
      </c>
      <c r="E3" s="5" t="s">
        <v>11</v>
      </c>
      <c r="F3" s="11">
        <f>VLOOKUP(E3,商品单价!$A$2:$B$7,2,FALSE)</f>
        <v>78.5</v>
      </c>
      <c r="G3" t="s">
        <v>5</v>
      </c>
      <c r="H3">
        <v>800</v>
      </c>
      <c r="I3">
        <v>800</v>
      </c>
      <c r="J3">
        <f>I3*F3</f>
        <v>62800</v>
      </c>
      <c r="K3" s="7" t="s">
        <v>28</v>
      </c>
    </row>
    <row r="4" spans="1:11">
      <c r="A4" t="s">
        <v>29</v>
      </c>
      <c r="B4" t="s">
        <v>27</v>
      </c>
      <c r="C4" s="9">
        <v>41647</v>
      </c>
      <c r="D4" s="12">
        <v>0.432303240740741</v>
      </c>
      <c r="E4" s="8" t="s">
        <v>30</v>
      </c>
      <c r="F4" s="11">
        <f>VLOOKUP(E4,商品单价!$A$2:$B$7,2,FALSE)</f>
        <v>326</v>
      </c>
      <c r="G4" t="s">
        <v>4</v>
      </c>
      <c r="H4">
        <v>3000</v>
      </c>
      <c r="I4">
        <v>1000</v>
      </c>
      <c r="J4">
        <f t="shared" ref="J4:J33" si="0">I4*F4</f>
        <v>326000</v>
      </c>
      <c r="K4" s="7" t="s">
        <v>28</v>
      </c>
    </row>
    <row r="5" spans="1:11">
      <c r="A5" t="s">
        <v>31</v>
      </c>
      <c r="B5" t="s">
        <v>27</v>
      </c>
      <c r="C5" s="9">
        <v>41649</v>
      </c>
      <c r="D5" s="12">
        <v>0.5146875</v>
      </c>
      <c r="E5" s="5" t="s">
        <v>11</v>
      </c>
      <c r="F5" s="11">
        <f>VLOOKUP(E5,商品单价!$A$2:$B$7,2,FALSE)</f>
        <v>78.5</v>
      </c>
      <c r="G5" t="s">
        <v>5</v>
      </c>
      <c r="H5">
        <v>0</v>
      </c>
      <c r="I5">
        <v>0</v>
      </c>
      <c r="J5">
        <f t="shared" si="0"/>
        <v>0</v>
      </c>
      <c r="K5" s="7" t="s">
        <v>32</v>
      </c>
    </row>
    <row r="6" spans="1:11">
      <c r="A6" t="s">
        <v>33</v>
      </c>
      <c r="B6" t="s">
        <v>27</v>
      </c>
      <c r="C6" s="9">
        <v>41651</v>
      </c>
      <c r="D6" s="10">
        <v>0.403865740740741</v>
      </c>
      <c r="E6" s="5" t="s">
        <v>11</v>
      </c>
      <c r="F6" s="11">
        <f>VLOOKUP(E6,商品单价!$A$2:$B$7,2,FALSE)</f>
        <v>78.5</v>
      </c>
      <c r="G6" t="s">
        <v>5</v>
      </c>
      <c r="H6">
        <v>700</v>
      </c>
      <c r="I6">
        <v>700</v>
      </c>
      <c r="J6">
        <f t="shared" si="0"/>
        <v>54950</v>
      </c>
      <c r="K6" s="7" t="s">
        <v>34</v>
      </c>
    </row>
    <row r="7" spans="1:11">
      <c r="A7" t="s">
        <v>35</v>
      </c>
      <c r="B7" t="s">
        <v>36</v>
      </c>
      <c r="C7" s="9">
        <v>41653</v>
      </c>
      <c r="D7" s="10">
        <v>0.632349537037037</v>
      </c>
      <c r="E7" s="5" t="s">
        <v>15</v>
      </c>
      <c r="F7" s="11">
        <f>VLOOKUP(E7,商品单价!$A$2:$B$7,2,FALSE)</f>
        <v>298</v>
      </c>
      <c r="G7" t="s">
        <v>4</v>
      </c>
      <c r="H7">
        <v>1500</v>
      </c>
      <c r="I7">
        <v>1500</v>
      </c>
      <c r="J7">
        <f t="shared" si="0"/>
        <v>447000</v>
      </c>
      <c r="K7" s="7" t="s">
        <v>32</v>
      </c>
    </row>
    <row r="8" spans="1:11">
      <c r="A8" t="s">
        <v>37</v>
      </c>
      <c r="B8" t="s">
        <v>27</v>
      </c>
      <c r="C8" s="9">
        <v>41656</v>
      </c>
      <c r="D8" s="12">
        <v>0.450138888888889</v>
      </c>
      <c r="E8" s="5" t="s">
        <v>13</v>
      </c>
      <c r="F8" s="11">
        <f>VLOOKUP(E8,商品单价!$A$2:$B$7,2,FALSE)</f>
        <v>18</v>
      </c>
      <c r="G8" t="s">
        <v>4</v>
      </c>
      <c r="H8">
        <v>2500</v>
      </c>
      <c r="I8">
        <v>2000</v>
      </c>
      <c r="J8">
        <f t="shared" si="0"/>
        <v>36000</v>
      </c>
      <c r="K8" s="7" t="s">
        <v>34</v>
      </c>
    </row>
    <row r="9" spans="1:11">
      <c r="A9" t="s">
        <v>38</v>
      </c>
      <c r="B9" t="s">
        <v>36</v>
      </c>
      <c r="C9" s="9">
        <v>41660</v>
      </c>
      <c r="D9" s="10">
        <v>0.556076388888889</v>
      </c>
      <c r="E9" s="5" t="s">
        <v>14</v>
      </c>
      <c r="F9" s="11">
        <f>VLOOKUP(E9,商品单价!$A$2:$B$7,2,FALSE)</f>
        <v>169.5</v>
      </c>
      <c r="G9" t="s">
        <v>5</v>
      </c>
      <c r="H9">
        <v>200</v>
      </c>
      <c r="I9">
        <v>0</v>
      </c>
      <c r="J9">
        <f t="shared" si="0"/>
        <v>0</v>
      </c>
      <c r="K9" s="7" t="s">
        <v>28</v>
      </c>
    </row>
    <row r="10" spans="1:11">
      <c r="A10" t="s">
        <v>39</v>
      </c>
      <c r="B10" t="s">
        <v>27</v>
      </c>
      <c r="C10" s="9">
        <v>41662</v>
      </c>
      <c r="D10" s="12">
        <v>0.529918981481481</v>
      </c>
      <c r="E10" s="8" t="s">
        <v>30</v>
      </c>
      <c r="F10" s="11">
        <f>VLOOKUP(E10,商品单价!$A$2:$B$7,2,FALSE)</f>
        <v>326</v>
      </c>
      <c r="G10" t="s">
        <v>4</v>
      </c>
      <c r="H10">
        <v>1000</v>
      </c>
      <c r="I10">
        <v>1000</v>
      </c>
      <c r="J10">
        <f t="shared" si="0"/>
        <v>326000</v>
      </c>
      <c r="K10" s="7" t="s">
        <v>34</v>
      </c>
    </row>
    <row r="11" spans="1:11">
      <c r="A11" t="s">
        <v>40</v>
      </c>
      <c r="B11" t="s">
        <v>36</v>
      </c>
      <c r="C11" s="9">
        <v>41664</v>
      </c>
      <c r="D11" s="12">
        <v>0.726053240740741</v>
      </c>
      <c r="E11" s="5" t="s">
        <v>14</v>
      </c>
      <c r="F11" s="11">
        <f>VLOOKUP(E11,商品单价!$A$2:$B$7,2,FALSE)</f>
        <v>169.5</v>
      </c>
      <c r="G11" t="s">
        <v>5</v>
      </c>
      <c r="H11">
        <v>350</v>
      </c>
      <c r="I11">
        <v>350</v>
      </c>
      <c r="J11">
        <f t="shared" si="0"/>
        <v>59325</v>
      </c>
      <c r="K11" s="7" t="s">
        <v>32</v>
      </c>
    </row>
    <row r="12" spans="1:15">
      <c r="A12" t="s">
        <v>41</v>
      </c>
      <c r="B12" t="s">
        <v>27</v>
      </c>
      <c r="C12" s="9">
        <v>41672</v>
      </c>
      <c r="D12" s="12">
        <v>0.474479166666667</v>
      </c>
      <c r="E12" s="5" t="s">
        <v>12</v>
      </c>
      <c r="F12" s="11">
        <f>VLOOKUP(E12,商品单价!$A$2:$B$7,2,FALSE)</f>
        <v>326</v>
      </c>
      <c r="G12" t="s">
        <v>5</v>
      </c>
      <c r="H12">
        <v>400</v>
      </c>
      <c r="I12">
        <v>400</v>
      </c>
      <c r="J12">
        <f t="shared" si="0"/>
        <v>130400</v>
      </c>
      <c r="K12" s="7" t="s">
        <v>32</v>
      </c>
      <c r="N12" s="13"/>
      <c r="O12" s="13"/>
    </row>
    <row r="13" spans="1:11">
      <c r="A13" t="s">
        <v>42</v>
      </c>
      <c r="B13" t="s">
        <v>27</v>
      </c>
      <c r="C13" s="9">
        <v>41674</v>
      </c>
      <c r="D13" s="10">
        <v>0.382094907407407</v>
      </c>
      <c r="E13" s="5" t="s">
        <v>14</v>
      </c>
      <c r="F13" s="11">
        <f>VLOOKUP(E13,商品单价!$A$2:$B$7,2,FALSE)</f>
        <v>169.5</v>
      </c>
      <c r="G13" t="s">
        <v>4</v>
      </c>
      <c r="H13">
        <v>1000</v>
      </c>
      <c r="I13">
        <v>1000</v>
      </c>
      <c r="J13">
        <f t="shared" si="0"/>
        <v>169500</v>
      </c>
      <c r="K13" s="7" t="s">
        <v>34</v>
      </c>
    </row>
    <row r="14" spans="1:11">
      <c r="A14" t="s">
        <v>43</v>
      </c>
      <c r="B14" t="s">
        <v>36</v>
      </c>
      <c r="C14" s="9">
        <v>41674</v>
      </c>
      <c r="D14" s="12">
        <v>0.390636574074074</v>
      </c>
      <c r="E14" s="5" t="s">
        <v>13</v>
      </c>
      <c r="F14" s="11">
        <f>VLOOKUP(E14,商品单价!$A$2:$B$7,2,FALSE)</f>
        <v>18</v>
      </c>
      <c r="G14" t="s">
        <v>5</v>
      </c>
      <c r="H14">
        <v>0</v>
      </c>
      <c r="I14">
        <v>0</v>
      </c>
      <c r="J14">
        <f t="shared" si="0"/>
        <v>0</v>
      </c>
      <c r="K14" s="7" t="s">
        <v>32</v>
      </c>
    </row>
    <row r="15" spans="1:11">
      <c r="A15" t="s">
        <v>44</v>
      </c>
      <c r="B15" t="s">
        <v>36</v>
      </c>
      <c r="C15" s="9">
        <v>41679</v>
      </c>
      <c r="D15" s="10">
        <v>0.449699074074074</v>
      </c>
      <c r="E15" s="5" t="s">
        <v>11</v>
      </c>
      <c r="F15" s="11">
        <f>VLOOKUP(E15,商品单价!$A$2:$B$7,2,FALSE)</f>
        <v>78.5</v>
      </c>
      <c r="G15" t="s">
        <v>4</v>
      </c>
      <c r="H15">
        <v>2000</v>
      </c>
      <c r="I15">
        <v>2000</v>
      </c>
      <c r="J15">
        <f t="shared" si="0"/>
        <v>157000</v>
      </c>
      <c r="K15" s="7" t="s">
        <v>32</v>
      </c>
    </row>
    <row r="16" spans="1:11">
      <c r="A16" s="7" t="s">
        <v>45</v>
      </c>
      <c r="B16" t="s">
        <v>27</v>
      </c>
      <c r="C16" s="9">
        <v>41684</v>
      </c>
      <c r="D16" s="10">
        <v>0.54193287037037</v>
      </c>
      <c r="E16" s="5" t="s">
        <v>13</v>
      </c>
      <c r="F16" s="11">
        <f>VLOOKUP(E16,商品单价!$A$2:$B$7,2,FALSE)</f>
        <v>18</v>
      </c>
      <c r="G16" t="s">
        <v>4</v>
      </c>
      <c r="H16">
        <v>1000</v>
      </c>
      <c r="I16">
        <v>1000</v>
      </c>
      <c r="J16">
        <f t="shared" si="0"/>
        <v>18000</v>
      </c>
      <c r="K16" s="7" t="s">
        <v>28</v>
      </c>
    </row>
    <row r="17" spans="1:11">
      <c r="A17" t="s">
        <v>46</v>
      </c>
      <c r="B17" t="s">
        <v>36</v>
      </c>
      <c r="C17" s="9">
        <v>41685</v>
      </c>
      <c r="D17" s="12">
        <v>0.64837962962963</v>
      </c>
      <c r="E17" s="5" t="s">
        <v>11</v>
      </c>
      <c r="F17" s="11">
        <f>VLOOKUP(E17,商品单价!$A$2:$B$7,2,FALSE)</f>
        <v>78.5</v>
      </c>
      <c r="G17" t="s">
        <v>5</v>
      </c>
      <c r="H17">
        <v>500</v>
      </c>
      <c r="I17">
        <v>500</v>
      </c>
      <c r="J17">
        <f t="shared" si="0"/>
        <v>39250</v>
      </c>
      <c r="K17" s="7" t="s">
        <v>28</v>
      </c>
    </row>
    <row r="18" spans="1:11">
      <c r="A18" s="7" t="s">
        <v>47</v>
      </c>
      <c r="B18" t="s">
        <v>36</v>
      </c>
      <c r="C18" s="9">
        <v>41686</v>
      </c>
      <c r="D18" s="12">
        <v>0.706388888888889</v>
      </c>
      <c r="E18" s="8" t="s">
        <v>48</v>
      </c>
      <c r="F18" s="11">
        <f>VLOOKUP(E18,商品单价!$A$2:$B$7,2,FALSE)</f>
        <v>169.5</v>
      </c>
      <c r="G18" t="s">
        <v>4</v>
      </c>
      <c r="H18">
        <v>1000</v>
      </c>
      <c r="I18">
        <v>1000</v>
      </c>
      <c r="J18">
        <f t="shared" si="0"/>
        <v>169500</v>
      </c>
      <c r="K18" s="7" t="s">
        <v>28</v>
      </c>
    </row>
    <row r="19" spans="1:11">
      <c r="A19" t="s">
        <v>49</v>
      </c>
      <c r="B19" t="s">
        <v>36</v>
      </c>
      <c r="C19" s="9">
        <v>41690</v>
      </c>
      <c r="D19" s="12">
        <v>0.724699074074074</v>
      </c>
      <c r="E19" s="5" t="s">
        <v>12</v>
      </c>
      <c r="F19" s="11">
        <f>VLOOKUP(E19,商品单价!$A$2:$B$7,2,FALSE)</f>
        <v>326</v>
      </c>
      <c r="G19" t="s">
        <v>4</v>
      </c>
      <c r="H19">
        <v>2000</v>
      </c>
      <c r="I19">
        <v>2000</v>
      </c>
      <c r="J19">
        <f t="shared" si="0"/>
        <v>652000</v>
      </c>
      <c r="K19" s="7" t="s">
        <v>32</v>
      </c>
    </row>
    <row r="20" spans="1:11">
      <c r="A20" t="s">
        <v>50</v>
      </c>
      <c r="B20" t="s">
        <v>36</v>
      </c>
      <c r="C20" s="9">
        <v>41691</v>
      </c>
      <c r="D20" s="12">
        <v>0.891747685185185</v>
      </c>
      <c r="E20" s="5" t="s">
        <v>12</v>
      </c>
      <c r="F20" s="11">
        <f>VLOOKUP(E20,商品单价!$A$2:$B$7,2,FALSE)</f>
        <v>326</v>
      </c>
      <c r="G20" t="s">
        <v>5</v>
      </c>
      <c r="H20">
        <v>10</v>
      </c>
      <c r="I20" s="7">
        <v>0</v>
      </c>
      <c r="J20">
        <f t="shared" si="0"/>
        <v>0</v>
      </c>
      <c r="K20" s="7" t="s">
        <v>34</v>
      </c>
    </row>
    <row r="21" spans="1:11">
      <c r="A21" t="s">
        <v>51</v>
      </c>
      <c r="B21" t="s">
        <v>27</v>
      </c>
      <c r="C21" s="9">
        <v>41692</v>
      </c>
      <c r="D21" s="12">
        <v>0.558032407407407</v>
      </c>
      <c r="E21" s="5" t="s">
        <v>11</v>
      </c>
      <c r="F21" s="11">
        <f>VLOOKUP(E21,商品单价!$A$2:$B$7,2,FALSE)</f>
        <v>78.5</v>
      </c>
      <c r="G21" t="s">
        <v>5</v>
      </c>
      <c r="H21">
        <v>220</v>
      </c>
      <c r="I21" s="7">
        <v>218</v>
      </c>
      <c r="J21">
        <f t="shared" si="0"/>
        <v>17113</v>
      </c>
      <c r="K21" s="7" t="s">
        <v>28</v>
      </c>
    </row>
    <row r="22" spans="1:11">
      <c r="A22" t="s">
        <v>52</v>
      </c>
      <c r="B22" t="s">
        <v>36</v>
      </c>
      <c r="C22" s="9">
        <v>41695</v>
      </c>
      <c r="D22" s="12">
        <v>0.516238425925926</v>
      </c>
      <c r="E22" s="5" t="s">
        <v>15</v>
      </c>
      <c r="F22" s="11">
        <f>VLOOKUP(E22,商品单价!$A$2:$B$7,2,FALSE)</f>
        <v>298</v>
      </c>
      <c r="G22" t="s">
        <v>5</v>
      </c>
      <c r="H22">
        <v>123</v>
      </c>
      <c r="I22">
        <v>123</v>
      </c>
      <c r="J22">
        <f t="shared" si="0"/>
        <v>36654</v>
      </c>
      <c r="K22" s="7" t="s">
        <v>34</v>
      </c>
    </row>
    <row r="23" spans="1:11">
      <c r="A23" t="s">
        <v>53</v>
      </c>
      <c r="B23" t="s">
        <v>27</v>
      </c>
      <c r="C23" s="9">
        <v>41697</v>
      </c>
      <c r="D23" s="12">
        <v>0.509027777777778</v>
      </c>
      <c r="E23" s="5" t="s">
        <v>15</v>
      </c>
      <c r="F23" s="11">
        <f>VLOOKUP(E23,商品单价!$A$2:$B$7,2,FALSE)</f>
        <v>298</v>
      </c>
      <c r="G23" t="s">
        <v>4</v>
      </c>
      <c r="H23">
        <v>1500</v>
      </c>
      <c r="I23">
        <v>1500</v>
      </c>
      <c r="J23">
        <f t="shared" si="0"/>
        <v>447000</v>
      </c>
      <c r="K23" s="7" t="s">
        <v>34</v>
      </c>
    </row>
    <row r="24" spans="1:11">
      <c r="A24" t="s">
        <v>54</v>
      </c>
      <c r="B24" t="s">
        <v>27</v>
      </c>
      <c r="C24" s="9">
        <v>41699</v>
      </c>
      <c r="D24" s="12">
        <v>0.47443287037037</v>
      </c>
      <c r="E24" s="5" t="s">
        <v>13</v>
      </c>
      <c r="F24" s="11">
        <f>VLOOKUP(E24,商品单价!$A$2:$B$7,2,FALSE)</f>
        <v>18</v>
      </c>
      <c r="G24" t="s">
        <v>5</v>
      </c>
      <c r="H24">
        <v>8</v>
      </c>
      <c r="I24">
        <v>8</v>
      </c>
      <c r="J24">
        <f t="shared" si="0"/>
        <v>144</v>
      </c>
      <c r="K24" s="7" t="s">
        <v>28</v>
      </c>
    </row>
    <row r="25" spans="1:11">
      <c r="A25" t="s">
        <v>55</v>
      </c>
      <c r="B25" t="s">
        <v>27</v>
      </c>
      <c r="C25" s="9">
        <v>41700</v>
      </c>
      <c r="D25" s="12">
        <v>0.647546296296296</v>
      </c>
      <c r="E25" s="5" t="s">
        <v>14</v>
      </c>
      <c r="F25" s="11">
        <f>VLOOKUP(E25,商品单价!$A$2:$B$7,2,FALSE)</f>
        <v>169.5</v>
      </c>
      <c r="G25" t="s">
        <v>5</v>
      </c>
      <c r="H25">
        <v>2</v>
      </c>
      <c r="I25">
        <v>2</v>
      </c>
      <c r="J25">
        <f t="shared" si="0"/>
        <v>339</v>
      </c>
      <c r="K25" s="7" t="s">
        <v>28</v>
      </c>
    </row>
    <row r="26" spans="1:11">
      <c r="A26" t="s">
        <v>56</v>
      </c>
      <c r="B26" t="s">
        <v>27</v>
      </c>
      <c r="C26" s="9">
        <v>41706</v>
      </c>
      <c r="D26" s="12">
        <v>0.477280092592593</v>
      </c>
      <c r="E26" s="5" t="s">
        <v>14</v>
      </c>
      <c r="F26" s="11">
        <f>VLOOKUP(E26,商品单价!$A$2:$B$7,2,FALSE)</f>
        <v>169.5</v>
      </c>
      <c r="G26" t="s">
        <v>5</v>
      </c>
      <c r="H26">
        <v>400</v>
      </c>
      <c r="I26">
        <v>400</v>
      </c>
      <c r="J26">
        <f t="shared" si="0"/>
        <v>67800</v>
      </c>
      <c r="K26" s="7" t="s">
        <v>34</v>
      </c>
    </row>
    <row r="27" spans="1:11">
      <c r="A27" t="s">
        <v>57</v>
      </c>
      <c r="B27" t="s">
        <v>36</v>
      </c>
      <c r="C27" s="9">
        <v>41709</v>
      </c>
      <c r="D27" s="10">
        <v>0.53568287037037</v>
      </c>
      <c r="E27" s="5" t="s">
        <v>13</v>
      </c>
      <c r="F27" s="11">
        <f>VLOOKUP(E27,商品单价!$A$2:$B$7,2,FALSE)</f>
        <v>18</v>
      </c>
      <c r="G27" t="s">
        <v>5</v>
      </c>
      <c r="H27">
        <v>800</v>
      </c>
      <c r="I27">
        <v>0</v>
      </c>
      <c r="J27">
        <f t="shared" si="0"/>
        <v>0</v>
      </c>
      <c r="K27" s="7" t="s">
        <v>32</v>
      </c>
    </row>
    <row r="28" spans="1:11">
      <c r="A28" t="s">
        <v>58</v>
      </c>
      <c r="B28" t="s">
        <v>27</v>
      </c>
      <c r="C28" s="9">
        <v>41712</v>
      </c>
      <c r="D28" s="12">
        <v>0.366365740740741</v>
      </c>
      <c r="E28" s="5" t="s">
        <v>12</v>
      </c>
      <c r="F28" s="11">
        <f>VLOOKUP(E28,商品单价!$A$2:$B$7,2,FALSE)</f>
        <v>326</v>
      </c>
      <c r="G28" t="s">
        <v>4</v>
      </c>
      <c r="H28">
        <v>2000</v>
      </c>
      <c r="I28">
        <v>2000</v>
      </c>
      <c r="J28">
        <f t="shared" si="0"/>
        <v>652000</v>
      </c>
      <c r="K28" s="7" t="s">
        <v>32</v>
      </c>
    </row>
    <row r="29" spans="1:11">
      <c r="A29" t="s">
        <v>59</v>
      </c>
      <c r="B29" t="s">
        <v>27</v>
      </c>
      <c r="C29" s="9">
        <v>41715</v>
      </c>
      <c r="D29" s="12">
        <v>0.561469907407407</v>
      </c>
      <c r="E29" s="5" t="s">
        <v>12</v>
      </c>
      <c r="F29" s="11">
        <f>VLOOKUP(E29,商品单价!$A$2:$B$7,2,FALSE)</f>
        <v>326</v>
      </c>
      <c r="G29" t="s">
        <v>5</v>
      </c>
      <c r="H29">
        <v>900</v>
      </c>
      <c r="I29">
        <v>0</v>
      </c>
      <c r="J29">
        <f t="shared" si="0"/>
        <v>0</v>
      </c>
      <c r="K29" s="7" t="s">
        <v>28</v>
      </c>
    </row>
    <row r="30" spans="1:11">
      <c r="A30" t="s">
        <v>60</v>
      </c>
      <c r="B30" t="s">
        <v>27</v>
      </c>
      <c r="C30" s="9">
        <v>41717</v>
      </c>
      <c r="D30" s="12">
        <v>0.691087962962963</v>
      </c>
      <c r="E30" s="5" t="s">
        <v>15</v>
      </c>
      <c r="F30" s="11">
        <f>VLOOKUP(E30,商品单价!$A$2:$B$7,2,FALSE)</f>
        <v>298</v>
      </c>
      <c r="G30" t="s">
        <v>5</v>
      </c>
      <c r="H30">
        <v>0</v>
      </c>
      <c r="I30">
        <v>0</v>
      </c>
      <c r="J30">
        <f t="shared" si="0"/>
        <v>0</v>
      </c>
      <c r="K30" s="7" t="s">
        <v>34</v>
      </c>
    </row>
    <row r="31" spans="1:11">
      <c r="A31" t="s">
        <v>61</v>
      </c>
      <c r="B31" t="s">
        <v>27</v>
      </c>
      <c r="C31" s="9">
        <v>41721</v>
      </c>
      <c r="D31" s="12">
        <v>0.746886574074074</v>
      </c>
      <c r="E31" s="5" t="s">
        <v>11</v>
      </c>
      <c r="F31" s="11">
        <f>VLOOKUP(E31,商品单价!$A$2:$B$7,2,FALSE)</f>
        <v>78.5</v>
      </c>
      <c r="G31" t="s">
        <v>4</v>
      </c>
      <c r="H31">
        <v>1200</v>
      </c>
      <c r="I31">
        <v>1200</v>
      </c>
      <c r="J31">
        <f t="shared" si="0"/>
        <v>94200</v>
      </c>
      <c r="K31" s="7" t="s">
        <v>28</v>
      </c>
    </row>
    <row r="32" spans="1:11">
      <c r="A32" t="s">
        <v>62</v>
      </c>
      <c r="B32" t="s">
        <v>36</v>
      </c>
      <c r="C32" s="9">
        <v>41722</v>
      </c>
      <c r="D32" s="12">
        <v>0.446550925925926</v>
      </c>
      <c r="E32" s="5" t="s">
        <v>11</v>
      </c>
      <c r="F32" s="11">
        <f>VLOOKUP(E32,商品单价!$A$2:$B$7,2,FALSE)</f>
        <v>78.5</v>
      </c>
      <c r="G32" t="s">
        <v>5</v>
      </c>
      <c r="H32">
        <v>600</v>
      </c>
      <c r="I32">
        <v>600</v>
      </c>
      <c r="J32">
        <f t="shared" si="0"/>
        <v>47100</v>
      </c>
      <c r="K32" s="7" t="s">
        <v>34</v>
      </c>
    </row>
    <row r="33" spans="1:11">
      <c r="A33" t="s">
        <v>63</v>
      </c>
      <c r="B33" t="s">
        <v>27</v>
      </c>
      <c r="C33" s="9">
        <v>41726</v>
      </c>
      <c r="D33" s="12">
        <v>0.475081018518519</v>
      </c>
      <c r="E33" s="5" t="s">
        <v>13</v>
      </c>
      <c r="F33" s="11">
        <f>VLOOKUP(E33,商品单价!$A$2:$B$7,2,FALSE)</f>
        <v>18</v>
      </c>
      <c r="G33" t="s">
        <v>5</v>
      </c>
      <c r="H33">
        <v>5</v>
      </c>
      <c r="I33">
        <v>0</v>
      </c>
      <c r="J33">
        <f t="shared" si="0"/>
        <v>0</v>
      </c>
      <c r="K33" s="7" t="s">
        <v>28</v>
      </c>
    </row>
  </sheetData>
  <sortState ref="A3:L33">
    <sortCondition ref="C3:C33"/>
    <sortCondition ref="D3:D33"/>
  </sortState>
  <mergeCells count="1">
    <mergeCell ref="A1:K1"/>
  </mergeCells>
  <printOptions horizontalCentered="1"/>
  <pageMargins left="0.747916666666667" right="0.747916666666667" top="0.984027777777778" bottom="0.984027777777778" header="0.511805555555556" footer="0.511805555555556"/>
  <pageSetup paperSize="9" scale="90" orientation="landscape" horizontalDpi="60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9" sqref="D9"/>
    </sheetView>
  </sheetViews>
  <sheetFormatPr defaultColWidth="9" defaultRowHeight="14.25" outlineLevelRow="6" outlineLevelCol="1"/>
  <cols>
    <col min="1" max="1" width="14.125" customWidth="1"/>
    <col min="2" max="2" width="20.75" customWidth="1"/>
  </cols>
  <sheetData>
    <row r="1" spans="1:2">
      <c r="A1" s="1" t="s">
        <v>64</v>
      </c>
      <c r="B1" s="1"/>
    </row>
    <row r="2" spans="1:2">
      <c r="A2" s="4" t="s">
        <v>65</v>
      </c>
      <c r="B2" s="4" t="s">
        <v>66</v>
      </c>
    </row>
    <row r="3" spans="1:2">
      <c r="A3" s="19" t="s">
        <v>67</v>
      </c>
      <c r="B3" s="2">
        <v>78.5</v>
      </c>
    </row>
    <row r="4" spans="1:2">
      <c r="A4" s="19" t="s">
        <v>68</v>
      </c>
      <c r="B4" s="2">
        <v>326</v>
      </c>
    </row>
    <row r="5" spans="1:2">
      <c r="A5" s="19" t="s">
        <v>69</v>
      </c>
      <c r="B5" s="2">
        <v>18</v>
      </c>
    </row>
    <row r="6" spans="1:2">
      <c r="A6" s="19" t="s">
        <v>70</v>
      </c>
      <c r="B6" s="2">
        <v>169.5</v>
      </c>
    </row>
    <row r="7" spans="1:2">
      <c r="A7" s="19" t="s">
        <v>71</v>
      </c>
      <c r="B7" s="2">
        <v>298</v>
      </c>
    </row>
  </sheetData>
  <mergeCells count="1">
    <mergeCell ref="A1:B1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G13" sqref="G13"/>
    </sheetView>
  </sheetViews>
  <sheetFormatPr defaultColWidth="9" defaultRowHeight="14.25" outlineLevelRow="7" outlineLevelCol="4"/>
  <cols>
    <col min="1" max="1" width="9.375" customWidth="1"/>
    <col min="2" max="3" width="14.875" customWidth="1"/>
    <col min="4" max="4" width="12.625" customWidth="1"/>
    <col min="5" max="5" width="14.875" customWidth="1"/>
  </cols>
  <sheetData>
    <row r="1" spans="1:5">
      <c r="A1" s="1" t="s">
        <v>72</v>
      </c>
      <c r="B1" s="2"/>
      <c r="C1" s="2"/>
      <c r="D1" s="2"/>
      <c r="E1" s="2"/>
    </row>
    <row r="2" spans="1:5">
      <c r="A2" s="1" t="s">
        <v>0</v>
      </c>
      <c r="B2" s="2" t="s">
        <v>73</v>
      </c>
      <c r="C2" s="2" t="s">
        <v>74</v>
      </c>
      <c r="D2" s="2" t="s">
        <v>75</v>
      </c>
      <c r="E2" s="2" t="s">
        <v>76</v>
      </c>
    </row>
    <row r="3" spans="1:5">
      <c r="A3" s="1" t="s">
        <v>28</v>
      </c>
      <c r="B3" s="3">
        <f>SUMIFS(销售情况表!$J$2:$J$33,销售情况表!$K$2:$K$33,A3,销售情况表!$C$2:$C$33,"&gt;=2014-1-1",销售情况表!$C$2:$C$33,"&lt;2014-2-1")</f>
        <v>388800</v>
      </c>
      <c r="C3" s="3">
        <f>SUMIFS(销售情况表!$J$2:$J$33,销售情况表!$K$2:$K$33,A3,销售情况表!$C$2:$C$33,"&gt;=2014-2-1",销售情况表!$C$2:$C$33,"&lt;2014-3-1")</f>
        <v>243863</v>
      </c>
      <c r="D3" s="3">
        <f>SUMIFS(销售情况表!$J$2:$J$33,销售情况表!$K$2:$K$33,A3,销售情况表!$C$2:$C$33,"&gt;=2014-3-1",销售情况表!$C$2:$C$33,"&lt;2014-4-1")</f>
        <v>94683</v>
      </c>
      <c r="E3" s="3">
        <f>SUM(B3:D3)</f>
        <v>727346</v>
      </c>
    </row>
    <row r="4" spans="1:5">
      <c r="A4" s="1" t="s">
        <v>34</v>
      </c>
      <c r="B4" s="3">
        <f>SUMIFS(销售情况表!$J$2:$J$33,销售情况表!$K$2:$K$33,A4,销售情况表!$C$2:$C$33,"&gt;=2014-1-1",销售情况表!$C$2:$C$33,"&lt;2014-2-1")</f>
        <v>416950</v>
      </c>
      <c r="C4" s="3">
        <f>SUMIFS(销售情况表!$J$2:$J$33,销售情况表!$K$2:$K$33,A4,销售情况表!$C$2:$C$33,"&gt;=2014-2-1",销售情况表!$C$2:$C$33,"&lt;2014-3-1")</f>
        <v>653154</v>
      </c>
      <c r="D4" s="3">
        <f>SUMIFS(销售情况表!$J$2:$J$33,销售情况表!$K$2:$K$33,A4,销售情况表!$C$2:$C$33,"&gt;=2014-3-1",销售情况表!$C$2:$C$33,"&lt;2014-4-1")</f>
        <v>114900</v>
      </c>
      <c r="E4" s="3">
        <f>SUM(B4:D4)</f>
        <v>1185004</v>
      </c>
    </row>
    <row r="5" spans="1:5">
      <c r="A5" s="1" t="s">
        <v>32</v>
      </c>
      <c r="B5" s="3">
        <f>SUMIFS(销售情况表!$J$2:$J$33,销售情况表!$K$2:$K$33,A5,销售情况表!$C$2:$C$33,"&gt;=2014-1-1",销售情况表!$C$2:$C$33,"&lt;2014-2-1")</f>
        <v>506325</v>
      </c>
      <c r="C5" s="3">
        <f>SUMIFS(销售情况表!$J$2:$J$33,销售情况表!$K$2:$K$33,A5,销售情况表!$C$2:$C$33,"&gt;=2014-2-1",销售情况表!$C$2:$C$33,"&lt;2014-3-1")</f>
        <v>939400</v>
      </c>
      <c r="D5" s="3">
        <f>SUMIFS(销售情况表!$J$2:$J$33,销售情况表!$K$2:$K$33,A5,销售情况表!$C$2:$C$33,"&gt;=2014-3-1",销售情况表!$C$2:$C$33,"&lt;2014-4-1")</f>
        <v>652000</v>
      </c>
      <c r="E5" s="3">
        <f>SUM(B5:D5)</f>
        <v>2097725</v>
      </c>
    </row>
    <row r="6" spans="1:5">
      <c r="A6" s="2" t="s">
        <v>16</v>
      </c>
      <c r="B6" s="3">
        <f>SUM(B3:B5)</f>
        <v>1312075</v>
      </c>
      <c r="C6" s="3">
        <f>SUM(C3:C5)</f>
        <v>1836417</v>
      </c>
      <c r="D6" s="3">
        <f>SUM(D3:D5)</f>
        <v>861583</v>
      </c>
      <c r="E6" s="3">
        <f>SUM(E3:E5)</f>
        <v>4010075</v>
      </c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商品销售透视表</vt:lpstr>
      <vt:lpstr>销售情况表</vt:lpstr>
      <vt:lpstr>商品单价</vt:lpstr>
      <vt:lpstr>月统计表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25472</cp:lastModifiedBy>
  <dcterms:created xsi:type="dcterms:W3CDTF">2014-05-17T03:36:00Z</dcterms:created>
  <dcterms:modified xsi:type="dcterms:W3CDTF">2025-02-24T03:38:51Z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5178BB9A039A48EF8A78AE8FDFD56180_12</vt:lpwstr>
  </property>
  <property fmtid="{D5CDD505-2E9C-101B-9397-08002B2CF9AE}" pid="3" name="KSOProductBuildVer">
    <vt:lpwstr>2052-12.1.0.15712</vt:lpwstr>
  </property>
</Properties>
</file>
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155" windowHeight="12255"/>
  </bookViews>
  <sheets>
    <sheet name="基本信息" sheetId="1" r:id="rId1"/>
    <sheet name="筛选" sheetId="2" r:id="rId2"/>
    <sheet name="Sheet3" sheetId="3" r:id="rId3"/>
  </sheets>
  <definedNames>
    <definedName name="_xlnm.Criteria" localSheetId="1">筛选!$A$2:$B$3</definedName>
    <definedName name="_xlnm.Extract" localSheetId="1">筛选!$A$6</definedName>
  </definedNames>
  <calcPr calcId="144525"/>
  <pivotCaches>
    <pivotCache cacheId="0" r:id="rId4"/>
  </pivotCaches>
</workbook>
</file>

<file path=xl/sharedStrings.xml><?xml version="1.0" encoding="utf-8"?>
<sst xmlns="http://schemas.openxmlformats.org/spreadsheetml/2006/main" count="305" uniqueCount="96">
  <si>
    <t>序号</t>
  </si>
  <si>
    <t>员工ID</t>
  </si>
  <si>
    <t>姓名</t>
  </si>
  <si>
    <t>身份证号码</t>
  </si>
  <si>
    <t>部门</t>
  </si>
  <si>
    <t>职位</t>
  </si>
  <si>
    <t>性别</t>
  </si>
  <si>
    <t>年龄</t>
  </si>
  <si>
    <t>籍贯</t>
  </si>
  <si>
    <t>婚否</t>
  </si>
  <si>
    <t>生日</t>
  </si>
  <si>
    <t>文化程度</t>
  </si>
  <si>
    <t>营收</t>
  </si>
  <si>
    <t>营收前三名</t>
  </si>
  <si>
    <t>ACK01</t>
  </si>
  <si>
    <t>程天赐</t>
  </si>
  <si>
    <t>440112199408300000</t>
  </si>
  <si>
    <t>销售部</t>
  </si>
  <si>
    <t>电话销售</t>
  </si>
  <si>
    <t>男</t>
  </si>
  <si>
    <t>广州</t>
  </si>
  <si>
    <t>未婚</t>
  </si>
  <si>
    <t>大专</t>
  </si>
  <si>
    <t>第一名</t>
  </si>
  <si>
    <t>ACK02</t>
  </si>
  <si>
    <t>黄涌康</t>
  </si>
  <si>
    <t>深圳</t>
  </si>
  <si>
    <t>已婚</t>
  </si>
  <si>
    <t>第二名</t>
  </si>
  <si>
    <t>ACK03</t>
  </si>
  <si>
    <t>罗晓云</t>
  </si>
  <si>
    <t>女</t>
  </si>
  <si>
    <t>潮州</t>
  </si>
  <si>
    <t>本科</t>
  </si>
  <si>
    <t>第三名</t>
  </si>
  <si>
    <t>ACK04</t>
  </si>
  <si>
    <t>肖小天</t>
  </si>
  <si>
    <t>梅州</t>
  </si>
  <si>
    <t>ACK05</t>
  </si>
  <si>
    <t>陈杜</t>
  </si>
  <si>
    <t>长沙</t>
  </si>
  <si>
    <t>ACK06</t>
  </si>
  <si>
    <t>杨晓栋</t>
  </si>
  <si>
    <t>合肥</t>
  </si>
  <si>
    <t>ACK07</t>
  </si>
  <si>
    <t>林肖</t>
  </si>
  <si>
    <t>QC</t>
  </si>
  <si>
    <t>ACK08</t>
  </si>
  <si>
    <t>曾楷</t>
  </si>
  <si>
    <t>ACK09</t>
  </si>
  <si>
    <t>黄石</t>
  </si>
  <si>
    <t>运营部</t>
  </si>
  <si>
    <t>活动运营</t>
  </si>
  <si>
    <t>ACK10</t>
  </si>
  <si>
    <t>许萱</t>
  </si>
  <si>
    <t>ACK11</t>
  </si>
  <si>
    <t>黄淑仪</t>
  </si>
  <si>
    <t>中山</t>
  </si>
  <si>
    <t>ACK12</t>
  </si>
  <si>
    <t>张晓娜</t>
  </si>
  <si>
    <t>用户运营</t>
  </si>
  <si>
    <t>佛山</t>
  </si>
  <si>
    <t>研究生</t>
  </si>
  <si>
    <t>ACK13</t>
  </si>
  <si>
    <t>麦斯琪</t>
  </si>
  <si>
    <t>ACK14</t>
  </si>
  <si>
    <t>李云天</t>
  </si>
  <si>
    <t>文案编辑</t>
  </si>
  <si>
    <t>东莞</t>
  </si>
  <si>
    <t>ACK15</t>
  </si>
  <si>
    <t>欧阳雪</t>
  </si>
  <si>
    <t>策划部</t>
  </si>
  <si>
    <t>活动策划</t>
  </si>
  <si>
    <t>ACK16</t>
  </si>
  <si>
    <t>沈小欣</t>
  </si>
  <si>
    <t>ACK17</t>
  </si>
  <si>
    <t>张全</t>
  </si>
  <si>
    <t>创意策划</t>
  </si>
  <si>
    <t>ACK18</t>
  </si>
  <si>
    <t>陈君甜</t>
  </si>
  <si>
    <t>上海</t>
  </si>
  <si>
    <t>ACK19</t>
  </si>
  <si>
    <t>黄淑惠</t>
  </si>
  <si>
    <t>财务部</t>
  </si>
  <si>
    <t>财务统计</t>
  </si>
  <si>
    <t>香港</t>
  </si>
  <si>
    <t>ACK20</t>
  </si>
  <si>
    <t>张淑君</t>
  </si>
  <si>
    <t>财务分析</t>
  </si>
  <si>
    <t>平均年龄</t>
  </si>
  <si>
    <t>总营收</t>
  </si>
  <si>
    <t>女生人数</t>
  </si>
  <si>
    <t>男生人数</t>
  </si>
  <si>
    <t>高级筛选条件区域</t>
  </si>
  <si>
    <t>计数项:序号</t>
  </si>
  <si>
    <t>总计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</si>
</sst>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宋体"/>
      <charset val="134"/>
      <scheme val="minor"/>
    </font>
    <font>
      <sz val="12"/>
      <color theme="1"/>
      <name val="仿宋"/>
      <charset val="134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2" applyNumberFormat="0" applyAlignment="0" applyProtection="0">
      <alignment vertical="center"/>
    </xf>
    <xf numFmtId="0" fontId="13" fillId="2" borderId="6" applyNumberFormat="0" applyAlignment="0" applyProtection="0">
      <alignment vertical="center"/>
    </xf>
    <xf numFmtId="0" fontId="2" fillId="2" borderId="2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58" fontId="1" fillId="0" borderId="0" xfId="0" applyNumberFormat="1" applyFont="1" applyFill="1" applyAlignment="1">
      <alignment horizontal="center" vertical="center"/>
    </xf>
    <xf numFmtId="44" fontId="1" fillId="0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2" xfId="18" applyAlignment="1">
      <alignment horizontal="center" vertical="center"/>
    </xf>
    <xf numFmtId="176" fontId="2" fillId="2" borderId="2" xfId="18" applyNumberForma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4" fontId="2" fillId="2" borderId="2" xfId="18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9">
    <dxf>
      <font>
        <name val="仿宋"/>
        <scheme val="none"/>
        <charset val="134"/>
        <family val="0"/>
        <b val="0"/>
        <i val="0"/>
        <strike val="0"/>
        <u val="none"/>
        <sz val="12"/>
        <color theme="1"/>
      </font>
      <fill>
        <patternFill patternType="none"/>
      </fill>
      <alignment horizontal="center" vertical="center"/>
    </dxf>
    <dxf>
      <alignment horizontal="center" vertic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</dxfs>
  <tableStyles count="1" defaultTableStyle="TableStyleMedium2" defaultPivotStyle="PivotStyleLight16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基本信息!$B$27</c:f>
              <c:strCache>
                <c:ptCount val="1"/>
                <c:pt idx="0">
                  <c:v>女生人数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基本信息!$A$28:$A$31</c:f>
              <c:strCache>
                <c:ptCount val="4"/>
                <c:pt idx="0">
                  <c:v>销售部</c:v>
                </c:pt>
                <c:pt idx="1">
                  <c:v>运营部</c:v>
                </c:pt>
                <c:pt idx="2">
                  <c:v>策划部</c:v>
                </c:pt>
                <c:pt idx="3">
                  <c:v>财务部</c:v>
                </c:pt>
              </c:strCache>
            </c:strRef>
          </c:cat>
          <c:val>
            <c:numRef>
              <c:f>基本信息!$B$28:$B$31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</c:ser>
        <c:ser>
          <c:idx val="1"/>
          <c:order val="1"/>
          <c:tx>
            <c:strRef>
              <c:f>基本信息!$C$27</c:f>
              <c:strCache>
                <c:ptCount val="1"/>
                <c:pt idx="0">
                  <c:v>男生人数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基本信息!$A$28:$A$31</c:f>
              <c:strCache>
                <c:ptCount val="4"/>
                <c:pt idx="0">
                  <c:v>销售部</c:v>
                </c:pt>
                <c:pt idx="1">
                  <c:v>运营部</c:v>
                </c:pt>
                <c:pt idx="2">
                  <c:v>策划部</c:v>
                </c:pt>
                <c:pt idx="3">
                  <c:v>财务部</c:v>
                </c:pt>
              </c:strCache>
            </c:strRef>
          </c:cat>
          <c:val>
            <c:numRef>
              <c:f>基本信息!$C$28:$C$31</c:f>
              <c:numCache>
                <c:formatCode>General</c:formatCode>
                <c:ptCount val="4"/>
                <c:pt idx="0">
                  <c:v>5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14957072"/>
        <c:axId val="827001099"/>
      </c:barChart>
      <c:catAx>
        <c:axId val="7149570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7001099"/>
        <c:crosses val="autoZero"/>
        <c:auto val="1"/>
        <c:lblAlgn val="ctr"/>
        <c:lblOffset val="100"/>
        <c:noMultiLvlLbl val="0"/>
      </c:catAx>
      <c:valAx>
        <c:axId val="8270010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4957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698500</xdr:colOff>
      <xdr:row>23</xdr:row>
      <xdr:rowOff>107950</xdr:rowOff>
    </xdr:from>
    <xdr:to>
      <xdr:col>9</xdr:col>
      <xdr:colOff>352425</xdr:colOff>
      <xdr:row>39</xdr:row>
      <xdr:rowOff>107950</xdr:rowOff>
    </xdr:to>
    <xdr:graphicFrame>
      <xdr:nvGraphicFramePr>
        <xdr:cNvPr id="2" name="各部门人数"/>
        <xdr:cNvGraphicFramePr/>
      </xdr:nvGraphicFramePr>
      <xdr:xfrm>
        <a:off x="2755900" y="42608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17.711087963" refreshedBy="25472" recordCount="22">
  <cacheSource type="worksheet">
    <worksheetSource name="员工信息表"/>
  </cacheSource>
  <cacheFields count="13">
    <cacheField name="序号" numFmtId="0">
      <sharedItems containsString="0" containsBlank="1" containsNumber="1" containsInteger="1" minValue="0" maxValue="20" count="2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m/>
      </sharedItems>
    </cacheField>
    <cacheField name="员工ID" numFmtId="0">
      <sharedItems containsBlank="1" count="21">
        <s v="ACK01"/>
        <s v="ACK02"/>
        <s v="ACK03"/>
        <s v="ACK04"/>
        <s v="ACK05"/>
        <s v="ACK06"/>
        <s v="ACK07"/>
        <s v="ACK08"/>
        <s v="ACK09"/>
        <s v="ACK10"/>
        <s v="ACK11"/>
        <s v="ACK12"/>
        <s v="ACK13"/>
        <s v="ACK14"/>
        <s v="ACK15"/>
        <s v="ACK16"/>
        <s v="ACK17"/>
        <s v="ACK18"/>
        <s v="ACK19"/>
        <s v="ACK20"/>
        <m/>
      </sharedItems>
    </cacheField>
    <cacheField name="姓名" numFmtId="0">
      <sharedItems containsBlank="1" count="21">
        <s v="程天赐"/>
        <s v="黄涌康"/>
        <s v="罗晓云"/>
        <s v="肖小天"/>
        <s v="陈杜"/>
        <s v="杨晓栋"/>
        <s v="林肖"/>
        <s v="曾楷"/>
        <s v="黄石"/>
        <s v="许萱"/>
        <s v="黄淑仪"/>
        <s v="张晓娜"/>
        <s v="麦斯琪"/>
        <s v="李云天"/>
        <s v="欧阳雪"/>
        <s v="沈小欣"/>
        <s v="张全"/>
        <s v="陈君甜"/>
        <s v="黄淑惠"/>
        <s v="张淑君"/>
        <m/>
      </sharedItems>
    </cacheField>
    <cacheField name="身份证号码" numFmtId="0">
      <sharedItems containsBlank="1" count="2">
        <s v="440112199408300000"/>
        <m/>
      </sharedItems>
    </cacheField>
    <cacheField name="部门" numFmtId="0">
      <sharedItems containsBlank="1" count="5">
        <s v="销售部"/>
        <s v="运营部"/>
        <s v="策划部"/>
        <s v="财务部"/>
        <m/>
      </sharedItems>
    </cacheField>
    <cacheField name="职位" numFmtId="0">
      <sharedItems containsBlank="1" count="10">
        <s v="电话销售"/>
        <s v="QC"/>
        <s v="活动运营"/>
        <s v="用户运营"/>
        <s v="文案编辑"/>
        <s v="活动策划"/>
        <s v="创意策划"/>
        <s v="财务统计"/>
        <s v="财务分析"/>
        <m/>
      </sharedItems>
    </cacheField>
    <cacheField name="性别" numFmtId="0">
      <sharedItems containsBlank="1" count="4">
        <s v="男"/>
        <s v="女"/>
        <m/>
        <s v="平均年龄"/>
      </sharedItems>
    </cacheField>
    <cacheField name="年龄" numFmtId="0">
      <sharedItems containsString="0" containsBlank="1" containsNumber="1" minValue="0" maxValue="33" count="11">
        <n v="32"/>
        <n v="30"/>
        <n v="27"/>
        <n v="26"/>
        <n v="29"/>
        <n v="28"/>
        <n v="33"/>
        <n v="24"/>
        <n v="25"/>
        <m/>
        <n v="27.6"/>
      </sharedItems>
    </cacheField>
    <cacheField name="籍贯" numFmtId="0">
      <sharedItems containsBlank="1" count="12">
        <s v="广州"/>
        <s v="深圳"/>
        <s v="潮州"/>
        <s v="梅州"/>
        <s v="长沙"/>
        <s v="合肥"/>
        <s v="中山"/>
        <s v="佛山"/>
        <s v="东莞"/>
        <s v="上海"/>
        <s v="香港"/>
        <m/>
      </sharedItems>
    </cacheField>
    <cacheField name="婚否" numFmtId="0">
      <sharedItems containsBlank="1" count="3">
        <s v="未婚"/>
        <s v="已婚"/>
        <m/>
      </sharedItems>
    </cacheField>
    <cacheField name="生日" numFmtId="0">
      <sharedItems containsString="0" containsBlank="1" containsNonDate="0" containsDate="1" minDate="2018-01-13T00:00:00" maxDate="2018-12-21T00:00:00" count="20">
        <d v="2018-03-21T00:00:00"/>
        <d v="2018-04-24T00:00:00"/>
        <d v="2018-01-13T00:00:00"/>
        <d v="2018-06-12T00:00:00"/>
        <d v="2018-08-30T00:00:00"/>
        <d v="2018-12-21T00:00:00"/>
        <d v="2018-10-12T00:00:00"/>
        <d v="2018-06-23T00:00:00"/>
        <d v="2018-05-12T00:00:00"/>
        <d v="2018-11-18T00:00:00"/>
        <d v="2018-12-13T00:00:00"/>
        <d v="2018-03-03T00:00:00"/>
        <d v="2018-08-03T00:00:00"/>
        <d v="2018-09-19T00:00:00"/>
        <d v="2018-08-29T00:00:00"/>
        <d v="2018-05-11T00:00:00"/>
        <d v="2018-07-09T00:00:00"/>
        <d v="2018-09-01T00:00:00"/>
        <d v="2018-06-01T00:00:00"/>
        <m/>
      </sharedItems>
    </cacheField>
    <cacheField name="文化程度" numFmtId="0">
      <sharedItems containsBlank="1" count="5">
        <s v="大专"/>
        <s v="本科"/>
        <s v="研究生"/>
        <m/>
        <s v="总营收"/>
      </sharedItems>
    </cacheField>
    <cacheField name="营收" numFmtId="0">
      <sharedItems containsString="0" containsBlank="1" containsNumber="1" containsInteger="1" minValue="0" maxValue="297881" count="22">
        <n v="13067"/>
        <n v="18906"/>
        <n v="15360"/>
        <n v="14736"/>
        <n v="18970"/>
        <n v="13768"/>
        <n v="18998"/>
        <n v="14505"/>
        <n v="12958"/>
        <n v="15354"/>
        <n v="6176"/>
        <n v="6713"/>
        <n v="18522"/>
        <n v="17361"/>
        <n v="12912"/>
        <n v="15979"/>
        <n v="19414"/>
        <n v="14512"/>
        <n v="19744"/>
        <n v="9926"/>
        <m/>
        <n v="29788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">
  <r>
    <x v="0"/>
    <x v="0"/>
    <x v="0"/>
    <x v="0"/>
    <x v="0"/>
    <x v="0"/>
    <x v="0"/>
    <x v="0"/>
    <x v="0"/>
    <x v="0"/>
    <x v="0"/>
    <x v="0"/>
    <x v="0"/>
  </r>
  <r>
    <x v="1"/>
    <x v="1"/>
    <x v="1"/>
    <x v="0"/>
    <x v="0"/>
    <x v="0"/>
    <x v="0"/>
    <x v="1"/>
    <x v="1"/>
    <x v="1"/>
    <x v="1"/>
    <x v="0"/>
    <x v="1"/>
  </r>
  <r>
    <x v="2"/>
    <x v="2"/>
    <x v="2"/>
    <x v="0"/>
    <x v="0"/>
    <x v="0"/>
    <x v="1"/>
    <x v="2"/>
    <x v="2"/>
    <x v="0"/>
    <x v="2"/>
    <x v="1"/>
    <x v="2"/>
  </r>
  <r>
    <x v="3"/>
    <x v="3"/>
    <x v="3"/>
    <x v="0"/>
    <x v="0"/>
    <x v="0"/>
    <x v="1"/>
    <x v="3"/>
    <x v="3"/>
    <x v="0"/>
    <x v="3"/>
    <x v="0"/>
    <x v="3"/>
  </r>
  <r>
    <x v="4"/>
    <x v="4"/>
    <x v="4"/>
    <x v="0"/>
    <x v="0"/>
    <x v="0"/>
    <x v="0"/>
    <x v="1"/>
    <x v="4"/>
    <x v="0"/>
    <x v="4"/>
    <x v="1"/>
    <x v="4"/>
  </r>
  <r>
    <x v="5"/>
    <x v="5"/>
    <x v="5"/>
    <x v="0"/>
    <x v="0"/>
    <x v="0"/>
    <x v="0"/>
    <x v="4"/>
    <x v="5"/>
    <x v="0"/>
    <x v="5"/>
    <x v="0"/>
    <x v="5"/>
  </r>
  <r>
    <x v="6"/>
    <x v="6"/>
    <x v="6"/>
    <x v="0"/>
    <x v="0"/>
    <x v="1"/>
    <x v="1"/>
    <x v="5"/>
    <x v="0"/>
    <x v="1"/>
    <x v="6"/>
    <x v="1"/>
    <x v="6"/>
  </r>
  <r>
    <x v="7"/>
    <x v="7"/>
    <x v="7"/>
    <x v="0"/>
    <x v="0"/>
    <x v="1"/>
    <x v="0"/>
    <x v="6"/>
    <x v="1"/>
    <x v="0"/>
    <x v="7"/>
    <x v="0"/>
    <x v="7"/>
  </r>
  <r>
    <x v="8"/>
    <x v="8"/>
    <x v="8"/>
    <x v="0"/>
    <x v="1"/>
    <x v="2"/>
    <x v="0"/>
    <x v="2"/>
    <x v="1"/>
    <x v="0"/>
    <x v="8"/>
    <x v="1"/>
    <x v="8"/>
  </r>
  <r>
    <x v="9"/>
    <x v="9"/>
    <x v="9"/>
    <x v="0"/>
    <x v="1"/>
    <x v="2"/>
    <x v="1"/>
    <x v="7"/>
    <x v="3"/>
    <x v="0"/>
    <x v="3"/>
    <x v="1"/>
    <x v="9"/>
  </r>
  <r>
    <x v="10"/>
    <x v="10"/>
    <x v="10"/>
    <x v="0"/>
    <x v="1"/>
    <x v="2"/>
    <x v="1"/>
    <x v="8"/>
    <x v="6"/>
    <x v="0"/>
    <x v="9"/>
    <x v="0"/>
    <x v="10"/>
  </r>
  <r>
    <x v="11"/>
    <x v="11"/>
    <x v="11"/>
    <x v="0"/>
    <x v="1"/>
    <x v="3"/>
    <x v="1"/>
    <x v="7"/>
    <x v="7"/>
    <x v="0"/>
    <x v="10"/>
    <x v="2"/>
    <x v="11"/>
  </r>
  <r>
    <x v="12"/>
    <x v="12"/>
    <x v="12"/>
    <x v="0"/>
    <x v="1"/>
    <x v="3"/>
    <x v="1"/>
    <x v="8"/>
    <x v="4"/>
    <x v="1"/>
    <x v="11"/>
    <x v="1"/>
    <x v="12"/>
  </r>
  <r>
    <x v="13"/>
    <x v="13"/>
    <x v="13"/>
    <x v="0"/>
    <x v="1"/>
    <x v="4"/>
    <x v="0"/>
    <x v="5"/>
    <x v="8"/>
    <x v="1"/>
    <x v="12"/>
    <x v="1"/>
    <x v="13"/>
  </r>
  <r>
    <x v="14"/>
    <x v="14"/>
    <x v="14"/>
    <x v="0"/>
    <x v="2"/>
    <x v="5"/>
    <x v="1"/>
    <x v="3"/>
    <x v="8"/>
    <x v="0"/>
    <x v="13"/>
    <x v="1"/>
    <x v="14"/>
  </r>
  <r>
    <x v="15"/>
    <x v="15"/>
    <x v="15"/>
    <x v="0"/>
    <x v="2"/>
    <x v="5"/>
    <x v="1"/>
    <x v="8"/>
    <x v="0"/>
    <x v="0"/>
    <x v="14"/>
    <x v="0"/>
    <x v="15"/>
  </r>
  <r>
    <x v="16"/>
    <x v="16"/>
    <x v="16"/>
    <x v="0"/>
    <x v="2"/>
    <x v="6"/>
    <x v="0"/>
    <x v="5"/>
    <x v="6"/>
    <x v="1"/>
    <x v="15"/>
    <x v="1"/>
    <x v="16"/>
  </r>
  <r>
    <x v="17"/>
    <x v="17"/>
    <x v="17"/>
    <x v="0"/>
    <x v="2"/>
    <x v="6"/>
    <x v="1"/>
    <x v="8"/>
    <x v="9"/>
    <x v="0"/>
    <x v="16"/>
    <x v="2"/>
    <x v="17"/>
  </r>
  <r>
    <x v="18"/>
    <x v="18"/>
    <x v="18"/>
    <x v="0"/>
    <x v="3"/>
    <x v="7"/>
    <x v="1"/>
    <x v="0"/>
    <x v="10"/>
    <x v="1"/>
    <x v="17"/>
    <x v="0"/>
    <x v="18"/>
  </r>
  <r>
    <x v="19"/>
    <x v="19"/>
    <x v="19"/>
    <x v="0"/>
    <x v="3"/>
    <x v="8"/>
    <x v="1"/>
    <x v="5"/>
    <x v="0"/>
    <x v="0"/>
    <x v="18"/>
    <x v="1"/>
    <x v="19"/>
  </r>
  <r>
    <x v="20"/>
    <x v="20"/>
    <x v="20"/>
    <x v="1"/>
    <x v="4"/>
    <x v="9"/>
    <x v="2"/>
    <x v="9"/>
    <x v="11"/>
    <x v="2"/>
    <x v="19"/>
    <x v="3"/>
    <x v="20"/>
  </r>
  <r>
    <x v="20"/>
    <x v="20"/>
    <x v="20"/>
    <x v="1"/>
    <x v="4"/>
    <x v="9"/>
    <x v="3"/>
    <x v="10"/>
    <x v="11"/>
    <x v="2"/>
    <x v="19"/>
    <x v="4"/>
    <x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D3:O16" firstHeaderRow="1" firstDataRow="2" firstDataCol="2"/>
  <pivotFields count="13">
    <pivotField dataField="1" compact="0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compact="0" showAll="0"/>
    <pivotField compact="0" showAll="0"/>
    <pivotField compact="0" showAll="0"/>
    <pivotField axis="axisRow" compact="0" multipleItemSelectionAllowed="1" showAll="0">
      <items count="6">
        <item x="0"/>
        <item x="3"/>
        <item x="2"/>
        <item x="1"/>
        <item h="1" x="4"/>
        <item t="default"/>
      </items>
    </pivotField>
    <pivotField axis="axisCol" compact="0" showAll="0">
      <items count="11">
        <item x="1"/>
        <item x="8"/>
        <item x="7"/>
        <item x="6"/>
        <item x="0"/>
        <item x="5"/>
        <item x="2"/>
        <item x="4"/>
        <item x="3"/>
        <item x="9"/>
        <item t="default"/>
      </items>
    </pivotField>
    <pivotField axis="axisRow" compact="0" showAll="0">
      <items count="5">
        <item x="0"/>
        <item x="1"/>
        <item x="3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2">
    <field x="4"/>
    <field x="6"/>
  </rowFields>
  <rowItems count="12">
    <i>
      <x/>
    </i>
    <i r="1">
      <x/>
    </i>
    <i r="1">
      <x v="1"/>
    </i>
    <i>
      <x v="1"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Fields count="1">
    <field x="5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计数项:序号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员工信息表" displayName="员工信息表" ref="A1:M23" totalsRowShown="0">
  <autoFilter ref="A1:M23"/>
  <tableColumns count="13">
    <tableColumn id="1" name="序号"/>
    <tableColumn id="2" name="员工ID"/>
    <tableColumn id="3" name="姓名"/>
    <tableColumn id="4" name="身份证号码"/>
    <tableColumn id="5" name="部门"/>
    <tableColumn id="6" name="职位"/>
    <tableColumn id="7" name="性别"/>
    <tableColumn id="8" name="年龄"/>
    <tableColumn id="9" name="籍贯"/>
    <tableColumn id="10" name="婚否"/>
    <tableColumn id="11" name="生日"/>
    <tableColumn id="12" name="文化程度" dataDxfId="0"/>
    <tableColumn id="13" name="营收" dataDxfId="1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1"/>
  <sheetViews>
    <sheetView tabSelected="1" workbookViewId="0">
      <selection activeCell="K27" sqref="K27"/>
    </sheetView>
  </sheetViews>
  <sheetFormatPr defaultColWidth="9" defaultRowHeight="13.5"/>
  <cols>
    <col min="4" max="4" width="22.875" customWidth="1"/>
    <col min="11" max="11" width="11.875"/>
    <col min="13" max="13" width="17.75" customWidth="1"/>
    <col min="16" max="16" width="12.25" customWidth="1"/>
  </cols>
  <sheetData>
    <row r="1" ht="14.25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O1" s="10"/>
      <c r="P1" s="10" t="s">
        <v>13</v>
      </c>
      <c r="Q1" s="10" t="s">
        <v>2</v>
      </c>
    </row>
    <row r="2" ht="14.25" spans="1:17">
      <c r="A2" s="2">
        <v>1</v>
      </c>
      <c r="B2" s="2" t="s">
        <v>14</v>
      </c>
      <c r="C2" s="2" t="s">
        <v>15</v>
      </c>
      <c r="D2" s="3" t="s">
        <v>16</v>
      </c>
      <c r="E2" s="2" t="s">
        <v>17</v>
      </c>
      <c r="F2" s="2" t="s">
        <v>18</v>
      </c>
      <c r="G2" s="2" t="s">
        <v>19</v>
      </c>
      <c r="H2" s="2">
        <v>32</v>
      </c>
      <c r="I2" s="2" t="s">
        <v>20</v>
      </c>
      <c r="J2" s="2" t="s">
        <v>21</v>
      </c>
      <c r="K2" s="4">
        <v>43180</v>
      </c>
      <c r="L2" s="2" t="s">
        <v>22</v>
      </c>
      <c r="M2" s="5">
        <v>13067</v>
      </c>
      <c r="O2" s="10" t="s">
        <v>23</v>
      </c>
      <c r="P2" s="1">
        <f>LARGE($M$2:$M$21,1)</f>
        <v>19744</v>
      </c>
      <c r="Q2" s="1" t="str">
        <f>INDEX($C$2:$C$21,MATCH(P2,$M$2:$M$21,0),1)</f>
        <v>黄淑惠</v>
      </c>
    </row>
    <row r="3" ht="14.25" spans="1:17">
      <c r="A3" s="2">
        <v>2</v>
      </c>
      <c r="B3" s="2" t="s">
        <v>24</v>
      </c>
      <c r="C3" s="2" t="s">
        <v>25</v>
      </c>
      <c r="D3" s="3" t="s">
        <v>16</v>
      </c>
      <c r="E3" s="2" t="s">
        <v>17</v>
      </c>
      <c r="F3" s="2" t="s">
        <v>18</v>
      </c>
      <c r="G3" s="2" t="s">
        <v>19</v>
      </c>
      <c r="H3" s="2">
        <v>30</v>
      </c>
      <c r="I3" s="2" t="s">
        <v>26</v>
      </c>
      <c r="J3" s="2" t="s">
        <v>27</v>
      </c>
      <c r="K3" s="4">
        <v>43214</v>
      </c>
      <c r="L3" s="2" t="s">
        <v>22</v>
      </c>
      <c r="M3" s="5">
        <v>18906</v>
      </c>
      <c r="O3" s="10" t="s">
        <v>28</v>
      </c>
      <c r="P3" s="1">
        <f>LARGE($M$2:$M$21,2)</f>
        <v>19414</v>
      </c>
      <c r="Q3" s="1" t="str">
        <f>INDEX($C$2:$C$21,MATCH(P3,$M$2:$M$21,0),1)</f>
        <v>张全</v>
      </c>
    </row>
    <row r="4" ht="14.25" spans="1:17">
      <c r="A4" s="2">
        <v>3</v>
      </c>
      <c r="B4" s="2" t="s">
        <v>29</v>
      </c>
      <c r="C4" s="2" t="s">
        <v>30</v>
      </c>
      <c r="D4" s="3" t="s">
        <v>16</v>
      </c>
      <c r="E4" s="2" t="s">
        <v>17</v>
      </c>
      <c r="F4" s="2" t="s">
        <v>18</v>
      </c>
      <c r="G4" s="2" t="s">
        <v>31</v>
      </c>
      <c r="H4" s="2">
        <v>27</v>
      </c>
      <c r="I4" s="2" t="s">
        <v>32</v>
      </c>
      <c r="J4" s="2" t="s">
        <v>21</v>
      </c>
      <c r="K4" s="4">
        <v>43113</v>
      </c>
      <c r="L4" s="2" t="s">
        <v>33</v>
      </c>
      <c r="M4" s="5">
        <v>15360</v>
      </c>
      <c r="O4" s="10" t="s">
        <v>34</v>
      </c>
      <c r="P4" s="1">
        <f>LARGE($M$2:$M$21,3)</f>
        <v>18998</v>
      </c>
      <c r="Q4" s="1" t="str">
        <f>INDEX($C$2:$C$21,MATCH(P4,$M$2:$M$21,0),1)</f>
        <v>林肖</v>
      </c>
    </row>
    <row r="5" ht="14.25" spans="1:13">
      <c r="A5" s="2">
        <v>4</v>
      </c>
      <c r="B5" s="2" t="s">
        <v>35</v>
      </c>
      <c r="C5" s="2" t="s">
        <v>36</v>
      </c>
      <c r="D5" s="3" t="s">
        <v>16</v>
      </c>
      <c r="E5" s="2" t="s">
        <v>17</v>
      </c>
      <c r="F5" s="2" t="s">
        <v>18</v>
      </c>
      <c r="G5" s="2" t="s">
        <v>31</v>
      </c>
      <c r="H5" s="2">
        <v>26</v>
      </c>
      <c r="I5" s="2" t="s">
        <v>37</v>
      </c>
      <c r="J5" s="2" t="s">
        <v>21</v>
      </c>
      <c r="K5" s="4">
        <v>43263</v>
      </c>
      <c r="L5" s="2" t="s">
        <v>22</v>
      </c>
      <c r="M5" s="5">
        <v>14736</v>
      </c>
    </row>
    <row r="6" ht="14.25" spans="1:13">
      <c r="A6" s="2">
        <v>5</v>
      </c>
      <c r="B6" s="2" t="s">
        <v>38</v>
      </c>
      <c r="C6" s="2" t="s">
        <v>39</v>
      </c>
      <c r="D6" s="3" t="s">
        <v>16</v>
      </c>
      <c r="E6" s="2" t="s">
        <v>17</v>
      </c>
      <c r="F6" s="2" t="s">
        <v>18</v>
      </c>
      <c r="G6" s="2" t="s">
        <v>19</v>
      </c>
      <c r="H6" s="2">
        <v>30</v>
      </c>
      <c r="I6" s="2" t="s">
        <v>40</v>
      </c>
      <c r="J6" s="2" t="s">
        <v>21</v>
      </c>
      <c r="K6" s="4">
        <v>43342</v>
      </c>
      <c r="L6" s="2" t="s">
        <v>33</v>
      </c>
      <c r="M6" s="5">
        <v>18970</v>
      </c>
    </row>
    <row r="7" ht="14.25" spans="1:13">
      <c r="A7" s="2">
        <v>6</v>
      </c>
      <c r="B7" s="2" t="s">
        <v>41</v>
      </c>
      <c r="C7" s="2" t="s">
        <v>42</v>
      </c>
      <c r="D7" s="3" t="s">
        <v>16</v>
      </c>
      <c r="E7" s="2" t="s">
        <v>17</v>
      </c>
      <c r="F7" s="2" t="s">
        <v>18</v>
      </c>
      <c r="G7" s="2" t="s">
        <v>19</v>
      </c>
      <c r="H7" s="2">
        <v>29</v>
      </c>
      <c r="I7" s="2" t="s">
        <v>43</v>
      </c>
      <c r="J7" s="2" t="s">
        <v>21</v>
      </c>
      <c r="K7" s="4">
        <v>43455</v>
      </c>
      <c r="L7" s="2" t="s">
        <v>22</v>
      </c>
      <c r="M7" s="5">
        <v>13768</v>
      </c>
    </row>
    <row r="8" ht="14.25" spans="1:13">
      <c r="A8" s="2">
        <v>7</v>
      </c>
      <c r="B8" s="2" t="s">
        <v>44</v>
      </c>
      <c r="C8" s="2" t="s">
        <v>45</v>
      </c>
      <c r="D8" s="3" t="s">
        <v>16</v>
      </c>
      <c r="E8" s="2" t="s">
        <v>17</v>
      </c>
      <c r="F8" s="2" t="s">
        <v>46</v>
      </c>
      <c r="G8" s="2" t="s">
        <v>31</v>
      </c>
      <c r="H8" s="2">
        <v>28</v>
      </c>
      <c r="I8" s="2" t="s">
        <v>20</v>
      </c>
      <c r="J8" s="2" t="s">
        <v>27</v>
      </c>
      <c r="K8" s="4">
        <v>43385</v>
      </c>
      <c r="L8" s="2" t="s">
        <v>33</v>
      </c>
      <c r="M8" s="5">
        <v>18998</v>
      </c>
    </row>
    <row r="9" ht="14.25" spans="1:13">
      <c r="A9" s="2">
        <v>8</v>
      </c>
      <c r="B9" s="2" t="s">
        <v>47</v>
      </c>
      <c r="C9" s="2" t="s">
        <v>48</v>
      </c>
      <c r="D9" s="3" t="s">
        <v>16</v>
      </c>
      <c r="E9" s="2" t="s">
        <v>17</v>
      </c>
      <c r="F9" s="2" t="s">
        <v>46</v>
      </c>
      <c r="G9" s="2" t="s">
        <v>19</v>
      </c>
      <c r="H9" s="2">
        <v>33</v>
      </c>
      <c r="I9" s="2" t="s">
        <v>26</v>
      </c>
      <c r="J9" s="2" t="s">
        <v>21</v>
      </c>
      <c r="K9" s="4">
        <v>43274</v>
      </c>
      <c r="L9" s="2" t="s">
        <v>22</v>
      </c>
      <c r="M9" s="5">
        <v>14505</v>
      </c>
    </row>
    <row r="10" ht="14.25" spans="1:13">
      <c r="A10" s="2">
        <v>9</v>
      </c>
      <c r="B10" s="2" t="s">
        <v>49</v>
      </c>
      <c r="C10" s="2" t="s">
        <v>50</v>
      </c>
      <c r="D10" s="3" t="s">
        <v>16</v>
      </c>
      <c r="E10" s="2" t="s">
        <v>51</v>
      </c>
      <c r="F10" s="2" t="s">
        <v>52</v>
      </c>
      <c r="G10" s="2" t="s">
        <v>19</v>
      </c>
      <c r="H10" s="2">
        <v>27</v>
      </c>
      <c r="I10" s="2" t="s">
        <v>26</v>
      </c>
      <c r="J10" s="2" t="s">
        <v>21</v>
      </c>
      <c r="K10" s="4">
        <v>43232</v>
      </c>
      <c r="L10" s="2" t="s">
        <v>33</v>
      </c>
      <c r="M10" s="5">
        <v>12958</v>
      </c>
    </row>
    <row r="11" ht="14.25" spans="1:13">
      <c r="A11" s="2">
        <v>10</v>
      </c>
      <c r="B11" s="2" t="s">
        <v>53</v>
      </c>
      <c r="C11" s="2" t="s">
        <v>54</v>
      </c>
      <c r="D11" s="3" t="s">
        <v>16</v>
      </c>
      <c r="E11" s="2" t="s">
        <v>51</v>
      </c>
      <c r="F11" s="2" t="s">
        <v>52</v>
      </c>
      <c r="G11" s="2" t="s">
        <v>31</v>
      </c>
      <c r="H11" s="2">
        <v>24</v>
      </c>
      <c r="I11" s="2" t="s">
        <v>37</v>
      </c>
      <c r="J11" s="2" t="s">
        <v>21</v>
      </c>
      <c r="K11" s="4">
        <v>43263</v>
      </c>
      <c r="L11" s="2" t="s">
        <v>33</v>
      </c>
      <c r="M11" s="5">
        <v>15354</v>
      </c>
    </row>
    <row r="12" ht="14.25" spans="1:13">
      <c r="A12" s="2">
        <v>11</v>
      </c>
      <c r="B12" s="2" t="s">
        <v>55</v>
      </c>
      <c r="C12" s="2" t="s">
        <v>56</v>
      </c>
      <c r="D12" s="3" t="s">
        <v>16</v>
      </c>
      <c r="E12" s="2" t="s">
        <v>51</v>
      </c>
      <c r="F12" s="2" t="s">
        <v>52</v>
      </c>
      <c r="G12" s="2" t="s">
        <v>31</v>
      </c>
      <c r="H12" s="2">
        <v>25</v>
      </c>
      <c r="I12" s="2" t="s">
        <v>57</v>
      </c>
      <c r="J12" s="2" t="s">
        <v>21</v>
      </c>
      <c r="K12" s="4">
        <v>43422</v>
      </c>
      <c r="L12" s="2" t="s">
        <v>22</v>
      </c>
      <c r="M12" s="5">
        <v>6176</v>
      </c>
    </row>
    <row r="13" ht="14.25" spans="1:13">
      <c r="A13" s="2">
        <v>12</v>
      </c>
      <c r="B13" s="2" t="s">
        <v>58</v>
      </c>
      <c r="C13" s="2" t="s">
        <v>59</v>
      </c>
      <c r="D13" s="3" t="s">
        <v>16</v>
      </c>
      <c r="E13" s="2" t="s">
        <v>51</v>
      </c>
      <c r="F13" s="2" t="s">
        <v>60</v>
      </c>
      <c r="G13" s="2" t="s">
        <v>31</v>
      </c>
      <c r="H13" s="2">
        <v>24</v>
      </c>
      <c r="I13" s="2" t="s">
        <v>61</v>
      </c>
      <c r="J13" s="2" t="s">
        <v>21</v>
      </c>
      <c r="K13" s="4">
        <v>43447</v>
      </c>
      <c r="L13" s="2" t="s">
        <v>62</v>
      </c>
      <c r="M13" s="5">
        <v>6713</v>
      </c>
    </row>
    <row r="14" ht="14.25" spans="1:13">
      <c r="A14" s="2">
        <v>13</v>
      </c>
      <c r="B14" s="2" t="s">
        <v>63</v>
      </c>
      <c r="C14" s="2" t="s">
        <v>64</v>
      </c>
      <c r="D14" s="3" t="s">
        <v>16</v>
      </c>
      <c r="E14" s="2" t="s">
        <v>51</v>
      </c>
      <c r="F14" s="2" t="s">
        <v>60</v>
      </c>
      <c r="G14" s="2" t="s">
        <v>31</v>
      </c>
      <c r="H14" s="2">
        <v>25</v>
      </c>
      <c r="I14" s="2" t="s">
        <v>40</v>
      </c>
      <c r="J14" s="2" t="s">
        <v>27</v>
      </c>
      <c r="K14" s="4">
        <v>43162</v>
      </c>
      <c r="L14" s="2" t="s">
        <v>33</v>
      </c>
      <c r="M14" s="5">
        <v>18522</v>
      </c>
    </row>
    <row r="15" ht="14.25" spans="1:13">
      <c r="A15" s="2">
        <v>14</v>
      </c>
      <c r="B15" s="2" t="s">
        <v>65</v>
      </c>
      <c r="C15" s="2" t="s">
        <v>66</v>
      </c>
      <c r="D15" s="3" t="s">
        <v>16</v>
      </c>
      <c r="E15" s="2" t="s">
        <v>51</v>
      </c>
      <c r="F15" s="2" t="s">
        <v>67</v>
      </c>
      <c r="G15" s="2" t="s">
        <v>19</v>
      </c>
      <c r="H15" s="2">
        <v>28</v>
      </c>
      <c r="I15" s="2" t="s">
        <v>68</v>
      </c>
      <c r="J15" s="2" t="s">
        <v>27</v>
      </c>
      <c r="K15" s="4">
        <v>43315</v>
      </c>
      <c r="L15" s="2" t="s">
        <v>33</v>
      </c>
      <c r="M15" s="5">
        <v>17361</v>
      </c>
    </row>
    <row r="16" ht="14.25" spans="1:13">
      <c r="A16" s="2">
        <v>15</v>
      </c>
      <c r="B16" s="2" t="s">
        <v>69</v>
      </c>
      <c r="C16" s="2" t="s">
        <v>70</v>
      </c>
      <c r="D16" s="3" t="s">
        <v>16</v>
      </c>
      <c r="E16" s="2" t="s">
        <v>71</v>
      </c>
      <c r="F16" s="2" t="s">
        <v>72</v>
      </c>
      <c r="G16" s="2" t="s">
        <v>31</v>
      </c>
      <c r="H16" s="2">
        <v>26</v>
      </c>
      <c r="I16" s="2" t="s">
        <v>68</v>
      </c>
      <c r="J16" s="2" t="s">
        <v>21</v>
      </c>
      <c r="K16" s="4">
        <v>43362</v>
      </c>
      <c r="L16" s="2" t="s">
        <v>33</v>
      </c>
      <c r="M16" s="5">
        <v>12912</v>
      </c>
    </row>
    <row r="17" ht="14.25" spans="1:13">
      <c r="A17" s="2">
        <v>16</v>
      </c>
      <c r="B17" s="2" t="s">
        <v>73</v>
      </c>
      <c r="C17" s="2" t="s">
        <v>74</v>
      </c>
      <c r="D17" s="3" t="s">
        <v>16</v>
      </c>
      <c r="E17" s="2" t="s">
        <v>71</v>
      </c>
      <c r="F17" s="2" t="s">
        <v>72</v>
      </c>
      <c r="G17" s="2" t="s">
        <v>31</v>
      </c>
      <c r="H17" s="2">
        <v>25</v>
      </c>
      <c r="I17" s="2" t="s">
        <v>20</v>
      </c>
      <c r="J17" s="2" t="s">
        <v>21</v>
      </c>
      <c r="K17" s="4">
        <v>43341</v>
      </c>
      <c r="L17" s="2" t="s">
        <v>22</v>
      </c>
      <c r="M17" s="5">
        <v>15979</v>
      </c>
    </row>
    <row r="18" ht="14.25" spans="1:13">
      <c r="A18" s="2">
        <v>17</v>
      </c>
      <c r="B18" s="2" t="s">
        <v>75</v>
      </c>
      <c r="C18" s="2" t="s">
        <v>76</v>
      </c>
      <c r="D18" s="3" t="s">
        <v>16</v>
      </c>
      <c r="E18" s="2" t="s">
        <v>71</v>
      </c>
      <c r="F18" s="2" t="s">
        <v>77</v>
      </c>
      <c r="G18" s="2" t="s">
        <v>19</v>
      </c>
      <c r="H18" s="2">
        <v>28</v>
      </c>
      <c r="I18" s="2" t="s">
        <v>57</v>
      </c>
      <c r="J18" s="2" t="s">
        <v>27</v>
      </c>
      <c r="K18" s="4">
        <v>43231</v>
      </c>
      <c r="L18" s="2" t="s">
        <v>33</v>
      </c>
      <c r="M18" s="5">
        <v>19414</v>
      </c>
    </row>
    <row r="19" ht="14.25" spans="1:13">
      <c r="A19" s="2">
        <v>18</v>
      </c>
      <c r="B19" s="2" t="s">
        <v>78</v>
      </c>
      <c r="C19" s="2" t="s">
        <v>79</v>
      </c>
      <c r="D19" s="3" t="s">
        <v>16</v>
      </c>
      <c r="E19" s="2" t="s">
        <v>71</v>
      </c>
      <c r="F19" s="2" t="s">
        <v>77</v>
      </c>
      <c r="G19" s="2" t="s">
        <v>31</v>
      </c>
      <c r="H19" s="2">
        <v>25</v>
      </c>
      <c r="I19" s="2" t="s">
        <v>80</v>
      </c>
      <c r="J19" s="2" t="s">
        <v>21</v>
      </c>
      <c r="K19" s="4">
        <v>43290</v>
      </c>
      <c r="L19" s="2" t="s">
        <v>62</v>
      </c>
      <c r="M19" s="5">
        <v>14512</v>
      </c>
    </row>
    <row r="20" ht="14.25" spans="1:13">
      <c r="A20" s="2">
        <v>19</v>
      </c>
      <c r="B20" s="2" t="s">
        <v>81</v>
      </c>
      <c r="C20" s="2" t="s">
        <v>82</v>
      </c>
      <c r="D20" s="3" t="s">
        <v>16</v>
      </c>
      <c r="E20" s="2" t="s">
        <v>83</v>
      </c>
      <c r="F20" s="2" t="s">
        <v>84</v>
      </c>
      <c r="G20" s="2" t="s">
        <v>31</v>
      </c>
      <c r="H20" s="2">
        <v>32</v>
      </c>
      <c r="I20" s="2" t="s">
        <v>85</v>
      </c>
      <c r="J20" s="2" t="s">
        <v>27</v>
      </c>
      <c r="K20" s="4">
        <v>43344</v>
      </c>
      <c r="L20" s="2" t="s">
        <v>22</v>
      </c>
      <c r="M20" s="5">
        <v>19744</v>
      </c>
    </row>
    <row r="21" ht="14.25" spans="1:13">
      <c r="A21" s="2">
        <v>20</v>
      </c>
      <c r="B21" s="2" t="s">
        <v>86</v>
      </c>
      <c r="C21" s="2" t="s">
        <v>87</v>
      </c>
      <c r="D21" s="3" t="s">
        <v>16</v>
      </c>
      <c r="E21" s="2" t="s">
        <v>83</v>
      </c>
      <c r="F21" s="2" t="s">
        <v>88</v>
      </c>
      <c r="G21" s="2" t="s">
        <v>31</v>
      </c>
      <c r="H21" s="2">
        <v>28</v>
      </c>
      <c r="I21" s="2" t="s">
        <v>20</v>
      </c>
      <c r="J21" s="2" t="s">
        <v>21</v>
      </c>
      <c r="K21" s="4">
        <v>43252</v>
      </c>
      <c r="L21" s="2" t="s">
        <v>33</v>
      </c>
      <c r="M21" s="5">
        <v>9926</v>
      </c>
    </row>
    <row r="22" ht="14.25" spans="1:13">
      <c r="A22" s="2"/>
      <c r="B22" s="2"/>
      <c r="C22" s="2"/>
      <c r="D22" s="2"/>
      <c r="E22" s="2"/>
      <c r="F22" s="2"/>
      <c r="G22" s="6"/>
      <c r="H22" s="2"/>
      <c r="I22" s="2"/>
      <c r="J22" s="2"/>
      <c r="K22" s="2"/>
      <c r="L22" s="2"/>
      <c r="M22" s="6"/>
    </row>
    <row r="23" spans="1:13">
      <c r="A23" s="6"/>
      <c r="B23" s="6"/>
      <c r="C23" s="6"/>
      <c r="D23" s="6"/>
      <c r="E23" s="6"/>
      <c r="F23" s="6"/>
      <c r="G23" s="7" t="s">
        <v>89</v>
      </c>
      <c r="H23" s="8">
        <f>AVERAGE(H2:H21)</f>
        <v>27.6</v>
      </c>
      <c r="I23" s="6"/>
      <c r="J23" s="6"/>
      <c r="K23" s="6"/>
      <c r="L23" s="7" t="s">
        <v>90</v>
      </c>
      <c r="M23" s="11">
        <f>SUM(M2:M21)</f>
        <v>297881</v>
      </c>
    </row>
    <row r="27" spans="1:3">
      <c r="A27" s="9" t="s">
        <v>4</v>
      </c>
      <c r="B27" s="9" t="s">
        <v>91</v>
      </c>
      <c r="C27" s="9" t="s">
        <v>92</v>
      </c>
    </row>
    <row r="28" spans="1:3">
      <c r="A28" s="9" t="s">
        <v>17</v>
      </c>
      <c r="B28" s="1">
        <f>COUNTIFS($E$2:$E$21,A28,$G$2:$G$21,"女")</f>
        <v>3</v>
      </c>
      <c r="C28" s="1">
        <f>COUNTIFS($E$2:$E$21,A28,$G$2:$G$21,"男")</f>
        <v>5</v>
      </c>
    </row>
    <row r="29" spans="1:3">
      <c r="A29" s="9" t="s">
        <v>51</v>
      </c>
      <c r="B29" s="1">
        <f>COUNTIFS($E$2:$E$21,A29,$G$2:$G$21,"女")</f>
        <v>4</v>
      </c>
      <c r="C29" s="1">
        <f>COUNTIFS($E$2:$E$21,A29,$G$2:$G$21,"男")</f>
        <v>2</v>
      </c>
    </row>
    <row r="30" spans="1:3">
      <c r="A30" s="9" t="s">
        <v>71</v>
      </c>
      <c r="B30" s="1">
        <f>COUNTIFS($E$2:$E$21,A30,$G$2:$G$21,"女")</f>
        <v>3</v>
      </c>
      <c r="C30" s="1">
        <f>COUNTIFS($E$2:$E$21,A30,$G$2:$G$21,"男")</f>
        <v>1</v>
      </c>
    </row>
    <row r="31" spans="1:3">
      <c r="A31" s="9" t="s">
        <v>83</v>
      </c>
      <c r="B31" s="1">
        <f>COUNTIFS($E$2:$E$21,A31,$G$2:$G$21,"女")</f>
        <v>2</v>
      </c>
      <c r="C31" s="1">
        <f>COUNTIFS($E$2:$E$21,A31,$G$2:$G$21,"男")</f>
        <v>0</v>
      </c>
    </row>
  </sheetData>
  <conditionalFormatting sqref="M2:M2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{1e908ac4-5904-4050-90b6-5c82498ed9bc}</x14:id>
        </ext>
      </extLst>
    </cfRule>
  </conditionalFormatting>
  <pageMargins left="0.7" right="0.7" top="0.75" bottom="0.75" header="0.3" footer="0.3"/>
  <pageSetup paperSize="9" orientation="portrait"/>
  <headerFooter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e908ac4-5904-4050-90b6-5c82498ed9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M2:M21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M12"/>
  <sheetViews>
    <sheetView workbookViewId="0">
      <selection activeCell="G21" sqref="G21"/>
    </sheetView>
  </sheetViews>
  <sheetFormatPr defaultColWidth="9" defaultRowHeight="13.5"/>
  <cols>
    <col min="11" max="11" width="9.375"/>
    <col min="13" max="13" width="14.875"/>
  </cols>
  <sheetData>
    <row r="1" spans="1:2">
      <c r="A1" s="1" t="s">
        <v>93</v>
      </c>
      <c r="B1" s="1"/>
    </row>
    <row r="2" spans="1:2">
      <c r="A2" s="1" t="s">
        <v>4</v>
      </c>
      <c r="B2" s="1" t="s">
        <v>9</v>
      </c>
    </row>
    <row r="3" spans="1:2">
      <c r="A3" s="1" t="s">
        <v>17</v>
      </c>
      <c r="B3" s="1" t="s">
        <v>21</v>
      </c>
    </row>
    <row r="6" ht="14.25" spans="1:13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</row>
    <row r="7" ht="14.25" spans="1:13">
      <c r="A7" s="2">
        <v>1</v>
      </c>
      <c r="B7" s="2" t="s">
        <v>14</v>
      </c>
      <c r="C7" s="2" t="s">
        <v>15</v>
      </c>
      <c r="D7" s="3" t="s">
        <v>16</v>
      </c>
      <c r="E7" s="2" t="s">
        <v>17</v>
      </c>
      <c r="F7" s="2" t="s">
        <v>18</v>
      </c>
      <c r="G7" s="2" t="s">
        <v>19</v>
      </c>
      <c r="H7" s="2">
        <v>32</v>
      </c>
      <c r="I7" s="2" t="s">
        <v>20</v>
      </c>
      <c r="J7" s="2" t="s">
        <v>21</v>
      </c>
      <c r="K7" s="4">
        <v>43180</v>
      </c>
      <c r="L7" s="2" t="s">
        <v>22</v>
      </c>
      <c r="M7" s="5">
        <v>13067</v>
      </c>
    </row>
    <row r="8" ht="14.25" spans="1:13">
      <c r="A8" s="2">
        <v>3</v>
      </c>
      <c r="B8" s="2" t="s">
        <v>29</v>
      </c>
      <c r="C8" s="2" t="s">
        <v>30</v>
      </c>
      <c r="D8" s="3" t="s">
        <v>16</v>
      </c>
      <c r="E8" s="2" t="s">
        <v>17</v>
      </c>
      <c r="F8" s="2" t="s">
        <v>18</v>
      </c>
      <c r="G8" s="2" t="s">
        <v>31</v>
      </c>
      <c r="H8" s="2">
        <v>27</v>
      </c>
      <c r="I8" s="2" t="s">
        <v>32</v>
      </c>
      <c r="J8" s="2" t="s">
        <v>21</v>
      </c>
      <c r="K8" s="4">
        <v>43113</v>
      </c>
      <c r="L8" s="2" t="s">
        <v>33</v>
      </c>
      <c r="M8" s="5">
        <v>15360</v>
      </c>
    </row>
    <row r="9" ht="14.25" spans="1:13">
      <c r="A9" s="2">
        <v>4</v>
      </c>
      <c r="B9" s="2" t="s">
        <v>35</v>
      </c>
      <c r="C9" s="2" t="s">
        <v>36</v>
      </c>
      <c r="D9" s="3" t="s">
        <v>16</v>
      </c>
      <c r="E9" s="2" t="s">
        <v>17</v>
      </c>
      <c r="F9" s="2" t="s">
        <v>18</v>
      </c>
      <c r="G9" s="2" t="s">
        <v>31</v>
      </c>
      <c r="H9" s="2">
        <v>26</v>
      </c>
      <c r="I9" s="2" t="s">
        <v>37</v>
      </c>
      <c r="J9" s="2" t="s">
        <v>21</v>
      </c>
      <c r="K9" s="4">
        <v>43263</v>
      </c>
      <c r="L9" s="2" t="s">
        <v>22</v>
      </c>
      <c r="M9" s="5">
        <v>14736</v>
      </c>
    </row>
    <row r="10" ht="14.25" spans="1:13">
      <c r="A10" s="2">
        <v>5</v>
      </c>
      <c r="B10" s="2" t="s">
        <v>38</v>
      </c>
      <c r="C10" s="2" t="s">
        <v>39</v>
      </c>
      <c r="D10" s="3" t="s">
        <v>16</v>
      </c>
      <c r="E10" s="2" t="s">
        <v>17</v>
      </c>
      <c r="F10" s="2" t="s">
        <v>18</v>
      </c>
      <c r="G10" s="2" t="s">
        <v>19</v>
      </c>
      <c r="H10" s="2">
        <v>30</v>
      </c>
      <c r="I10" s="2" t="s">
        <v>40</v>
      </c>
      <c r="J10" s="2" t="s">
        <v>21</v>
      </c>
      <c r="K10" s="4">
        <v>43342</v>
      </c>
      <c r="L10" s="2" t="s">
        <v>33</v>
      </c>
      <c r="M10" s="5">
        <v>18970</v>
      </c>
    </row>
    <row r="11" ht="14.25" spans="1:13">
      <c r="A11" s="2">
        <v>6</v>
      </c>
      <c r="B11" s="2" t="s">
        <v>41</v>
      </c>
      <c r="C11" s="2" t="s">
        <v>42</v>
      </c>
      <c r="D11" s="3" t="s">
        <v>16</v>
      </c>
      <c r="E11" s="2" t="s">
        <v>17</v>
      </c>
      <c r="F11" s="2" t="s">
        <v>18</v>
      </c>
      <c r="G11" s="2" t="s">
        <v>19</v>
      </c>
      <c r="H11" s="2">
        <v>29</v>
      </c>
      <c r="I11" s="2" t="s">
        <v>43</v>
      </c>
      <c r="J11" s="2" t="s">
        <v>21</v>
      </c>
      <c r="K11" s="4">
        <v>43455</v>
      </c>
      <c r="L11" s="2" t="s">
        <v>22</v>
      </c>
      <c r="M11" s="5">
        <v>13768</v>
      </c>
    </row>
    <row r="12" ht="14.25" spans="1:13">
      <c r="A12" s="2">
        <v>8</v>
      </c>
      <c r="B12" s="2" t="s">
        <v>47</v>
      </c>
      <c r="C12" s="2" t="s">
        <v>48</v>
      </c>
      <c r="D12" s="3" t="s">
        <v>16</v>
      </c>
      <c r="E12" s="2" t="s">
        <v>17</v>
      </c>
      <c r="F12" s="2" t="s">
        <v>46</v>
      </c>
      <c r="G12" s="2" t="s">
        <v>19</v>
      </c>
      <c r="H12" s="2">
        <v>33</v>
      </c>
      <c r="I12" s="2" t="s">
        <v>26</v>
      </c>
      <c r="J12" s="2" t="s">
        <v>21</v>
      </c>
      <c r="K12" s="4">
        <v>43274</v>
      </c>
      <c r="L12" s="2" t="s">
        <v>22</v>
      </c>
      <c r="M12" s="5">
        <v>14505</v>
      </c>
    </row>
  </sheetData>
  <mergeCells count="1">
    <mergeCell ref="A1:B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3:O16"/>
  <sheetViews>
    <sheetView workbookViewId="0">
      <selection activeCell="L8" sqref="L8"/>
    </sheetView>
  </sheetViews>
  <sheetFormatPr defaultColWidth="9" defaultRowHeight="13.5"/>
  <cols>
    <col min="4" max="4" width="8.875"/>
    <col min="5" max="5" width="7.375"/>
    <col min="6" max="14" width="8.875"/>
    <col min="15" max="16" width="5.125"/>
    <col min="17" max="17" width="12"/>
    <col min="18" max="18" width="8.83333333333333"/>
    <col min="19" max="19" width="12.125"/>
    <col min="20" max="20" width="5.125"/>
  </cols>
  <sheetData>
    <row r="3" spans="4:6">
      <c r="D3" t="s">
        <v>94</v>
      </c>
      <c r="F3" t="s">
        <v>5</v>
      </c>
    </row>
    <row r="4" spans="4:15">
      <c r="D4" t="s">
        <v>4</v>
      </c>
      <c r="E4" t="s">
        <v>6</v>
      </c>
      <c r="F4" t="s">
        <v>46</v>
      </c>
      <c r="G4" t="s">
        <v>88</v>
      </c>
      <c r="H4" t="s">
        <v>84</v>
      </c>
      <c r="I4" t="s">
        <v>77</v>
      </c>
      <c r="J4" t="s">
        <v>18</v>
      </c>
      <c r="K4" t="s">
        <v>72</v>
      </c>
      <c r="L4" t="s">
        <v>52</v>
      </c>
      <c r="M4" t="s">
        <v>67</v>
      </c>
      <c r="N4" t="s">
        <v>60</v>
      </c>
      <c r="O4" t="s">
        <v>95</v>
      </c>
    </row>
    <row r="5" spans="4:15">
      <c r="D5" t="s">
        <v>17</v>
      </c>
      <c r="F5">
        <v>2</v>
      </c>
      <c r="J5">
        <v>6</v>
      </c>
      <c r="O5">
        <v>8</v>
      </c>
    </row>
    <row r="6" spans="5:15">
      <c r="E6" t="s">
        <v>19</v>
      </c>
      <c r="F6">
        <v>1</v>
      </c>
      <c r="J6">
        <v>4</v>
      </c>
      <c r="O6">
        <v>5</v>
      </c>
    </row>
    <row r="7" spans="5:15">
      <c r="E7" t="s">
        <v>31</v>
      </c>
      <c r="F7">
        <v>1</v>
      </c>
      <c r="J7">
        <v>2</v>
      </c>
      <c r="O7">
        <v>3</v>
      </c>
    </row>
    <row r="8" spans="4:15">
      <c r="D8" t="s">
        <v>83</v>
      </c>
      <c r="G8">
        <v>1</v>
      </c>
      <c r="H8">
        <v>1</v>
      </c>
      <c r="O8">
        <v>2</v>
      </c>
    </row>
    <row r="9" spans="5:15">
      <c r="E9" t="s">
        <v>31</v>
      </c>
      <c r="G9">
        <v>1</v>
      </c>
      <c r="H9">
        <v>1</v>
      </c>
      <c r="O9">
        <v>2</v>
      </c>
    </row>
    <row r="10" spans="4:15">
      <c r="D10" t="s">
        <v>71</v>
      </c>
      <c r="I10">
        <v>2</v>
      </c>
      <c r="K10">
        <v>2</v>
      </c>
      <c r="O10">
        <v>4</v>
      </c>
    </row>
    <row r="11" spans="5:15">
      <c r="E11" t="s">
        <v>19</v>
      </c>
      <c r="I11">
        <v>1</v>
      </c>
      <c r="O11">
        <v>1</v>
      </c>
    </row>
    <row r="12" spans="5:15">
      <c r="E12" t="s">
        <v>31</v>
      </c>
      <c r="I12">
        <v>1</v>
      </c>
      <c r="K12">
        <v>2</v>
      </c>
      <c r="O12">
        <v>3</v>
      </c>
    </row>
    <row r="13" spans="4:15">
      <c r="D13" t="s">
        <v>51</v>
      </c>
      <c r="L13">
        <v>3</v>
      </c>
      <c r="M13">
        <v>1</v>
      </c>
      <c r="N13">
        <v>2</v>
      </c>
      <c r="O13">
        <v>6</v>
      </c>
    </row>
    <row r="14" spans="5:15">
      <c r="E14" t="s">
        <v>19</v>
      </c>
      <c r="L14">
        <v>1</v>
      </c>
      <c r="M14">
        <v>1</v>
      </c>
      <c r="O14">
        <v>2</v>
      </c>
    </row>
    <row r="15" spans="5:15">
      <c r="E15" t="s">
        <v>31</v>
      </c>
      <c r="L15">
        <v>2</v>
      </c>
      <c r="N15">
        <v>2</v>
      </c>
      <c r="O15">
        <v>4</v>
      </c>
    </row>
    <row r="16" spans="4:15">
      <c r="D16" t="s">
        <v>95</v>
      </c>
      <c r="F16">
        <v>2</v>
      </c>
      <c r="G16">
        <v>1</v>
      </c>
      <c r="H16">
        <v>1</v>
      </c>
      <c r="I16">
        <v>2</v>
      </c>
      <c r="J16">
        <v>6</v>
      </c>
      <c r="K16">
        <v>2</v>
      </c>
      <c r="L16">
        <v>3</v>
      </c>
      <c r="M16">
        <v>1</v>
      </c>
      <c r="N16">
        <v>2</v>
      </c>
      <c r="O16">
        <v>20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基本信息</vt:lpstr>
      <vt:lpstr>筛选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2023-05-12T11:15:00Z</dcterms:created>
  <dcterms:modified xsi:type="dcterms:W3CDTF">2025-09-18T07:39:42Z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
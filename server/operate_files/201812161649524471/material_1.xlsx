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108" windowWidth="20472" windowHeight="963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Sheet1!$A$1:$I$16</definedName>
    <definedName name="无标题_5" localSheetId="0">Sheet1!$A$1:$I$15</definedName>
  </definedNames>
  <calcPr calcId="144525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2" i="1"/>
  <c r="G15" i="1" l="1"/>
  <c r="F16" i="1" l="1"/>
  <c r="G16" i="1"/>
  <c r="E16" i="1"/>
  <c r="C21" i="1" l="1"/>
  <c r="C20" i="1"/>
  <c r="F15" i="1"/>
  <c r="H3" i="1"/>
  <c r="H4" i="1"/>
  <c r="H5" i="1"/>
  <c r="H6" i="1"/>
  <c r="H7" i="1"/>
  <c r="H8" i="1"/>
  <c r="H9" i="1"/>
  <c r="H10" i="1"/>
  <c r="H11" i="1"/>
  <c r="H12" i="1"/>
  <c r="H13" i="1"/>
  <c r="H14" i="1"/>
  <c r="H2" i="1"/>
  <c r="H16" i="1" s="1"/>
  <c r="I3" i="1"/>
  <c r="I4" i="1"/>
  <c r="I5" i="1"/>
  <c r="C19" i="1" s="1"/>
  <c r="I6" i="1"/>
  <c r="C22" i="1" s="1"/>
  <c r="I7" i="1"/>
  <c r="I8" i="1"/>
  <c r="I9" i="1"/>
  <c r="I10" i="1"/>
  <c r="I11" i="1"/>
  <c r="I12" i="1"/>
  <c r="I13" i="1"/>
  <c r="I14" i="1"/>
  <c r="I2" i="1"/>
  <c r="B22" i="1"/>
  <c r="B21" i="1"/>
  <c r="B20" i="1"/>
  <c r="B19" i="1"/>
  <c r="I15" i="1" l="1"/>
  <c r="I16" i="1"/>
  <c r="H15" i="1"/>
  <c r="E15" i="1"/>
  <c r="J3" i="1"/>
  <c r="J4" i="1"/>
  <c r="J5" i="1"/>
  <c r="J6" i="1"/>
  <c r="J7" i="1"/>
  <c r="J8" i="1"/>
  <c r="J9" i="1"/>
  <c r="J10" i="1"/>
  <c r="J11" i="1"/>
  <c r="J12" i="1"/>
  <c r="J13" i="1"/>
  <c r="J14" i="1"/>
  <c r="J2" i="1"/>
</calcChain>
</file>

<file path=xl/connections.xml><?xml version="1.0" encoding="utf-8"?>
<connections xmlns="http://schemas.openxmlformats.org/spreadsheetml/2006/main">
  <connection id="1" name="无标题-5" type="6" refreshedVersion="4" background="1" saveData="1">
    <textPr codePage="936" sourceFile="C:\Users\win7\Desktop\无标题-5.txt" space="1" consecutive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<sst xmlns="http://schemas.openxmlformats.org/spreadsheetml/2006/main" count="71" uniqueCount="48">
  <si>
    <t>编号</t>
  </si>
  <si>
    <t>姓名</t>
  </si>
  <si>
    <t>性别</t>
  </si>
  <si>
    <t>职称</t>
  </si>
  <si>
    <t>基本工资</t>
  </si>
  <si>
    <t>水电费</t>
  </si>
  <si>
    <t>实发工资</t>
  </si>
  <si>
    <t>a01</t>
  </si>
  <si>
    <t>洪国武</t>
  </si>
  <si>
    <t>男</t>
  </si>
  <si>
    <t>b02</t>
  </si>
  <si>
    <t>张军宏</t>
  </si>
  <si>
    <t>讲师</t>
  </si>
  <si>
    <t>a03</t>
  </si>
  <si>
    <t>刘德名</t>
  </si>
  <si>
    <t>c04</t>
  </si>
  <si>
    <t>刘乐给</t>
  </si>
  <si>
    <t>女</t>
  </si>
  <si>
    <t>助讲</t>
  </si>
  <si>
    <t>b05</t>
  </si>
  <si>
    <t>洪国林</t>
  </si>
  <si>
    <t>教授</t>
  </si>
  <si>
    <t>c06</t>
  </si>
  <si>
    <t>王小乐</t>
  </si>
  <si>
    <t>c07</t>
  </si>
  <si>
    <t>张红艳</t>
  </si>
  <si>
    <t>副教授</t>
  </si>
  <si>
    <t>a08</t>
  </si>
  <si>
    <t>张武学</t>
  </si>
  <si>
    <t>a09</t>
  </si>
  <si>
    <t>刘冷静</t>
  </si>
  <si>
    <t>b10</t>
  </si>
  <si>
    <t>陈红</t>
  </si>
  <si>
    <t>c11</t>
  </si>
  <si>
    <t>吴大林</t>
  </si>
  <si>
    <t>c12</t>
  </si>
  <si>
    <t>张乐意</t>
  </si>
  <si>
    <t>a13</t>
  </si>
  <si>
    <t>印红霞</t>
  </si>
  <si>
    <t>合计</t>
  </si>
  <si>
    <t>平均</t>
    <phoneticPr fontId="1" type="noConversion"/>
  </si>
  <si>
    <t>人数</t>
    <phoneticPr fontId="1" type="noConversion"/>
  </si>
  <si>
    <t>平均实发工资</t>
    <phoneticPr fontId="1" type="noConversion"/>
  </si>
  <si>
    <t>补贴</t>
    <phoneticPr fontId="1" type="noConversion"/>
  </si>
  <si>
    <t>应发工资</t>
    <phoneticPr fontId="1" type="noConversion"/>
  </si>
  <si>
    <t>科室</t>
    <phoneticPr fontId="1" type="noConversion"/>
  </si>
  <si>
    <t>讲师</t>
    <phoneticPr fontId="1" type="noConversion"/>
  </si>
  <si>
    <t>副教授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</si>
</sst>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;[Red]0"/>
  </numFmts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 applyBorder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无标题-5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N24" sqref="N24"/>
    </sheetView>
  </sheetViews>
  <sheetFormatPr defaultRowHeight="14.4" x14ac:dyDescent="0.25"/>
  <cols>
    <col min="1" max="2" width="7.109375" bestFit="1" customWidth="1"/>
    <col min="3" max="3" width="13" bestFit="1" customWidth="1"/>
    <col min="4" max="4" width="7.44140625" bestFit="1" customWidth="1"/>
    <col min="6" max="6" width="7.109375" bestFit="1" customWidth="1"/>
    <col min="7" max="7" width="9.77734375" customWidth="1"/>
    <col min="8" max="8" width="10" customWidth="1"/>
    <col min="9" max="9" width="9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43</v>
      </c>
      <c r="H1" s="1" t="s">
        <v>44</v>
      </c>
      <c r="I1" s="1" t="s">
        <v>6</v>
      </c>
      <c r="J1" s="2" t="s">
        <v>45</v>
      </c>
      <c r="K1" s="2"/>
      <c r="L1" s="2"/>
    </row>
    <row r="2" spans="1:12" x14ac:dyDescent="0.25">
      <c r="A2" s="1" t="s">
        <v>7</v>
      </c>
      <c r="B2" s="1" t="s">
        <v>8</v>
      </c>
      <c r="C2" s="1" t="s">
        <v>9</v>
      </c>
      <c r="D2" s="1" t="s">
        <v>18</v>
      </c>
      <c r="E2" s="1">
        <v>2034.7</v>
      </c>
      <c r="F2" s="1">
        <v>45.6</v>
      </c>
      <c r="G2" s="3">
        <f>IF(D2="助讲",500,IF(D2="讲师",700,IF(D2="副教授",900,IF(D2="教授",1100))))</f>
        <v>500</v>
      </c>
      <c r="H2" s="2">
        <f>E2+G2</f>
        <v>2534.6999999999998</v>
      </c>
      <c r="I2" s="1">
        <f t="shared" ref="I2:I14" si="0">E2-F2+G2</f>
        <v>2489.1000000000004</v>
      </c>
      <c r="J2" s="2" t="str">
        <f>LOOKUP(LEFT(A2),{"a","b","c"},{"基础室","计算机室","电子室"})</f>
        <v>基础室</v>
      </c>
      <c r="K2" s="2"/>
      <c r="L2" s="2"/>
    </row>
    <row r="3" spans="1:12" x14ac:dyDescent="0.25">
      <c r="A3" s="1" t="s">
        <v>10</v>
      </c>
      <c r="B3" s="1" t="s">
        <v>11</v>
      </c>
      <c r="C3" s="1" t="s">
        <v>9</v>
      </c>
      <c r="D3" s="1" t="s">
        <v>46</v>
      </c>
      <c r="E3" s="1">
        <v>3478.7</v>
      </c>
      <c r="F3" s="1">
        <v>56.6</v>
      </c>
      <c r="G3" s="3">
        <f t="shared" ref="G3:G14" si="1">IF(D3="助讲",500,IF(D3="讲师",700,IF(D3="副教授",900,IF(D3="教授",1100))))</f>
        <v>700</v>
      </c>
      <c r="H3" s="2">
        <f t="shared" ref="H3:H14" si="2">E3+G3</f>
        <v>4178.7</v>
      </c>
      <c r="I3" s="1">
        <f t="shared" si="0"/>
        <v>4122.1000000000004</v>
      </c>
      <c r="J3" s="2" t="str">
        <f>LOOKUP(LEFT(A3),{"a","b","c"},{"基础室","计算机室","电子室"})</f>
        <v>计算机室</v>
      </c>
      <c r="K3" s="2"/>
      <c r="L3" s="2"/>
    </row>
    <row r="4" spans="1:12" x14ac:dyDescent="0.25">
      <c r="A4" s="1" t="s">
        <v>13</v>
      </c>
      <c r="B4" s="1" t="s">
        <v>14</v>
      </c>
      <c r="C4" s="1" t="s">
        <v>9</v>
      </c>
      <c r="D4" s="1" t="s">
        <v>12</v>
      </c>
      <c r="E4" s="1">
        <v>3310.2</v>
      </c>
      <c r="F4" s="1">
        <v>120.3</v>
      </c>
      <c r="G4" s="3">
        <f t="shared" si="1"/>
        <v>700</v>
      </c>
      <c r="H4" s="2">
        <f t="shared" si="2"/>
        <v>4010.2</v>
      </c>
      <c r="I4" s="1">
        <f t="shared" si="0"/>
        <v>3889.8999999999996</v>
      </c>
      <c r="J4" s="2" t="str">
        <f>LOOKUP(LEFT(A4),{"a","b","c"},{"基础室","计算机室","电子室"})</f>
        <v>基础室</v>
      </c>
      <c r="K4" s="2"/>
      <c r="L4" s="2"/>
    </row>
    <row r="5" spans="1:12" x14ac:dyDescent="0.25">
      <c r="A5" s="1" t="s">
        <v>15</v>
      </c>
      <c r="B5" s="1" t="s">
        <v>16</v>
      </c>
      <c r="C5" s="1" t="s">
        <v>17</v>
      </c>
      <c r="D5" s="1" t="s">
        <v>18</v>
      </c>
      <c r="E5" s="1">
        <v>2179.1</v>
      </c>
      <c r="F5" s="1">
        <v>62.3</v>
      </c>
      <c r="G5" s="3">
        <f t="shared" si="1"/>
        <v>500</v>
      </c>
      <c r="H5" s="2">
        <f t="shared" si="2"/>
        <v>2679.1</v>
      </c>
      <c r="I5" s="1">
        <f t="shared" si="0"/>
        <v>2616.7999999999997</v>
      </c>
      <c r="J5" s="2" t="str">
        <f>LOOKUP(LEFT(A5),{"a","b","c"},{"基础室","计算机室","电子室"})</f>
        <v>电子室</v>
      </c>
      <c r="K5" s="2"/>
      <c r="L5" s="2"/>
    </row>
    <row r="6" spans="1:12" x14ac:dyDescent="0.25">
      <c r="A6" s="1" t="s">
        <v>19</v>
      </c>
      <c r="B6" s="1" t="s">
        <v>20</v>
      </c>
      <c r="C6" s="1" t="s">
        <v>9</v>
      </c>
      <c r="D6" s="1" t="s">
        <v>21</v>
      </c>
      <c r="E6" s="1">
        <v>5621.3</v>
      </c>
      <c r="F6" s="1">
        <v>67</v>
      </c>
      <c r="G6" s="3">
        <f t="shared" si="1"/>
        <v>1100</v>
      </c>
      <c r="H6" s="2">
        <f t="shared" si="2"/>
        <v>6721.3</v>
      </c>
      <c r="I6" s="1">
        <f t="shared" si="0"/>
        <v>6654.3</v>
      </c>
      <c r="J6" s="2" t="str">
        <f>LOOKUP(LEFT(A6),{"a","b","c"},{"基础室","计算机室","电子室"})</f>
        <v>计算机室</v>
      </c>
      <c r="K6" s="2"/>
      <c r="L6" s="2"/>
    </row>
    <row r="7" spans="1:12" x14ac:dyDescent="0.25">
      <c r="A7" s="1" t="s">
        <v>22</v>
      </c>
      <c r="B7" s="1" t="s">
        <v>23</v>
      </c>
      <c r="C7" s="1" t="s">
        <v>9</v>
      </c>
      <c r="D7" s="1" t="s">
        <v>18</v>
      </c>
      <c r="E7" s="1">
        <v>2125.6999999999998</v>
      </c>
      <c r="F7" s="1">
        <v>36.700000000000003</v>
      </c>
      <c r="G7" s="3">
        <f t="shared" si="1"/>
        <v>500</v>
      </c>
      <c r="H7" s="2">
        <f t="shared" si="2"/>
        <v>2625.7</v>
      </c>
      <c r="I7" s="1">
        <f t="shared" si="0"/>
        <v>2589</v>
      </c>
      <c r="J7" s="2" t="str">
        <f>LOOKUP(LEFT(A7),{"a","b","c"},{"基础室","计算机室","电子室"})</f>
        <v>电子室</v>
      </c>
      <c r="K7" s="2"/>
      <c r="L7" s="2"/>
    </row>
    <row r="8" spans="1:12" x14ac:dyDescent="0.25">
      <c r="A8" s="1" t="s">
        <v>24</v>
      </c>
      <c r="B8" s="1" t="s">
        <v>25</v>
      </c>
      <c r="C8" s="1" t="s">
        <v>17</v>
      </c>
      <c r="D8" s="1" t="s">
        <v>47</v>
      </c>
      <c r="E8" s="1">
        <v>4529.3</v>
      </c>
      <c r="F8" s="1">
        <v>93.2</v>
      </c>
      <c r="G8" s="3">
        <f t="shared" si="1"/>
        <v>900</v>
      </c>
      <c r="H8" s="2">
        <f t="shared" si="2"/>
        <v>5429.3</v>
      </c>
      <c r="I8" s="1">
        <f t="shared" si="0"/>
        <v>5336.1</v>
      </c>
      <c r="J8" s="2" t="str">
        <f>LOOKUP(LEFT(A8),{"a","b","c"},{"基础室","计算机室","电子室"})</f>
        <v>电子室</v>
      </c>
      <c r="K8" s="2"/>
      <c r="L8" s="2"/>
    </row>
    <row r="9" spans="1:12" x14ac:dyDescent="0.25">
      <c r="A9" s="1" t="s">
        <v>27</v>
      </c>
      <c r="B9" s="1" t="s">
        <v>28</v>
      </c>
      <c r="C9" s="1" t="s">
        <v>9</v>
      </c>
      <c r="D9" s="1" t="s">
        <v>12</v>
      </c>
      <c r="E9" s="1">
        <v>3034.7</v>
      </c>
      <c r="F9" s="1">
        <v>15</v>
      </c>
      <c r="G9" s="3">
        <f t="shared" si="1"/>
        <v>700</v>
      </c>
      <c r="H9" s="2">
        <f t="shared" si="2"/>
        <v>3734.7</v>
      </c>
      <c r="I9" s="1">
        <f t="shared" si="0"/>
        <v>3719.7</v>
      </c>
      <c r="J9" s="2" t="str">
        <f>LOOKUP(LEFT(A9),{"a","b","c"},{"基础室","计算机室","电子室"})</f>
        <v>基础室</v>
      </c>
      <c r="K9" s="2"/>
      <c r="L9" s="2"/>
    </row>
    <row r="10" spans="1:12" x14ac:dyDescent="0.25">
      <c r="A10" s="1" t="s">
        <v>29</v>
      </c>
      <c r="B10" s="1" t="s">
        <v>30</v>
      </c>
      <c r="C10" s="1" t="s">
        <v>9</v>
      </c>
      <c r="D10" s="1" t="s">
        <v>12</v>
      </c>
      <c r="E10" s="1">
        <v>3310.2</v>
      </c>
      <c r="F10" s="1">
        <v>120.3</v>
      </c>
      <c r="G10" s="3">
        <f t="shared" si="1"/>
        <v>700</v>
      </c>
      <c r="H10" s="2">
        <f t="shared" si="2"/>
        <v>4010.2</v>
      </c>
      <c r="I10" s="1">
        <f t="shared" si="0"/>
        <v>3889.8999999999996</v>
      </c>
      <c r="J10" s="2" t="str">
        <f>LOOKUP(LEFT(A10),{"a","b","c"},{"基础室","计算机室","电子室"})</f>
        <v>基础室</v>
      </c>
      <c r="K10" s="2"/>
      <c r="L10" s="2"/>
    </row>
    <row r="11" spans="1:12" x14ac:dyDescent="0.25">
      <c r="A11" s="1" t="s">
        <v>31</v>
      </c>
      <c r="B11" s="1" t="s">
        <v>32</v>
      </c>
      <c r="C11" s="1" t="s">
        <v>17</v>
      </c>
      <c r="D11" s="1" t="s">
        <v>18</v>
      </c>
      <c r="E11" s="1">
        <v>2179.1</v>
      </c>
      <c r="F11" s="1">
        <v>62.3</v>
      </c>
      <c r="G11" s="3">
        <f t="shared" si="1"/>
        <v>500</v>
      </c>
      <c r="H11" s="2">
        <f t="shared" si="2"/>
        <v>2679.1</v>
      </c>
      <c r="I11" s="1">
        <f t="shared" si="0"/>
        <v>2616.7999999999997</v>
      </c>
      <c r="J11" s="2" t="str">
        <f>LOOKUP(LEFT(A11),{"a","b","c"},{"基础室","计算机室","电子室"})</f>
        <v>计算机室</v>
      </c>
      <c r="K11" s="2"/>
      <c r="L11" s="2"/>
    </row>
    <row r="12" spans="1:12" x14ac:dyDescent="0.25">
      <c r="A12" s="1" t="s">
        <v>33</v>
      </c>
      <c r="B12" s="1" t="s">
        <v>34</v>
      </c>
      <c r="C12" s="1" t="s">
        <v>9</v>
      </c>
      <c r="D12" s="1" t="s">
        <v>21</v>
      </c>
      <c r="E12" s="1">
        <v>5621.3</v>
      </c>
      <c r="F12" s="1">
        <v>67</v>
      </c>
      <c r="G12" s="3">
        <f t="shared" si="1"/>
        <v>1100</v>
      </c>
      <c r="H12" s="2">
        <f t="shared" si="2"/>
        <v>6721.3</v>
      </c>
      <c r="I12" s="1">
        <f t="shared" si="0"/>
        <v>6654.3</v>
      </c>
      <c r="J12" s="2" t="str">
        <f>LOOKUP(LEFT(A12),{"a","b","c"},{"基础室","计算机室","电子室"})</f>
        <v>电子室</v>
      </c>
      <c r="K12" s="2"/>
      <c r="L12" s="2"/>
    </row>
    <row r="13" spans="1:12" x14ac:dyDescent="0.25">
      <c r="A13" s="1" t="s">
        <v>35</v>
      </c>
      <c r="B13" s="1" t="s">
        <v>36</v>
      </c>
      <c r="C13" s="1" t="s">
        <v>9</v>
      </c>
      <c r="D13" s="1" t="s">
        <v>18</v>
      </c>
      <c r="E13" s="1">
        <v>2125.6999999999998</v>
      </c>
      <c r="F13" s="1">
        <v>36.700000000000003</v>
      </c>
      <c r="G13" s="3">
        <f t="shared" si="1"/>
        <v>500</v>
      </c>
      <c r="H13" s="2">
        <f t="shared" si="2"/>
        <v>2625.7</v>
      </c>
      <c r="I13" s="1">
        <f t="shared" si="0"/>
        <v>2589</v>
      </c>
      <c r="J13" s="2" t="str">
        <f>LOOKUP(LEFT(A13),{"a","b","c"},{"基础室","计算机室","电子室"})</f>
        <v>电子室</v>
      </c>
      <c r="K13" s="2"/>
      <c r="L13" s="2"/>
    </row>
    <row r="14" spans="1:12" x14ac:dyDescent="0.25">
      <c r="A14" s="1" t="s">
        <v>37</v>
      </c>
      <c r="B14" s="1" t="s">
        <v>38</v>
      </c>
      <c r="C14" s="1" t="s">
        <v>17</v>
      </c>
      <c r="D14" s="1" t="s">
        <v>26</v>
      </c>
      <c r="E14" s="1">
        <v>4529.3</v>
      </c>
      <c r="F14" s="1">
        <v>93.2</v>
      </c>
      <c r="G14" s="3">
        <f t="shared" si="1"/>
        <v>900</v>
      </c>
      <c r="H14" s="2">
        <f t="shared" si="2"/>
        <v>5429.3</v>
      </c>
      <c r="I14" s="1">
        <f t="shared" si="0"/>
        <v>5336.1</v>
      </c>
      <c r="J14" s="2" t="str">
        <f>LOOKUP(LEFT(A14),{"a","b","c"},{"基础室","计算机室","电子室"})</f>
        <v>基础室</v>
      </c>
      <c r="K14" s="2"/>
      <c r="L14" s="2"/>
    </row>
    <row r="15" spans="1:12" x14ac:dyDescent="0.25">
      <c r="A15" s="1" t="s">
        <v>39</v>
      </c>
      <c r="B15" s="1"/>
      <c r="C15" s="1"/>
      <c r="D15" s="1"/>
      <c r="E15" s="1">
        <f>SUM(E2:E14)</f>
        <v>44079.3</v>
      </c>
      <c r="F15" s="1">
        <f t="shared" ref="F15:I15" si="3">SUM(F2:F14)</f>
        <v>876.2</v>
      </c>
      <c r="G15" s="1">
        <f>SUM(G2:G14)</f>
        <v>9300</v>
      </c>
      <c r="H15" s="1">
        <f t="shared" si="3"/>
        <v>53379.3</v>
      </c>
      <c r="I15" s="1">
        <f t="shared" si="3"/>
        <v>52503.100000000006</v>
      </c>
      <c r="J15" s="2"/>
      <c r="K15" s="2"/>
      <c r="L15" s="2"/>
    </row>
    <row r="16" spans="1:12" x14ac:dyDescent="0.25">
      <c r="A16" s="1" t="s">
        <v>40</v>
      </c>
      <c r="B16" s="1"/>
      <c r="C16" s="1"/>
      <c r="D16" s="1"/>
      <c r="E16" s="1">
        <f>AVERAGE(E2:E14)</f>
        <v>3390.7153846153847</v>
      </c>
      <c r="F16" s="1">
        <f t="shared" ref="F16:I16" si="4">AVERAGE(F2:F14)</f>
        <v>67.400000000000006</v>
      </c>
      <c r="G16" s="1">
        <f t="shared" si="4"/>
        <v>715.38461538461536</v>
      </c>
      <c r="H16" s="1">
        <f t="shared" si="4"/>
        <v>4106.1000000000004</v>
      </c>
      <c r="I16" s="1">
        <f t="shared" si="4"/>
        <v>4038.7000000000003</v>
      </c>
      <c r="J16" s="2"/>
      <c r="K16" s="2"/>
      <c r="L16" s="2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2"/>
      <c r="K17" s="2"/>
      <c r="L17" s="2"/>
    </row>
    <row r="18" spans="1:12" x14ac:dyDescent="0.25">
      <c r="A18" s="1" t="s">
        <v>3</v>
      </c>
      <c r="B18" s="1" t="s">
        <v>41</v>
      </c>
      <c r="C18" s="1" t="s">
        <v>42</v>
      </c>
      <c r="D18" s="1"/>
      <c r="E18" s="1"/>
      <c r="F18" s="1"/>
      <c r="G18" s="1"/>
      <c r="H18" s="1"/>
      <c r="I18" s="1"/>
      <c r="J18" s="2"/>
      <c r="K18" s="2"/>
      <c r="L18" s="2"/>
    </row>
    <row r="19" spans="1:12" x14ac:dyDescent="0.25">
      <c r="A19" s="1" t="s">
        <v>18</v>
      </c>
      <c r="B19" s="1">
        <f>COUNTIF(D2:D14,D2)</f>
        <v>5</v>
      </c>
      <c r="C19" s="1">
        <f>AVERAGEIF(D2:D14,D2,I2:I14)</f>
        <v>2580.14</v>
      </c>
      <c r="D19" s="1"/>
      <c r="E19" s="1"/>
      <c r="F19" s="1"/>
      <c r="G19" s="1"/>
      <c r="H19" s="1"/>
      <c r="I19" s="1"/>
      <c r="J19" s="2"/>
      <c r="K19" s="2"/>
      <c r="L19" s="2"/>
    </row>
    <row r="20" spans="1:12" x14ac:dyDescent="0.25">
      <c r="A20" s="1" t="s">
        <v>12</v>
      </c>
      <c r="B20" s="1">
        <f>COUNTIF(D2:D14,D3)</f>
        <v>4</v>
      </c>
      <c r="C20" s="1">
        <f>AVERAGEIF(D2:D14,D3,I2:I14)</f>
        <v>3905.4</v>
      </c>
      <c r="D20" s="1"/>
      <c r="E20" s="1"/>
      <c r="F20" s="1"/>
      <c r="G20" s="1"/>
      <c r="H20" s="1"/>
      <c r="I20" s="1"/>
      <c r="J20" s="2"/>
      <c r="K20" s="2"/>
      <c r="L20" s="2"/>
    </row>
    <row r="21" spans="1:12" x14ac:dyDescent="0.25">
      <c r="A21" s="1" t="s">
        <v>26</v>
      </c>
      <c r="B21" s="1">
        <f>COUNTIF(D2:D14,D8)</f>
        <v>2</v>
      </c>
      <c r="C21" s="1">
        <f>AVERAGEIF(D2:D14,D8,I2:I14)</f>
        <v>5336.1</v>
      </c>
      <c r="D21" s="1"/>
      <c r="E21" s="1"/>
      <c r="F21" s="1"/>
      <c r="G21" s="1"/>
      <c r="H21" s="1"/>
      <c r="I21" s="1"/>
      <c r="J21" s="2"/>
      <c r="K21" s="2"/>
      <c r="L21" s="2"/>
    </row>
    <row r="22" spans="1:12" x14ac:dyDescent="0.25">
      <c r="A22" s="1" t="s">
        <v>21</v>
      </c>
      <c r="B22" s="1">
        <f>COUNTIF(D2:D14,D6)</f>
        <v>2</v>
      </c>
      <c r="C22" s="1">
        <f>AVERAGEIF(D2:D14,D6,I2:I14)</f>
        <v>6654.3</v>
      </c>
      <c r="D22" s="1"/>
      <c r="E22" s="1"/>
      <c r="F22" s="1"/>
      <c r="G22" s="1"/>
      <c r="H22" s="1"/>
      <c r="I22" s="1"/>
      <c r="J22" s="2"/>
      <c r="K22" s="2"/>
      <c r="L22" s="2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</row>
    <row r="27" spans="1:1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Sheet1!无标题_5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Admin</cp:lastModifiedBy>
  <dcterms:created xsi:type="dcterms:W3CDTF">2017-08-01T06:40:28Z</dcterms:created>
  <dcterms:modified xsi:type="dcterms:W3CDTF">2021-04-21T09:22:58Z</dcterms:modified>
</cp:coreProperties>
</file>
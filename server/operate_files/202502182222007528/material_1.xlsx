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85" windowHeight="12255" activeTab="1"/>
  </bookViews>
  <sheets>
    <sheet name="成绩单" sheetId="1" r:id="rId1"/>
    <sheet name="分数段统计" sheetId="2" r:id="rId2"/>
  </sheets>
  <definedNames>
    <definedName name="_xlnm.Print_Titles" localSheetId="0">成绩单!$2:$2</definedName>
  </definedNames>
  <calcPr calcId="144525"/>
  <pivotCaches>
    <pivotCache cacheId="0" r:id="rId3"/>
  </pivotCaches>
</workbook>
</file>

<file path=xl/sharedStrings.xml><?xml version="1.0" encoding="utf-8"?>
<sst xmlns="http://schemas.openxmlformats.org/spreadsheetml/2006/main" count="1023" uniqueCount="362">
  <si>
    <t>员工编号</t>
  </si>
  <si>
    <t>姓名</t>
  </si>
  <si>
    <t>性别</t>
  </si>
  <si>
    <t>年龄</t>
  </si>
  <si>
    <t>部门</t>
  </si>
  <si>
    <t>Word</t>
  </si>
  <si>
    <t>Excel</t>
  </si>
  <si>
    <t>PowerPoint</t>
  </si>
  <si>
    <t>Outlook</t>
  </si>
  <si>
    <t>Visio</t>
  </si>
  <si>
    <t>平均成绩</t>
  </si>
  <si>
    <t>等级</t>
  </si>
  <si>
    <t>闫舒雯</t>
  </si>
  <si>
    <t>女</t>
  </si>
  <si>
    <t>研发部</t>
  </si>
  <si>
    <t>朱姿</t>
  </si>
  <si>
    <t>薛惠文</t>
  </si>
  <si>
    <t>王怡琳</t>
  </si>
  <si>
    <t>王紫怡</t>
  </si>
  <si>
    <t>杨美涵</t>
  </si>
  <si>
    <t>苏子涵</t>
  </si>
  <si>
    <t>李梦骐</t>
  </si>
  <si>
    <t>男</t>
  </si>
  <si>
    <t>魏钰函</t>
  </si>
  <si>
    <t>包一兰</t>
  </si>
  <si>
    <t>王燚</t>
  </si>
  <si>
    <t>苏畅</t>
  </si>
  <si>
    <t>姚雯</t>
  </si>
  <si>
    <t>冯佳慧</t>
  </si>
  <si>
    <t>张玉薇</t>
  </si>
  <si>
    <t>胡玮鑫</t>
  </si>
  <si>
    <t>宋奕璇</t>
  </si>
  <si>
    <t>买依依</t>
  </si>
  <si>
    <t>王唯</t>
  </si>
  <si>
    <t>焦雪巍</t>
  </si>
  <si>
    <t>王嘉文</t>
  </si>
  <si>
    <t>李雅琪</t>
  </si>
  <si>
    <t>郝宇晶</t>
  </si>
  <si>
    <t>朱滢</t>
  </si>
  <si>
    <t>魏一凡</t>
  </si>
  <si>
    <t>张雪</t>
  </si>
  <si>
    <t>范振勤</t>
  </si>
  <si>
    <t>任雅睿</t>
  </si>
  <si>
    <t>王豪</t>
  </si>
  <si>
    <t>郭若斐</t>
  </si>
  <si>
    <t>康璐</t>
  </si>
  <si>
    <t>卢美珩</t>
  </si>
  <si>
    <t>曾雪依</t>
  </si>
  <si>
    <t>杨薇潼</t>
  </si>
  <si>
    <t>孙梦洁</t>
  </si>
  <si>
    <t>刘妙溪</t>
  </si>
  <si>
    <t>刘寒齐</t>
  </si>
  <si>
    <t>张奕涵</t>
  </si>
  <si>
    <t>乔悦文</t>
  </si>
  <si>
    <t>张子卓</t>
  </si>
  <si>
    <t>马路遥</t>
  </si>
  <si>
    <t>刘港</t>
  </si>
  <si>
    <t>范林瑶</t>
  </si>
  <si>
    <t>李梦珂</t>
  </si>
  <si>
    <t>陈府华</t>
  </si>
  <si>
    <t>盛莹莹</t>
  </si>
  <si>
    <t>高镱校</t>
  </si>
  <si>
    <t>范梦琪</t>
  </si>
  <si>
    <t>刘子怡</t>
  </si>
  <si>
    <t>陈润祺</t>
  </si>
  <si>
    <t>刘梦云</t>
  </si>
  <si>
    <t>高继航</t>
  </si>
  <si>
    <t>黄雨佳</t>
  </si>
  <si>
    <t>王敬</t>
  </si>
  <si>
    <t>丁雪飞</t>
  </si>
  <si>
    <t>吕霏</t>
  </si>
  <si>
    <t>王瑶</t>
  </si>
  <si>
    <t>燕宏鑫</t>
  </si>
  <si>
    <t>物流部</t>
  </si>
  <si>
    <t>杨子暄</t>
  </si>
  <si>
    <t>卢欣怡</t>
  </si>
  <si>
    <t>秦宇萱</t>
  </si>
  <si>
    <t>谢箐</t>
  </si>
  <si>
    <t>高惟逸</t>
  </si>
  <si>
    <t>李崇智</t>
  </si>
  <si>
    <t>余晓辉</t>
  </si>
  <si>
    <t>袁亚男</t>
  </si>
  <si>
    <t>许艳亮</t>
  </si>
  <si>
    <t>袁怡宁</t>
  </si>
  <si>
    <t>任家漪　</t>
  </si>
  <si>
    <t>郑馨</t>
  </si>
  <si>
    <t>何雨润</t>
  </si>
  <si>
    <t>王珺</t>
  </si>
  <si>
    <t>荣佳</t>
  </si>
  <si>
    <t>刘庶贺</t>
  </si>
  <si>
    <t>朱亚婷</t>
  </si>
  <si>
    <t>朱怡滢</t>
  </si>
  <si>
    <t>崔梦鑫</t>
  </si>
  <si>
    <t>王怡飞</t>
  </si>
  <si>
    <t>李佳一</t>
  </si>
  <si>
    <t>申芳赫</t>
  </si>
  <si>
    <t>杨璐煜</t>
  </si>
  <si>
    <t>黄梦圆</t>
  </si>
  <si>
    <t>王乐语</t>
  </si>
  <si>
    <t>李笑</t>
  </si>
  <si>
    <t>薛宇格</t>
  </si>
  <si>
    <t>弓佳琪</t>
  </si>
  <si>
    <t>高铭莉</t>
  </si>
  <si>
    <t>李菁菁</t>
  </si>
  <si>
    <t>孟子明</t>
  </si>
  <si>
    <t>张巍</t>
  </si>
  <si>
    <t>张予菲</t>
  </si>
  <si>
    <t>宋欣蔚</t>
  </si>
  <si>
    <t>蔡迪嘉</t>
  </si>
  <si>
    <t>贾烨</t>
  </si>
  <si>
    <t>许琬婷</t>
  </si>
  <si>
    <t>杨靖莹</t>
  </si>
  <si>
    <t>王艺</t>
  </si>
  <si>
    <t>冯嘉欣</t>
  </si>
  <si>
    <t>王琪</t>
  </si>
  <si>
    <t>娄容荣</t>
  </si>
  <si>
    <t>赵世楠</t>
  </si>
  <si>
    <t>罗嘉</t>
  </si>
  <si>
    <t>朱琳</t>
  </si>
  <si>
    <t>宋晓</t>
  </si>
  <si>
    <t>李涵安</t>
  </si>
  <si>
    <t>陈贝嘉</t>
  </si>
  <si>
    <t>翟笑晨</t>
  </si>
  <si>
    <t>李铃坪</t>
  </si>
  <si>
    <t>李翔</t>
  </si>
  <si>
    <t>张馨</t>
  </si>
  <si>
    <t>康晶菡</t>
  </si>
  <si>
    <t>王婉晴</t>
  </si>
  <si>
    <t>李婉茹</t>
  </si>
  <si>
    <t>李宜庭</t>
  </si>
  <si>
    <t>周乐琪</t>
  </si>
  <si>
    <t>金雨馨</t>
  </si>
  <si>
    <t>韩冰天</t>
  </si>
  <si>
    <t>栾家晨</t>
  </si>
  <si>
    <t>刘家行</t>
  </si>
  <si>
    <t>刘家旭</t>
  </si>
  <si>
    <t>赵晓坤</t>
  </si>
  <si>
    <t>郑昊</t>
  </si>
  <si>
    <t>采购部</t>
  </si>
  <si>
    <t>王亚楠</t>
  </si>
  <si>
    <t>毛鑫雨</t>
  </si>
  <si>
    <t>赵子绅</t>
  </si>
  <si>
    <t>张喆</t>
  </si>
  <si>
    <t>赵思琪</t>
  </si>
  <si>
    <t>张佳琪</t>
  </si>
  <si>
    <t>王亚辰</t>
  </si>
  <si>
    <t>冯艺帆</t>
  </si>
  <si>
    <t>孟冠政</t>
  </si>
  <si>
    <t>苗卓然</t>
  </si>
  <si>
    <t>杨昱淼</t>
  </si>
  <si>
    <t>沈嘉仪</t>
  </si>
  <si>
    <t>张佳钰</t>
  </si>
  <si>
    <t>付梓兵</t>
  </si>
  <si>
    <t>王佳薇</t>
  </si>
  <si>
    <t>易欣</t>
  </si>
  <si>
    <t>陶子溪</t>
  </si>
  <si>
    <t>李宛樾</t>
  </si>
  <si>
    <t>程心怡</t>
  </si>
  <si>
    <t>郭珂颖</t>
  </si>
  <si>
    <t>李婧茹</t>
  </si>
  <si>
    <t>闫嘉文</t>
  </si>
  <si>
    <t>张怡</t>
  </si>
  <si>
    <t>王偲</t>
  </si>
  <si>
    <t>刘孟坤</t>
  </si>
  <si>
    <t>张宇轩</t>
  </si>
  <si>
    <t>翟雯婧</t>
  </si>
  <si>
    <t>刘洋</t>
  </si>
  <si>
    <t>桂晨曦</t>
  </si>
  <si>
    <t>党靖雯</t>
  </si>
  <si>
    <t>郭紫琳</t>
  </si>
  <si>
    <t>姜梦涵</t>
  </si>
  <si>
    <t>王彤婕</t>
  </si>
  <si>
    <t>马鑫瑞</t>
  </si>
  <si>
    <t>刘聪慧</t>
  </si>
  <si>
    <t>孙榕</t>
  </si>
  <si>
    <t>刘心宇</t>
  </si>
  <si>
    <t>吕韦</t>
  </si>
  <si>
    <t>李明蔚</t>
  </si>
  <si>
    <t>李琪</t>
  </si>
  <si>
    <t>王鹏飞　</t>
  </si>
  <si>
    <t>吴思桐</t>
  </si>
  <si>
    <t>荀康乐</t>
  </si>
  <si>
    <t>马芝帆</t>
  </si>
  <si>
    <t>肖欣怡</t>
  </si>
  <si>
    <t>郭雨昕</t>
  </si>
  <si>
    <t>席慕</t>
  </si>
  <si>
    <t>刘向洋</t>
  </si>
  <si>
    <t>杨舒涵</t>
  </si>
  <si>
    <t>张格</t>
  </si>
  <si>
    <t>康译文</t>
  </si>
  <si>
    <t>王睿</t>
  </si>
  <si>
    <t>李美桦</t>
  </si>
  <si>
    <t>高继阳</t>
  </si>
  <si>
    <t>张越</t>
  </si>
  <si>
    <t>谭子琦</t>
  </si>
  <si>
    <t>杨霈</t>
  </si>
  <si>
    <t>行政部</t>
  </si>
  <si>
    <t>孙文婧</t>
  </si>
  <si>
    <t>胡宇晨</t>
  </si>
  <si>
    <t>宋祺雯</t>
  </si>
  <si>
    <t>王艺丹</t>
  </si>
  <si>
    <t>苗雨菲</t>
  </si>
  <si>
    <t>段雨佳</t>
  </si>
  <si>
    <t>韩园</t>
  </si>
  <si>
    <t>张一涵</t>
  </si>
  <si>
    <t>崔艺萱</t>
  </si>
  <si>
    <t>杜思雨</t>
  </si>
  <si>
    <t>闵丹阳</t>
  </si>
  <si>
    <t>徐子怡</t>
  </si>
  <si>
    <t>李月</t>
  </si>
  <si>
    <t>李佳欣</t>
  </si>
  <si>
    <t>王沛</t>
  </si>
  <si>
    <t>沈馨儒</t>
  </si>
  <si>
    <t>胡静宜</t>
  </si>
  <si>
    <t>赵琪</t>
  </si>
  <si>
    <t>卢蓉洁</t>
  </si>
  <si>
    <t>孟沛杉</t>
  </si>
  <si>
    <t>尹誉</t>
  </si>
  <si>
    <t>王滢滢</t>
  </si>
  <si>
    <t>付一冉</t>
  </si>
  <si>
    <t>王萌萌</t>
  </si>
  <si>
    <t>金笑含</t>
  </si>
  <si>
    <t>常援琪</t>
  </si>
  <si>
    <t>张子玄</t>
  </si>
  <si>
    <t>耿悦棋</t>
  </si>
  <si>
    <t>张雨涵</t>
  </si>
  <si>
    <t>张婧雯</t>
  </si>
  <si>
    <t>刘啸洋</t>
  </si>
  <si>
    <t>张艺馨</t>
  </si>
  <si>
    <t>余怡诺</t>
  </si>
  <si>
    <t>郭子菡</t>
  </si>
  <si>
    <t>秦梦慧</t>
  </si>
  <si>
    <t>宋梦婷</t>
  </si>
  <si>
    <t>吴金灿</t>
  </si>
  <si>
    <t>刘镭霆</t>
  </si>
  <si>
    <t>铁金梦</t>
  </si>
  <si>
    <t>程孜懿</t>
  </si>
  <si>
    <t>张蓓琰</t>
  </si>
  <si>
    <t>张文馨</t>
  </si>
  <si>
    <t>李嘉雪</t>
  </si>
  <si>
    <t>付晓</t>
  </si>
  <si>
    <t>吕笑颜</t>
  </si>
  <si>
    <t>生产部</t>
  </si>
  <si>
    <t>胡煜垚</t>
  </si>
  <si>
    <t>饶雨萱</t>
  </si>
  <si>
    <t>李放</t>
  </si>
  <si>
    <t>王婉颖</t>
  </si>
  <si>
    <t>韩贝宁</t>
  </si>
  <si>
    <t>马橤</t>
  </si>
  <si>
    <t>王宁</t>
  </si>
  <si>
    <t>刘昕</t>
  </si>
  <si>
    <t>石苑蓓</t>
  </si>
  <si>
    <t>谷胜昊</t>
  </si>
  <si>
    <t>刘姿彤</t>
  </si>
  <si>
    <t>刘贝</t>
  </si>
  <si>
    <t>高雅轩</t>
  </si>
  <si>
    <t>高艺嘉</t>
  </si>
  <si>
    <t>田文倩</t>
  </si>
  <si>
    <t>卢祎玮</t>
  </si>
  <si>
    <t>胡子鸣</t>
  </si>
  <si>
    <t>徐薪</t>
  </si>
  <si>
    <t>张双锦</t>
  </si>
  <si>
    <t>徐唯一</t>
  </si>
  <si>
    <t>宋涵</t>
  </si>
  <si>
    <t>梁怡欣</t>
  </si>
  <si>
    <t>董安妮</t>
  </si>
  <si>
    <t>郭琳琳</t>
  </si>
  <si>
    <t>莫玉湘</t>
  </si>
  <si>
    <t>李玥瑶</t>
  </si>
  <si>
    <t>王梦茜</t>
  </si>
  <si>
    <t>程晓洁</t>
  </si>
  <si>
    <t>杨梦瑶</t>
  </si>
  <si>
    <t>杨鹏远</t>
  </si>
  <si>
    <t>梁朝正</t>
  </si>
  <si>
    <t>牛钰睿</t>
  </si>
  <si>
    <t>康雪蓓</t>
  </si>
  <si>
    <t>付晨霖</t>
  </si>
  <si>
    <t>范芷瑜</t>
  </si>
  <si>
    <t>罗妍</t>
  </si>
  <si>
    <t>牛子颖</t>
  </si>
  <si>
    <t>海敬</t>
  </si>
  <si>
    <t>赵思婕</t>
  </si>
  <si>
    <t>徐冰琦</t>
  </si>
  <si>
    <t>张子璇</t>
  </si>
  <si>
    <t>刘德容</t>
  </si>
  <si>
    <t>谢若凌</t>
  </si>
  <si>
    <t>赵子钧</t>
  </si>
  <si>
    <t>张诺琛</t>
  </si>
  <si>
    <t>张茜</t>
  </si>
  <si>
    <t>姚婉菁</t>
  </si>
  <si>
    <t>杨款款</t>
  </si>
  <si>
    <t>李艺昕</t>
  </si>
  <si>
    <t>王嘉蔚</t>
  </si>
  <si>
    <t>王佳慧</t>
  </si>
  <si>
    <t>刘妍</t>
  </si>
  <si>
    <t>张子涵</t>
  </si>
  <si>
    <t>梁锦</t>
  </si>
  <si>
    <t>宋佳峥</t>
  </si>
  <si>
    <t>卢润瑶</t>
  </si>
  <si>
    <t>张玮豪</t>
  </si>
  <si>
    <t>王艺博</t>
  </si>
  <si>
    <t>杜格格</t>
  </si>
  <si>
    <t>李湖龙</t>
  </si>
  <si>
    <t>市场部</t>
  </si>
  <si>
    <t>陈嵩吟</t>
  </si>
  <si>
    <t>王子玥</t>
  </si>
  <si>
    <t>韩姝</t>
  </si>
  <si>
    <t>李培育</t>
  </si>
  <si>
    <t>罗典</t>
  </si>
  <si>
    <t>李欣雨</t>
  </si>
  <si>
    <t>郝宇淼</t>
  </si>
  <si>
    <t>朱琪帆</t>
  </si>
  <si>
    <t>马小珂</t>
  </si>
  <si>
    <t>杜悦</t>
  </si>
  <si>
    <t>张珂瑜</t>
  </si>
  <si>
    <t>魏佳瑶</t>
  </si>
  <si>
    <t>闫珂</t>
  </si>
  <si>
    <t>张芮</t>
  </si>
  <si>
    <t>范丁玉</t>
  </si>
  <si>
    <t>韩安宁</t>
  </si>
  <si>
    <t>郝晶晶</t>
  </si>
  <si>
    <t>徐靓洁</t>
  </si>
  <si>
    <t>王凯文</t>
  </si>
  <si>
    <t>罗羿</t>
  </si>
  <si>
    <t>张度</t>
  </si>
  <si>
    <t>樊佳磊</t>
  </si>
  <si>
    <t>徐如成</t>
  </si>
  <si>
    <t>黄梓童</t>
  </si>
  <si>
    <t>张琼</t>
  </si>
  <si>
    <t>黄圣雅</t>
  </si>
  <si>
    <t>邓智航</t>
  </si>
  <si>
    <t>王晓</t>
  </si>
  <si>
    <t>张雯</t>
  </si>
  <si>
    <t>江洲</t>
  </si>
  <si>
    <t>王晓晗</t>
  </si>
  <si>
    <t>李永远</t>
  </si>
  <si>
    <t>王馨语</t>
  </si>
  <si>
    <t>王彤</t>
  </si>
  <si>
    <t>刘世英</t>
  </si>
  <si>
    <t>王嘉宁</t>
  </si>
  <si>
    <t>李惠嘉</t>
  </si>
  <si>
    <t>韩子薇</t>
  </si>
  <si>
    <t>宁慧</t>
  </si>
  <si>
    <t>孙萌</t>
  </si>
  <si>
    <t>朱文博</t>
  </si>
  <si>
    <t>孟淇</t>
  </si>
  <si>
    <t>孟其鸿</t>
  </si>
  <si>
    <t>陈贝一</t>
  </si>
  <si>
    <t>曹雅君</t>
  </si>
  <si>
    <t>吴子昕</t>
  </si>
  <si>
    <t>张煜</t>
  </si>
  <si>
    <t>张俏颜</t>
  </si>
  <si>
    <t>李怡雪</t>
  </si>
  <si>
    <t>朱婧</t>
  </si>
  <si>
    <t>人数</t>
  </si>
  <si>
    <t>所占比例</t>
  </si>
  <si>
    <t>&lt;60</t>
  </si>
  <si>
    <t>60-70</t>
  </si>
  <si>
    <t>70-80</t>
  </si>
  <si>
    <t>80-90</t>
  </si>
  <si>
    <t>90-100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</si>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</sst>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00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 tint="0.399975585192419"/>
      </bottom>
      <diagonal/>
    </border>
    <border>
      <left/>
      <right/>
      <top style="thin">
        <color rgb="FF000000"/>
      </top>
      <bottom style="thin">
        <color rgb="FF000000" tint="0.399975585192419"/>
      </bottom>
      <diagonal/>
    </border>
    <border>
      <left style="thin">
        <color rgb="FF000000"/>
      </left>
      <right/>
      <top style="thin">
        <color rgb="FF000000" tint="0.399975585192419"/>
      </top>
      <bottom style="thin">
        <color rgb="FF000000" tint="0.399975585192419"/>
      </bottom>
      <diagonal/>
    </border>
    <border>
      <left/>
      <right/>
      <top style="thin">
        <color rgb="FF000000" tint="0.399975585192419"/>
      </top>
      <bottom style="thin">
        <color rgb="FF000000" tint="0.39997558519241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 tint="0.399975585192419"/>
      </bottom>
      <diagonal/>
    </border>
    <border>
      <left/>
      <right style="thin">
        <color rgb="FF000000"/>
      </right>
      <top style="thin">
        <color rgb="FF000000" tint="0.399975585192419"/>
      </top>
      <bottom style="thin">
        <color rgb="FF000000" tint="0.399975585192419"/>
      </bottom>
      <diagonal/>
    </border>
    <border>
      <left/>
      <right/>
      <top style="thin">
        <color rgb="FF000000" tint="0.399975585192419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177" fontId="2" fillId="0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[标准文件.xlsx]分数段统计!数据透视表2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分数段统计!$C$2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分数段统计!$B$3:$B$8</c:f>
              <c:strCache>
                <c:ptCount val="5"/>
                <c:pt idx="0">
                  <c:v>&lt;60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</c:strCache>
            </c:strRef>
          </c:cat>
          <c:val>
            <c:numRef>
              <c:f>分数段统计!$C$3:$C$8</c:f>
              <c:numCache>
                <c:formatCode>General</c:formatCode>
                <c:ptCount val="5"/>
                <c:pt idx="0">
                  <c:v>32</c:v>
                </c:pt>
                <c:pt idx="1">
                  <c:v>127</c:v>
                </c:pt>
                <c:pt idx="2">
                  <c:v>118</c:v>
                </c:pt>
                <c:pt idx="3">
                  <c:v>55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593282"/>
        <c:axId val="292116937"/>
      </c:barChart>
      <c:lineChart>
        <c:grouping val="standard"/>
        <c:varyColors val="0"/>
        <c:ser>
          <c:idx val="1"/>
          <c:order val="1"/>
          <c:tx>
            <c:strRef>
              <c:f>分数段统计!$D$2</c:f>
              <c:strCache>
                <c:ptCount val="1"/>
                <c:pt idx="0">
                  <c:v>所占比例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分数段统计!$B$3:$B$8</c:f>
              <c:strCache>
                <c:ptCount val="5"/>
                <c:pt idx="0">
                  <c:v>&lt;60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</c:strCache>
            </c:strRef>
          </c:cat>
          <c:val>
            <c:numRef>
              <c:f>分数段统计!$D$3:$D$8</c:f>
              <c:numCache>
                <c:formatCode>0.0%</c:formatCode>
                <c:ptCount val="5"/>
                <c:pt idx="0">
                  <c:v>0.0958083832335329</c:v>
                </c:pt>
                <c:pt idx="1">
                  <c:v>0.380239520958084</c:v>
                </c:pt>
                <c:pt idx="2">
                  <c:v>0.353293413173653</c:v>
                </c:pt>
                <c:pt idx="3">
                  <c:v>0.164670658682635</c:v>
                </c:pt>
                <c:pt idx="4">
                  <c:v>0.00598802395209581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406684"/>
        <c:axId val="757791919"/>
      </c:lineChart>
      <c:catAx>
        <c:axId val="8105932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116937"/>
        <c:crosses val="autoZero"/>
        <c:auto val="1"/>
        <c:lblAlgn val="ctr"/>
        <c:lblOffset val="100"/>
        <c:noMultiLvlLbl val="0"/>
      </c:catAx>
      <c:valAx>
        <c:axId val="2921169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593282"/>
        <c:crosses val="autoZero"/>
        <c:crossBetween val="between"/>
      </c:valAx>
      <c:catAx>
        <c:axId val="65240668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791919"/>
        <c:crosses val="autoZero"/>
        <c:auto val="1"/>
        <c:lblAlgn val="ctr"/>
        <c:lblOffset val="100"/>
        <c:noMultiLvlLbl val="0"/>
      </c:catAx>
      <c:valAx>
        <c:axId val="75779191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406684"/>
        <c:crosses val="max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8</xdr:row>
      <xdr:rowOff>60325</xdr:rowOff>
    </xdr:from>
    <xdr:to>
      <xdr:col>6</xdr:col>
      <xdr:colOff>587375</xdr:colOff>
      <xdr:row>24</xdr:row>
      <xdr:rowOff>60325</xdr:rowOff>
    </xdr:to>
    <xdr:graphicFrame>
      <xdr:nvGraphicFramePr>
        <xdr:cNvPr id="3" name="图表 2"/>
        <xdr:cNvGraphicFramePr/>
      </xdr:nvGraphicFramePr>
      <xdr:xfrm>
        <a:off x="685800" y="1431925"/>
        <a:ext cx="42068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12.5000347222" refreshedBy="25472" recordCount="334">
  <cacheSource type="worksheet">
    <worksheetSource ref="B2:M336" sheet="成绩单"/>
  </cacheSource>
  <cacheFields count="12">
    <cacheField name="员工编号" numFmtId="177">
      <sharedItems containsSemiMixedTypes="0" containsString="0" containsNumber="1" containsInteger="1" minValue="0" maxValue="334" count="334">
        <n v="260"/>
        <n v="334"/>
        <n v="255"/>
        <n v="229"/>
        <n v="236"/>
        <n v="265"/>
        <n v="190"/>
        <n v="97"/>
        <n v="239"/>
        <n v="1"/>
        <n v="233"/>
        <n v="189"/>
        <n v="274"/>
        <n v="30"/>
        <n v="309"/>
        <n v="66"/>
        <n v="188"/>
        <n v="156"/>
        <n v="221"/>
        <n v="77"/>
        <n v="204"/>
        <n v="106"/>
        <n v="62"/>
        <n v="333"/>
        <n v="238"/>
        <n v="301"/>
        <n v="28"/>
        <n v="175"/>
        <n v="199"/>
        <n v="50"/>
        <n v="81"/>
        <n v="138"/>
        <n v="4"/>
        <n v="270"/>
        <n v="192"/>
        <n v="126"/>
        <n v="120"/>
        <n v="305"/>
        <n v="170"/>
        <n v="316"/>
        <n v="151"/>
        <n v="119"/>
        <n v="26"/>
        <n v="96"/>
        <n v="8"/>
        <n v="180"/>
        <n v="43"/>
        <n v="27"/>
        <n v="136"/>
        <n v="9"/>
        <n v="125"/>
        <n v="37"/>
        <n v="72"/>
        <n v="205"/>
        <n v="18"/>
        <n v="148"/>
        <n v="227"/>
        <n v="261"/>
        <n v="272"/>
        <n v="141"/>
        <n v="172"/>
        <n v="245"/>
        <n v="40"/>
        <n v="84"/>
        <n v="277"/>
        <n v="279"/>
        <n v="254"/>
        <n v="280"/>
        <n v="174"/>
        <n v="325"/>
        <n v="64"/>
        <n v="206"/>
        <n v="176"/>
        <n v="128"/>
        <n v="331"/>
        <n v="332"/>
        <n v="14"/>
        <n v="228"/>
        <n v="90"/>
        <n v="177"/>
        <n v="264"/>
        <n v="70"/>
        <n v="208"/>
        <n v="104"/>
        <n v="256"/>
        <n v="45"/>
        <n v="39"/>
        <n v="92"/>
        <n v="162"/>
        <n v="296"/>
        <n v="306"/>
        <n v="187"/>
        <n v="2"/>
        <n v="74"/>
        <n v="253"/>
        <n v="262"/>
        <n v="230"/>
        <n v="31"/>
        <n v="214"/>
        <n v="137"/>
        <n v="318"/>
        <n v="145"/>
        <n v="328"/>
        <n v="186"/>
        <n v="86"/>
        <n v="6"/>
        <n v="282"/>
        <n v="94"/>
        <n v="103"/>
        <n v="300"/>
        <n v="80"/>
        <n v="219"/>
        <n v="102"/>
        <n v="108"/>
        <n v="326"/>
        <n v="79"/>
        <n v="57"/>
        <n v="143"/>
        <n v="121"/>
        <n v="122"/>
        <n v="321"/>
        <n v="324"/>
        <n v="226"/>
        <n v="157"/>
        <n v="323"/>
        <n v="312"/>
        <n v="320"/>
        <n v="286"/>
        <n v="225"/>
        <n v="32"/>
        <n v="158"/>
        <n v="164"/>
        <n v="271"/>
        <n v="178"/>
        <n v="287"/>
        <n v="36"/>
        <n v="201"/>
        <n v="275"/>
        <n v="196"/>
        <n v="101"/>
        <n v="12"/>
        <n v="48"/>
        <n v="93"/>
        <n v="258"/>
        <n v="303"/>
        <n v="216"/>
        <n v="124"/>
        <n v="307"/>
        <n v="281"/>
        <n v="134"/>
        <n v="47"/>
        <n v="16"/>
        <n v="53"/>
        <n v="76"/>
        <n v="218"/>
        <n v="154"/>
        <n v="117"/>
        <n v="193"/>
        <n v="131"/>
        <n v="149"/>
        <n v="98"/>
        <n v="100"/>
        <n v="213"/>
        <n v="241"/>
        <n v="257"/>
        <n v="155"/>
        <n v="244"/>
        <n v="51"/>
        <n v="243"/>
        <n v="129"/>
        <n v="269"/>
        <n v="285"/>
        <n v="83"/>
        <n v="215"/>
        <n v="95"/>
        <n v="38"/>
        <n v="311"/>
        <n v="195"/>
        <n v="267"/>
        <n v="194"/>
        <n v="67"/>
        <n v="185"/>
        <n v="232"/>
        <n v="163"/>
        <n v="23"/>
        <n v="59"/>
        <n v="302"/>
        <n v="15"/>
        <n v="21"/>
        <n v="165"/>
        <n v="252"/>
        <n v="111"/>
        <n v="89"/>
        <n v="212"/>
        <n v="179"/>
        <n v="65"/>
        <n v="317"/>
        <n v="139"/>
        <n v="159"/>
        <n v="276"/>
        <n v="234"/>
        <n v="35"/>
        <n v="209"/>
        <n v="78"/>
        <n v="5"/>
        <n v="314"/>
        <n v="44"/>
        <n v="308"/>
        <n v="288"/>
        <n v="130"/>
        <n v="304"/>
        <n v="278"/>
        <n v="52"/>
        <n v="171"/>
        <n v="184"/>
        <n v="240"/>
        <n v="123"/>
        <n v="198"/>
        <n v="13"/>
        <n v="283"/>
        <n v="298"/>
        <n v="91"/>
        <n v="34"/>
        <n v="150"/>
        <n v="68"/>
        <n v="173"/>
        <n v="85"/>
        <n v="220"/>
        <n v="56"/>
        <n v="152"/>
        <n v="211"/>
        <n v="132"/>
        <n v="181"/>
        <n v="46"/>
        <n v="135"/>
        <n v="116"/>
        <n v="41"/>
        <n v="42"/>
        <n v="197"/>
        <n v="142"/>
        <n v="69"/>
        <n v="251"/>
        <n v="295"/>
        <n v="250"/>
        <n v="182"/>
        <n v="115"/>
        <n v="19"/>
        <n v="49"/>
        <n v="166"/>
        <n v="112"/>
        <n v="210"/>
        <n v="11"/>
        <n v="266"/>
        <n v="268"/>
        <n v="113"/>
        <n v="168"/>
        <n v="82"/>
        <n v="33"/>
        <n v="29"/>
        <n v="146"/>
        <n v="169"/>
        <n v="54"/>
        <n v="319"/>
        <n v="247"/>
        <n v="315"/>
        <n v="118"/>
        <n v="246"/>
        <n v="322"/>
        <n v="290"/>
        <n v="291"/>
        <n v="273"/>
        <n v="263"/>
        <n v="109"/>
        <n v="203"/>
        <n v="200"/>
        <n v="133"/>
        <n v="313"/>
        <n v="114"/>
        <n v="183"/>
        <n v="140"/>
        <n v="297"/>
        <n v="231"/>
        <n v="20"/>
        <n v="87"/>
        <n v="10"/>
        <n v="235"/>
        <n v="58"/>
        <n v="99"/>
        <n v="144"/>
        <n v="105"/>
        <n v="63"/>
        <n v="329"/>
        <n v="153"/>
        <n v="22"/>
        <n v="289"/>
        <n v="237"/>
        <n v="259"/>
        <n v="294"/>
        <n v="25"/>
        <n v="55"/>
        <n v="61"/>
        <n v="248"/>
        <n v="207"/>
        <n v="147"/>
        <n v="284"/>
        <n v="24"/>
        <n v="249"/>
        <n v="73"/>
        <n v="293"/>
        <n v="71"/>
        <n v="17"/>
        <n v="222"/>
        <n v="299"/>
        <n v="75"/>
        <n v="223"/>
        <n v="110"/>
        <n v="224"/>
        <n v="217"/>
        <n v="127"/>
        <n v="202"/>
        <n v="88"/>
        <n v="60"/>
        <n v="167"/>
        <n v="191"/>
        <n v="330"/>
        <n v="161"/>
        <n v="160"/>
        <n v="7"/>
        <n v="3"/>
        <n v="242"/>
        <n v="310"/>
        <n v="292"/>
        <n v="107"/>
        <n v="327"/>
      </sharedItems>
    </cacheField>
    <cacheField name="姓名" numFmtId="0">
      <sharedItems count="334">
        <s v="闫舒雯"/>
        <s v="朱姿"/>
        <s v="薛惠文"/>
        <s v="王怡琳"/>
        <s v="王紫怡"/>
        <s v="杨美涵"/>
        <s v="苏子涵"/>
        <s v="李梦骐"/>
        <s v="魏钰函"/>
        <s v="包一兰"/>
        <s v="王燚"/>
        <s v="苏畅"/>
        <s v="姚雯"/>
        <s v="冯佳慧"/>
        <s v="张玉薇"/>
        <s v="胡玮鑫"/>
        <s v="宋奕璇"/>
        <s v="买依依"/>
        <s v="王唯"/>
        <s v="焦雪巍"/>
        <s v="王嘉文"/>
        <s v="李雅琪"/>
        <s v="郝宇晶"/>
        <s v="朱滢"/>
        <s v="魏一凡"/>
        <s v="张雪"/>
        <s v="范振勤"/>
        <s v="任雅睿"/>
        <s v="王豪"/>
        <s v="郭若斐"/>
        <s v="康璐"/>
        <s v="卢美珩"/>
        <s v="曾雪依"/>
        <s v="杨薇潼"/>
        <s v="孙梦洁"/>
        <s v="刘妙溪"/>
        <s v="刘寒齐"/>
        <s v="张奕涵"/>
        <s v="乔悦文"/>
        <s v="张子卓"/>
        <s v="马路遥"/>
        <s v="刘港"/>
        <s v="范林瑶"/>
        <s v="李梦珂"/>
        <s v="陈府华"/>
        <s v="盛莹莹"/>
        <s v="高镱校"/>
        <s v="范梦琪"/>
        <s v="刘子怡"/>
        <s v="陈润祺"/>
        <s v="刘梦云"/>
        <s v="高继航"/>
        <s v="黄雨佳"/>
        <s v="王敬"/>
        <s v="丁雪飞"/>
        <s v="吕霏"/>
        <s v="王瑶"/>
        <s v="燕宏鑫"/>
        <s v="杨子暄"/>
        <s v="卢欣怡"/>
        <s v="秦宇萱"/>
        <s v="谢箐"/>
        <s v="高惟逸"/>
        <s v="李崇智"/>
        <s v="余晓辉"/>
        <s v="袁亚男"/>
        <s v="许艳亮"/>
        <s v="袁怡宁"/>
        <s v="任家漪　"/>
        <s v="郑馨"/>
        <s v="何雨润"/>
        <s v="王珺"/>
        <s v="荣佳"/>
        <s v="刘庶贺"/>
        <s v="朱亚婷"/>
        <s v="朱怡滢"/>
        <s v="崔梦鑫"/>
        <s v="王怡飞"/>
        <s v="李佳一"/>
        <s v="申芳赫"/>
        <s v="杨璐煜"/>
        <s v="黄梦圆"/>
        <s v="王乐语"/>
        <s v="李笑"/>
        <s v="薛宇格"/>
        <s v="弓佳琪"/>
        <s v="高铭莉"/>
        <s v="李菁菁"/>
        <s v="孟子明"/>
        <s v="张巍"/>
        <s v="张予菲"/>
        <s v="宋欣蔚"/>
        <s v="蔡迪嘉"/>
        <s v="贾烨"/>
        <s v="许琬婷"/>
        <s v="杨靖莹"/>
        <s v="王艺"/>
        <s v="冯嘉欣"/>
        <s v="王琪"/>
        <s v="娄容荣"/>
        <s v="赵世楠"/>
        <s v="罗嘉"/>
        <s v="朱琳"/>
        <s v="宋晓"/>
        <s v="李涵安"/>
        <s v="陈贝嘉"/>
        <s v="翟笑晨"/>
        <s v="李铃坪"/>
        <s v="李翔"/>
        <s v="张馨"/>
        <s v="康晶菡"/>
        <s v="王婉晴"/>
        <s v="李婉茹"/>
        <s v="李宜庭"/>
        <s v="周乐琪"/>
        <s v="金雨馨"/>
        <s v="韩冰天"/>
        <s v="栾家晨"/>
        <s v="刘家行"/>
        <s v="刘家旭"/>
        <s v="赵晓坤"/>
        <s v="郑昊"/>
        <s v="王亚楠"/>
        <s v="毛鑫雨"/>
        <s v="赵子绅"/>
        <s v="张喆"/>
        <s v="赵思琪"/>
        <s v="张佳琪"/>
        <s v="王亚辰"/>
        <s v="冯艺帆"/>
        <s v="孟冠政"/>
        <s v="苗卓然"/>
        <s v="杨昱淼"/>
        <s v="沈嘉仪"/>
        <s v="张佳钰"/>
        <s v="付梓兵"/>
        <s v="王佳薇"/>
        <s v="易欣"/>
        <s v="陶子溪"/>
        <s v="李宛樾"/>
        <s v="程心怡"/>
        <s v="郭珂颖"/>
        <s v="李婧茹"/>
        <s v="闫嘉文"/>
        <s v="张怡"/>
        <s v="王偲"/>
        <s v="刘孟坤"/>
        <s v="张宇轩"/>
        <s v="翟雯婧"/>
        <s v="刘洋"/>
        <s v="桂晨曦"/>
        <s v="党靖雯"/>
        <s v="郭紫琳"/>
        <s v="姜梦涵"/>
        <s v="王彤婕"/>
        <s v="马鑫瑞"/>
        <s v="刘聪慧"/>
        <s v="孙榕"/>
        <s v="刘心宇"/>
        <s v="吕韦"/>
        <s v="李明蔚"/>
        <s v="李琪"/>
        <s v="王鹏飞　"/>
        <s v="吴思桐"/>
        <s v="荀康乐"/>
        <s v="马芝帆"/>
        <s v="肖欣怡"/>
        <s v="郭雨昕"/>
        <s v="席慕"/>
        <s v="刘向洋"/>
        <s v="杨舒涵"/>
        <s v="张格"/>
        <s v="康译文"/>
        <s v="王睿"/>
        <s v="李美桦"/>
        <s v="高继阳"/>
        <s v="张越"/>
        <s v="谭子琦"/>
        <s v="杨霈"/>
        <s v="孙文婧"/>
        <s v="胡宇晨"/>
        <s v="宋祺雯"/>
        <s v="王艺丹"/>
        <s v="苗雨菲"/>
        <s v="段雨佳"/>
        <s v="韩园"/>
        <s v="张一涵"/>
        <s v="崔艺萱"/>
        <s v="杜思雨"/>
        <s v="闵丹阳"/>
        <s v="徐子怡"/>
        <s v="李月"/>
        <s v="李佳欣"/>
        <s v="王沛"/>
        <s v="沈馨儒"/>
        <s v="胡静宜"/>
        <s v="赵琪"/>
        <s v="卢蓉洁"/>
        <s v="孟沛杉"/>
        <s v="尹誉"/>
        <s v="王滢滢"/>
        <s v="付一冉"/>
        <s v="王萌萌"/>
        <s v="金笑含"/>
        <s v="常援琪"/>
        <s v="张子玄"/>
        <s v="耿悦棋"/>
        <s v="张雨涵"/>
        <s v="张婧雯"/>
        <s v="刘啸洋"/>
        <s v="张艺馨"/>
        <s v="余怡诺"/>
        <s v="郭子菡"/>
        <s v="秦梦慧"/>
        <s v="宋梦婷"/>
        <s v="吴金灿"/>
        <s v="刘镭霆"/>
        <s v="铁金梦"/>
        <s v="程孜懿"/>
        <s v="张蓓琰"/>
        <s v="张文馨"/>
        <s v="李嘉雪"/>
        <s v="付晓"/>
        <s v="吕笑颜"/>
        <s v="胡煜垚"/>
        <s v="饶雨萱"/>
        <s v="李放"/>
        <s v="王婉颖"/>
        <s v="韩贝宁"/>
        <s v="马橤"/>
        <s v="王宁"/>
        <s v="刘昕"/>
        <s v="石苑蓓"/>
        <s v="谷胜昊"/>
        <s v="刘姿彤"/>
        <s v="刘贝"/>
        <s v="高雅轩"/>
        <s v="高艺嘉"/>
        <s v="田文倩"/>
        <s v="卢祎玮"/>
        <s v="胡子鸣"/>
        <s v="徐薪"/>
        <s v="张双锦"/>
        <s v="徐唯一"/>
        <s v="宋涵"/>
        <s v="梁怡欣"/>
        <s v="董安妮"/>
        <s v="郭琳琳"/>
        <s v="莫玉湘"/>
        <s v="李玥瑶"/>
        <s v="王梦茜"/>
        <s v="程晓洁"/>
        <s v="杨梦瑶"/>
        <s v="杨鹏远"/>
        <s v="梁朝正"/>
        <s v="牛钰睿"/>
        <s v="康雪蓓"/>
        <s v="付晨霖"/>
        <s v="范芷瑜"/>
        <s v="罗妍"/>
        <s v="牛子颖"/>
        <s v="海敬"/>
        <s v="赵思婕"/>
        <s v="徐冰琦"/>
        <s v="张子璇"/>
        <s v="刘德容"/>
        <s v="谢若凌"/>
        <s v="赵子钧"/>
        <s v="张诺琛"/>
        <s v="张茜"/>
        <s v="姚婉菁"/>
        <s v="杨款款"/>
        <s v="李艺昕"/>
        <s v="王嘉蔚"/>
        <s v="王佳慧"/>
        <s v="刘妍"/>
        <s v="张子涵"/>
        <s v="梁锦"/>
        <s v="宋佳峥"/>
        <s v="卢润瑶"/>
        <s v="张玮豪"/>
        <s v="王艺博"/>
        <s v="杜格格"/>
        <s v="李湖龙"/>
        <s v="陈嵩吟"/>
        <s v="王子玥"/>
        <s v="韩姝"/>
        <s v="李培育"/>
        <s v="罗典"/>
        <s v="李欣雨"/>
        <s v="郝宇淼"/>
        <s v="朱琪帆"/>
        <s v="马小珂"/>
        <s v="杜悦"/>
        <s v="张珂瑜"/>
        <s v="魏佳瑶"/>
        <s v="闫珂"/>
        <s v="张芮"/>
        <s v="范丁玉"/>
        <s v="韩安宁"/>
        <s v="郝晶晶"/>
        <s v="徐靓洁"/>
        <s v="王凯文"/>
        <s v="罗羿"/>
        <s v="张度"/>
        <s v="樊佳磊"/>
        <s v="徐如成"/>
        <s v="黄梓童"/>
        <s v="张琼"/>
        <s v="黄圣雅"/>
        <s v="邓智航"/>
        <s v="王晓"/>
        <s v="张雯"/>
        <s v="江洲"/>
        <s v="王晓晗"/>
        <s v="李永远"/>
        <s v="王馨语"/>
        <s v="王彤"/>
        <s v="刘世英"/>
        <s v="王嘉宁"/>
        <s v="李惠嘉"/>
        <s v="韩子薇"/>
        <s v="宁慧"/>
        <s v="孙萌"/>
        <s v="朱文博"/>
        <s v="孟淇"/>
        <s v="孟其鸿"/>
        <s v="陈贝一"/>
        <s v="曹雅君"/>
        <s v="吴子昕"/>
        <s v="张煜"/>
        <s v="张俏颜"/>
        <s v="李怡雪"/>
        <s v="朱婧"/>
      </sharedItems>
    </cacheField>
    <cacheField name="性别" numFmtId="0">
      <sharedItems count="2">
        <s v="女"/>
        <s v="男"/>
      </sharedItems>
    </cacheField>
    <cacheField name="年龄" numFmtId="0">
      <sharedItems containsSemiMixedTypes="0" containsString="0" containsNumber="1" containsInteger="1" minValue="0" maxValue="55" count="32">
        <n v="25"/>
        <n v="47"/>
        <n v="26"/>
        <n v="30"/>
        <n v="24"/>
        <n v="32"/>
        <n v="39"/>
        <n v="48"/>
        <n v="45"/>
        <n v="33"/>
        <n v="46"/>
        <n v="29"/>
        <n v="34"/>
        <n v="40"/>
        <n v="36"/>
        <n v="35"/>
        <n v="51"/>
        <n v="55"/>
        <n v="43"/>
        <n v="42"/>
        <n v="41"/>
        <n v="44"/>
        <n v="49"/>
        <n v="38"/>
        <n v="54"/>
        <n v="27"/>
        <n v="28"/>
        <n v="31"/>
        <n v="37"/>
        <n v="52"/>
        <n v="53"/>
        <n v="50"/>
      </sharedItems>
    </cacheField>
    <cacheField name="部门" numFmtId="0">
      <sharedItems count="6">
        <s v="研发部"/>
        <s v="物流部"/>
        <s v="采购部"/>
        <s v="行政部"/>
        <s v="生产部"/>
        <s v="市场部"/>
      </sharedItems>
    </cacheField>
    <cacheField name="Word" numFmtId="0">
      <sharedItems containsSemiMixedTypes="0" containsString="0" containsNumber="1" containsInteger="1" minValue="0" maxValue="100" count="55">
        <n v="95"/>
        <n v="89"/>
        <n v="90"/>
        <n v="76"/>
        <n v="80"/>
        <n v="85"/>
        <n v="81"/>
        <n v="94"/>
        <n v="66"/>
        <n v="70"/>
        <n v="67"/>
        <n v="63"/>
        <n v="59"/>
        <n v="84"/>
        <n v="96"/>
        <n v="71"/>
        <n v="77"/>
        <n v="68"/>
        <n v="65"/>
        <n v="88"/>
        <n v="74"/>
        <n v="54"/>
        <n v="57"/>
        <n v="61"/>
        <n v="78"/>
        <n v="83"/>
        <n v="55"/>
        <n v="79"/>
        <n v="53"/>
        <n v="58"/>
        <n v="48"/>
        <n v="52"/>
        <n v="92"/>
        <n v="91"/>
        <n v="62"/>
        <n v="93"/>
        <n v="73"/>
        <n v="69"/>
        <n v="64"/>
        <n v="86"/>
        <n v="75"/>
        <n v="0"/>
        <n v="51"/>
        <n v="49"/>
        <n v="100"/>
        <n v="82"/>
        <n v="56"/>
        <n v="46"/>
        <n v="99"/>
        <n v="97"/>
        <n v="87"/>
        <n v="60"/>
        <n v="72"/>
        <n v="47"/>
        <n v="50"/>
      </sharedItems>
    </cacheField>
    <cacheField name="Excel" numFmtId="0">
      <sharedItems containsSemiMixedTypes="0" containsString="0" containsNumber="1" containsInteger="1" minValue="0" maxValue="100" count="55">
        <n v="81"/>
        <n v="83"/>
        <n v="78"/>
        <n v="86"/>
        <n v="89"/>
        <n v="92"/>
        <n v="69"/>
        <n v="79"/>
        <n v="68"/>
        <n v="85"/>
        <n v="70"/>
        <n v="76"/>
        <n v="67"/>
        <n v="82"/>
        <n v="61"/>
        <n v="60"/>
        <n v="80"/>
        <n v="72"/>
        <n v="58"/>
        <n v="77"/>
        <n v="52"/>
        <n v="55"/>
        <n v="74"/>
        <n v="54"/>
        <n v="53"/>
        <n v="59"/>
        <n v="71"/>
        <n v="66"/>
        <n v="87"/>
        <n v="0"/>
        <n v="45"/>
        <n v="73"/>
        <n v="75"/>
        <n v="95"/>
        <n v="100"/>
        <n v="98"/>
        <n v="63"/>
        <n v="65"/>
        <n v="91"/>
        <n v="64"/>
        <n v="88"/>
        <n v="50"/>
        <n v="49"/>
        <n v="46"/>
        <n v="90"/>
        <n v="84"/>
        <n v="96"/>
        <n v="56"/>
        <n v="51"/>
        <n v="94"/>
        <n v="93"/>
        <n v="57"/>
        <n v="62"/>
        <n v="48"/>
        <n v="47"/>
      </sharedItems>
    </cacheField>
    <cacheField name="PowerPoint" numFmtId="0">
      <sharedItems containsSemiMixedTypes="0" containsString="0" containsNumber="1" containsInteger="1" minValue="0" maxValue="100" count="57">
        <n v="90"/>
        <n v="84"/>
        <n v="79"/>
        <n v="67"/>
        <n v="75"/>
        <n v="92"/>
        <n v="73"/>
        <n v="88"/>
        <n v="61"/>
        <n v="94"/>
        <n v="77"/>
        <n v="100"/>
        <n v="87"/>
        <n v="70"/>
        <n v="63"/>
        <n v="60"/>
        <n v="86"/>
        <n v="65"/>
        <n v="68"/>
        <n v="83"/>
        <n v="57"/>
        <n v="66"/>
        <n v="71"/>
        <n v="53"/>
        <n v="81"/>
        <n v="56"/>
        <n v="52"/>
        <n v="64"/>
        <n v="93"/>
        <n v="99"/>
        <n v="82"/>
        <n v="72"/>
        <n v="95"/>
        <n v="91"/>
        <n v="98"/>
        <n v="78"/>
        <n v="76"/>
        <n v="58"/>
        <n v="54"/>
        <n v="89"/>
        <n v="69"/>
        <n v="0"/>
        <n v="74"/>
        <n v="46"/>
        <n v="80"/>
        <n v="62"/>
        <n v="51"/>
        <n v="96"/>
        <n v="55"/>
        <n v="59"/>
        <n v="97"/>
        <n v="50"/>
        <n v="45"/>
        <n v="47"/>
        <n v="48"/>
        <n v="85"/>
        <n v="49"/>
      </sharedItems>
    </cacheField>
    <cacheField name="Outlook" numFmtId="0">
      <sharedItems containsSemiMixedTypes="0" containsString="0" containsNumber="1" containsInteger="1" minValue="0" maxValue="100" count="56">
        <n v="99"/>
        <n v="86"/>
        <n v="66"/>
        <n v="91"/>
        <n v="92"/>
        <n v="69"/>
        <n v="70"/>
        <n v="82"/>
        <n v="88"/>
        <n v="58"/>
        <n v="63"/>
        <n v="71"/>
        <n v="78"/>
        <n v="87"/>
        <n v="90"/>
        <n v="59"/>
        <n v="81"/>
        <n v="80"/>
        <n v="77"/>
        <n v="57"/>
        <n v="64"/>
        <n v="68"/>
        <n v="60"/>
        <n v="50"/>
        <n v="83"/>
        <n v="85"/>
        <n v="53"/>
        <n v="48"/>
        <n v="49"/>
        <n v="0"/>
        <n v="52"/>
        <n v="54"/>
        <n v="95"/>
        <n v="94"/>
        <n v="96"/>
        <n v="93"/>
        <n v="67"/>
        <n v="76"/>
        <n v="61"/>
        <n v="98"/>
        <n v="72"/>
        <n v="89"/>
        <n v="55"/>
        <n v="73"/>
        <n v="51"/>
        <n v="46"/>
        <n v="75"/>
        <n v="65"/>
        <n v="100"/>
        <n v="84"/>
        <n v="74"/>
        <n v="62"/>
        <n v="56"/>
        <n v="79"/>
        <n v="45"/>
        <n v="97"/>
      </sharedItems>
    </cacheField>
    <cacheField name="Visio" numFmtId="0">
      <sharedItems containsSemiMixedTypes="0" containsString="0" containsNumber="1" containsInteger="1" minValue="0" maxValue="100" count="54">
        <n v="95"/>
        <n v="74"/>
        <n v="90"/>
        <n v="100"/>
        <n v="96"/>
        <n v="76"/>
        <n v="89"/>
        <n v="93"/>
        <n v="73"/>
        <n v="84"/>
        <n v="71"/>
        <n v="88"/>
        <n v="79"/>
        <n v="85"/>
        <n v="64"/>
        <n v="81"/>
        <n v="72"/>
        <n v="83"/>
        <n v="67"/>
        <n v="59"/>
        <n v="55"/>
        <n v="61"/>
        <n v="60"/>
        <n v="77"/>
        <n v="58"/>
        <n v="78"/>
        <n v="70"/>
        <n v="82"/>
        <n v="52"/>
        <n v="54"/>
        <n v="62"/>
        <n v="49"/>
        <n v="0"/>
        <n v="53"/>
        <n v="46"/>
        <n v="63"/>
        <n v="68"/>
        <n v="65"/>
        <n v="87"/>
        <n v="92"/>
        <n v="80"/>
        <n v="69"/>
        <n v="66"/>
        <n v="56"/>
        <n v="75"/>
        <n v="51"/>
        <n v="45"/>
        <n v="94"/>
        <n v="86"/>
        <n v="50"/>
        <n v="57"/>
        <n v="48"/>
        <n v="91"/>
        <n v="97"/>
      </sharedItems>
    </cacheField>
    <cacheField name="平均成绩" numFmtId="0">
      <sharedItems containsSemiMixedTypes="0" containsString="0" containsNumber="1" minValue="0" maxValue="93" count="145">
        <n v="92"/>
        <n v="85.8"/>
        <n v="84.6"/>
        <n v="84"/>
        <n v="83.8"/>
        <n v="83"/>
        <n v="80.8"/>
        <n v="79.6"/>
        <n v="79"/>
        <n v="78.4"/>
        <n v="78"/>
        <n v="77.4"/>
        <n v="77.2"/>
        <n v="76.8"/>
        <n v="76.6"/>
        <n v="75.6"/>
        <n v="74.8"/>
        <n v="74.2"/>
        <n v="73.8"/>
        <n v="73"/>
        <n v="72.8"/>
        <n v="71.8"/>
        <n v="70.8"/>
        <n v="70.6"/>
        <n v="70.4"/>
        <n v="70"/>
        <n v="69.8"/>
        <n v="69.4"/>
        <n v="69.2"/>
        <n v="68.4"/>
        <n v="68"/>
        <n v="67.8"/>
        <n v="67"/>
        <n v="66.8"/>
        <n v="66.6"/>
        <n v="65.4"/>
        <n v="64.4"/>
        <n v="64"/>
        <n v="63.6"/>
        <n v="63.2"/>
        <n v="62"/>
        <n v="61.4"/>
        <n v="61.2"/>
        <n v="60"/>
        <n v="59.4"/>
        <n v="58"/>
        <n v="56.8"/>
        <n v="55"/>
        <n v="53.2"/>
        <n v="49.8"/>
        <n v="86.6"/>
        <n v="85.6"/>
        <n v="84.4"/>
        <n v="83.4"/>
        <n v="83.2"/>
        <n v="81.6"/>
        <n v="81.4"/>
        <n v="80.6"/>
        <n v="80.4"/>
        <n v="80.2"/>
        <n v="78.6"/>
        <n v="77.6"/>
        <n v="76"/>
        <n v="75.8"/>
        <n v="75.4"/>
        <n v="75"/>
        <n v="74.6"/>
        <n v="74.4"/>
        <n v="74"/>
        <n v="73.6"/>
        <n v="72.6"/>
        <n v="72.4"/>
        <n v="70.2"/>
        <n v="68.6"/>
        <n v="67.6"/>
        <n v="67.2"/>
        <n v="66.4"/>
        <n v="66.2"/>
        <n v="65.8"/>
        <n v="62.8"/>
        <n v="62.2"/>
        <n v="60.6"/>
        <n v="59.6"/>
        <n v="58.2"/>
        <n v="57.8"/>
        <n v="57"/>
        <n v="56.2"/>
        <n v="55.6"/>
        <n v="89.6"/>
        <n v="87.4"/>
        <n v="86.8"/>
        <n v="85.4"/>
        <n v="85.2"/>
        <n v="84.2"/>
        <n v="82.4"/>
        <n v="82.2"/>
        <n v="80"/>
        <n v="76.2"/>
        <n v="75.2"/>
        <n v="73.4"/>
        <n v="72.2"/>
        <n v="71.6"/>
        <n v="71.2"/>
        <n v="65.6"/>
        <n v="64.6"/>
        <n v="62.4"/>
        <n v="61.6"/>
        <n v="59.8"/>
        <n v="59.2"/>
        <n v="58.4"/>
        <n v="93"/>
        <n v="87"/>
        <n v="81.2"/>
        <n v="77"/>
        <n v="72"/>
        <n v="69"/>
        <n v="68.8"/>
        <n v="68.2"/>
        <n v="65"/>
        <n v="64.2"/>
        <n v="63.8"/>
        <n v="63"/>
        <n v="61.8"/>
        <n v="60.8"/>
        <n v="84.8"/>
        <n v="77.8"/>
        <n v="66"/>
        <n v="65.2"/>
        <n v="64.8"/>
        <n v="61"/>
        <n v="60.4"/>
        <n v="60.2"/>
        <n v="57.4"/>
        <n v="56.6"/>
        <n v="56.4"/>
        <n v="54.4"/>
        <n v="54"/>
        <n v="52.4"/>
        <n v="51.4"/>
        <n v="49.4"/>
        <n v="87.8"/>
        <n v="86"/>
        <n v="78.8"/>
        <n v="71.4"/>
        <n v="67.4"/>
      </sharedItems>
      <fieldGroup base="10">
        <rangePr autoStart="0" autoEnd="0" startNum="60" endNum="100" groupInterval="10"/>
        <groupItems count="6">
          <s v="&lt;60"/>
          <s v="60-70"/>
          <s v="70-80"/>
          <s v="80-90"/>
          <s v="90-100"/>
          <s v="&gt;100"/>
        </groupItems>
      </fieldGroup>
    </cacheField>
    <cacheField name="等级" numFmtId="0">
      <sharedItems count="4">
        <s v="优"/>
        <s v="良"/>
        <s v="不合格"/>
        <s v="及格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4">
  <r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0"/>
    <x v="1"/>
    <x v="1"/>
    <x v="0"/>
  </r>
  <r>
    <x v="2"/>
    <x v="2"/>
    <x v="0"/>
    <x v="1"/>
    <x v="0"/>
    <x v="2"/>
    <x v="2"/>
    <x v="2"/>
    <x v="1"/>
    <x v="2"/>
    <x v="2"/>
    <x v="1"/>
  </r>
  <r>
    <x v="3"/>
    <x v="3"/>
    <x v="0"/>
    <x v="2"/>
    <x v="0"/>
    <x v="1"/>
    <x v="3"/>
    <x v="2"/>
    <x v="2"/>
    <x v="3"/>
    <x v="3"/>
    <x v="1"/>
  </r>
  <r>
    <x v="4"/>
    <x v="4"/>
    <x v="0"/>
    <x v="3"/>
    <x v="0"/>
    <x v="3"/>
    <x v="4"/>
    <x v="3"/>
    <x v="3"/>
    <x v="4"/>
    <x v="4"/>
    <x v="1"/>
  </r>
  <r>
    <x v="5"/>
    <x v="5"/>
    <x v="0"/>
    <x v="4"/>
    <x v="0"/>
    <x v="4"/>
    <x v="5"/>
    <x v="4"/>
    <x v="4"/>
    <x v="5"/>
    <x v="5"/>
    <x v="1"/>
  </r>
  <r>
    <x v="6"/>
    <x v="6"/>
    <x v="0"/>
    <x v="5"/>
    <x v="0"/>
    <x v="5"/>
    <x v="6"/>
    <x v="5"/>
    <x v="5"/>
    <x v="6"/>
    <x v="6"/>
    <x v="1"/>
  </r>
  <r>
    <x v="7"/>
    <x v="7"/>
    <x v="1"/>
    <x v="6"/>
    <x v="0"/>
    <x v="6"/>
    <x v="7"/>
    <x v="2"/>
    <x v="2"/>
    <x v="7"/>
    <x v="7"/>
    <x v="1"/>
  </r>
  <r>
    <x v="8"/>
    <x v="8"/>
    <x v="0"/>
    <x v="5"/>
    <x v="0"/>
    <x v="7"/>
    <x v="8"/>
    <x v="0"/>
    <x v="6"/>
    <x v="8"/>
    <x v="8"/>
    <x v="1"/>
  </r>
  <r>
    <x v="9"/>
    <x v="9"/>
    <x v="0"/>
    <x v="7"/>
    <x v="0"/>
    <x v="1"/>
    <x v="3"/>
    <x v="4"/>
    <x v="2"/>
    <x v="5"/>
    <x v="9"/>
    <x v="1"/>
  </r>
  <r>
    <x v="10"/>
    <x v="10"/>
    <x v="0"/>
    <x v="8"/>
    <x v="0"/>
    <x v="8"/>
    <x v="9"/>
    <x v="6"/>
    <x v="7"/>
    <x v="9"/>
    <x v="10"/>
    <x v="1"/>
  </r>
  <r>
    <x v="11"/>
    <x v="11"/>
    <x v="0"/>
    <x v="2"/>
    <x v="0"/>
    <x v="9"/>
    <x v="10"/>
    <x v="7"/>
    <x v="8"/>
    <x v="10"/>
    <x v="11"/>
    <x v="1"/>
  </r>
  <r>
    <x v="12"/>
    <x v="12"/>
    <x v="0"/>
    <x v="9"/>
    <x v="0"/>
    <x v="0"/>
    <x v="9"/>
    <x v="8"/>
    <x v="9"/>
    <x v="11"/>
    <x v="11"/>
    <x v="2"/>
  </r>
  <r>
    <x v="13"/>
    <x v="13"/>
    <x v="0"/>
    <x v="4"/>
    <x v="0"/>
    <x v="10"/>
    <x v="1"/>
    <x v="9"/>
    <x v="10"/>
    <x v="12"/>
    <x v="12"/>
    <x v="1"/>
  </r>
  <r>
    <x v="14"/>
    <x v="14"/>
    <x v="0"/>
    <x v="10"/>
    <x v="0"/>
    <x v="4"/>
    <x v="11"/>
    <x v="10"/>
    <x v="2"/>
    <x v="13"/>
    <x v="13"/>
    <x v="1"/>
  </r>
  <r>
    <x v="15"/>
    <x v="15"/>
    <x v="1"/>
    <x v="11"/>
    <x v="0"/>
    <x v="6"/>
    <x v="12"/>
    <x v="11"/>
    <x v="11"/>
    <x v="14"/>
    <x v="14"/>
    <x v="1"/>
  </r>
  <r>
    <x v="16"/>
    <x v="16"/>
    <x v="0"/>
    <x v="2"/>
    <x v="0"/>
    <x v="11"/>
    <x v="6"/>
    <x v="12"/>
    <x v="12"/>
    <x v="15"/>
    <x v="15"/>
    <x v="1"/>
  </r>
  <r>
    <x v="17"/>
    <x v="17"/>
    <x v="0"/>
    <x v="11"/>
    <x v="0"/>
    <x v="0"/>
    <x v="12"/>
    <x v="13"/>
    <x v="6"/>
    <x v="16"/>
    <x v="16"/>
    <x v="3"/>
  </r>
  <r>
    <x v="18"/>
    <x v="18"/>
    <x v="0"/>
    <x v="12"/>
    <x v="0"/>
    <x v="12"/>
    <x v="13"/>
    <x v="14"/>
    <x v="13"/>
    <x v="17"/>
    <x v="16"/>
    <x v="2"/>
  </r>
  <r>
    <x v="19"/>
    <x v="19"/>
    <x v="0"/>
    <x v="13"/>
    <x v="0"/>
    <x v="13"/>
    <x v="9"/>
    <x v="15"/>
    <x v="9"/>
    <x v="9"/>
    <x v="17"/>
    <x v="2"/>
  </r>
  <r>
    <x v="20"/>
    <x v="20"/>
    <x v="0"/>
    <x v="14"/>
    <x v="0"/>
    <x v="3"/>
    <x v="14"/>
    <x v="4"/>
    <x v="14"/>
    <x v="18"/>
    <x v="18"/>
    <x v="3"/>
  </r>
  <r>
    <x v="21"/>
    <x v="21"/>
    <x v="0"/>
    <x v="15"/>
    <x v="0"/>
    <x v="14"/>
    <x v="15"/>
    <x v="16"/>
    <x v="15"/>
    <x v="14"/>
    <x v="19"/>
    <x v="2"/>
  </r>
  <r>
    <x v="22"/>
    <x v="22"/>
    <x v="0"/>
    <x v="5"/>
    <x v="0"/>
    <x v="15"/>
    <x v="6"/>
    <x v="3"/>
    <x v="5"/>
    <x v="11"/>
    <x v="20"/>
    <x v="3"/>
  </r>
  <r>
    <x v="23"/>
    <x v="23"/>
    <x v="0"/>
    <x v="3"/>
    <x v="0"/>
    <x v="3"/>
    <x v="14"/>
    <x v="5"/>
    <x v="11"/>
    <x v="19"/>
    <x v="21"/>
    <x v="2"/>
  </r>
  <r>
    <x v="24"/>
    <x v="24"/>
    <x v="1"/>
    <x v="16"/>
    <x v="0"/>
    <x v="6"/>
    <x v="16"/>
    <x v="17"/>
    <x v="5"/>
    <x v="19"/>
    <x v="22"/>
    <x v="2"/>
  </r>
  <r>
    <x v="25"/>
    <x v="25"/>
    <x v="0"/>
    <x v="17"/>
    <x v="0"/>
    <x v="16"/>
    <x v="17"/>
    <x v="18"/>
    <x v="16"/>
    <x v="20"/>
    <x v="23"/>
    <x v="2"/>
  </r>
  <r>
    <x v="26"/>
    <x v="26"/>
    <x v="1"/>
    <x v="18"/>
    <x v="0"/>
    <x v="17"/>
    <x v="16"/>
    <x v="14"/>
    <x v="17"/>
    <x v="21"/>
    <x v="24"/>
    <x v="3"/>
  </r>
  <r>
    <x v="27"/>
    <x v="27"/>
    <x v="0"/>
    <x v="5"/>
    <x v="0"/>
    <x v="11"/>
    <x v="4"/>
    <x v="4"/>
    <x v="10"/>
    <x v="22"/>
    <x v="25"/>
    <x v="3"/>
  </r>
  <r>
    <x v="28"/>
    <x v="28"/>
    <x v="1"/>
    <x v="19"/>
    <x v="0"/>
    <x v="11"/>
    <x v="15"/>
    <x v="14"/>
    <x v="13"/>
    <x v="23"/>
    <x v="25"/>
    <x v="3"/>
  </r>
  <r>
    <x v="29"/>
    <x v="29"/>
    <x v="0"/>
    <x v="15"/>
    <x v="0"/>
    <x v="18"/>
    <x v="18"/>
    <x v="19"/>
    <x v="2"/>
    <x v="23"/>
    <x v="26"/>
    <x v="2"/>
  </r>
  <r>
    <x v="30"/>
    <x v="30"/>
    <x v="0"/>
    <x v="20"/>
    <x v="0"/>
    <x v="19"/>
    <x v="19"/>
    <x v="8"/>
    <x v="10"/>
    <x v="24"/>
    <x v="27"/>
    <x v="2"/>
  </r>
  <r>
    <x v="31"/>
    <x v="31"/>
    <x v="0"/>
    <x v="19"/>
    <x v="0"/>
    <x v="11"/>
    <x v="20"/>
    <x v="10"/>
    <x v="18"/>
    <x v="25"/>
    <x v="27"/>
    <x v="2"/>
  </r>
  <r>
    <x v="32"/>
    <x v="32"/>
    <x v="0"/>
    <x v="13"/>
    <x v="0"/>
    <x v="20"/>
    <x v="2"/>
    <x v="3"/>
    <x v="19"/>
    <x v="26"/>
    <x v="28"/>
    <x v="2"/>
  </r>
  <r>
    <x v="33"/>
    <x v="33"/>
    <x v="0"/>
    <x v="10"/>
    <x v="0"/>
    <x v="21"/>
    <x v="6"/>
    <x v="17"/>
    <x v="17"/>
    <x v="1"/>
    <x v="29"/>
    <x v="2"/>
  </r>
  <r>
    <x v="34"/>
    <x v="34"/>
    <x v="0"/>
    <x v="21"/>
    <x v="0"/>
    <x v="22"/>
    <x v="16"/>
    <x v="20"/>
    <x v="20"/>
    <x v="27"/>
    <x v="30"/>
    <x v="2"/>
  </r>
  <r>
    <x v="35"/>
    <x v="35"/>
    <x v="0"/>
    <x v="20"/>
    <x v="0"/>
    <x v="23"/>
    <x v="13"/>
    <x v="21"/>
    <x v="12"/>
    <x v="28"/>
    <x v="31"/>
    <x v="2"/>
  </r>
  <r>
    <x v="36"/>
    <x v="36"/>
    <x v="1"/>
    <x v="10"/>
    <x v="0"/>
    <x v="24"/>
    <x v="14"/>
    <x v="19"/>
    <x v="15"/>
    <x v="29"/>
    <x v="32"/>
    <x v="2"/>
  </r>
  <r>
    <x v="37"/>
    <x v="37"/>
    <x v="0"/>
    <x v="10"/>
    <x v="0"/>
    <x v="25"/>
    <x v="21"/>
    <x v="2"/>
    <x v="9"/>
    <x v="19"/>
    <x v="33"/>
    <x v="2"/>
  </r>
  <r>
    <x v="38"/>
    <x v="38"/>
    <x v="0"/>
    <x v="18"/>
    <x v="0"/>
    <x v="8"/>
    <x v="22"/>
    <x v="22"/>
    <x v="21"/>
    <x v="29"/>
    <x v="34"/>
    <x v="2"/>
  </r>
  <r>
    <x v="39"/>
    <x v="39"/>
    <x v="0"/>
    <x v="21"/>
    <x v="0"/>
    <x v="26"/>
    <x v="19"/>
    <x v="14"/>
    <x v="1"/>
    <x v="28"/>
    <x v="34"/>
    <x v="2"/>
  </r>
  <r>
    <x v="40"/>
    <x v="40"/>
    <x v="1"/>
    <x v="19"/>
    <x v="0"/>
    <x v="18"/>
    <x v="21"/>
    <x v="17"/>
    <x v="13"/>
    <x v="20"/>
    <x v="35"/>
    <x v="2"/>
  </r>
  <r>
    <x v="41"/>
    <x v="41"/>
    <x v="0"/>
    <x v="18"/>
    <x v="0"/>
    <x v="27"/>
    <x v="23"/>
    <x v="23"/>
    <x v="22"/>
    <x v="5"/>
    <x v="36"/>
    <x v="2"/>
  </r>
  <r>
    <x v="42"/>
    <x v="42"/>
    <x v="0"/>
    <x v="18"/>
    <x v="0"/>
    <x v="21"/>
    <x v="14"/>
    <x v="12"/>
    <x v="19"/>
    <x v="21"/>
    <x v="37"/>
    <x v="2"/>
  </r>
  <r>
    <x v="43"/>
    <x v="43"/>
    <x v="0"/>
    <x v="22"/>
    <x v="0"/>
    <x v="9"/>
    <x v="24"/>
    <x v="24"/>
    <x v="23"/>
    <x v="14"/>
    <x v="38"/>
    <x v="2"/>
  </r>
  <r>
    <x v="44"/>
    <x v="44"/>
    <x v="0"/>
    <x v="21"/>
    <x v="0"/>
    <x v="22"/>
    <x v="18"/>
    <x v="25"/>
    <x v="24"/>
    <x v="30"/>
    <x v="39"/>
    <x v="2"/>
  </r>
  <r>
    <x v="45"/>
    <x v="45"/>
    <x v="0"/>
    <x v="16"/>
    <x v="0"/>
    <x v="22"/>
    <x v="25"/>
    <x v="26"/>
    <x v="11"/>
    <x v="10"/>
    <x v="40"/>
    <x v="2"/>
  </r>
  <r>
    <x v="46"/>
    <x v="46"/>
    <x v="0"/>
    <x v="17"/>
    <x v="0"/>
    <x v="28"/>
    <x v="0"/>
    <x v="25"/>
    <x v="10"/>
    <x v="29"/>
    <x v="41"/>
    <x v="2"/>
  </r>
  <r>
    <x v="47"/>
    <x v="47"/>
    <x v="0"/>
    <x v="17"/>
    <x v="0"/>
    <x v="29"/>
    <x v="14"/>
    <x v="20"/>
    <x v="16"/>
    <x v="31"/>
    <x v="42"/>
    <x v="2"/>
  </r>
  <r>
    <x v="48"/>
    <x v="48"/>
    <x v="0"/>
    <x v="23"/>
    <x v="0"/>
    <x v="3"/>
    <x v="7"/>
    <x v="21"/>
    <x v="25"/>
    <x v="32"/>
    <x v="42"/>
    <x v="2"/>
  </r>
  <r>
    <x v="49"/>
    <x v="49"/>
    <x v="0"/>
    <x v="24"/>
    <x v="0"/>
    <x v="12"/>
    <x v="26"/>
    <x v="27"/>
    <x v="26"/>
    <x v="33"/>
    <x v="43"/>
    <x v="2"/>
  </r>
  <r>
    <x v="50"/>
    <x v="50"/>
    <x v="0"/>
    <x v="22"/>
    <x v="0"/>
    <x v="23"/>
    <x v="6"/>
    <x v="6"/>
    <x v="27"/>
    <x v="34"/>
    <x v="44"/>
    <x v="2"/>
  </r>
  <r>
    <x v="51"/>
    <x v="51"/>
    <x v="0"/>
    <x v="24"/>
    <x v="0"/>
    <x v="30"/>
    <x v="27"/>
    <x v="20"/>
    <x v="28"/>
    <x v="26"/>
    <x v="45"/>
    <x v="2"/>
  </r>
  <r>
    <x v="52"/>
    <x v="52"/>
    <x v="0"/>
    <x v="20"/>
    <x v="0"/>
    <x v="31"/>
    <x v="28"/>
    <x v="7"/>
    <x v="29"/>
    <x v="35"/>
    <x v="45"/>
    <x v="2"/>
  </r>
  <r>
    <x v="53"/>
    <x v="53"/>
    <x v="0"/>
    <x v="22"/>
    <x v="0"/>
    <x v="27"/>
    <x v="29"/>
    <x v="21"/>
    <x v="11"/>
    <x v="36"/>
    <x v="46"/>
    <x v="2"/>
  </r>
  <r>
    <x v="54"/>
    <x v="54"/>
    <x v="0"/>
    <x v="16"/>
    <x v="0"/>
    <x v="15"/>
    <x v="30"/>
    <x v="26"/>
    <x v="30"/>
    <x v="20"/>
    <x v="47"/>
    <x v="2"/>
  </r>
  <r>
    <x v="55"/>
    <x v="55"/>
    <x v="0"/>
    <x v="13"/>
    <x v="0"/>
    <x v="9"/>
    <x v="29"/>
    <x v="10"/>
    <x v="31"/>
    <x v="37"/>
    <x v="48"/>
    <x v="2"/>
  </r>
  <r>
    <x v="56"/>
    <x v="56"/>
    <x v="0"/>
    <x v="8"/>
    <x v="0"/>
    <x v="26"/>
    <x v="31"/>
    <x v="8"/>
    <x v="29"/>
    <x v="22"/>
    <x v="49"/>
    <x v="2"/>
  </r>
  <r>
    <x v="57"/>
    <x v="57"/>
    <x v="1"/>
    <x v="9"/>
    <x v="1"/>
    <x v="32"/>
    <x v="32"/>
    <x v="28"/>
    <x v="1"/>
    <x v="38"/>
    <x v="50"/>
    <x v="0"/>
  </r>
  <r>
    <x v="58"/>
    <x v="58"/>
    <x v="0"/>
    <x v="5"/>
    <x v="1"/>
    <x v="4"/>
    <x v="5"/>
    <x v="21"/>
    <x v="32"/>
    <x v="0"/>
    <x v="51"/>
    <x v="0"/>
  </r>
  <r>
    <x v="59"/>
    <x v="59"/>
    <x v="0"/>
    <x v="12"/>
    <x v="1"/>
    <x v="0"/>
    <x v="31"/>
    <x v="2"/>
    <x v="14"/>
    <x v="13"/>
    <x v="52"/>
    <x v="1"/>
  </r>
  <r>
    <x v="60"/>
    <x v="60"/>
    <x v="0"/>
    <x v="4"/>
    <x v="1"/>
    <x v="15"/>
    <x v="31"/>
    <x v="29"/>
    <x v="4"/>
    <x v="9"/>
    <x v="4"/>
    <x v="1"/>
  </r>
  <r>
    <x v="61"/>
    <x v="61"/>
    <x v="0"/>
    <x v="3"/>
    <x v="1"/>
    <x v="33"/>
    <x v="33"/>
    <x v="14"/>
    <x v="33"/>
    <x v="1"/>
    <x v="53"/>
    <x v="1"/>
  </r>
  <r>
    <x v="62"/>
    <x v="62"/>
    <x v="0"/>
    <x v="4"/>
    <x v="1"/>
    <x v="17"/>
    <x v="34"/>
    <x v="4"/>
    <x v="34"/>
    <x v="23"/>
    <x v="54"/>
    <x v="1"/>
  </r>
  <r>
    <x v="63"/>
    <x v="63"/>
    <x v="0"/>
    <x v="25"/>
    <x v="1"/>
    <x v="32"/>
    <x v="8"/>
    <x v="30"/>
    <x v="35"/>
    <x v="8"/>
    <x v="55"/>
    <x v="1"/>
  </r>
  <r>
    <x v="64"/>
    <x v="64"/>
    <x v="0"/>
    <x v="26"/>
    <x v="1"/>
    <x v="16"/>
    <x v="35"/>
    <x v="6"/>
    <x v="36"/>
    <x v="39"/>
    <x v="56"/>
    <x v="1"/>
  </r>
  <r>
    <x v="65"/>
    <x v="65"/>
    <x v="0"/>
    <x v="14"/>
    <x v="1"/>
    <x v="25"/>
    <x v="31"/>
    <x v="31"/>
    <x v="8"/>
    <x v="11"/>
    <x v="6"/>
    <x v="1"/>
  </r>
  <r>
    <x v="66"/>
    <x v="66"/>
    <x v="0"/>
    <x v="23"/>
    <x v="1"/>
    <x v="34"/>
    <x v="3"/>
    <x v="32"/>
    <x v="37"/>
    <x v="9"/>
    <x v="57"/>
    <x v="1"/>
  </r>
  <r>
    <x v="67"/>
    <x v="67"/>
    <x v="0"/>
    <x v="5"/>
    <x v="1"/>
    <x v="19"/>
    <x v="4"/>
    <x v="30"/>
    <x v="20"/>
    <x v="40"/>
    <x v="57"/>
    <x v="1"/>
  </r>
  <r>
    <x v="68"/>
    <x v="68"/>
    <x v="0"/>
    <x v="23"/>
    <x v="1"/>
    <x v="1"/>
    <x v="18"/>
    <x v="33"/>
    <x v="1"/>
    <x v="25"/>
    <x v="58"/>
    <x v="2"/>
  </r>
  <r>
    <x v="69"/>
    <x v="69"/>
    <x v="0"/>
    <x v="27"/>
    <x v="1"/>
    <x v="14"/>
    <x v="27"/>
    <x v="1"/>
    <x v="3"/>
    <x v="14"/>
    <x v="59"/>
    <x v="1"/>
  </r>
  <r>
    <x v="70"/>
    <x v="70"/>
    <x v="0"/>
    <x v="23"/>
    <x v="1"/>
    <x v="23"/>
    <x v="1"/>
    <x v="32"/>
    <x v="38"/>
    <x v="7"/>
    <x v="60"/>
    <x v="1"/>
  </r>
  <r>
    <x v="71"/>
    <x v="71"/>
    <x v="0"/>
    <x v="26"/>
    <x v="1"/>
    <x v="11"/>
    <x v="36"/>
    <x v="1"/>
    <x v="39"/>
    <x v="40"/>
    <x v="61"/>
    <x v="1"/>
  </r>
  <r>
    <x v="72"/>
    <x v="72"/>
    <x v="0"/>
    <x v="12"/>
    <x v="1"/>
    <x v="5"/>
    <x v="14"/>
    <x v="22"/>
    <x v="18"/>
    <x v="2"/>
    <x v="13"/>
    <x v="1"/>
  </r>
  <r>
    <x v="73"/>
    <x v="73"/>
    <x v="1"/>
    <x v="28"/>
    <x v="1"/>
    <x v="35"/>
    <x v="26"/>
    <x v="30"/>
    <x v="2"/>
    <x v="36"/>
    <x v="62"/>
    <x v="1"/>
  </r>
  <r>
    <x v="74"/>
    <x v="74"/>
    <x v="0"/>
    <x v="2"/>
    <x v="1"/>
    <x v="1"/>
    <x v="37"/>
    <x v="16"/>
    <x v="40"/>
    <x v="18"/>
    <x v="63"/>
    <x v="1"/>
  </r>
  <r>
    <x v="75"/>
    <x v="75"/>
    <x v="0"/>
    <x v="25"/>
    <x v="1"/>
    <x v="36"/>
    <x v="36"/>
    <x v="34"/>
    <x v="40"/>
    <x v="10"/>
    <x v="64"/>
    <x v="1"/>
  </r>
  <r>
    <x v="76"/>
    <x v="76"/>
    <x v="0"/>
    <x v="28"/>
    <x v="1"/>
    <x v="5"/>
    <x v="14"/>
    <x v="18"/>
    <x v="41"/>
    <x v="16"/>
    <x v="65"/>
    <x v="1"/>
  </r>
  <r>
    <x v="77"/>
    <x v="77"/>
    <x v="0"/>
    <x v="28"/>
    <x v="1"/>
    <x v="12"/>
    <x v="38"/>
    <x v="2"/>
    <x v="8"/>
    <x v="24"/>
    <x v="65"/>
    <x v="2"/>
  </r>
  <r>
    <x v="78"/>
    <x v="78"/>
    <x v="0"/>
    <x v="25"/>
    <x v="1"/>
    <x v="5"/>
    <x v="39"/>
    <x v="35"/>
    <x v="18"/>
    <x v="26"/>
    <x v="16"/>
    <x v="3"/>
  </r>
  <r>
    <x v="79"/>
    <x v="79"/>
    <x v="0"/>
    <x v="21"/>
    <x v="1"/>
    <x v="13"/>
    <x v="18"/>
    <x v="17"/>
    <x v="24"/>
    <x v="9"/>
    <x v="16"/>
    <x v="2"/>
  </r>
  <r>
    <x v="80"/>
    <x v="80"/>
    <x v="1"/>
    <x v="21"/>
    <x v="1"/>
    <x v="27"/>
    <x v="11"/>
    <x v="36"/>
    <x v="42"/>
    <x v="11"/>
    <x v="16"/>
    <x v="2"/>
  </r>
  <r>
    <x v="81"/>
    <x v="81"/>
    <x v="0"/>
    <x v="18"/>
    <x v="1"/>
    <x v="31"/>
    <x v="19"/>
    <x v="1"/>
    <x v="16"/>
    <x v="12"/>
    <x v="66"/>
    <x v="2"/>
  </r>
  <r>
    <x v="82"/>
    <x v="82"/>
    <x v="0"/>
    <x v="7"/>
    <x v="1"/>
    <x v="9"/>
    <x v="26"/>
    <x v="10"/>
    <x v="25"/>
    <x v="41"/>
    <x v="67"/>
    <x v="3"/>
  </r>
  <r>
    <x v="83"/>
    <x v="83"/>
    <x v="0"/>
    <x v="20"/>
    <x v="1"/>
    <x v="16"/>
    <x v="13"/>
    <x v="27"/>
    <x v="15"/>
    <x v="11"/>
    <x v="68"/>
    <x v="2"/>
  </r>
  <r>
    <x v="84"/>
    <x v="84"/>
    <x v="0"/>
    <x v="11"/>
    <x v="1"/>
    <x v="3"/>
    <x v="8"/>
    <x v="5"/>
    <x v="20"/>
    <x v="36"/>
    <x v="69"/>
    <x v="3"/>
  </r>
  <r>
    <x v="85"/>
    <x v="85"/>
    <x v="0"/>
    <x v="7"/>
    <x v="1"/>
    <x v="20"/>
    <x v="8"/>
    <x v="6"/>
    <x v="36"/>
    <x v="15"/>
    <x v="70"/>
    <x v="3"/>
  </r>
  <r>
    <x v="86"/>
    <x v="86"/>
    <x v="0"/>
    <x v="5"/>
    <x v="1"/>
    <x v="29"/>
    <x v="38"/>
    <x v="15"/>
    <x v="37"/>
    <x v="23"/>
    <x v="71"/>
    <x v="2"/>
  </r>
  <r>
    <x v="87"/>
    <x v="87"/>
    <x v="0"/>
    <x v="22"/>
    <x v="1"/>
    <x v="37"/>
    <x v="32"/>
    <x v="31"/>
    <x v="36"/>
    <x v="5"/>
    <x v="21"/>
    <x v="3"/>
  </r>
  <r>
    <x v="88"/>
    <x v="88"/>
    <x v="1"/>
    <x v="13"/>
    <x v="1"/>
    <x v="10"/>
    <x v="40"/>
    <x v="15"/>
    <x v="26"/>
    <x v="9"/>
    <x v="24"/>
    <x v="2"/>
  </r>
  <r>
    <x v="89"/>
    <x v="89"/>
    <x v="1"/>
    <x v="9"/>
    <x v="1"/>
    <x v="38"/>
    <x v="25"/>
    <x v="7"/>
    <x v="6"/>
    <x v="26"/>
    <x v="72"/>
    <x v="2"/>
  </r>
  <r>
    <x v="90"/>
    <x v="90"/>
    <x v="0"/>
    <x v="7"/>
    <x v="1"/>
    <x v="4"/>
    <x v="7"/>
    <x v="37"/>
    <x v="17"/>
    <x v="29"/>
    <x v="72"/>
    <x v="2"/>
  </r>
  <r>
    <x v="91"/>
    <x v="91"/>
    <x v="0"/>
    <x v="10"/>
    <x v="1"/>
    <x v="25"/>
    <x v="31"/>
    <x v="8"/>
    <x v="26"/>
    <x v="8"/>
    <x v="73"/>
    <x v="2"/>
  </r>
  <r>
    <x v="92"/>
    <x v="92"/>
    <x v="0"/>
    <x v="20"/>
    <x v="1"/>
    <x v="21"/>
    <x v="1"/>
    <x v="38"/>
    <x v="17"/>
    <x v="18"/>
    <x v="74"/>
    <x v="2"/>
  </r>
  <r>
    <x v="93"/>
    <x v="93"/>
    <x v="0"/>
    <x v="17"/>
    <x v="1"/>
    <x v="27"/>
    <x v="30"/>
    <x v="20"/>
    <x v="16"/>
    <x v="1"/>
    <x v="75"/>
    <x v="2"/>
  </r>
  <r>
    <x v="94"/>
    <x v="94"/>
    <x v="0"/>
    <x v="0"/>
    <x v="1"/>
    <x v="24"/>
    <x v="28"/>
    <x v="31"/>
    <x v="0"/>
    <x v="32"/>
    <x v="75"/>
    <x v="2"/>
  </r>
  <r>
    <x v="95"/>
    <x v="95"/>
    <x v="0"/>
    <x v="8"/>
    <x v="1"/>
    <x v="29"/>
    <x v="17"/>
    <x v="24"/>
    <x v="15"/>
    <x v="42"/>
    <x v="75"/>
    <x v="2"/>
  </r>
  <r>
    <x v="96"/>
    <x v="96"/>
    <x v="0"/>
    <x v="7"/>
    <x v="1"/>
    <x v="39"/>
    <x v="0"/>
    <x v="39"/>
    <x v="29"/>
    <x v="12"/>
    <x v="32"/>
    <x v="2"/>
  </r>
  <r>
    <x v="97"/>
    <x v="97"/>
    <x v="0"/>
    <x v="24"/>
    <x v="1"/>
    <x v="8"/>
    <x v="7"/>
    <x v="40"/>
    <x v="43"/>
    <x v="34"/>
    <x v="34"/>
    <x v="2"/>
  </r>
  <r>
    <x v="98"/>
    <x v="98"/>
    <x v="0"/>
    <x v="22"/>
    <x v="1"/>
    <x v="8"/>
    <x v="15"/>
    <x v="20"/>
    <x v="17"/>
    <x v="26"/>
    <x v="34"/>
    <x v="2"/>
  </r>
  <r>
    <x v="99"/>
    <x v="99"/>
    <x v="0"/>
    <x v="22"/>
    <x v="1"/>
    <x v="26"/>
    <x v="26"/>
    <x v="31"/>
    <x v="12"/>
    <x v="43"/>
    <x v="76"/>
    <x v="2"/>
  </r>
  <r>
    <x v="100"/>
    <x v="100"/>
    <x v="0"/>
    <x v="29"/>
    <x v="1"/>
    <x v="40"/>
    <x v="17"/>
    <x v="20"/>
    <x v="26"/>
    <x v="44"/>
    <x v="76"/>
    <x v="2"/>
  </r>
  <r>
    <x v="101"/>
    <x v="101"/>
    <x v="0"/>
    <x v="17"/>
    <x v="1"/>
    <x v="8"/>
    <x v="32"/>
    <x v="8"/>
    <x v="44"/>
    <x v="25"/>
    <x v="77"/>
    <x v="2"/>
  </r>
  <r>
    <x v="102"/>
    <x v="102"/>
    <x v="0"/>
    <x v="26"/>
    <x v="1"/>
    <x v="41"/>
    <x v="1"/>
    <x v="21"/>
    <x v="41"/>
    <x v="7"/>
    <x v="77"/>
    <x v="2"/>
  </r>
  <r>
    <x v="103"/>
    <x v="103"/>
    <x v="0"/>
    <x v="3"/>
    <x v="1"/>
    <x v="15"/>
    <x v="38"/>
    <x v="41"/>
    <x v="32"/>
    <x v="16"/>
    <x v="78"/>
    <x v="2"/>
  </r>
  <r>
    <x v="104"/>
    <x v="104"/>
    <x v="0"/>
    <x v="30"/>
    <x v="1"/>
    <x v="42"/>
    <x v="0"/>
    <x v="42"/>
    <x v="45"/>
    <x v="44"/>
    <x v="35"/>
    <x v="2"/>
  </r>
  <r>
    <x v="105"/>
    <x v="105"/>
    <x v="1"/>
    <x v="24"/>
    <x v="1"/>
    <x v="29"/>
    <x v="36"/>
    <x v="43"/>
    <x v="43"/>
    <x v="5"/>
    <x v="39"/>
    <x v="2"/>
  </r>
  <r>
    <x v="106"/>
    <x v="106"/>
    <x v="0"/>
    <x v="22"/>
    <x v="1"/>
    <x v="21"/>
    <x v="39"/>
    <x v="26"/>
    <x v="18"/>
    <x v="41"/>
    <x v="39"/>
    <x v="2"/>
  </r>
  <r>
    <x v="107"/>
    <x v="107"/>
    <x v="0"/>
    <x v="0"/>
    <x v="1"/>
    <x v="41"/>
    <x v="22"/>
    <x v="5"/>
    <x v="46"/>
    <x v="8"/>
    <x v="79"/>
    <x v="2"/>
  </r>
  <r>
    <x v="108"/>
    <x v="108"/>
    <x v="0"/>
    <x v="30"/>
    <x v="1"/>
    <x v="43"/>
    <x v="37"/>
    <x v="44"/>
    <x v="47"/>
    <x v="28"/>
    <x v="80"/>
    <x v="2"/>
  </r>
  <r>
    <x v="109"/>
    <x v="109"/>
    <x v="0"/>
    <x v="13"/>
    <x v="1"/>
    <x v="22"/>
    <x v="24"/>
    <x v="45"/>
    <x v="36"/>
    <x v="14"/>
    <x v="81"/>
    <x v="2"/>
  </r>
  <r>
    <x v="110"/>
    <x v="110"/>
    <x v="0"/>
    <x v="16"/>
    <x v="1"/>
    <x v="29"/>
    <x v="41"/>
    <x v="14"/>
    <x v="2"/>
    <x v="35"/>
    <x v="43"/>
    <x v="2"/>
  </r>
  <r>
    <x v="111"/>
    <x v="111"/>
    <x v="0"/>
    <x v="20"/>
    <x v="1"/>
    <x v="36"/>
    <x v="40"/>
    <x v="26"/>
    <x v="25"/>
    <x v="32"/>
    <x v="82"/>
    <x v="2"/>
  </r>
  <r>
    <x v="112"/>
    <x v="112"/>
    <x v="0"/>
    <x v="2"/>
    <x v="1"/>
    <x v="24"/>
    <x v="29"/>
    <x v="13"/>
    <x v="11"/>
    <x v="25"/>
    <x v="44"/>
    <x v="2"/>
  </r>
  <r>
    <x v="113"/>
    <x v="113"/>
    <x v="0"/>
    <x v="12"/>
    <x v="1"/>
    <x v="33"/>
    <x v="29"/>
    <x v="13"/>
    <x v="36"/>
    <x v="35"/>
    <x v="83"/>
    <x v="2"/>
  </r>
  <r>
    <x v="114"/>
    <x v="114"/>
    <x v="0"/>
    <x v="24"/>
    <x v="1"/>
    <x v="31"/>
    <x v="36"/>
    <x v="38"/>
    <x v="11"/>
    <x v="45"/>
    <x v="83"/>
    <x v="2"/>
  </r>
  <r>
    <x v="115"/>
    <x v="115"/>
    <x v="0"/>
    <x v="4"/>
    <x v="1"/>
    <x v="10"/>
    <x v="29"/>
    <x v="1"/>
    <x v="37"/>
    <x v="35"/>
    <x v="45"/>
    <x v="2"/>
  </r>
  <r>
    <x v="116"/>
    <x v="116"/>
    <x v="1"/>
    <x v="30"/>
    <x v="1"/>
    <x v="22"/>
    <x v="42"/>
    <x v="4"/>
    <x v="28"/>
    <x v="19"/>
    <x v="84"/>
    <x v="2"/>
  </r>
  <r>
    <x v="117"/>
    <x v="117"/>
    <x v="0"/>
    <x v="25"/>
    <x v="1"/>
    <x v="9"/>
    <x v="13"/>
    <x v="45"/>
    <x v="11"/>
    <x v="32"/>
    <x v="85"/>
    <x v="2"/>
  </r>
  <r>
    <x v="118"/>
    <x v="118"/>
    <x v="1"/>
    <x v="20"/>
    <x v="1"/>
    <x v="29"/>
    <x v="21"/>
    <x v="26"/>
    <x v="20"/>
    <x v="28"/>
    <x v="86"/>
    <x v="2"/>
  </r>
  <r>
    <x v="119"/>
    <x v="119"/>
    <x v="1"/>
    <x v="22"/>
    <x v="1"/>
    <x v="21"/>
    <x v="43"/>
    <x v="46"/>
    <x v="22"/>
    <x v="18"/>
    <x v="87"/>
    <x v="2"/>
  </r>
  <r>
    <x v="120"/>
    <x v="120"/>
    <x v="0"/>
    <x v="7"/>
    <x v="1"/>
    <x v="10"/>
    <x v="30"/>
    <x v="15"/>
    <x v="38"/>
    <x v="46"/>
    <x v="87"/>
    <x v="2"/>
  </r>
  <r>
    <x v="121"/>
    <x v="121"/>
    <x v="1"/>
    <x v="2"/>
    <x v="2"/>
    <x v="32"/>
    <x v="5"/>
    <x v="35"/>
    <x v="4"/>
    <x v="47"/>
    <x v="88"/>
    <x v="0"/>
  </r>
  <r>
    <x v="122"/>
    <x v="122"/>
    <x v="0"/>
    <x v="4"/>
    <x v="2"/>
    <x v="5"/>
    <x v="33"/>
    <x v="11"/>
    <x v="40"/>
    <x v="13"/>
    <x v="89"/>
    <x v="0"/>
  </r>
  <r>
    <x v="123"/>
    <x v="123"/>
    <x v="0"/>
    <x v="0"/>
    <x v="2"/>
    <x v="2"/>
    <x v="17"/>
    <x v="47"/>
    <x v="48"/>
    <x v="5"/>
    <x v="90"/>
    <x v="0"/>
  </r>
  <r>
    <x v="124"/>
    <x v="124"/>
    <x v="1"/>
    <x v="27"/>
    <x v="2"/>
    <x v="14"/>
    <x v="32"/>
    <x v="16"/>
    <x v="49"/>
    <x v="7"/>
    <x v="90"/>
    <x v="0"/>
  </r>
  <r>
    <x v="125"/>
    <x v="125"/>
    <x v="0"/>
    <x v="28"/>
    <x v="2"/>
    <x v="39"/>
    <x v="44"/>
    <x v="2"/>
    <x v="32"/>
    <x v="23"/>
    <x v="91"/>
    <x v="0"/>
  </r>
  <r>
    <x v="126"/>
    <x v="126"/>
    <x v="0"/>
    <x v="11"/>
    <x v="2"/>
    <x v="44"/>
    <x v="1"/>
    <x v="30"/>
    <x v="24"/>
    <x v="25"/>
    <x v="92"/>
    <x v="0"/>
  </r>
  <r>
    <x v="127"/>
    <x v="127"/>
    <x v="0"/>
    <x v="25"/>
    <x v="2"/>
    <x v="3"/>
    <x v="34"/>
    <x v="11"/>
    <x v="10"/>
    <x v="27"/>
    <x v="93"/>
    <x v="1"/>
  </r>
  <r>
    <x v="128"/>
    <x v="128"/>
    <x v="0"/>
    <x v="27"/>
    <x v="2"/>
    <x v="19"/>
    <x v="2"/>
    <x v="13"/>
    <x v="14"/>
    <x v="48"/>
    <x v="94"/>
    <x v="1"/>
  </r>
  <r>
    <x v="129"/>
    <x v="129"/>
    <x v="0"/>
    <x v="14"/>
    <x v="2"/>
    <x v="1"/>
    <x v="4"/>
    <x v="44"/>
    <x v="22"/>
    <x v="7"/>
    <x v="95"/>
    <x v="1"/>
  </r>
  <r>
    <x v="130"/>
    <x v="130"/>
    <x v="1"/>
    <x v="12"/>
    <x v="2"/>
    <x v="11"/>
    <x v="3"/>
    <x v="21"/>
    <x v="3"/>
    <x v="47"/>
    <x v="96"/>
    <x v="1"/>
  </r>
  <r>
    <x v="131"/>
    <x v="131"/>
    <x v="0"/>
    <x v="15"/>
    <x v="2"/>
    <x v="7"/>
    <x v="18"/>
    <x v="5"/>
    <x v="40"/>
    <x v="12"/>
    <x v="8"/>
    <x v="2"/>
  </r>
  <r>
    <x v="132"/>
    <x v="132"/>
    <x v="0"/>
    <x v="28"/>
    <x v="2"/>
    <x v="45"/>
    <x v="31"/>
    <x v="0"/>
    <x v="14"/>
    <x v="22"/>
    <x v="8"/>
    <x v="1"/>
  </r>
  <r>
    <x v="133"/>
    <x v="133"/>
    <x v="0"/>
    <x v="2"/>
    <x v="2"/>
    <x v="35"/>
    <x v="33"/>
    <x v="17"/>
    <x v="36"/>
    <x v="42"/>
    <x v="12"/>
    <x v="1"/>
  </r>
  <r>
    <x v="134"/>
    <x v="134"/>
    <x v="0"/>
    <x v="9"/>
    <x v="2"/>
    <x v="16"/>
    <x v="15"/>
    <x v="7"/>
    <x v="16"/>
    <x v="40"/>
    <x v="12"/>
    <x v="1"/>
  </r>
  <r>
    <x v="135"/>
    <x v="135"/>
    <x v="1"/>
    <x v="8"/>
    <x v="2"/>
    <x v="29"/>
    <x v="16"/>
    <x v="31"/>
    <x v="8"/>
    <x v="13"/>
    <x v="14"/>
    <x v="2"/>
  </r>
  <r>
    <x v="136"/>
    <x v="136"/>
    <x v="0"/>
    <x v="12"/>
    <x v="2"/>
    <x v="17"/>
    <x v="9"/>
    <x v="37"/>
    <x v="1"/>
    <x v="48"/>
    <x v="14"/>
    <x v="2"/>
  </r>
  <r>
    <x v="137"/>
    <x v="137"/>
    <x v="0"/>
    <x v="25"/>
    <x v="2"/>
    <x v="4"/>
    <x v="8"/>
    <x v="13"/>
    <x v="7"/>
    <x v="15"/>
    <x v="97"/>
    <x v="1"/>
  </r>
  <r>
    <x v="138"/>
    <x v="138"/>
    <x v="0"/>
    <x v="8"/>
    <x v="2"/>
    <x v="25"/>
    <x v="28"/>
    <x v="26"/>
    <x v="50"/>
    <x v="27"/>
    <x v="15"/>
    <x v="2"/>
  </r>
  <r>
    <x v="139"/>
    <x v="139"/>
    <x v="0"/>
    <x v="6"/>
    <x v="2"/>
    <x v="20"/>
    <x v="32"/>
    <x v="31"/>
    <x v="14"/>
    <x v="37"/>
    <x v="98"/>
    <x v="1"/>
  </r>
  <r>
    <x v="140"/>
    <x v="140"/>
    <x v="0"/>
    <x v="13"/>
    <x v="2"/>
    <x v="46"/>
    <x v="32"/>
    <x v="22"/>
    <x v="13"/>
    <x v="13"/>
    <x v="16"/>
    <x v="2"/>
  </r>
  <r>
    <x v="141"/>
    <x v="141"/>
    <x v="0"/>
    <x v="0"/>
    <x v="2"/>
    <x v="34"/>
    <x v="40"/>
    <x v="17"/>
    <x v="10"/>
    <x v="0"/>
    <x v="66"/>
    <x v="3"/>
  </r>
  <r>
    <x v="142"/>
    <x v="142"/>
    <x v="0"/>
    <x v="21"/>
    <x v="2"/>
    <x v="27"/>
    <x v="32"/>
    <x v="21"/>
    <x v="37"/>
    <x v="8"/>
    <x v="18"/>
    <x v="3"/>
  </r>
  <r>
    <x v="143"/>
    <x v="143"/>
    <x v="0"/>
    <x v="18"/>
    <x v="2"/>
    <x v="23"/>
    <x v="45"/>
    <x v="48"/>
    <x v="25"/>
    <x v="27"/>
    <x v="99"/>
    <x v="2"/>
  </r>
  <r>
    <x v="144"/>
    <x v="144"/>
    <x v="0"/>
    <x v="23"/>
    <x v="2"/>
    <x v="15"/>
    <x v="8"/>
    <x v="21"/>
    <x v="49"/>
    <x v="44"/>
    <x v="20"/>
    <x v="3"/>
  </r>
  <r>
    <x v="145"/>
    <x v="145"/>
    <x v="0"/>
    <x v="6"/>
    <x v="2"/>
    <x v="34"/>
    <x v="39"/>
    <x v="28"/>
    <x v="47"/>
    <x v="25"/>
    <x v="71"/>
    <x v="3"/>
  </r>
  <r>
    <x v="146"/>
    <x v="146"/>
    <x v="1"/>
    <x v="21"/>
    <x v="2"/>
    <x v="36"/>
    <x v="0"/>
    <x v="4"/>
    <x v="38"/>
    <x v="10"/>
    <x v="100"/>
    <x v="3"/>
  </r>
  <r>
    <x v="147"/>
    <x v="147"/>
    <x v="1"/>
    <x v="20"/>
    <x v="2"/>
    <x v="10"/>
    <x v="8"/>
    <x v="12"/>
    <x v="21"/>
    <x v="10"/>
    <x v="100"/>
    <x v="3"/>
  </r>
  <r>
    <x v="148"/>
    <x v="148"/>
    <x v="0"/>
    <x v="10"/>
    <x v="2"/>
    <x v="40"/>
    <x v="15"/>
    <x v="40"/>
    <x v="7"/>
    <x v="16"/>
    <x v="101"/>
    <x v="3"/>
  </r>
  <r>
    <x v="149"/>
    <x v="149"/>
    <x v="0"/>
    <x v="11"/>
    <x v="2"/>
    <x v="40"/>
    <x v="2"/>
    <x v="31"/>
    <x v="5"/>
    <x v="30"/>
    <x v="102"/>
    <x v="3"/>
  </r>
  <r>
    <x v="150"/>
    <x v="150"/>
    <x v="0"/>
    <x v="24"/>
    <x v="2"/>
    <x v="16"/>
    <x v="19"/>
    <x v="44"/>
    <x v="47"/>
    <x v="49"/>
    <x v="26"/>
    <x v="2"/>
  </r>
  <r>
    <x v="151"/>
    <x v="151"/>
    <x v="0"/>
    <x v="8"/>
    <x v="2"/>
    <x v="24"/>
    <x v="16"/>
    <x v="38"/>
    <x v="26"/>
    <x v="27"/>
    <x v="27"/>
    <x v="2"/>
  </r>
  <r>
    <x v="152"/>
    <x v="152"/>
    <x v="0"/>
    <x v="27"/>
    <x v="2"/>
    <x v="36"/>
    <x v="6"/>
    <x v="39"/>
    <x v="9"/>
    <x v="24"/>
    <x v="27"/>
    <x v="2"/>
  </r>
  <r>
    <x v="153"/>
    <x v="153"/>
    <x v="0"/>
    <x v="24"/>
    <x v="2"/>
    <x v="8"/>
    <x v="39"/>
    <x v="4"/>
    <x v="38"/>
    <x v="15"/>
    <x v="27"/>
    <x v="3"/>
  </r>
  <r>
    <x v="154"/>
    <x v="154"/>
    <x v="0"/>
    <x v="23"/>
    <x v="2"/>
    <x v="4"/>
    <x v="18"/>
    <x v="45"/>
    <x v="36"/>
    <x v="5"/>
    <x v="73"/>
    <x v="2"/>
  </r>
  <r>
    <x v="155"/>
    <x v="155"/>
    <x v="0"/>
    <x v="10"/>
    <x v="2"/>
    <x v="22"/>
    <x v="45"/>
    <x v="48"/>
    <x v="42"/>
    <x v="38"/>
    <x v="74"/>
    <x v="2"/>
  </r>
  <r>
    <x v="156"/>
    <x v="156"/>
    <x v="0"/>
    <x v="10"/>
    <x v="2"/>
    <x v="13"/>
    <x v="10"/>
    <x v="26"/>
    <x v="20"/>
    <x v="42"/>
    <x v="75"/>
    <x v="2"/>
  </r>
  <r>
    <x v="157"/>
    <x v="157"/>
    <x v="0"/>
    <x v="22"/>
    <x v="2"/>
    <x v="38"/>
    <x v="18"/>
    <x v="36"/>
    <x v="12"/>
    <x v="19"/>
    <x v="32"/>
    <x v="2"/>
  </r>
  <r>
    <x v="158"/>
    <x v="158"/>
    <x v="0"/>
    <x v="20"/>
    <x v="2"/>
    <x v="23"/>
    <x v="23"/>
    <x v="30"/>
    <x v="7"/>
    <x v="20"/>
    <x v="33"/>
    <x v="2"/>
  </r>
  <r>
    <x v="159"/>
    <x v="159"/>
    <x v="0"/>
    <x v="19"/>
    <x v="2"/>
    <x v="40"/>
    <x v="6"/>
    <x v="23"/>
    <x v="51"/>
    <x v="1"/>
    <x v="34"/>
    <x v="2"/>
  </r>
  <r>
    <x v="160"/>
    <x v="160"/>
    <x v="0"/>
    <x v="29"/>
    <x v="2"/>
    <x v="15"/>
    <x v="32"/>
    <x v="42"/>
    <x v="2"/>
    <x v="46"/>
    <x v="77"/>
    <x v="2"/>
  </r>
  <r>
    <x v="161"/>
    <x v="161"/>
    <x v="0"/>
    <x v="24"/>
    <x v="2"/>
    <x v="47"/>
    <x v="7"/>
    <x v="31"/>
    <x v="40"/>
    <x v="30"/>
    <x v="77"/>
    <x v="2"/>
  </r>
  <r>
    <x v="162"/>
    <x v="162"/>
    <x v="1"/>
    <x v="29"/>
    <x v="2"/>
    <x v="3"/>
    <x v="23"/>
    <x v="3"/>
    <x v="43"/>
    <x v="24"/>
    <x v="103"/>
    <x v="2"/>
  </r>
  <r>
    <x v="163"/>
    <x v="163"/>
    <x v="0"/>
    <x v="29"/>
    <x v="2"/>
    <x v="3"/>
    <x v="6"/>
    <x v="25"/>
    <x v="6"/>
    <x v="50"/>
    <x v="103"/>
    <x v="2"/>
  </r>
  <r>
    <x v="164"/>
    <x v="164"/>
    <x v="0"/>
    <x v="31"/>
    <x v="2"/>
    <x v="29"/>
    <x v="37"/>
    <x v="42"/>
    <x v="36"/>
    <x v="19"/>
    <x v="104"/>
    <x v="2"/>
  </r>
  <r>
    <x v="165"/>
    <x v="165"/>
    <x v="0"/>
    <x v="25"/>
    <x v="2"/>
    <x v="34"/>
    <x v="46"/>
    <x v="41"/>
    <x v="36"/>
    <x v="0"/>
    <x v="37"/>
    <x v="2"/>
  </r>
  <r>
    <x v="166"/>
    <x v="166"/>
    <x v="0"/>
    <x v="4"/>
    <x v="2"/>
    <x v="16"/>
    <x v="34"/>
    <x v="6"/>
    <x v="29"/>
    <x v="26"/>
    <x v="37"/>
    <x v="2"/>
  </r>
  <r>
    <x v="167"/>
    <x v="167"/>
    <x v="0"/>
    <x v="24"/>
    <x v="2"/>
    <x v="46"/>
    <x v="19"/>
    <x v="38"/>
    <x v="51"/>
    <x v="41"/>
    <x v="38"/>
    <x v="2"/>
  </r>
  <r>
    <x v="168"/>
    <x v="168"/>
    <x v="0"/>
    <x v="27"/>
    <x v="2"/>
    <x v="25"/>
    <x v="12"/>
    <x v="2"/>
    <x v="41"/>
    <x v="32"/>
    <x v="38"/>
    <x v="2"/>
  </r>
  <r>
    <x v="169"/>
    <x v="169"/>
    <x v="0"/>
    <x v="16"/>
    <x v="2"/>
    <x v="43"/>
    <x v="42"/>
    <x v="4"/>
    <x v="21"/>
    <x v="10"/>
    <x v="105"/>
    <x v="2"/>
  </r>
  <r>
    <x v="170"/>
    <x v="170"/>
    <x v="0"/>
    <x v="7"/>
    <x v="2"/>
    <x v="37"/>
    <x v="47"/>
    <x v="3"/>
    <x v="2"/>
    <x v="29"/>
    <x v="105"/>
    <x v="2"/>
  </r>
  <r>
    <x v="171"/>
    <x v="171"/>
    <x v="0"/>
    <x v="29"/>
    <x v="2"/>
    <x v="22"/>
    <x v="7"/>
    <x v="20"/>
    <x v="15"/>
    <x v="19"/>
    <x v="80"/>
    <x v="2"/>
  </r>
  <r>
    <x v="172"/>
    <x v="172"/>
    <x v="0"/>
    <x v="31"/>
    <x v="2"/>
    <x v="47"/>
    <x v="17"/>
    <x v="14"/>
    <x v="47"/>
    <x v="30"/>
    <x v="106"/>
    <x v="2"/>
  </r>
  <r>
    <x v="173"/>
    <x v="173"/>
    <x v="0"/>
    <x v="26"/>
    <x v="2"/>
    <x v="24"/>
    <x v="29"/>
    <x v="35"/>
    <x v="6"/>
    <x v="15"/>
    <x v="41"/>
    <x v="2"/>
  </r>
  <r>
    <x v="174"/>
    <x v="174"/>
    <x v="0"/>
    <x v="29"/>
    <x v="2"/>
    <x v="36"/>
    <x v="25"/>
    <x v="43"/>
    <x v="42"/>
    <x v="26"/>
    <x v="81"/>
    <x v="2"/>
  </r>
  <r>
    <x v="175"/>
    <x v="175"/>
    <x v="1"/>
    <x v="31"/>
    <x v="2"/>
    <x v="31"/>
    <x v="48"/>
    <x v="3"/>
    <x v="16"/>
    <x v="51"/>
    <x v="107"/>
    <x v="2"/>
  </r>
  <r>
    <x v="176"/>
    <x v="176"/>
    <x v="0"/>
    <x v="14"/>
    <x v="2"/>
    <x v="15"/>
    <x v="29"/>
    <x v="49"/>
    <x v="6"/>
    <x v="4"/>
    <x v="108"/>
    <x v="2"/>
  </r>
  <r>
    <x v="177"/>
    <x v="177"/>
    <x v="0"/>
    <x v="29"/>
    <x v="2"/>
    <x v="23"/>
    <x v="37"/>
    <x v="15"/>
    <x v="26"/>
    <x v="33"/>
    <x v="109"/>
    <x v="2"/>
  </r>
  <r>
    <x v="178"/>
    <x v="178"/>
    <x v="0"/>
    <x v="2"/>
    <x v="3"/>
    <x v="14"/>
    <x v="49"/>
    <x v="32"/>
    <x v="8"/>
    <x v="39"/>
    <x v="110"/>
    <x v="0"/>
  </r>
  <r>
    <x v="179"/>
    <x v="179"/>
    <x v="0"/>
    <x v="0"/>
    <x v="3"/>
    <x v="44"/>
    <x v="19"/>
    <x v="24"/>
    <x v="7"/>
    <x v="0"/>
    <x v="111"/>
    <x v="0"/>
  </r>
  <r>
    <x v="180"/>
    <x v="180"/>
    <x v="0"/>
    <x v="6"/>
    <x v="3"/>
    <x v="11"/>
    <x v="50"/>
    <x v="12"/>
    <x v="8"/>
    <x v="6"/>
    <x v="3"/>
    <x v="1"/>
  </r>
  <r>
    <x v="181"/>
    <x v="181"/>
    <x v="0"/>
    <x v="11"/>
    <x v="3"/>
    <x v="48"/>
    <x v="17"/>
    <x v="50"/>
    <x v="50"/>
    <x v="25"/>
    <x v="3"/>
    <x v="1"/>
  </r>
  <r>
    <x v="182"/>
    <x v="182"/>
    <x v="0"/>
    <x v="11"/>
    <x v="3"/>
    <x v="37"/>
    <x v="38"/>
    <x v="31"/>
    <x v="33"/>
    <x v="47"/>
    <x v="3"/>
    <x v="1"/>
  </r>
  <r>
    <x v="183"/>
    <x v="183"/>
    <x v="0"/>
    <x v="9"/>
    <x v="3"/>
    <x v="33"/>
    <x v="32"/>
    <x v="19"/>
    <x v="12"/>
    <x v="15"/>
    <x v="55"/>
    <x v="1"/>
  </r>
  <r>
    <x v="184"/>
    <x v="184"/>
    <x v="0"/>
    <x v="15"/>
    <x v="3"/>
    <x v="40"/>
    <x v="40"/>
    <x v="7"/>
    <x v="46"/>
    <x v="40"/>
    <x v="112"/>
    <x v="1"/>
  </r>
  <r>
    <x v="185"/>
    <x v="185"/>
    <x v="0"/>
    <x v="6"/>
    <x v="3"/>
    <x v="36"/>
    <x v="31"/>
    <x v="30"/>
    <x v="32"/>
    <x v="15"/>
    <x v="6"/>
    <x v="1"/>
  </r>
  <r>
    <x v="186"/>
    <x v="186"/>
    <x v="0"/>
    <x v="11"/>
    <x v="3"/>
    <x v="49"/>
    <x v="37"/>
    <x v="29"/>
    <x v="20"/>
    <x v="12"/>
    <x v="6"/>
    <x v="1"/>
  </r>
  <r>
    <x v="187"/>
    <x v="187"/>
    <x v="0"/>
    <x v="26"/>
    <x v="3"/>
    <x v="49"/>
    <x v="2"/>
    <x v="21"/>
    <x v="11"/>
    <x v="52"/>
    <x v="57"/>
    <x v="1"/>
  </r>
  <r>
    <x v="188"/>
    <x v="188"/>
    <x v="0"/>
    <x v="4"/>
    <x v="3"/>
    <x v="2"/>
    <x v="13"/>
    <x v="24"/>
    <x v="11"/>
    <x v="12"/>
    <x v="57"/>
    <x v="1"/>
  </r>
  <r>
    <x v="189"/>
    <x v="189"/>
    <x v="0"/>
    <x v="12"/>
    <x v="3"/>
    <x v="13"/>
    <x v="7"/>
    <x v="28"/>
    <x v="47"/>
    <x v="12"/>
    <x v="96"/>
    <x v="1"/>
  </r>
  <r>
    <x v="190"/>
    <x v="190"/>
    <x v="0"/>
    <x v="6"/>
    <x v="3"/>
    <x v="32"/>
    <x v="8"/>
    <x v="18"/>
    <x v="33"/>
    <x v="25"/>
    <x v="96"/>
    <x v="1"/>
  </r>
  <r>
    <x v="191"/>
    <x v="191"/>
    <x v="0"/>
    <x v="26"/>
    <x v="3"/>
    <x v="20"/>
    <x v="3"/>
    <x v="3"/>
    <x v="33"/>
    <x v="1"/>
    <x v="8"/>
    <x v="1"/>
  </r>
  <r>
    <x v="192"/>
    <x v="192"/>
    <x v="0"/>
    <x v="14"/>
    <x v="3"/>
    <x v="15"/>
    <x v="40"/>
    <x v="18"/>
    <x v="35"/>
    <x v="37"/>
    <x v="113"/>
    <x v="1"/>
  </r>
  <r>
    <x v="193"/>
    <x v="193"/>
    <x v="0"/>
    <x v="23"/>
    <x v="3"/>
    <x v="35"/>
    <x v="26"/>
    <x v="18"/>
    <x v="10"/>
    <x v="2"/>
    <x v="113"/>
    <x v="1"/>
  </r>
  <r>
    <x v="194"/>
    <x v="194"/>
    <x v="0"/>
    <x v="9"/>
    <x v="3"/>
    <x v="13"/>
    <x v="27"/>
    <x v="19"/>
    <x v="50"/>
    <x v="23"/>
    <x v="13"/>
    <x v="1"/>
  </r>
  <r>
    <x v="195"/>
    <x v="195"/>
    <x v="0"/>
    <x v="20"/>
    <x v="3"/>
    <x v="50"/>
    <x v="10"/>
    <x v="16"/>
    <x v="16"/>
    <x v="19"/>
    <x v="14"/>
    <x v="2"/>
  </r>
  <r>
    <x v="196"/>
    <x v="196"/>
    <x v="0"/>
    <x v="21"/>
    <x v="3"/>
    <x v="40"/>
    <x v="27"/>
    <x v="19"/>
    <x v="25"/>
    <x v="16"/>
    <x v="97"/>
    <x v="1"/>
  </r>
  <r>
    <x v="197"/>
    <x v="197"/>
    <x v="0"/>
    <x v="6"/>
    <x v="3"/>
    <x v="25"/>
    <x v="32"/>
    <x v="22"/>
    <x v="41"/>
    <x v="22"/>
    <x v="15"/>
    <x v="1"/>
  </r>
  <r>
    <x v="198"/>
    <x v="198"/>
    <x v="0"/>
    <x v="7"/>
    <x v="3"/>
    <x v="24"/>
    <x v="16"/>
    <x v="13"/>
    <x v="12"/>
    <x v="26"/>
    <x v="98"/>
    <x v="1"/>
  </r>
  <r>
    <x v="199"/>
    <x v="199"/>
    <x v="0"/>
    <x v="10"/>
    <x v="3"/>
    <x v="31"/>
    <x v="11"/>
    <x v="2"/>
    <x v="17"/>
    <x v="9"/>
    <x v="17"/>
    <x v="2"/>
  </r>
  <r>
    <x v="200"/>
    <x v="200"/>
    <x v="0"/>
    <x v="23"/>
    <x v="3"/>
    <x v="20"/>
    <x v="25"/>
    <x v="17"/>
    <x v="8"/>
    <x v="15"/>
    <x v="99"/>
    <x v="2"/>
  </r>
  <r>
    <x v="201"/>
    <x v="201"/>
    <x v="0"/>
    <x v="16"/>
    <x v="3"/>
    <x v="4"/>
    <x v="0"/>
    <x v="4"/>
    <x v="9"/>
    <x v="36"/>
    <x v="71"/>
    <x v="2"/>
  </r>
  <r>
    <x v="202"/>
    <x v="202"/>
    <x v="0"/>
    <x v="20"/>
    <x v="3"/>
    <x v="4"/>
    <x v="26"/>
    <x v="49"/>
    <x v="17"/>
    <x v="26"/>
    <x v="114"/>
    <x v="2"/>
  </r>
  <r>
    <x v="203"/>
    <x v="203"/>
    <x v="0"/>
    <x v="8"/>
    <x v="3"/>
    <x v="45"/>
    <x v="36"/>
    <x v="14"/>
    <x v="2"/>
    <x v="27"/>
    <x v="102"/>
    <x v="3"/>
  </r>
  <r>
    <x v="204"/>
    <x v="204"/>
    <x v="0"/>
    <x v="8"/>
    <x v="3"/>
    <x v="21"/>
    <x v="12"/>
    <x v="3"/>
    <x v="7"/>
    <x v="40"/>
    <x v="25"/>
    <x v="2"/>
  </r>
  <r>
    <x v="205"/>
    <x v="205"/>
    <x v="0"/>
    <x v="31"/>
    <x v="3"/>
    <x v="20"/>
    <x v="6"/>
    <x v="27"/>
    <x v="46"/>
    <x v="35"/>
    <x v="115"/>
    <x v="3"/>
  </r>
  <r>
    <x v="206"/>
    <x v="206"/>
    <x v="1"/>
    <x v="21"/>
    <x v="3"/>
    <x v="46"/>
    <x v="14"/>
    <x v="40"/>
    <x v="37"/>
    <x v="27"/>
    <x v="116"/>
    <x v="2"/>
  </r>
  <r>
    <x v="207"/>
    <x v="207"/>
    <x v="0"/>
    <x v="22"/>
    <x v="3"/>
    <x v="31"/>
    <x v="19"/>
    <x v="6"/>
    <x v="10"/>
    <x v="25"/>
    <x v="73"/>
    <x v="2"/>
  </r>
  <r>
    <x v="208"/>
    <x v="208"/>
    <x v="0"/>
    <x v="17"/>
    <x v="3"/>
    <x v="42"/>
    <x v="0"/>
    <x v="51"/>
    <x v="16"/>
    <x v="25"/>
    <x v="117"/>
    <x v="2"/>
  </r>
  <r>
    <x v="209"/>
    <x v="209"/>
    <x v="1"/>
    <x v="12"/>
    <x v="3"/>
    <x v="37"/>
    <x v="6"/>
    <x v="22"/>
    <x v="20"/>
    <x v="18"/>
    <x v="30"/>
    <x v="3"/>
  </r>
  <r>
    <x v="210"/>
    <x v="210"/>
    <x v="0"/>
    <x v="19"/>
    <x v="3"/>
    <x v="20"/>
    <x v="28"/>
    <x v="16"/>
    <x v="16"/>
    <x v="32"/>
    <x v="103"/>
    <x v="2"/>
  </r>
  <r>
    <x v="211"/>
    <x v="211"/>
    <x v="0"/>
    <x v="7"/>
    <x v="3"/>
    <x v="36"/>
    <x v="24"/>
    <x v="21"/>
    <x v="37"/>
    <x v="19"/>
    <x v="35"/>
    <x v="2"/>
  </r>
  <r>
    <x v="212"/>
    <x v="212"/>
    <x v="0"/>
    <x v="21"/>
    <x v="3"/>
    <x v="40"/>
    <x v="47"/>
    <x v="38"/>
    <x v="52"/>
    <x v="9"/>
    <x v="118"/>
    <x v="2"/>
  </r>
  <r>
    <x v="213"/>
    <x v="213"/>
    <x v="0"/>
    <x v="27"/>
    <x v="3"/>
    <x v="2"/>
    <x v="29"/>
    <x v="5"/>
    <x v="17"/>
    <x v="19"/>
    <x v="119"/>
    <x v="2"/>
  </r>
  <r>
    <x v="214"/>
    <x v="214"/>
    <x v="0"/>
    <x v="1"/>
    <x v="3"/>
    <x v="12"/>
    <x v="16"/>
    <x v="42"/>
    <x v="26"/>
    <x v="29"/>
    <x v="37"/>
    <x v="2"/>
  </r>
  <r>
    <x v="215"/>
    <x v="215"/>
    <x v="0"/>
    <x v="1"/>
    <x v="3"/>
    <x v="51"/>
    <x v="31"/>
    <x v="48"/>
    <x v="52"/>
    <x v="44"/>
    <x v="120"/>
    <x v="2"/>
  </r>
  <r>
    <x v="216"/>
    <x v="216"/>
    <x v="1"/>
    <x v="9"/>
    <x v="3"/>
    <x v="32"/>
    <x v="0"/>
    <x v="36"/>
    <x v="29"/>
    <x v="41"/>
    <x v="38"/>
    <x v="2"/>
  </r>
  <r>
    <x v="217"/>
    <x v="217"/>
    <x v="0"/>
    <x v="29"/>
    <x v="3"/>
    <x v="8"/>
    <x v="20"/>
    <x v="2"/>
    <x v="36"/>
    <x v="45"/>
    <x v="121"/>
    <x v="2"/>
  </r>
  <r>
    <x v="218"/>
    <x v="218"/>
    <x v="0"/>
    <x v="16"/>
    <x v="3"/>
    <x v="34"/>
    <x v="19"/>
    <x v="40"/>
    <x v="23"/>
    <x v="45"/>
    <x v="122"/>
    <x v="2"/>
  </r>
  <r>
    <x v="219"/>
    <x v="219"/>
    <x v="0"/>
    <x v="28"/>
    <x v="3"/>
    <x v="16"/>
    <x v="13"/>
    <x v="41"/>
    <x v="47"/>
    <x v="13"/>
    <x v="122"/>
    <x v="2"/>
  </r>
  <r>
    <x v="220"/>
    <x v="220"/>
    <x v="0"/>
    <x v="20"/>
    <x v="3"/>
    <x v="36"/>
    <x v="51"/>
    <x v="17"/>
    <x v="26"/>
    <x v="21"/>
    <x v="122"/>
    <x v="2"/>
  </r>
  <r>
    <x v="221"/>
    <x v="221"/>
    <x v="0"/>
    <x v="15"/>
    <x v="3"/>
    <x v="51"/>
    <x v="0"/>
    <x v="2"/>
    <x v="29"/>
    <x v="9"/>
    <x v="123"/>
    <x v="2"/>
  </r>
  <r>
    <x v="222"/>
    <x v="222"/>
    <x v="0"/>
    <x v="24"/>
    <x v="3"/>
    <x v="47"/>
    <x v="36"/>
    <x v="52"/>
    <x v="23"/>
    <x v="23"/>
    <x v="86"/>
    <x v="2"/>
  </r>
  <r>
    <x v="223"/>
    <x v="223"/>
    <x v="0"/>
    <x v="23"/>
    <x v="4"/>
    <x v="35"/>
    <x v="28"/>
    <x v="35"/>
    <x v="25"/>
    <x v="13"/>
    <x v="51"/>
    <x v="0"/>
  </r>
  <r>
    <x v="224"/>
    <x v="224"/>
    <x v="0"/>
    <x v="9"/>
    <x v="4"/>
    <x v="13"/>
    <x v="11"/>
    <x v="47"/>
    <x v="37"/>
    <x v="39"/>
    <x v="124"/>
    <x v="1"/>
  </r>
  <r>
    <x v="225"/>
    <x v="225"/>
    <x v="0"/>
    <x v="15"/>
    <x v="4"/>
    <x v="23"/>
    <x v="50"/>
    <x v="28"/>
    <x v="3"/>
    <x v="13"/>
    <x v="2"/>
    <x v="1"/>
  </r>
  <r>
    <x v="226"/>
    <x v="226"/>
    <x v="1"/>
    <x v="11"/>
    <x v="4"/>
    <x v="18"/>
    <x v="38"/>
    <x v="16"/>
    <x v="24"/>
    <x v="53"/>
    <x v="52"/>
    <x v="1"/>
  </r>
  <r>
    <x v="227"/>
    <x v="227"/>
    <x v="0"/>
    <x v="18"/>
    <x v="4"/>
    <x v="13"/>
    <x v="45"/>
    <x v="36"/>
    <x v="49"/>
    <x v="25"/>
    <x v="112"/>
    <x v="1"/>
  </r>
  <r>
    <x v="228"/>
    <x v="228"/>
    <x v="0"/>
    <x v="4"/>
    <x v="4"/>
    <x v="4"/>
    <x v="45"/>
    <x v="14"/>
    <x v="41"/>
    <x v="48"/>
    <x v="58"/>
    <x v="1"/>
  </r>
  <r>
    <x v="229"/>
    <x v="229"/>
    <x v="0"/>
    <x v="6"/>
    <x v="4"/>
    <x v="9"/>
    <x v="28"/>
    <x v="28"/>
    <x v="43"/>
    <x v="42"/>
    <x v="125"/>
    <x v="1"/>
  </r>
  <r>
    <x v="230"/>
    <x v="230"/>
    <x v="0"/>
    <x v="25"/>
    <x v="4"/>
    <x v="52"/>
    <x v="27"/>
    <x v="34"/>
    <x v="3"/>
    <x v="30"/>
    <x v="125"/>
    <x v="1"/>
  </r>
  <r>
    <x v="231"/>
    <x v="231"/>
    <x v="0"/>
    <x v="2"/>
    <x v="4"/>
    <x v="17"/>
    <x v="45"/>
    <x v="17"/>
    <x v="13"/>
    <x v="9"/>
    <x v="61"/>
    <x v="1"/>
  </r>
  <r>
    <x v="232"/>
    <x v="232"/>
    <x v="0"/>
    <x v="7"/>
    <x v="4"/>
    <x v="40"/>
    <x v="22"/>
    <x v="18"/>
    <x v="49"/>
    <x v="48"/>
    <x v="11"/>
    <x v="1"/>
  </r>
  <r>
    <x v="233"/>
    <x v="233"/>
    <x v="1"/>
    <x v="23"/>
    <x v="4"/>
    <x v="35"/>
    <x v="45"/>
    <x v="33"/>
    <x v="9"/>
    <x v="19"/>
    <x v="113"/>
    <x v="2"/>
  </r>
  <r>
    <x v="234"/>
    <x v="234"/>
    <x v="0"/>
    <x v="4"/>
    <x v="4"/>
    <x v="20"/>
    <x v="38"/>
    <x v="6"/>
    <x v="2"/>
    <x v="15"/>
    <x v="113"/>
    <x v="1"/>
  </r>
  <r>
    <x v="235"/>
    <x v="235"/>
    <x v="0"/>
    <x v="26"/>
    <x v="4"/>
    <x v="34"/>
    <x v="32"/>
    <x v="36"/>
    <x v="49"/>
    <x v="27"/>
    <x v="63"/>
    <x v="1"/>
  </r>
  <r>
    <x v="236"/>
    <x v="236"/>
    <x v="0"/>
    <x v="5"/>
    <x v="4"/>
    <x v="23"/>
    <x v="7"/>
    <x v="39"/>
    <x v="8"/>
    <x v="19"/>
    <x v="98"/>
    <x v="2"/>
  </r>
  <r>
    <x v="237"/>
    <x v="237"/>
    <x v="0"/>
    <x v="23"/>
    <x v="4"/>
    <x v="23"/>
    <x v="2"/>
    <x v="36"/>
    <x v="12"/>
    <x v="15"/>
    <x v="16"/>
    <x v="3"/>
  </r>
  <r>
    <x v="238"/>
    <x v="238"/>
    <x v="0"/>
    <x v="28"/>
    <x v="4"/>
    <x v="17"/>
    <x v="17"/>
    <x v="31"/>
    <x v="43"/>
    <x v="6"/>
    <x v="16"/>
    <x v="3"/>
  </r>
  <r>
    <x v="239"/>
    <x v="239"/>
    <x v="0"/>
    <x v="20"/>
    <x v="4"/>
    <x v="16"/>
    <x v="1"/>
    <x v="19"/>
    <x v="42"/>
    <x v="44"/>
    <x v="66"/>
    <x v="2"/>
  </r>
  <r>
    <x v="240"/>
    <x v="240"/>
    <x v="1"/>
    <x v="9"/>
    <x v="4"/>
    <x v="20"/>
    <x v="17"/>
    <x v="4"/>
    <x v="10"/>
    <x v="48"/>
    <x v="68"/>
    <x v="3"/>
  </r>
  <r>
    <x v="241"/>
    <x v="241"/>
    <x v="0"/>
    <x v="18"/>
    <x v="4"/>
    <x v="20"/>
    <x v="9"/>
    <x v="42"/>
    <x v="37"/>
    <x v="22"/>
    <x v="18"/>
    <x v="3"/>
  </r>
  <r>
    <x v="242"/>
    <x v="242"/>
    <x v="0"/>
    <x v="27"/>
    <x v="4"/>
    <x v="15"/>
    <x v="6"/>
    <x v="2"/>
    <x v="5"/>
    <x v="23"/>
    <x v="19"/>
    <x v="3"/>
  </r>
  <r>
    <x v="243"/>
    <x v="243"/>
    <x v="0"/>
    <x v="21"/>
    <x v="4"/>
    <x v="24"/>
    <x v="39"/>
    <x v="36"/>
    <x v="25"/>
    <x v="24"/>
    <x v="100"/>
    <x v="2"/>
  </r>
  <r>
    <x v="244"/>
    <x v="244"/>
    <x v="0"/>
    <x v="16"/>
    <x v="4"/>
    <x v="21"/>
    <x v="22"/>
    <x v="2"/>
    <x v="53"/>
    <x v="1"/>
    <x v="114"/>
    <x v="2"/>
  </r>
  <r>
    <x v="245"/>
    <x v="245"/>
    <x v="0"/>
    <x v="24"/>
    <x v="4"/>
    <x v="40"/>
    <x v="11"/>
    <x v="44"/>
    <x v="51"/>
    <x v="35"/>
    <x v="102"/>
    <x v="3"/>
  </r>
  <r>
    <x v="246"/>
    <x v="246"/>
    <x v="0"/>
    <x v="23"/>
    <x v="4"/>
    <x v="33"/>
    <x v="8"/>
    <x v="31"/>
    <x v="51"/>
    <x v="24"/>
    <x v="72"/>
    <x v="2"/>
  </r>
  <r>
    <x v="247"/>
    <x v="247"/>
    <x v="0"/>
    <x v="23"/>
    <x v="4"/>
    <x v="23"/>
    <x v="13"/>
    <x v="8"/>
    <x v="40"/>
    <x v="1"/>
    <x v="25"/>
    <x v="3"/>
  </r>
  <r>
    <x v="248"/>
    <x v="248"/>
    <x v="0"/>
    <x v="20"/>
    <x v="4"/>
    <x v="13"/>
    <x v="9"/>
    <x v="40"/>
    <x v="15"/>
    <x v="33"/>
    <x v="25"/>
    <x v="2"/>
  </r>
  <r>
    <x v="249"/>
    <x v="249"/>
    <x v="0"/>
    <x v="1"/>
    <x v="4"/>
    <x v="10"/>
    <x v="0"/>
    <x v="23"/>
    <x v="12"/>
    <x v="22"/>
    <x v="31"/>
    <x v="2"/>
  </r>
  <r>
    <x v="250"/>
    <x v="250"/>
    <x v="0"/>
    <x v="20"/>
    <x v="4"/>
    <x v="52"/>
    <x v="17"/>
    <x v="23"/>
    <x v="24"/>
    <x v="33"/>
    <x v="34"/>
    <x v="2"/>
  </r>
  <r>
    <x v="251"/>
    <x v="251"/>
    <x v="0"/>
    <x v="10"/>
    <x v="4"/>
    <x v="29"/>
    <x v="11"/>
    <x v="4"/>
    <x v="47"/>
    <x v="24"/>
    <x v="76"/>
    <x v="2"/>
  </r>
  <r>
    <x v="252"/>
    <x v="252"/>
    <x v="0"/>
    <x v="24"/>
    <x v="4"/>
    <x v="53"/>
    <x v="17"/>
    <x v="10"/>
    <x v="20"/>
    <x v="10"/>
    <x v="77"/>
    <x v="2"/>
  </r>
  <r>
    <x v="253"/>
    <x v="253"/>
    <x v="1"/>
    <x v="30"/>
    <x v="4"/>
    <x v="4"/>
    <x v="10"/>
    <x v="20"/>
    <x v="6"/>
    <x v="33"/>
    <x v="126"/>
    <x v="2"/>
  </r>
  <r>
    <x v="254"/>
    <x v="254"/>
    <x v="1"/>
    <x v="21"/>
    <x v="4"/>
    <x v="5"/>
    <x v="2"/>
    <x v="38"/>
    <x v="52"/>
    <x v="43"/>
    <x v="78"/>
    <x v="2"/>
  </r>
  <r>
    <x v="255"/>
    <x v="255"/>
    <x v="0"/>
    <x v="30"/>
    <x v="4"/>
    <x v="16"/>
    <x v="0"/>
    <x v="53"/>
    <x v="27"/>
    <x v="5"/>
    <x v="78"/>
    <x v="2"/>
  </r>
  <r>
    <x v="256"/>
    <x v="256"/>
    <x v="0"/>
    <x v="20"/>
    <x v="4"/>
    <x v="26"/>
    <x v="11"/>
    <x v="22"/>
    <x v="5"/>
    <x v="43"/>
    <x v="35"/>
    <x v="2"/>
  </r>
  <r>
    <x v="257"/>
    <x v="257"/>
    <x v="0"/>
    <x v="20"/>
    <x v="4"/>
    <x v="23"/>
    <x v="39"/>
    <x v="21"/>
    <x v="17"/>
    <x v="20"/>
    <x v="127"/>
    <x v="2"/>
  </r>
  <r>
    <x v="258"/>
    <x v="258"/>
    <x v="0"/>
    <x v="16"/>
    <x v="4"/>
    <x v="26"/>
    <x v="6"/>
    <x v="48"/>
    <x v="21"/>
    <x v="25"/>
    <x v="118"/>
    <x v="2"/>
  </r>
  <r>
    <x v="259"/>
    <x v="259"/>
    <x v="0"/>
    <x v="24"/>
    <x v="4"/>
    <x v="51"/>
    <x v="17"/>
    <x v="49"/>
    <x v="43"/>
    <x v="22"/>
    <x v="128"/>
    <x v="2"/>
  </r>
  <r>
    <x v="260"/>
    <x v="260"/>
    <x v="0"/>
    <x v="24"/>
    <x v="4"/>
    <x v="21"/>
    <x v="25"/>
    <x v="13"/>
    <x v="50"/>
    <x v="14"/>
    <x v="119"/>
    <x v="2"/>
  </r>
  <r>
    <x v="261"/>
    <x v="261"/>
    <x v="1"/>
    <x v="18"/>
    <x v="4"/>
    <x v="24"/>
    <x v="21"/>
    <x v="14"/>
    <x v="40"/>
    <x v="28"/>
    <x v="37"/>
    <x v="2"/>
  </r>
  <r>
    <x v="262"/>
    <x v="262"/>
    <x v="0"/>
    <x v="7"/>
    <x v="4"/>
    <x v="46"/>
    <x v="24"/>
    <x v="44"/>
    <x v="20"/>
    <x v="18"/>
    <x v="37"/>
    <x v="2"/>
  </r>
  <r>
    <x v="263"/>
    <x v="263"/>
    <x v="0"/>
    <x v="20"/>
    <x v="4"/>
    <x v="13"/>
    <x v="29"/>
    <x v="7"/>
    <x v="15"/>
    <x v="11"/>
    <x v="120"/>
    <x v="2"/>
  </r>
  <r>
    <x v="264"/>
    <x v="264"/>
    <x v="0"/>
    <x v="7"/>
    <x v="4"/>
    <x v="38"/>
    <x v="52"/>
    <x v="10"/>
    <x v="28"/>
    <x v="18"/>
    <x v="120"/>
    <x v="2"/>
  </r>
  <r>
    <x v="265"/>
    <x v="265"/>
    <x v="0"/>
    <x v="5"/>
    <x v="4"/>
    <x v="45"/>
    <x v="29"/>
    <x v="0"/>
    <x v="49"/>
    <x v="30"/>
    <x v="38"/>
    <x v="2"/>
  </r>
  <r>
    <x v="266"/>
    <x v="266"/>
    <x v="0"/>
    <x v="17"/>
    <x v="4"/>
    <x v="23"/>
    <x v="17"/>
    <x v="20"/>
    <x v="26"/>
    <x v="10"/>
    <x v="79"/>
    <x v="2"/>
  </r>
  <r>
    <x v="267"/>
    <x v="267"/>
    <x v="0"/>
    <x v="17"/>
    <x v="4"/>
    <x v="23"/>
    <x v="30"/>
    <x v="17"/>
    <x v="17"/>
    <x v="35"/>
    <x v="79"/>
    <x v="2"/>
  </r>
  <r>
    <x v="268"/>
    <x v="268"/>
    <x v="1"/>
    <x v="17"/>
    <x v="4"/>
    <x v="15"/>
    <x v="37"/>
    <x v="22"/>
    <x v="54"/>
    <x v="24"/>
    <x v="40"/>
    <x v="2"/>
  </r>
  <r>
    <x v="269"/>
    <x v="269"/>
    <x v="0"/>
    <x v="6"/>
    <x v="4"/>
    <x v="20"/>
    <x v="29"/>
    <x v="1"/>
    <x v="7"/>
    <x v="26"/>
    <x v="40"/>
    <x v="2"/>
  </r>
  <r>
    <x v="270"/>
    <x v="270"/>
    <x v="0"/>
    <x v="27"/>
    <x v="4"/>
    <x v="13"/>
    <x v="29"/>
    <x v="30"/>
    <x v="43"/>
    <x v="41"/>
    <x v="106"/>
    <x v="2"/>
  </r>
  <r>
    <x v="271"/>
    <x v="271"/>
    <x v="0"/>
    <x v="16"/>
    <x v="4"/>
    <x v="6"/>
    <x v="20"/>
    <x v="31"/>
    <x v="30"/>
    <x v="51"/>
    <x v="129"/>
    <x v="2"/>
  </r>
  <r>
    <x v="272"/>
    <x v="272"/>
    <x v="0"/>
    <x v="30"/>
    <x v="4"/>
    <x v="42"/>
    <x v="19"/>
    <x v="21"/>
    <x v="28"/>
    <x v="22"/>
    <x v="81"/>
    <x v="2"/>
  </r>
  <r>
    <x v="273"/>
    <x v="273"/>
    <x v="0"/>
    <x v="16"/>
    <x v="4"/>
    <x v="34"/>
    <x v="53"/>
    <x v="15"/>
    <x v="2"/>
    <x v="42"/>
    <x v="130"/>
    <x v="2"/>
  </r>
  <r>
    <x v="274"/>
    <x v="274"/>
    <x v="0"/>
    <x v="24"/>
    <x v="4"/>
    <x v="4"/>
    <x v="47"/>
    <x v="26"/>
    <x v="54"/>
    <x v="36"/>
    <x v="131"/>
    <x v="2"/>
  </r>
  <r>
    <x v="275"/>
    <x v="275"/>
    <x v="0"/>
    <x v="16"/>
    <x v="4"/>
    <x v="46"/>
    <x v="54"/>
    <x v="52"/>
    <x v="36"/>
    <x v="16"/>
    <x v="132"/>
    <x v="2"/>
  </r>
  <r>
    <x v="276"/>
    <x v="276"/>
    <x v="0"/>
    <x v="10"/>
    <x v="4"/>
    <x v="16"/>
    <x v="29"/>
    <x v="27"/>
    <x v="37"/>
    <x v="42"/>
    <x v="133"/>
    <x v="2"/>
  </r>
  <r>
    <x v="277"/>
    <x v="277"/>
    <x v="0"/>
    <x v="17"/>
    <x v="4"/>
    <x v="28"/>
    <x v="17"/>
    <x v="25"/>
    <x v="45"/>
    <x v="20"/>
    <x v="134"/>
    <x v="2"/>
  </r>
  <r>
    <x v="278"/>
    <x v="278"/>
    <x v="1"/>
    <x v="17"/>
    <x v="4"/>
    <x v="53"/>
    <x v="21"/>
    <x v="54"/>
    <x v="18"/>
    <x v="46"/>
    <x v="135"/>
    <x v="2"/>
  </r>
  <r>
    <x v="279"/>
    <x v="279"/>
    <x v="0"/>
    <x v="29"/>
    <x v="4"/>
    <x v="54"/>
    <x v="48"/>
    <x v="52"/>
    <x v="22"/>
    <x v="14"/>
    <x v="136"/>
    <x v="2"/>
  </r>
  <r>
    <x v="280"/>
    <x v="280"/>
    <x v="1"/>
    <x v="18"/>
    <x v="4"/>
    <x v="10"/>
    <x v="29"/>
    <x v="25"/>
    <x v="51"/>
    <x v="23"/>
    <x v="137"/>
    <x v="2"/>
  </r>
  <r>
    <x v="281"/>
    <x v="281"/>
    <x v="0"/>
    <x v="29"/>
    <x v="4"/>
    <x v="31"/>
    <x v="54"/>
    <x v="38"/>
    <x v="28"/>
    <x v="20"/>
    <x v="138"/>
    <x v="2"/>
  </r>
  <r>
    <x v="282"/>
    <x v="282"/>
    <x v="0"/>
    <x v="29"/>
    <x v="4"/>
    <x v="47"/>
    <x v="27"/>
    <x v="41"/>
    <x v="42"/>
    <x v="40"/>
    <x v="139"/>
    <x v="2"/>
  </r>
  <r>
    <x v="283"/>
    <x v="283"/>
    <x v="1"/>
    <x v="25"/>
    <x v="5"/>
    <x v="50"/>
    <x v="44"/>
    <x v="47"/>
    <x v="24"/>
    <x v="17"/>
    <x v="140"/>
    <x v="0"/>
  </r>
  <r>
    <x v="284"/>
    <x v="284"/>
    <x v="0"/>
    <x v="0"/>
    <x v="5"/>
    <x v="14"/>
    <x v="44"/>
    <x v="30"/>
    <x v="8"/>
    <x v="1"/>
    <x v="141"/>
    <x v="0"/>
  </r>
  <r>
    <x v="285"/>
    <x v="285"/>
    <x v="0"/>
    <x v="4"/>
    <x v="5"/>
    <x v="13"/>
    <x v="32"/>
    <x v="44"/>
    <x v="55"/>
    <x v="39"/>
    <x v="51"/>
    <x v="0"/>
  </r>
  <r>
    <x v="286"/>
    <x v="286"/>
    <x v="0"/>
    <x v="6"/>
    <x v="5"/>
    <x v="33"/>
    <x v="9"/>
    <x v="36"/>
    <x v="24"/>
    <x v="23"/>
    <x v="94"/>
    <x v="1"/>
  </r>
  <r>
    <x v="287"/>
    <x v="287"/>
    <x v="1"/>
    <x v="12"/>
    <x v="5"/>
    <x v="5"/>
    <x v="31"/>
    <x v="31"/>
    <x v="13"/>
    <x v="0"/>
    <x v="94"/>
    <x v="1"/>
  </r>
  <r>
    <x v="288"/>
    <x v="288"/>
    <x v="1"/>
    <x v="12"/>
    <x v="5"/>
    <x v="5"/>
    <x v="38"/>
    <x v="49"/>
    <x v="3"/>
    <x v="13"/>
    <x v="95"/>
    <x v="2"/>
  </r>
  <r>
    <x v="289"/>
    <x v="289"/>
    <x v="0"/>
    <x v="2"/>
    <x v="5"/>
    <x v="34"/>
    <x v="34"/>
    <x v="13"/>
    <x v="1"/>
    <x v="2"/>
    <x v="55"/>
    <x v="1"/>
  </r>
  <r>
    <x v="290"/>
    <x v="290"/>
    <x v="0"/>
    <x v="9"/>
    <x v="5"/>
    <x v="40"/>
    <x v="4"/>
    <x v="9"/>
    <x v="24"/>
    <x v="21"/>
    <x v="58"/>
    <x v="1"/>
  </r>
  <r>
    <x v="291"/>
    <x v="291"/>
    <x v="0"/>
    <x v="26"/>
    <x v="5"/>
    <x v="36"/>
    <x v="16"/>
    <x v="7"/>
    <x v="13"/>
    <x v="42"/>
    <x v="142"/>
    <x v="1"/>
  </r>
  <r>
    <x v="292"/>
    <x v="292"/>
    <x v="0"/>
    <x v="7"/>
    <x v="5"/>
    <x v="15"/>
    <x v="0"/>
    <x v="18"/>
    <x v="41"/>
    <x v="9"/>
    <x v="60"/>
    <x v="1"/>
  </r>
  <r>
    <x v="293"/>
    <x v="293"/>
    <x v="0"/>
    <x v="26"/>
    <x v="5"/>
    <x v="15"/>
    <x v="22"/>
    <x v="47"/>
    <x v="40"/>
    <x v="23"/>
    <x v="10"/>
    <x v="1"/>
  </r>
  <r>
    <x v="294"/>
    <x v="294"/>
    <x v="0"/>
    <x v="6"/>
    <x v="5"/>
    <x v="25"/>
    <x v="3"/>
    <x v="4"/>
    <x v="12"/>
    <x v="35"/>
    <x v="113"/>
    <x v="1"/>
  </r>
  <r>
    <x v="295"/>
    <x v="295"/>
    <x v="0"/>
    <x v="21"/>
    <x v="5"/>
    <x v="5"/>
    <x v="17"/>
    <x v="55"/>
    <x v="46"/>
    <x v="18"/>
    <x v="13"/>
    <x v="1"/>
  </r>
  <r>
    <x v="296"/>
    <x v="296"/>
    <x v="0"/>
    <x v="13"/>
    <x v="5"/>
    <x v="25"/>
    <x v="7"/>
    <x v="7"/>
    <x v="38"/>
    <x v="41"/>
    <x v="62"/>
    <x v="1"/>
  </r>
  <r>
    <x v="297"/>
    <x v="297"/>
    <x v="0"/>
    <x v="28"/>
    <x v="5"/>
    <x v="1"/>
    <x v="6"/>
    <x v="27"/>
    <x v="43"/>
    <x v="17"/>
    <x v="15"/>
    <x v="1"/>
  </r>
  <r>
    <x v="298"/>
    <x v="298"/>
    <x v="0"/>
    <x v="1"/>
    <x v="5"/>
    <x v="6"/>
    <x v="19"/>
    <x v="4"/>
    <x v="21"/>
    <x v="5"/>
    <x v="64"/>
    <x v="1"/>
  </r>
  <r>
    <x v="299"/>
    <x v="299"/>
    <x v="0"/>
    <x v="23"/>
    <x v="5"/>
    <x v="10"/>
    <x v="9"/>
    <x v="2"/>
    <x v="13"/>
    <x v="19"/>
    <x v="64"/>
    <x v="2"/>
  </r>
  <r>
    <x v="300"/>
    <x v="300"/>
    <x v="0"/>
    <x v="18"/>
    <x v="5"/>
    <x v="9"/>
    <x v="0"/>
    <x v="3"/>
    <x v="25"/>
    <x v="16"/>
    <x v="65"/>
    <x v="1"/>
  </r>
  <r>
    <x v="301"/>
    <x v="301"/>
    <x v="0"/>
    <x v="15"/>
    <x v="5"/>
    <x v="23"/>
    <x v="8"/>
    <x v="33"/>
    <x v="33"/>
    <x v="19"/>
    <x v="66"/>
    <x v="2"/>
  </r>
  <r>
    <x v="302"/>
    <x v="302"/>
    <x v="1"/>
    <x v="20"/>
    <x v="5"/>
    <x v="12"/>
    <x v="2"/>
    <x v="2"/>
    <x v="25"/>
    <x v="10"/>
    <x v="67"/>
    <x v="2"/>
  </r>
  <r>
    <x v="303"/>
    <x v="303"/>
    <x v="0"/>
    <x v="20"/>
    <x v="5"/>
    <x v="6"/>
    <x v="14"/>
    <x v="10"/>
    <x v="53"/>
    <x v="16"/>
    <x v="68"/>
    <x v="3"/>
  </r>
  <r>
    <x v="304"/>
    <x v="304"/>
    <x v="1"/>
    <x v="2"/>
    <x v="5"/>
    <x v="25"/>
    <x v="46"/>
    <x v="39"/>
    <x v="29"/>
    <x v="4"/>
    <x v="20"/>
    <x v="2"/>
  </r>
  <r>
    <x v="305"/>
    <x v="305"/>
    <x v="1"/>
    <x v="10"/>
    <x v="5"/>
    <x v="27"/>
    <x v="8"/>
    <x v="23"/>
    <x v="7"/>
    <x v="12"/>
    <x v="100"/>
    <x v="2"/>
  </r>
  <r>
    <x v="306"/>
    <x v="306"/>
    <x v="1"/>
    <x v="3"/>
    <x v="5"/>
    <x v="17"/>
    <x v="14"/>
    <x v="6"/>
    <x v="7"/>
    <x v="1"/>
    <x v="101"/>
    <x v="3"/>
  </r>
  <r>
    <x v="307"/>
    <x v="307"/>
    <x v="0"/>
    <x v="31"/>
    <x v="5"/>
    <x v="4"/>
    <x v="0"/>
    <x v="21"/>
    <x v="17"/>
    <x v="49"/>
    <x v="143"/>
    <x v="2"/>
  </r>
  <r>
    <x v="308"/>
    <x v="308"/>
    <x v="0"/>
    <x v="28"/>
    <x v="5"/>
    <x v="29"/>
    <x v="32"/>
    <x v="15"/>
    <x v="1"/>
    <x v="25"/>
    <x v="143"/>
    <x v="2"/>
  </r>
  <r>
    <x v="309"/>
    <x v="309"/>
    <x v="0"/>
    <x v="5"/>
    <x v="5"/>
    <x v="24"/>
    <x v="0"/>
    <x v="6"/>
    <x v="22"/>
    <x v="21"/>
    <x v="23"/>
    <x v="3"/>
  </r>
  <r>
    <x v="310"/>
    <x v="310"/>
    <x v="0"/>
    <x v="25"/>
    <x v="5"/>
    <x v="27"/>
    <x v="29"/>
    <x v="9"/>
    <x v="39"/>
    <x v="15"/>
    <x v="24"/>
    <x v="2"/>
  </r>
  <r>
    <x v="311"/>
    <x v="311"/>
    <x v="0"/>
    <x v="21"/>
    <x v="5"/>
    <x v="8"/>
    <x v="40"/>
    <x v="44"/>
    <x v="30"/>
    <x v="42"/>
    <x v="24"/>
    <x v="2"/>
  </r>
  <r>
    <x v="312"/>
    <x v="312"/>
    <x v="0"/>
    <x v="30"/>
    <x v="5"/>
    <x v="17"/>
    <x v="24"/>
    <x v="4"/>
    <x v="37"/>
    <x v="25"/>
    <x v="25"/>
    <x v="2"/>
  </r>
  <r>
    <x v="313"/>
    <x v="313"/>
    <x v="1"/>
    <x v="5"/>
    <x v="5"/>
    <x v="27"/>
    <x v="7"/>
    <x v="37"/>
    <x v="47"/>
    <x v="36"/>
    <x v="26"/>
    <x v="2"/>
  </r>
  <r>
    <x v="314"/>
    <x v="314"/>
    <x v="0"/>
    <x v="18"/>
    <x v="5"/>
    <x v="5"/>
    <x v="37"/>
    <x v="37"/>
    <x v="46"/>
    <x v="35"/>
    <x v="28"/>
    <x v="2"/>
  </r>
  <r>
    <x v="315"/>
    <x v="315"/>
    <x v="1"/>
    <x v="1"/>
    <x v="5"/>
    <x v="10"/>
    <x v="17"/>
    <x v="13"/>
    <x v="11"/>
    <x v="14"/>
    <x v="116"/>
    <x v="3"/>
  </r>
  <r>
    <x v="316"/>
    <x v="316"/>
    <x v="0"/>
    <x v="1"/>
    <x v="5"/>
    <x v="29"/>
    <x v="51"/>
    <x v="31"/>
    <x v="12"/>
    <x v="25"/>
    <x v="73"/>
    <x v="2"/>
  </r>
  <r>
    <x v="317"/>
    <x v="317"/>
    <x v="0"/>
    <x v="17"/>
    <x v="5"/>
    <x v="21"/>
    <x v="31"/>
    <x v="17"/>
    <x v="47"/>
    <x v="15"/>
    <x v="74"/>
    <x v="2"/>
  </r>
  <r>
    <x v="318"/>
    <x v="318"/>
    <x v="0"/>
    <x v="8"/>
    <x v="5"/>
    <x v="31"/>
    <x v="21"/>
    <x v="10"/>
    <x v="43"/>
    <x v="40"/>
    <x v="144"/>
    <x v="2"/>
  </r>
  <r>
    <x v="319"/>
    <x v="319"/>
    <x v="0"/>
    <x v="3"/>
    <x v="5"/>
    <x v="12"/>
    <x v="37"/>
    <x v="55"/>
    <x v="15"/>
    <x v="41"/>
    <x v="144"/>
    <x v="2"/>
  </r>
  <r>
    <x v="320"/>
    <x v="320"/>
    <x v="0"/>
    <x v="10"/>
    <x v="5"/>
    <x v="24"/>
    <x v="45"/>
    <x v="8"/>
    <x v="22"/>
    <x v="33"/>
    <x v="75"/>
    <x v="2"/>
  </r>
  <r>
    <x v="321"/>
    <x v="321"/>
    <x v="0"/>
    <x v="13"/>
    <x v="5"/>
    <x v="26"/>
    <x v="26"/>
    <x v="49"/>
    <x v="11"/>
    <x v="12"/>
    <x v="32"/>
    <x v="2"/>
  </r>
  <r>
    <x v="322"/>
    <x v="322"/>
    <x v="0"/>
    <x v="26"/>
    <x v="5"/>
    <x v="45"/>
    <x v="3"/>
    <x v="2"/>
    <x v="49"/>
    <x v="32"/>
    <x v="77"/>
    <x v="2"/>
  </r>
  <r>
    <x v="323"/>
    <x v="323"/>
    <x v="0"/>
    <x v="30"/>
    <x v="5"/>
    <x v="4"/>
    <x v="31"/>
    <x v="56"/>
    <x v="36"/>
    <x v="21"/>
    <x v="126"/>
    <x v="2"/>
  </r>
  <r>
    <x v="324"/>
    <x v="324"/>
    <x v="1"/>
    <x v="19"/>
    <x v="5"/>
    <x v="29"/>
    <x v="25"/>
    <x v="25"/>
    <x v="10"/>
    <x v="13"/>
    <x v="119"/>
    <x v="2"/>
  </r>
  <r>
    <x v="325"/>
    <x v="325"/>
    <x v="0"/>
    <x v="17"/>
    <x v="5"/>
    <x v="37"/>
    <x v="54"/>
    <x v="31"/>
    <x v="9"/>
    <x v="16"/>
    <x v="38"/>
    <x v="2"/>
  </r>
  <r>
    <x v="326"/>
    <x v="326"/>
    <x v="0"/>
    <x v="19"/>
    <x v="5"/>
    <x v="26"/>
    <x v="27"/>
    <x v="26"/>
    <x v="49"/>
    <x v="20"/>
    <x v="105"/>
    <x v="2"/>
  </r>
  <r>
    <x v="327"/>
    <x v="327"/>
    <x v="0"/>
    <x v="29"/>
    <x v="5"/>
    <x v="31"/>
    <x v="0"/>
    <x v="27"/>
    <x v="44"/>
    <x v="19"/>
    <x v="41"/>
    <x v="2"/>
  </r>
  <r>
    <x v="328"/>
    <x v="328"/>
    <x v="0"/>
    <x v="29"/>
    <x v="5"/>
    <x v="36"/>
    <x v="8"/>
    <x v="37"/>
    <x v="38"/>
    <x v="34"/>
    <x v="42"/>
    <x v="2"/>
  </r>
  <r>
    <x v="329"/>
    <x v="329"/>
    <x v="0"/>
    <x v="13"/>
    <x v="5"/>
    <x v="31"/>
    <x v="21"/>
    <x v="23"/>
    <x v="11"/>
    <x v="16"/>
    <x v="81"/>
    <x v="2"/>
  </r>
  <r>
    <x v="330"/>
    <x v="330"/>
    <x v="0"/>
    <x v="10"/>
    <x v="5"/>
    <x v="12"/>
    <x v="22"/>
    <x v="48"/>
    <x v="31"/>
    <x v="24"/>
    <x v="43"/>
    <x v="2"/>
  </r>
  <r>
    <x v="331"/>
    <x v="331"/>
    <x v="0"/>
    <x v="24"/>
    <x v="5"/>
    <x v="42"/>
    <x v="51"/>
    <x v="15"/>
    <x v="52"/>
    <x v="18"/>
    <x v="83"/>
    <x v="2"/>
  </r>
  <r>
    <x v="332"/>
    <x v="332"/>
    <x v="0"/>
    <x v="16"/>
    <x v="5"/>
    <x v="54"/>
    <x v="47"/>
    <x v="42"/>
    <x v="31"/>
    <x v="43"/>
    <x v="45"/>
    <x v="2"/>
  </r>
  <r>
    <x v="333"/>
    <x v="333"/>
    <x v="0"/>
    <x v="31"/>
    <x v="5"/>
    <x v="42"/>
    <x v="21"/>
    <x v="37"/>
    <x v="6"/>
    <x v="49"/>
    <x v="4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B2:D8" firstHeaderRow="0" firstDataRow="1" firstDataCol="1"/>
  <pivotFields count="12">
    <pivotField compact="0" numFmtId="177" showAll="0">
      <items count="335">
        <item x="9"/>
        <item x="92"/>
        <item x="328"/>
        <item x="32"/>
        <item x="204"/>
        <item x="105"/>
        <item x="327"/>
        <item x="44"/>
        <item x="49"/>
        <item x="284"/>
        <item x="251"/>
        <item x="140"/>
        <item x="218"/>
        <item x="76"/>
        <item x="187"/>
        <item x="151"/>
        <item x="310"/>
        <item x="54"/>
        <item x="246"/>
        <item x="282"/>
        <item x="188"/>
        <item x="293"/>
        <item x="184"/>
        <item x="305"/>
        <item x="298"/>
        <item x="42"/>
        <item x="47"/>
        <item x="26"/>
        <item x="258"/>
        <item x="13"/>
        <item x="97"/>
        <item x="129"/>
        <item x="257"/>
        <item x="222"/>
        <item x="201"/>
        <item x="135"/>
        <item x="51"/>
        <item x="175"/>
        <item x="86"/>
        <item x="62"/>
        <item x="236"/>
        <item x="237"/>
        <item x="46"/>
        <item x="206"/>
        <item x="85"/>
        <item x="233"/>
        <item x="150"/>
        <item x="141"/>
        <item x="247"/>
        <item x="29"/>
        <item x="167"/>
        <item x="212"/>
        <item x="152"/>
        <item x="261"/>
        <item x="299"/>
        <item x="228"/>
        <item x="116"/>
        <item x="286"/>
        <item x="185"/>
        <item x="321"/>
        <item x="300"/>
        <item x="22"/>
        <item x="290"/>
        <item x="70"/>
        <item x="195"/>
        <item x="15"/>
        <item x="180"/>
        <item x="224"/>
        <item x="240"/>
        <item x="81"/>
        <item x="309"/>
        <item x="52"/>
        <item x="307"/>
        <item x="93"/>
        <item x="313"/>
        <item x="153"/>
        <item x="19"/>
        <item x="203"/>
        <item x="115"/>
        <item x="110"/>
        <item x="30"/>
        <item x="256"/>
        <item x="172"/>
        <item x="63"/>
        <item x="226"/>
        <item x="104"/>
        <item x="283"/>
        <item x="320"/>
        <item x="192"/>
        <item x="78"/>
        <item x="221"/>
        <item x="87"/>
        <item x="142"/>
        <item x="107"/>
        <item x="174"/>
        <item x="43"/>
        <item x="7"/>
        <item x="160"/>
        <item x="287"/>
        <item x="161"/>
        <item x="139"/>
        <item x="112"/>
        <item x="108"/>
        <item x="83"/>
        <item x="289"/>
        <item x="21"/>
        <item x="332"/>
        <item x="113"/>
        <item x="272"/>
        <item x="315"/>
        <item x="191"/>
        <item x="249"/>
        <item x="254"/>
        <item x="277"/>
        <item x="245"/>
        <item x="235"/>
        <item x="156"/>
        <item x="265"/>
        <item x="41"/>
        <item x="36"/>
        <item x="118"/>
        <item x="119"/>
        <item x="216"/>
        <item x="146"/>
        <item x="50"/>
        <item x="35"/>
        <item x="318"/>
        <item x="73"/>
        <item x="169"/>
        <item x="209"/>
        <item x="158"/>
        <item x="231"/>
        <item x="275"/>
        <item x="149"/>
        <item x="234"/>
        <item x="48"/>
        <item x="99"/>
        <item x="31"/>
        <item x="197"/>
        <item x="279"/>
        <item x="59"/>
        <item x="239"/>
        <item x="117"/>
        <item x="288"/>
        <item x="101"/>
        <item x="259"/>
        <item x="303"/>
        <item x="55"/>
        <item x="159"/>
        <item x="223"/>
        <item x="40"/>
        <item x="229"/>
        <item x="292"/>
        <item x="155"/>
        <item x="165"/>
        <item x="17"/>
        <item x="123"/>
        <item x="130"/>
        <item x="198"/>
        <item x="326"/>
        <item x="325"/>
        <item x="88"/>
        <item x="183"/>
        <item x="131"/>
        <item x="189"/>
        <item x="248"/>
        <item x="322"/>
        <item x="255"/>
        <item x="260"/>
        <item x="38"/>
        <item x="213"/>
        <item x="60"/>
        <item x="225"/>
        <item x="68"/>
        <item x="27"/>
        <item x="72"/>
        <item x="79"/>
        <item x="133"/>
        <item x="194"/>
        <item x="45"/>
        <item x="232"/>
        <item x="244"/>
        <item x="278"/>
        <item x="214"/>
        <item x="181"/>
        <item x="103"/>
        <item x="91"/>
        <item x="16"/>
        <item x="11"/>
        <item x="6"/>
        <item x="323"/>
        <item x="34"/>
        <item x="157"/>
        <item x="179"/>
        <item x="177"/>
        <item x="138"/>
        <item x="238"/>
        <item x="217"/>
        <item x="28"/>
        <item x="274"/>
        <item x="136"/>
        <item x="319"/>
        <item x="273"/>
        <item x="20"/>
        <item x="53"/>
        <item x="71"/>
        <item x="302"/>
        <item x="82"/>
        <item x="202"/>
        <item x="250"/>
        <item x="230"/>
        <item x="193"/>
        <item x="162"/>
        <item x="98"/>
        <item x="173"/>
        <item x="145"/>
        <item x="317"/>
        <item x="154"/>
        <item x="111"/>
        <item x="227"/>
        <item x="18"/>
        <item x="311"/>
        <item x="314"/>
        <item x="316"/>
        <item x="128"/>
        <item x="122"/>
        <item x="56"/>
        <item x="77"/>
        <item x="3"/>
        <item x="96"/>
        <item x="281"/>
        <item x="182"/>
        <item x="10"/>
        <item x="200"/>
        <item x="285"/>
        <item x="4"/>
        <item x="295"/>
        <item x="24"/>
        <item x="8"/>
        <item x="215"/>
        <item x="163"/>
        <item x="329"/>
        <item x="168"/>
        <item x="166"/>
        <item x="61"/>
        <item x="266"/>
        <item x="263"/>
        <item x="301"/>
        <item x="306"/>
        <item x="243"/>
        <item x="241"/>
        <item x="190"/>
        <item x="94"/>
        <item x="66"/>
        <item x="2"/>
        <item x="84"/>
        <item x="164"/>
        <item x="143"/>
        <item x="296"/>
        <item x="0"/>
        <item x="57"/>
        <item x="95"/>
        <item x="271"/>
        <item x="80"/>
        <item x="5"/>
        <item x="252"/>
        <item x="178"/>
        <item x="253"/>
        <item x="170"/>
        <item x="33"/>
        <item x="132"/>
        <item x="58"/>
        <item x="270"/>
        <item x="12"/>
        <item x="137"/>
        <item x="199"/>
        <item x="64"/>
        <item x="211"/>
        <item x="65"/>
        <item x="67"/>
        <item x="148"/>
        <item x="106"/>
        <item x="219"/>
        <item x="304"/>
        <item x="171"/>
        <item x="127"/>
        <item x="134"/>
        <item x="208"/>
        <item x="294"/>
        <item x="268"/>
        <item x="269"/>
        <item x="331"/>
        <item x="308"/>
        <item x="297"/>
        <item x="242"/>
        <item x="89"/>
        <item x="280"/>
        <item x="220"/>
        <item x="312"/>
        <item x="109"/>
        <item x="25"/>
        <item x="186"/>
        <item x="144"/>
        <item x="210"/>
        <item x="37"/>
        <item x="90"/>
        <item x="147"/>
        <item x="207"/>
        <item x="14"/>
        <item x="330"/>
        <item x="176"/>
        <item x="125"/>
        <item x="276"/>
        <item x="205"/>
        <item x="264"/>
        <item x="39"/>
        <item x="196"/>
        <item x="100"/>
        <item x="262"/>
        <item x="126"/>
        <item x="120"/>
        <item x="267"/>
        <item x="124"/>
        <item x="121"/>
        <item x="69"/>
        <item x="114"/>
        <item x="333"/>
        <item x="102"/>
        <item x="291"/>
        <item x="324"/>
        <item x="74"/>
        <item x="75"/>
        <item x="23"/>
        <item x="1"/>
        <item t="default"/>
      </items>
    </pivotField>
    <pivotField dataField="1" compact="0" showAll="0">
      <items count="335">
        <item x="9"/>
        <item x="92"/>
        <item x="328"/>
        <item x="32"/>
        <item x="204"/>
        <item x="105"/>
        <item x="327"/>
        <item x="44"/>
        <item x="49"/>
        <item x="284"/>
        <item x="251"/>
        <item x="140"/>
        <item x="218"/>
        <item x="76"/>
        <item x="187"/>
        <item x="151"/>
        <item x="310"/>
        <item x="148"/>
        <item x="106"/>
        <item x="54"/>
        <item x="246"/>
        <item x="282"/>
        <item x="188"/>
        <item x="293"/>
        <item x="184"/>
        <item x="305"/>
        <item x="298"/>
        <item x="42"/>
        <item x="47"/>
        <item x="26"/>
        <item x="258"/>
        <item x="13"/>
        <item x="97"/>
        <item x="129"/>
        <item x="257"/>
        <item x="222"/>
        <item x="201"/>
        <item x="135"/>
        <item x="51"/>
        <item x="175"/>
        <item x="86"/>
        <item x="62"/>
        <item x="236"/>
        <item x="237"/>
        <item x="46"/>
        <item x="206"/>
        <item x="85"/>
        <item x="233"/>
        <item x="150"/>
        <item x="141"/>
        <item x="247"/>
        <item x="29"/>
        <item x="167"/>
        <item x="212"/>
        <item x="152"/>
        <item x="261"/>
        <item x="299"/>
        <item x="228"/>
        <item x="116"/>
        <item x="286"/>
        <item x="185"/>
        <item x="321"/>
        <item x="300"/>
        <item x="22"/>
        <item x="290"/>
        <item x="70"/>
        <item x="195"/>
        <item x="15"/>
        <item x="180"/>
        <item x="224"/>
        <item x="240"/>
        <item x="81"/>
        <item x="309"/>
        <item x="52"/>
        <item x="307"/>
        <item x="93"/>
        <item x="313"/>
        <item x="153"/>
        <item x="19"/>
        <item x="203"/>
        <item x="115"/>
        <item x="110"/>
        <item x="30"/>
        <item x="256"/>
        <item x="172"/>
        <item x="63"/>
        <item x="226"/>
        <item x="104"/>
        <item x="283"/>
        <item x="320"/>
        <item x="192"/>
        <item x="78"/>
        <item x="221"/>
        <item x="87"/>
        <item x="142"/>
        <item x="107"/>
        <item x="174"/>
        <item x="43"/>
        <item x="7"/>
        <item x="160"/>
        <item x="287"/>
        <item x="161"/>
        <item x="139"/>
        <item x="112"/>
        <item x="108"/>
        <item x="83"/>
        <item x="289"/>
        <item x="21"/>
        <item x="332"/>
        <item x="113"/>
        <item x="272"/>
        <item x="315"/>
        <item x="191"/>
        <item x="249"/>
        <item x="254"/>
        <item x="277"/>
        <item x="245"/>
        <item x="235"/>
        <item x="156"/>
        <item x="265"/>
        <item x="41"/>
        <item x="36"/>
        <item x="118"/>
        <item x="119"/>
        <item x="216"/>
        <item x="146"/>
        <item x="50"/>
        <item x="35"/>
        <item x="318"/>
        <item x="73"/>
        <item x="169"/>
        <item x="209"/>
        <item x="158"/>
        <item x="231"/>
        <item x="275"/>
        <item x="149"/>
        <item x="234"/>
        <item x="48"/>
        <item x="99"/>
        <item x="31"/>
        <item x="197"/>
        <item x="279"/>
        <item x="59"/>
        <item x="239"/>
        <item x="117"/>
        <item x="288"/>
        <item x="101"/>
        <item x="259"/>
        <item x="303"/>
        <item x="55"/>
        <item x="159"/>
        <item x="223"/>
        <item x="40"/>
        <item x="229"/>
        <item x="292"/>
        <item x="155"/>
        <item x="165"/>
        <item x="17"/>
        <item x="123"/>
        <item x="130"/>
        <item x="198"/>
        <item x="326"/>
        <item x="325"/>
        <item x="88"/>
        <item x="183"/>
        <item x="131"/>
        <item x="189"/>
        <item x="248"/>
        <item x="322"/>
        <item x="255"/>
        <item x="260"/>
        <item x="38"/>
        <item x="213"/>
        <item x="60"/>
        <item x="225"/>
        <item x="68"/>
        <item x="27"/>
        <item x="72"/>
        <item x="79"/>
        <item x="133"/>
        <item x="194"/>
        <item x="45"/>
        <item x="232"/>
        <item x="244"/>
        <item x="278"/>
        <item x="214"/>
        <item x="181"/>
        <item x="103"/>
        <item x="91"/>
        <item x="16"/>
        <item x="11"/>
        <item x="6"/>
        <item x="323"/>
        <item x="34"/>
        <item x="157"/>
        <item x="179"/>
        <item x="177"/>
        <item x="138"/>
        <item x="238"/>
        <item x="217"/>
        <item x="145"/>
        <item x="28"/>
        <item x="274"/>
        <item x="136"/>
        <item x="319"/>
        <item x="273"/>
        <item x="20"/>
        <item x="53"/>
        <item x="71"/>
        <item x="302"/>
        <item x="82"/>
        <item x="202"/>
        <item x="250"/>
        <item x="230"/>
        <item x="193"/>
        <item x="162"/>
        <item x="98"/>
        <item x="173"/>
        <item x="317"/>
        <item x="154"/>
        <item x="111"/>
        <item x="227"/>
        <item x="18"/>
        <item x="311"/>
        <item x="314"/>
        <item x="316"/>
        <item x="128"/>
        <item x="122"/>
        <item x="56"/>
        <item x="77"/>
        <item x="3"/>
        <item x="96"/>
        <item x="281"/>
        <item x="182"/>
        <item x="10"/>
        <item x="200"/>
        <item x="285"/>
        <item x="4"/>
        <item x="295"/>
        <item x="24"/>
        <item x="8"/>
        <item x="215"/>
        <item x="163"/>
        <item x="329"/>
        <item x="168"/>
        <item x="166"/>
        <item x="61"/>
        <item x="266"/>
        <item x="263"/>
        <item x="301"/>
        <item x="306"/>
        <item x="243"/>
        <item x="241"/>
        <item x="190"/>
        <item x="94"/>
        <item x="66"/>
        <item x="2"/>
        <item x="84"/>
        <item x="164"/>
        <item x="143"/>
        <item x="296"/>
        <item x="0"/>
        <item x="57"/>
        <item x="95"/>
        <item x="271"/>
        <item x="80"/>
        <item x="5"/>
        <item x="252"/>
        <item x="178"/>
        <item x="253"/>
        <item x="170"/>
        <item x="33"/>
        <item x="132"/>
        <item x="58"/>
        <item x="270"/>
        <item x="12"/>
        <item x="137"/>
        <item x="199"/>
        <item x="64"/>
        <item x="211"/>
        <item x="65"/>
        <item x="67"/>
        <item x="219"/>
        <item x="304"/>
        <item x="171"/>
        <item x="127"/>
        <item x="134"/>
        <item x="208"/>
        <item x="294"/>
        <item x="268"/>
        <item x="269"/>
        <item x="331"/>
        <item x="308"/>
        <item x="297"/>
        <item x="242"/>
        <item x="89"/>
        <item x="280"/>
        <item x="220"/>
        <item x="312"/>
        <item x="109"/>
        <item x="25"/>
        <item x="186"/>
        <item x="144"/>
        <item x="210"/>
        <item x="37"/>
        <item x="90"/>
        <item x="147"/>
        <item x="207"/>
        <item x="14"/>
        <item x="330"/>
        <item x="176"/>
        <item x="125"/>
        <item x="276"/>
        <item x="205"/>
        <item x="264"/>
        <item x="39"/>
        <item x="196"/>
        <item x="100"/>
        <item x="262"/>
        <item x="126"/>
        <item x="120"/>
        <item x="267"/>
        <item x="124"/>
        <item x="121"/>
        <item x="69"/>
        <item x="114"/>
        <item x="333"/>
        <item x="102"/>
        <item x="291"/>
        <item x="324"/>
        <item x="74"/>
        <item x="75"/>
        <item x="23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人数" fld="1" subtotal="count" baseField="0" baseItem="0"/>
    <dataField name="所占比例" fld="1" subtotal="count" showDataAs="percentOfCol" baseField="0" baseItem="0" numFmtId="10"/>
  </dataFields>
  <formats count="6">
    <format dxfId="0">
      <pivotArea collapsedLevelsAreSubtotals="1" fieldPosition="0">
        <references count="2">
          <reference field="10" count="1" selected="0">
            <x v="0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10" count="1" selected="0">
            <x v="1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10" count="1" selected="0">
            <x v="2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10" count="1" selected="0">
            <x v="3"/>
          </reference>
          <reference field="4294967294" count="1" selected="0">
            <x v="1"/>
          </reference>
        </references>
      </pivotArea>
    </format>
    <format dxfId="4">
      <pivotArea collapsedLevelsAreSubtotals="1" fieldPosition="0">
        <references count="2">
          <reference field="10" count="1" selected="0">
            <x v="4"/>
          </reference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M336"/>
  <sheetViews>
    <sheetView topLeftCell="B1" workbookViewId="0">
      <selection activeCell="P26" sqref="P26"/>
    </sheetView>
  </sheetViews>
  <sheetFormatPr defaultColWidth="9" defaultRowHeight="13.5"/>
  <cols>
    <col min="2" max="2" width="9.375" customWidth="1"/>
    <col min="3" max="3" width="8.875" customWidth="1"/>
    <col min="4" max="5" width="5.375" customWidth="1"/>
    <col min="6" max="6" width="7" customWidth="1"/>
    <col min="7" max="7" width="5.875" customWidth="1"/>
    <col min="8" max="8" width="7" customWidth="1"/>
    <col min="9" max="9" width="12.875" customWidth="1"/>
    <col min="10" max="10" width="9.25" customWidth="1"/>
    <col min="11" max="11" width="7" customWidth="1"/>
    <col min="12" max="12" width="9.375" customWidth="1"/>
    <col min="13" max="13" width="7" customWidth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6" t="s">
        <v>11</v>
      </c>
    </row>
    <row r="3" spans="2:13">
      <c r="B3" s="4">
        <v>260</v>
      </c>
      <c r="C3" s="5" t="s">
        <v>12</v>
      </c>
      <c r="D3" s="5" t="s">
        <v>13</v>
      </c>
      <c r="E3" s="5">
        <v>25</v>
      </c>
      <c r="F3" s="5" t="s">
        <v>14</v>
      </c>
      <c r="G3" s="5">
        <v>95</v>
      </c>
      <c r="H3" s="5">
        <v>81</v>
      </c>
      <c r="I3" s="5">
        <v>90</v>
      </c>
      <c r="J3" s="5">
        <v>99</v>
      </c>
      <c r="K3" s="5">
        <v>95</v>
      </c>
      <c r="L3" s="5">
        <f t="shared" ref="L3:L66" si="0">AVERAGE(G3:K3)</f>
        <v>92</v>
      </c>
      <c r="M3" s="7" t="str">
        <f t="shared" ref="M3:M66" si="1">IF(OR(G3&lt;60,H3&lt;60,I3&lt;60,J3&lt;60,K3&lt;60),"不合格",IF(L3&lt;75,"及格",IF(L3&lt;85,"良","优")))</f>
        <v>优</v>
      </c>
    </row>
    <row r="4" spans="2:13">
      <c r="B4" s="4">
        <v>334</v>
      </c>
      <c r="C4" s="5" t="s">
        <v>15</v>
      </c>
      <c r="D4" s="5" t="s">
        <v>13</v>
      </c>
      <c r="E4" s="5">
        <v>25</v>
      </c>
      <c r="F4" s="5" t="s">
        <v>14</v>
      </c>
      <c r="G4" s="5">
        <v>89</v>
      </c>
      <c r="H4" s="5">
        <v>83</v>
      </c>
      <c r="I4" s="5">
        <v>84</v>
      </c>
      <c r="J4" s="5">
        <v>99</v>
      </c>
      <c r="K4" s="5">
        <v>74</v>
      </c>
      <c r="L4" s="5">
        <f t="shared" si="0"/>
        <v>85.8</v>
      </c>
      <c r="M4" s="7" t="str">
        <f t="shared" si="1"/>
        <v>优</v>
      </c>
    </row>
    <row r="5" spans="2:13">
      <c r="B5" s="4">
        <v>255</v>
      </c>
      <c r="C5" s="5" t="s">
        <v>16</v>
      </c>
      <c r="D5" s="5" t="s">
        <v>13</v>
      </c>
      <c r="E5" s="5">
        <v>47</v>
      </c>
      <c r="F5" s="5" t="s">
        <v>14</v>
      </c>
      <c r="G5" s="5">
        <v>90</v>
      </c>
      <c r="H5" s="5">
        <v>78</v>
      </c>
      <c r="I5" s="5">
        <v>79</v>
      </c>
      <c r="J5" s="5">
        <v>86</v>
      </c>
      <c r="K5" s="5">
        <v>90</v>
      </c>
      <c r="L5" s="5">
        <f t="shared" si="0"/>
        <v>84.6</v>
      </c>
      <c r="M5" s="7" t="str">
        <f t="shared" si="1"/>
        <v>良</v>
      </c>
    </row>
    <row r="6" spans="2:13">
      <c r="B6" s="4">
        <v>229</v>
      </c>
      <c r="C6" s="5" t="s">
        <v>17</v>
      </c>
      <c r="D6" s="5" t="s">
        <v>13</v>
      </c>
      <c r="E6" s="5">
        <v>26</v>
      </c>
      <c r="F6" s="5" t="s">
        <v>14</v>
      </c>
      <c r="G6" s="5">
        <v>89</v>
      </c>
      <c r="H6" s="5">
        <v>86</v>
      </c>
      <c r="I6" s="5">
        <v>79</v>
      </c>
      <c r="J6" s="5">
        <v>66</v>
      </c>
      <c r="K6" s="5">
        <v>100</v>
      </c>
      <c r="L6" s="5">
        <f t="shared" si="0"/>
        <v>84</v>
      </c>
      <c r="M6" s="7" t="str">
        <f t="shared" si="1"/>
        <v>良</v>
      </c>
    </row>
    <row r="7" spans="2:13">
      <c r="B7" s="4">
        <v>236</v>
      </c>
      <c r="C7" s="5" t="s">
        <v>18</v>
      </c>
      <c r="D7" s="5" t="s">
        <v>13</v>
      </c>
      <c r="E7" s="5">
        <v>30</v>
      </c>
      <c r="F7" s="5" t="s">
        <v>14</v>
      </c>
      <c r="G7" s="5">
        <v>76</v>
      </c>
      <c r="H7" s="5">
        <v>89</v>
      </c>
      <c r="I7" s="5">
        <v>67</v>
      </c>
      <c r="J7" s="5">
        <v>91</v>
      </c>
      <c r="K7" s="5">
        <v>96</v>
      </c>
      <c r="L7" s="5">
        <f t="shared" si="0"/>
        <v>83.8</v>
      </c>
      <c r="M7" s="7" t="str">
        <f t="shared" si="1"/>
        <v>良</v>
      </c>
    </row>
    <row r="8" spans="2:13">
      <c r="B8" s="4">
        <v>265</v>
      </c>
      <c r="C8" s="5" t="s">
        <v>19</v>
      </c>
      <c r="D8" s="5" t="s">
        <v>13</v>
      </c>
      <c r="E8" s="5">
        <v>24</v>
      </c>
      <c r="F8" s="5" t="s">
        <v>14</v>
      </c>
      <c r="G8" s="5">
        <v>80</v>
      </c>
      <c r="H8" s="5">
        <v>92</v>
      </c>
      <c r="I8" s="5">
        <v>75</v>
      </c>
      <c r="J8" s="5">
        <v>92</v>
      </c>
      <c r="K8" s="5">
        <v>76</v>
      </c>
      <c r="L8" s="5">
        <f t="shared" si="0"/>
        <v>83</v>
      </c>
      <c r="M8" s="7" t="str">
        <f t="shared" si="1"/>
        <v>良</v>
      </c>
    </row>
    <row r="9" spans="2:13">
      <c r="B9" s="4">
        <v>190</v>
      </c>
      <c r="C9" s="5" t="s">
        <v>20</v>
      </c>
      <c r="D9" s="5" t="s">
        <v>13</v>
      </c>
      <c r="E9" s="5">
        <v>32</v>
      </c>
      <c r="F9" s="5" t="s">
        <v>14</v>
      </c>
      <c r="G9" s="5">
        <v>85</v>
      </c>
      <c r="H9" s="5">
        <v>69</v>
      </c>
      <c r="I9" s="5">
        <v>92</v>
      </c>
      <c r="J9" s="5">
        <v>69</v>
      </c>
      <c r="K9" s="5">
        <v>89</v>
      </c>
      <c r="L9" s="5">
        <f t="shared" si="0"/>
        <v>80.8</v>
      </c>
      <c r="M9" s="7" t="str">
        <f t="shared" si="1"/>
        <v>良</v>
      </c>
    </row>
    <row r="10" spans="2:13">
      <c r="B10" s="4">
        <v>97</v>
      </c>
      <c r="C10" s="5" t="s">
        <v>21</v>
      </c>
      <c r="D10" s="5" t="s">
        <v>22</v>
      </c>
      <c r="E10" s="5">
        <v>39</v>
      </c>
      <c r="F10" s="5" t="s">
        <v>14</v>
      </c>
      <c r="G10" s="5">
        <v>81</v>
      </c>
      <c r="H10" s="5">
        <v>79</v>
      </c>
      <c r="I10" s="5">
        <v>79</v>
      </c>
      <c r="J10" s="5">
        <v>66</v>
      </c>
      <c r="K10" s="5">
        <v>93</v>
      </c>
      <c r="L10" s="5">
        <f t="shared" si="0"/>
        <v>79.6</v>
      </c>
      <c r="M10" s="7" t="str">
        <f t="shared" si="1"/>
        <v>良</v>
      </c>
    </row>
    <row r="11" spans="2:13">
      <c r="B11" s="4">
        <v>239</v>
      </c>
      <c r="C11" s="5" t="s">
        <v>23</v>
      </c>
      <c r="D11" s="5" t="s">
        <v>13</v>
      </c>
      <c r="E11" s="5">
        <v>32</v>
      </c>
      <c r="F11" s="5" t="s">
        <v>14</v>
      </c>
      <c r="G11" s="5">
        <v>94</v>
      </c>
      <c r="H11" s="5">
        <v>68</v>
      </c>
      <c r="I11" s="5">
        <v>90</v>
      </c>
      <c r="J11" s="5">
        <v>70</v>
      </c>
      <c r="K11" s="5">
        <v>73</v>
      </c>
      <c r="L11" s="5">
        <f t="shared" si="0"/>
        <v>79</v>
      </c>
      <c r="M11" s="7" t="str">
        <f t="shared" si="1"/>
        <v>良</v>
      </c>
    </row>
    <row r="12" spans="2:13">
      <c r="B12" s="4">
        <v>1</v>
      </c>
      <c r="C12" s="5" t="s">
        <v>24</v>
      </c>
      <c r="D12" s="5" t="s">
        <v>13</v>
      </c>
      <c r="E12" s="5">
        <v>48</v>
      </c>
      <c r="F12" s="5" t="s">
        <v>14</v>
      </c>
      <c r="G12" s="5">
        <v>89</v>
      </c>
      <c r="H12" s="5">
        <v>86</v>
      </c>
      <c r="I12" s="5">
        <v>75</v>
      </c>
      <c r="J12" s="5">
        <v>66</v>
      </c>
      <c r="K12" s="5">
        <v>76</v>
      </c>
      <c r="L12" s="5">
        <f t="shared" si="0"/>
        <v>78.4</v>
      </c>
      <c r="M12" s="7" t="str">
        <f t="shared" si="1"/>
        <v>良</v>
      </c>
    </row>
    <row r="13" spans="2:13">
      <c r="B13" s="4">
        <v>233</v>
      </c>
      <c r="C13" s="5" t="s">
        <v>25</v>
      </c>
      <c r="D13" s="5" t="s">
        <v>13</v>
      </c>
      <c r="E13" s="5">
        <v>45</v>
      </c>
      <c r="F13" s="5" t="s">
        <v>14</v>
      </c>
      <c r="G13" s="5">
        <v>66</v>
      </c>
      <c r="H13" s="5">
        <v>85</v>
      </c>
      <c r="I13" s="5">
        <v>73</v>
      </c>
      <c r="J13" s="5">
        <v>82</v>
      </c>
      <c r="K13" s="5">
        <v>84</v>
      </c>
      <c r="L13" s="5">
        <f t="shared" si="0"/>
        <v>78</v>
      </c>
      <c r="M13" s="7" t="str">
        <f t="shared" si="1"/>
        <v>良</v>
      </c>
    </row>
    <row r="14" spans="2:13">
      <c r="B14" s="4">
        <v>189</v>
      </c>
      <c r="C14" s="5" t="s">
        <v>26</v>
      </c>
      <c r="D14" s="5" t="s">
        <v>13</v>
      </c>
      <c r="E14" s="5">
        <v>26</v>
      </c>
      <c r="F14" s="5" t="s">
        <v>14</v>
      </c>
      <c r="G14" s="5">
        <v>70</v>
      </c>
      <c r="H14" s="5">
        <v>70</v>
      </c>
      <c r="I14" s="5">
        <v>88</v>
      </c>
      <c r="J14" s="5">
        <v>88</v>
      </c>
      <c r="K14" s="5">
        <v>71</v>
      </c>
      <c r="L14" s="5">
        <f t="shared" si="0"/>
        <v>77.4</v>
      </c>
      <c r="M14" s="7" t="str">
        <f t="shared" si="1"/>
        <v>良</v>
      </c>
    </row>
    <row r="15" spans="2:13">
      <c r="B15" s="4">
        <v>274</v>
      </c>
      <c r="C15" s="5" t="s">
        <v>27</v>
      </c>
      <c r="D15" s="5" t="s">
        <v>13</v>
      </c>
      <c r="E15" s="5">
        <v>33</v>
      </c>
      <c r="F15" s="5" t="s">
        <v>14</v>
      </c>
      <c r="G15" s="5">
        <v>95</v>
      </c>
      <c r="H15" s="5">
        <v>85</v>
      </c>
      <c r="I15" s="5">
        <v>61</v>
      </c>
      <c r="J15" s="5">
        <v>58</v>
      </c>
      <c r="K15" s="5">
        <v>88</v>
      </c>
      <c r="L15" s="5">
        <f t="shared" si="0"/>
        <v>77.4</v>
      </c>
      <c r="M15" s="7" t="str">
        <f t="shared" si="1"/>
        <v>不合格</v>
      </c>
    </row>
    <row r="16" spans="2:13">
      <c r="B16" s="4">
        <v>30</v>
      </c>
      <c r="C16" s="5" t="s">
        <v>28</v>
      </c>
      <c r="D16" s="5" t="s">
        <v>13</v>
      </c>
      <c r="E16" s="5">
        <v>24</v>
      </c>
      <c r="F16" s="5" t="s">
        <v>14</v>
      </c>
      <c r="G16" s="5">
        <v>67</v>
      </c>
      <c r="H16" s="5">
        <v>83</v>
      </c>
      <c r="I16" s="5">
        <v>94</v>
      </c>
      <c r="J16" s="5">
        <v>63</v>
      </c>
      <c r="K16" s="5">
        <v>79</v>
      </c>
      <c r="L16" s="5">
        <f t="shared" si="0"/>
        <v>77.2</v>
      </c>
      <c r="M16" s="7" t="str">
        <f t="shared" si="1"/>
        <v>良</v>
      </c>
    </row>
    <row r="17" spans="2:13">
      <c r="B17" s="4">
        <v>309</v>
      </c>
      <c r="C17" s="5" t="s">
        <v>29</v>
      </c>
      <c r="D17" s="5" t="s">
        <v>13</v>
      </c>
      <c r="E17" s="5">
        <v>46</v>
      </c>
      <c r="F17" s="5" t="s">
        <v>14</v>
      </c>
      <c r="G17" s="5">
        <v>80</v>
      </c>
      <c r="H17" s="5">
        <v>76</v>
      </c>
      <c r="I17" s="5">
        <v>77</v>
      </c>
      <c r="J17" s="5">
        <v>66</v>
      </c>
      <c r="K17" s="5">
        <v>85</v>
      </c>
      <c r="L17" s="5">
        <f t="shared" si="0"/>
        <v>76.8</v>
      </c>
      <c r="M17" s="7" t="str">
        <f t="shared" si="1"/>
        <v>良</v>
      </c>
    </row>
    <row r="18" spans="2:13">
      <c r="B18" s="4">
        <v>66</v>
      </c>
      <c r="C18" s="5" t="s">
        <v>30</v>
      </c>
      <c r="D18" s="5" t="s">
        <v>22</v>
      </c>
      <c r="E18" s="5">
        <v>29</v>
      </c>
      <c r="F18" s="5" t="s">
        <v>14</v>
      </c>
      <c r="G18" s="5">
        <v>81</v>
      </c>
      <c r="H18" s="5">
        <v>67</v>
      </c>
      <c r="I18" s="5">
        <v>100</v>
      </c>
      <c r="J18" s="5">
        <v>71</v>
      </c>
      <c r="K18" s="5">
        <v>64</v>
      </c>
      <c r="L18" s="5">
        <f t="shared" si="0"/>
        <v>76.6</v>
      </c>
      <c r="M18" s="7" t="str">
        <f t="shared" si="1"/>
        <v>良</v>
      </c>
    </row>
    <row r="19" spans="2:13">
      <c r="B19" s="4">
        <v>188</v>
      </c>
      <c r="C19" s="5" t="s">
        <v>31</v>
      </c>
      <c r="D19" s="5" t="s">
        <v>13</v>
      </c>
      <c r="E19" s="5">
        <v>26</v>
      </c>
      <c r="F19" s="5" t="s">
        <v>14</v>
      </c>
      <c r="G19" s="5">
        <v>63</v>
      </c>
      <c r="H19" s="5">
        <v>69</v>
      </c>
      <c r="I19" s="5">
        <v>87</v>
      </c>
      <c r="J19" s="5">
        <v>78</v>
      </c>
      <c r="K19" s="5">
        <v>81</v>
      </c>
      <c r="L19" s="5">
        <f t="shared" si="0"/>
        <v>75.6</v>
      </c>
      <c r="M19" s="7" t="str">
        <f t="shared" si="1"/>
        <v>良</v>
      </c>
    </row>
    <row r="20" spans="2:13">
      <c r="B20" s="4">
        <v>156</v>
      </c>
      <c r="C20" s="5" t="s">
        <v>32</v>
      </c>
      <c r="D20" s="5" t="s">
        <v>13</v>
      </c>
      <c r="E20" s="5">
        <v>29</v>
      </c>
      <c r="F20" s="5" t="s">
        <v>14</v>
      </c>
      <c r="G20" s="5">
        <v>95</v>
      </c>
      <c r="H20" s="5">
        <v>67</v>
      </c>
      <c r="I20" s="5">
        <v>70</v>
      </c>
      <c r="J20" s="5">
        <v>70</v>
      </c>
      <c r="K20" s="5">
        <v>72</v>
      </c>
      <c r="L20" s="5">
        <f t="shared" si="0"/>
        <v>74.8</v>
      </c>
      <c r="M20" s="7" t="str">
        <f t="shared" si="1"/>
        <v>及格</v>
      </c>
    </row>
    <row r="21" spans="2:13">
      <c r="B21" s="4">
        <v>221</v>
      </c>
      <c r="C21" s="5" t="s">
        <v>33</v>
      </c>
      <c r="D21" s="5" t="s">
        <v>13</v>
      </c>
      <c r="E21" s="5">
        <v>34</v>
      </c>
      <c r="F21" s="5" t="s">
        <v>14</v>
      </c>
      <c r="G21" s="5">
        <v>59</v>
      </c>
      <c r="H21" s="5">
        <v>82</v>
      </c>
      <c r="I21" s="5">
        <v>63</v>
      </c>
      <c r="J21" s="5">
        <v>87</v>
      </c>
      <c r="K21" s="5">
        <v>83</v>
      </c>
      <c r="L21" s="5">
        <f t="shared" si="0"/>
        <v>74.8</v>
      </c>
      <c r="M21" s="7" t="str">
        <f t="shared" si="1"/>
        <v>不合格</v>
      </c>
    </row>
    <row r="22" spans="2:13">
      <c r="B22" s="4">
        <v>77</v>
      </c>
      <c r="C22" s="5" t="s">
        <v>34</v>
      </c>
      <c r="D22" s="5" t="s">
        <v>13</v>
      </c>
      <c r="E22" s="5">
        <v>40</v>
      </c>
      <c r="F22" s="5" t="s">
        <v>14</v>
      </c>
      <c r="G22" s="5">
        <v>84</v>
      </c>
      <c r="H22" s="5">
        <v>85</v>
      </c>
      <c r="I22" s="5">
        <v>60</v>
      </c>
      <c r="J22" s="5">
        <v>58</v>
      </c>
      <c r="K22" s="5">
        <v>84</v>
      </c>
      <c r="L22" s="5">
        <f t="shared" si="0"/>
        <v>74.2</v>
      </c>
      <c r="M22" s="7" t="str">
        <f t="shared" si="1"/>
        <v>不合格</v>
      </c>
    </row>
    <row r="23" spans="2:13">
      <c r="B23" s="4">
        <v>204</v>
      </c>
      <c r="C23" s="5" t="s">
        <v>35</v>
      </c>
      <c r="D23" s="5" t="s">
        <v>13</v>
      </c>
      <c r="E23" s="5">
        <v>36</v>
      </c>
      <c r="F23" s="5" t="s">
        <v>14</v>
      </c>
      <c r="G23" s="5">
        <v>76</v>
      </c>
      <c r="H23" s="5">
        <v>61</v>
      </c>
      <c r="I23" s="5">
        <v>75</v>
      </c>
      <c r="J23" s="5">
        <v>90</v>
      </c>
      <c r="K23" s="5">
        <v>67</v>
      </c>
      <c r="L23" s="5">
        <f t="shared" si="0"/>
        <v>73.8</v>
      </c>
      <c r="M23" s="7" t="str">
        <f t="shared" si="1"/>
        <v>及格</v>
      </c>
    </row>
    <row r="24" spans="2:13">
      <c r="B24" s="4">
        <v>106</v>
      </c>
      <c r="C24" s="5" t="s">
        <v>36</v>
      </c>
      <c r="D24" s="5" t="s">
        <v>13</v>
      </c>
      <c r="E24" s="5">
        <v>35</v>
      </c>
      <c r="F24" s="5" t="s">
        <v>14</v>
      </c>
      <c r="G24" s="5">
        <v>96</v>
      </c>
      <c r="H24" s="5">
        <v>60</v>
      </c>
      <c r="I24" s="5">
        <v>86</v>
      </c>
      <c r="J24" s="5">
        <v>59</v>
      </c>
      <c r="K24" s="5">
        <v>64</v>
      </c>
      <c r="L24" s="5">
        <f t="shared" si="0"/>
        <v>73</v>
      </c>
      <c r="M24" s="7" t="str">
        <f t="shared" si="1"/>
        <v>不合格</v>
      </c>
    </row>
    <row r="25" spans="2:13">
      <c r="B25" s="4">
        <v>62</v>
      </c>
      <c r="C25" s="5" t="s">
        <v>37</v>
      </c>
      <c r="D25" s="5" t="s">
        <v>13</v>
      </c>
      <c r="E25" s="5">
        <v>32</v>
      </c>
      <c r="F25" s="5" t="s">
        <v>14</v>
      </c>
      <c r="G25" s="5">
        <v>71</v>
      </c>
      <c r="H25" s="5">
        <v>69</v>
      </c>
      <c r="I25" s="5">
        <v>67</v>
      </c>
      <c r="J25" s="5">
        <v>69</v>
      </c>
      <c r="K25" s="5">
        <v>88</v>
      </c>
      <c r="L25" s="5">
        <f t="shared" si="0"/>
        <v>72.8</v>
      </c>
      <c r="M25" s="7" t="str">
        <f t="shared" si="1"/>
        <v>及格</v>
      </c>
    </row>
    <row r="26" spans="2:13">
      <c r="B26" s="4">
        <v>333</v>
      </c>
      <c r="C26" s="5" t="s">
        <v>38</v>
      </c>
      <c r="D26" s="5" t="s">
        <v>13</v>
      </c>
      <c r="E26" s="5">
        <v>30</v>
      </c>
      <c r="F26" s="5" t="s">
        <v>14</v>
      </c>
      <c r="G26" s="5">
        <v>76</v>
      </c>
      <c r="H26" s="5">
        <v>61</v>
      </c>
      <c r="I26" s="5">
        <v>92</v>
      </c>
      <c r="J26" s="5">
        <v>71</v>
      </c>
      <c r="K26" s="5">
        <v>59</v>
      </c>
      <c r="L26" s="5">
        <f t="shared" si="0"/>
        <v>71.8</v>
      </c>
      <c r="M26" s="7" t="str">
        <f t="shared" si="1"/>
        <v>不合格</v>
      </c>
    </row>
    <row r="27" spans="2:13">
      <c r="B27" s="4">
        <v>238</v>
      </c>
      <c r="C27" s="5" t="s">
        <v>39</v>
      </c>
      <c r="D27" s="5" t="s">
        <v>22</v>
      </c>
      <c r="E27" s="5">
        <v>51</v>
      </c>
      <c r="F27" s="5" t="s">
        <v>14</v>
      </c>
      <c r="G27" s="5">
        <v>81</v>
      </c>
      <c r="H27" s="5">
        <v>80</v>
      </c>
      <c r="I27" s="5">
        <v>65</v>
      </c>
      <c r="J27" s="5">
        <v>69</v>
      </c>
      <c r="K27" s="5">
        <v>59</v>
      </c>
      <c r="L27" s="5">
        <f t="shared" si="0"/>
        <v>70.8</v>
      </c>
      <c r="M27" s="7" t="str">
        <f t="shared" si="1"/>
        <v>不合格</v>
      </c>
    </row>
    <row r="28" spans="2:13">
      <c r="B28" s="4">
        <v>301</v>
      </c>
      <c r="C28" s="5" t="s">
        <v>40</v>
      </c>
      <c r="D28" s="5" t="s">
        <v>13</v>
      </c>
      <c r="E28" s="5">
        <v>55</v>
      </c>
      <c r="F28" s="5" t="s">
        <v>14</v>
      </c>
      <c r="G28" s="5">
        <v>77</v>
      </c>
      <c r="H28" s="5">
        <v>72</v>
      </c>
      <c r="I28" s="5">
        <v>68</v>
      </c>
      <c r="J28" s="5">
        <v>81</v>
      </c>
      <c r="K28" s="5">
        <v>55</v>
      </c>
      <c r="L28" s="5">
        <f t="shared" si="0"/>
        <v>70.6</v>
      </c>
      <c r="M28" s="7" t="str">
        <f t="shared" si="1"/>
        <v>不合格</v>
      </c>
    </row>
    <row r="29" spans="2:13">
      <c r="B29" s="4">
        <v>28</v>
      </c>
      <c r="C29" s="5" t="s">
        <v>41</v>
      </c>
      <c r="D29" s="5" t="s">
        <v>22</v>
      </c>
      <c r="E29" s="5">
        <v>43</v>
      </c>
      <c r="F29" s="5" t="s">
        <v>14</v>
      </c>
      <c r="G29" s="5">
        <v>68</v>
      </c>
      <c r="H29" s="5">
        <v>80</v>
      </c>
      <c r="I29" s="5">
        <v>63</v>
      </c>
      <c r="J29" s="5">
        <v>80</v>
      </c>
      <c r="K29" s="5">
        <v>61</v>
      </c>
      <c r="L29" s="5">
        <f t="shared" si="0"/>
        <v>70.4</v>
      </c>
      <c r="M29" s="7" t="str">
        <f t="shared" si="1"/>
        <v>及格</v>
      </c>
    </row>
    <row r="30" spans="2:13">
      <c r="B30" s="4">
        <v>175</v>
      </c>
      <c r="C30" s="5" t="s">
        <v>42</v>
      </c>
      <c r="D30" s="5" t="s">
        <v>13</v>
      </c>
      <c r="E30" s="5">
        <v>32</v>
      </c>
      <c r="F30" s="5" t="s">
        <v>14</v>
      </c>
      <c r="G30" s="5">
        <v>63</v>
      </c>
      <c r="H30" s="5">
        <v>89</v>
      </c>
      <c r="I30" s="5">
        <v>75</v>
      </c>
      <c r="J30" s="5">
        <v>63</v>
      </c>
      <c r="K30" s="5">
        <v>60</v>
      </c>
      <c r="L30" s="5">
        <f t="shared" si="0"/>
        <v>70</v>
      </c>
      <c r="M30" s="7" t="str">
        <f t="shared" si="1"/>
        <v>及格</v>
      </c>
    </row>
    <row r="31" spans="2:13">
      <c r="B31" s="4">
        <v>199</v>
      </c>
      <c r="C31" s="5" t="s">
        <v>43</v>
      </c>
      <c r="D31" s="5" t="s">
        <v>22</v>
      </c>
      <c r="E31" s="5">
        <v>42</v>
      </c>
      <c r="F31" s="5" t="s">
        <v>14</v>
      </c>
      <c r="G31" s="5">
        <v>63</v>
      </c>
      <c r="H31" s="5">
        <v>60</v>
      </c>
      <c r="I31" s="5">
        <v>63</v>
      </c>
      <c r="J31" s="5">
        <v>87</v>
      </c>
      <c r="K31" s="5">
        <v>77</v>
      </c>
      <c r="L31" s="5">
        <f t="shared" si="0"/>
        <v>70</v>
      </c>
      <c r="M31" s="7" t="str">
        <f t="shared" si="1"/>
        <v>及格</v>
      </c>
    </row>
    <row r="32" spans="2:13">
      <c r="B32" s="4">
        <v>50</v>
      </c>
      <c r="C32" s="5" t="s">
        <v>44</v>
      </c>
      <c r="D32" s="5" t="s">
        <v>13</v>
      </c>
      <c r="E32" s="5">
        <v>35</v>
      </c>
      <c r="F32" s="5" t="s">
        <v>14</v>
      </c>
      <c r="G32" s="5">
        <v>65</v>
      </c>
      <c r="H32" s="5">
        <v>58</v>
      </c>
      <c r="I32" s="5">
        <v>83</v>
      </c>
      <c r="J32" s="5">
        <v>66</v>
      </c>
      <c r="K32" s="5">
        <v>77</v>
      </c>
      <c r="L32" s="5">
        <f t="shared" si="0"/>
        <v>69.8</v>
      </c>
      <c r="M32" s="7" t="str">
        <f t="shared" si="1"/>
        <v>不合格</v>
      </c>
    </row>
    <row r="33" spans="2:13">
      <c r="B33" s="4">
        <v>81</v>
      </c>
      <c r="C33" s="5" t="s">
        <v>45</v>
      </c>
      <c r="D33" s="5" t="s">
        <v>13</v>
      </c>
      <c r="E33" s="5">
        <v>41</v>
      </c>
      <c r="F33" s="5" t="s">
        <v>14</v>
      </c>
      <c r="G33" s="5">
        <v>88</v>
      </c>
      <c r="H33" s="5">
        <v>77</v>
      </c>
      <c r="I33" s="5">
        <v>61</v>
      </c>
      <c r="J33" s="5">
        <v>63</v>
      </c>
      <c r="K33" s="5">
        <v>58</v>
      </c>
      <c r="L33" s="5">
        <f t="shared" si="0"/>
        <v>69.4</v>
      </c>
      <c r="M33" s="7" t="str">
        <f t="shared" si="1"/>
        <v>不合格</v>
      </c>
    </row>
    <row r="34" spans="2:13">
      <c r="B34" s="4">
        <v>138</v>
      </c>
      <c r="C34" s="5" t="s">
        <v>46</v>
      </c>
      <c r="D34" s="5" t="s">
        <v>13</v>
      </c>
      <c r="E34" s="5">
        <v>42</v>
      </c>
      <c r="F34" s="5" t="s">
        <v>14</v>
      </c>
      <c r="G34" s="5">
        <v>63</v>
      </c>
      <c r="H34" s="5">
        <v>52</v>
      </c>
      <c r="I34" s="5">
        <v>77</v>
      </c>
      <c r="J34" s="5">
        <v>77</v>
      </c>
      <c r="K34" s="5">
        <v>78</v>
      </c>
      <c r="L34" s="5">
        <f t="shared" si="0"/>
        <v>69.4</v>
      </c>
      <c r="M34" s="7" t="str">
        <f t="shared" si="1"/>
        <v>不合格</v>
      </c>
    </row>
    <row r="35" spans="2:13">
      <c r="B35" s="4">
        <v>4</v>
      </c>
      <c r="C35" s="5" t="s">
        <v>47</v>
      </c>
      <c r="D35" s="5" t="s">
        <v>13</v>
      </c>
      <c r="E35" s="5">
        <v>40</v>
      </c>
      <c r="F35" s="5" t="s">
        <v>14</v>
      </c>
      <c r="G35" s="5">
        <v>74</v>
      </c>
      <c r="H35" s="5">
        <v>78</v>
      </c>
      <c r="I35" s="5">
        <v>67</v>
      </c>
      <c r="J35" s="5">
        <v>57</v>
      </c>
      <c r="K35" s="5">
        <v>70</v>
      </c>
      <c r="L35" s="5">
        <f t="shared" si="0"/>
        <v>69.2</v>
      </c>
      <c r="M35" s="7" t="str">
        <f t="shared" si="1"/>
        <v>不合格</v>
      </c>
    </row>
    <row r="36" spans="2:13">
      <c r="B36" s="4">
        <v>270</v>
      </c>
      <c r="C36" s="5" t="s">
        <v>48</v>
      </c>
      <c r="D36" s="5" t="s">
        <v>13</v>
      </c>
      <c r="E36" s="5">
        <v>46</v>
      </c>
      <c r="F36" s="5" t="s">
        <v>14</v>
      </c>
      <c r="G36" s="5">
        <v>54</v>
      </c>
      <c r="H36" s="5">
        <v>69</v>
      </c>
      <c r="I36" s="5">
        <v>65</v>
      </c>
      <c r="J36" s="5">
        <v>80</v>
      </c>
      <c r="K36" s="5">
        <v>74</v>
      </c>
      <c r="L36" s="5">
        <f t="shared" si="0"/>
        <v>68.4</v>
      </c>
      <c r="M36" s="7" t="str">
        <f t="shared" si="1"/>
        <v>不合格</v>
      </c>
    </row>
    <row r="37" spans="2:13">
      <c r="B37" s="4">
        <v>192</v>
      </c>
      <c r="C37" s="5" t="s">
        <v>49</v>
      </c>
      <c r="D37" s="5" t="s">
        <v>13</v>
      </c>
      <c r="E37" s="5">
        <v>44</v>
      </c>
      <c r="F37" s="5" t="s">
        <v>14</v>
      </c>
      <c r="G37" s="5">
        <v>57</v>
      </c>
      <c r="H37" s="5">
        <v>80</v>
      </c>
      <c r="I37" s="5">
        <v>57</v>
      </c>
      <c r="J37" s="5">
        <v>64</v>
      </c>
      <c r="K37" s="5">
        <v>82</v>
      </c>
      <c r="L37" s="5">
        <f t="shared" si="0"/>
        <v>68</v>
      </c>
      <c r="M37" s="7" t="str">
        <f t="shared" si="1"/>
        <v>不合格</v>
      </c>
    </row>
    <row r="38" spans="2:13">
      <c r="B38" s="4">
        <v>126</v>
      </c>
      <c r="C38" s="5" t="s">
        <v>50</v>
      </c>
      <c r="D38" s="5" t="s">
        <v>13</v>
      </c>
      <c r="E38" s="5">
        <v>41</v>
      </c>
      <c r="F38" s="5" t="s">
        <v>14</v>
      </c>
      <c r="G38" s="5">
        <v>61</v>
      </c>
      <c r="H38" s="5">
        <v>82</v>
      </c>
      <c r="I38" s="5">
        <v>66</v>
      </c>
      <c r="J38" s="5">
        <v>78</v>
      </c>
      <c r="K38" s="5">
        <v>52</v>
      </c>
      <c r="L38" s="5">
        <f t="shared" si="0"/>
        <v>67.8</v>
      </c>
      <c r="M38" s="7" t="str">
        <f t="shared" si="1"/>
        <v>不合格</v>
      </c>
    </row>
    <row r="39" spans="2:13">
      <c r="B39" s="4">
        <v>120</v>
      </c>
      <c r="C39" s="5" t="s">
        <v>51</v>
      </c>
      <c r="D39" s="5" t="s">
        <v>22</v>
      </c>
      <c r="E39" s="5">
        <v>46</v>
      </c>
      <c r="F39" s="5" t="s">
        <v>14</v>
      </c>
      <c r="G39" s="5">
        <v>78</v>
      </c>
      <c r="H39" s="5">
        <v>61</v>
      </c>
      <c r="I39" s="5">
        <v>83</v>
      </c>
      <c r="J39" s="5">
        <v>59</v>
      </c>
      <c r="K39" s="5">
        <v>54</v>
      </c>
      <c r="L39" s="5">
        <f t="shared" si="0"/>
        <v>67</v>
      </c>
      <c r="M39" s="7" t="str">
        <f t="shared" si="1"/>
        <v>不合格</v>
      </c>
    </row>
    <row r="40" spans="2:13">
      <c r="B40" s="4">
        <v>305</v>
      </c>
      <c r="C40" s="5" t="s">
        <v>52</v>
      </c>
      <c r="D40" s="5" t="s">
        <v>13</v>
      </c>
      <c r="E40" s="5">
        <v>46</v>
      </c>
      <c r="F40" s="5" t="s">
        <v>14</v>
      </c>
      <c r="G40" s="5">
        <v>83</v>
      </c>
      <c r="H40" s="5">
        <v>55</v>
      </c>
      <c r="I40" s="5">
        <v>79</v>
      </c>
      <c r="J40" s="5">
        <v>58</v>
      </c>
      <c r="K40" s="5">
        <v>59</v>
      </c>
      <c r="L40" s="5">
        <f t="shared" si="0"/>
        <v>66.8</v>
      </c>
      <c r="M40" s="7" t="str">
        <f t="shared" si="1"/>
        <v>不合格</v>
      </c>
    </row>
    <row r="41" spans="2:13">
      <c r="B41" s="4">
        <v>170</v>
      </c>
      <c r="C41" s="5" t="s">
        <v>53</v>
      </c>
      <c r="D41" s="5" t="s">
        <v>13</v>
      </c>
      <c r="E41" s="5">
        <v>43</v>
      </c>
      <c r="F41" s="5" t="s">
        <v>14</v>
      </c>
      <c r="G41" s="5">
        <v>66</v>
      </c>
      <c r="H41" s="5">
        <v>74</v>
      </c>
      <c r="I41" s="5">
        <v>71</v>
      </c>
      <c r="J41" s="5">
        <v>68</v>
      </c>
      <c r="K41" s="5">
        <v>54</v>
      </c>
      <c r="L41" s="5">
        <f t="shared" si="0"/>
        <v>66.6</v>
      </c>
      <c r="M41" s="7" t="str">
        <f t="shared" si="1"/>
        <v>不合格</v>
      </c>
    </row>
    <row r="42" spans="2:13">
      <c r="B42" s="4">
        <v>316</v>
      </c>
      <c r="C42" s="5" t="s">
        <v>54</v>
      </c>
      <c r="D42" s="5" t="s">
        <v>13</v>
      </c>
      <c r="E42" s="5">
        <v>44</v>
      </c>
      <c r="F42" s="5" t="s">
        <v>14</v>
      </c>
      <c r="G42" s="5">
        <v>55</v>
      </c>
      <c r="H42" s="5">
        <v>77</v>
      </c>
      <c r="I42" s="5">
        <v>63</v>
      </c>
      <c r="J42" s="5">
        <v>86</v>
      </c>
      <c r="K42" s="5">
        <v>52</v>
      </c>
      <c r="L42" s="5">
        <f t="shared" si="0"/>
        <v>66.6</v>
      </c>
      <c r="M42" s="7" t="str">
        <f t="shared" si="1"/>
        <v>不合格</v>
      </c>
    </row>
    <row r="43" spans="2:13">
      <c r="B43" s="4">
        <v>151</v>
      </c>
      <c r="C43" s="5" t="s">
        <v>55</v>
      </c>
      <c r="D43" s="5" t="s">
        <v>22</v>
      </c>
      <c r="E43" s="5">
        <v>42</v>
      </c>
      <c r="F43" s="5" t="s">
        <v>14</v>
      </c>
      <c r="G43" s="5">
        <v>65</v>
      </c>
      <c r="H43" s="5">
        <v>55</v>
      </c>
      <c r="I43" s="5">
        <v>65</v>
      </c>
      <c r="J43" s="5">
        <v>87</v>
      </c>
      <c r="K43" s="5">
        <v>55</v>
      </c>
      <c r="L43" s="5">
        <f t="shared" si="0"/>
        <v>65.4</v>
      </c>
      <c r="M43" s="7" t="str">
        <f t="shared" si="1"/>
        <v>不合格</v>
      </c>
    </row>
    <row r="44" spans="2:13">
      <c r="B44" s="4">
        <v>119</v>
      </c>
      <c r="C44" s="5" t="s">
        <v>56</v>
      </c>
      <c r="D44" s="5" t="s">
        <v>13</v>
      </c>
      <c r="E44" s="5">
        <v>43</v>
      </c>
      <c r="F44" s="5" t="s">
        <v>14</v>
      </c>
      <c r="G44" s="5">
        <v>79</v>
      </c>
      <c r="H44" s="5">
        <v>54</v>
      </c>
      <c r="I44" s="5">
        <v>53</v>
      </c>
      <c r="J44" s="5">
        <v>60</v>
      </c>
      <c r="K44" s="5">
        <v>76</v>
      </c>
      <c r="L44" s="5">
        <f t="shared" si="0"/>
        <v>64.4</v>
      </c>
      <c r="M44" s="7" t="str">
        <f t="shared" si="1"/>
        <v>不合格</v>
      </c>
    </row>
    <row r="45" spans="2:13">
      <c r="B45" s="4">
        <v>26</v>
      </c>
      <c r="C45" s="5" t="s">
        <v>57</v>
      </c>
      <c r="D45" s="5" t="s">
        <v>13</v>
      </c>
      <c r="E45" s="5">
        <v>43</v>
      </c>
      <c r="F45" s="5" t="s">
        <v>14</v>
      </c>
      <c r="G45" s="5">
        <v>54</v>
      </c>
      <c r="H45" s="5">
        <v>61</v>
      </c>
      <c r="I45" s="5">
        <v>87</v>
      </c>
      <c r="J45" s="5">
        <v>57</v>
      </c>
      <c r="K45" s="5">
        <v>61</v>
      </c>
      <c r="L45" s="5">
        <f t="shared" si="0"/>
        <v>64</v>
      </c>
      <c r="M45" s="7" t="str">
        <f t="shared" si="1"/>
        <v>不合格</v>
      </c>
    </row>
    <row r="46" spans="2:13">
      <c r="B46" s="4">
        <v>96</v>
      </c>
      <c r="C46" s="5" t="s">
        <v>58</v>
      </c>
      <c r="D46" s="5" t="s">
        <v>13</v>
      </c>
      <c r="E46" s="5">
        <v>49</v>
      </c>
      <c r="F46" s="5" t="s">
        <v>14</v>
      </c>
      <c r="G46" s="5">
        <v>70</v>
      </c>
      <c r="H46" s="5">
        <v>53</v>
      </c>
      <c r="I46" s="5">
        <v>81</v>
      </c>
      <c r="J46" s="5">
        <v>50</v>
      </c>
      <c r="K46" s="5">
        <v>64</v>
      </c>
      <c r="L46" s="5">
        <f t="shared" si="0"/>
        <v>63.6</v>
      </c>
      <c r="M46" s="7" t="str">
        <f t="shared" si="1"/>
        <v>不合格</v>
      </c>
    </row>
    <row r="47" spans="2:13">
      <c r="B47" s="4">
        <v>8</v>
      </c>
      <c r="C47" s="5" t="s">
        <v>59</v>
      </c>
      <c r="D47" s="5" t="s">
        <v>13</v>
      </c>
      <c r="E47" s="5">
        <v>44</v>
      </c>
      <c r="F47" s="5" t="s">
        <v>14</v>
      </c>
      <c r="G47" s="5">
        <v>57</v>
      </c>
      <c r="H47" s="5">
        <v>58</v>
      </c>
      <c r="I47" s="5">
        <v>56</v>
      </c>
      <c r="J47" s="5">
        <v>83</v>
      </c>
      <c r="K47" s="5">
        <v>62</v>
      </c>
      <c r="L47" s="5">
        <f t="shared" si="0"/>
        <v>63.2</v>
      </c>
      <c r="M47" s="7" t="str">
        <f t="shared" si="1"/>
        <v>不合格</v>
      </c>
    </row>
    <row r="48" spans="2:13">
      <c r="B48" s="4">
        <v>180</v>
      </c>
      <c r="C48" s="5" t="s">
        <v>60</v>
      </c>
      <c r="D48" s="5" t="s">
        <v>13</v>
      </c>
      <c r="E48" s="5">
        <v>51</v>
      </c>
      <c r="F48" s="5" t="s">
        <v>14</v>
      </c>
      <c r="G48" s="5">
        <v>57</v>
      </c>
      <c r="H48" s="5">
        <v>59</v>
      </c>
      <c r="I48" s="5">
        <v>52</v>
      </c>
      <c r="J48" s="5">
        <v>71</v>
      </c>
      <c r="K48" s="5">
        <v>71</v>
      </c>
      <c r="L48" s="5">
        <f t="shared" si="0"/>
        <v>62</v>
      </c>
      <c r="M48" s="7" t="str">
        <f t="shared" si="1"/>
        <v>不合格</v>
      </c>
    </row>
    <row r="49" spans="2:13">
      <c r="B49" s="4">
        <v>43</v>
      </c>
      <c r="C49" s="5" t="s">
        <v>61</v>
      </c>
      <c r="D49" s="5" t="s">
        <v>13</v>
      </c>
      <c r="E49" s="5">
        <v>55</v>
      </c>
      <c r="F49" s="5" t="s">
        <v>14</v>
      </c>
      <c r="G49" s="5">
        <v>53</v>
      </c>
      <c r="H49" s="5">
        <v>81</v>
      </c>
      <c r="I49" s="5">
        <v>56</v>
      </c>
      <c r="J49" s="5">
        <v>63</v>
      </c>
      <c r="K49" s="5">
        <v>54</v>
      </c>
      <c r="L49" s="5">
        <f t="shared" si="0"/>
        <v>61.4</v>
      </c>
      <c r="M49" s="7" t="str">
        <f t="shared" si="1"/>
        <v>不合格</v>
      </c>
    </row>
    <row r="50" spans="2:13">
      <c r="B50" s="4">
        <v>27</v>
      </c>
      <c r="C50" s="5" t="s">
        <v>62</v>
      </c>
      <c r="D50" s="5" t="s">
        <v>13</v>
      </c>
      <c r="E50" s="5">
        <v>55</v>
      </c>
      <c r="F50" s="5" t="s">
        <v>14</v>
      </c>
      <c r="G50" s="5">
        <v>58</v>
      </c>
      <c r="H50" s="5">
        <v>61</v>
      </c>
      <c r="I50" s="5">
        <v>57</v>
      </c>
      <c r="J50" s="5">
        <v>81</v>
      </c>
      <c r="K50" s="5">
        <v>49</v>
      </c>
      <c r="L50" s="5">
        <f t="shared" si="0"/>
        <v>61.2</v>
      </c>
      <c r="M50" s="7" t="str">
        <f t="shared" si="1"/>
        <v>不合格</v>
      </c>
    </row>
    <row r="51" spans="2:13">
      <c r="B51" s="4">
        <v>136</v>
      </c>
      <c r="C51" s="5" t="s">
        <v>63</v>
      </c>
      <c r="D51" s="5" t="s">
        <v>13</v>
      </c>
      <c r="E51" s="5">
        <v>38</v>
      </c>
      <c r="F51" s="5" t="s">
        <v>14</v>
      </c>
      <c r="G51" s="5">
        <v>76</v>
      </c>
      <c r="H51" s="5">
        <v>79</v>
      </c>
      <c r="I51" s="5">
        <v>66</v>
      </c>
      <c r="J51" s="5">
        <v>85</v>
      </c>
      <c r="K51" s="5">
        <v>0</v>
      </c>
      <c r="L51" s="5">
        <f t="shared" si="0"/>
        <v>61.2</v>
      </c>
      <c r="M51" s="7" t="str">
        <f t="shared" si="1"/>
        <v>不合格</v>
      </c>
    </row>
    <row r="52" spans="2:13">
      <c r="B52" s="4">
        <v>9</v>
      </c>
      <c r="C52" s="5" t="s">
        <v>64</v>
      </c>
      <c r="D52" s="5" t="s">
        <v>13</v>
      </c>
      <c r="E52" s="5">
        <v>54</v>
      </c>
      <c r="F52" s="5" t="s">
        <v>14</v>
      </c>
      <c r="G52" s="5">
        <v>59</v>
      </c>
      <c r="H52" s="5">
        <v>71</v>
      </c>
      <c r="I52" s="5">
        <v>64</v>
      </c>
      <c r="J52" s="5">
        <v>53</v>
      </c>
      <c r="K52" s="5">
        <v>53</v>
      </c>
      <c r="L52" s="5">
        <f t="shared" si="0"/>
        <v>60</v>
      </c>
      <c r="M52" s="7" t="str">
        <f t="shared" si="1"/>
        <v>不合格</v>
      </c>
    </row>
    <row r="53" spans="2:13">
      <c r="B53" s="4">
        <v>125</v>
      </c>
      <c r="C53" s="5" t="s">
        <v>65</v>
      </c>
      <c r="D53" s="5" t="s">
        <v>13</v>
      </c>
      <c r="E53" s="5">
        <v>49</v>
      </c>
      <c r="F53" s="5" t="s">
        <v>14</v>
      </c>
      <c r="G53" s="5">
        <v>61</v>
      </c>
      <c r="H53" s="5">
        <v>69</v>
      </c>
      <c r="I53" s="5">
        <v>73</v>
      </c>
      <c r="J53" s="5">
        <v>48</v>
      </c>
      <c r="K53" s="5">
        <v>46</v>
      </c>
      <c r="L53" s="5">
        <f t="shared" si="0"/>
        <v>59.4</v>
      </c>
      <c r="M53" s="7" t="str">
        <f t="shared" si="1"/>
        <v>不合格</v>
      </c>
    </row>
    <row r="54" spans="2:13">
      <c r="B54" s="4">
        <v>37</v>
      </c>
      <c r="C54" s="5" t="s">
        <v>66</v>
      </c>
      <c r="D54" s="5" t="s">
        <v>13</v>
      </c>
      <c r="E54" s="5">
        <v>54</v>
      </c>
      <c r="F54" s="5" t="s">
        <v>14</v>
      </c>
      <c r="G54" s="5">
        <v>48</v>
      </c>
      <c r="H54" s="5">
        <v>66</v>
      </c>
      <c r="I54" s="5">
        <v>57</v>
      </c>
      <c r="J54" s="5">
        <v>49</v>
      </c>
      <c r="K54" s="5">
        <v>70</v>
      </c>
      <c r="L54" s="5">
        <f t="shared" si="0"/>
        <v>58</v>
      </c>
      <c r="M54" s="7" t="str">
        <f t="shared" si="1"/>
        <v>不合格</v>
      </c>
    </row>
    <row r="55" spans="2:13">
      <c r="B55" s="4">
        <v>72</v>
      </c>
      <c r="C55" s="5" t="s">
        <v>67</v>
      </c>
      <c r="D55" s="5" t="s">
        <v>13</v>
      </c>
      <c r="E55" s="5">
        <v>41</v>
      </c>
      <c r="F55" s="5" t="s">
        <v>14</v>
      </c>
      <c r="G55" s="5">
        <v>52</v>
      </c>
      <c r="H55" s="5">
        <v>87</v>
      </c>
      <c r="I55" s="5">
        <v>88</v>
      </c>
      <c r="J55" s="5">
        <v>0</v>
      </c>
      <c r="K55" s="5">
        <v>63</v>
      </c>
      <c r="L55" s="5">
        <f t="shared" si="0"/>
        <v>58</v>
      </c>
      <c r="M55" s="7" t="str">
        <f t="shared" si="1"/>
        <v>不合格</v>
      </c>
    </row>
    <row r="56" spans="2:13">
      <c r="B56" s="4">
        <v>205</v>
      </c>
      <c r="C56" s="5" t="s">
        <v>68</v>
      </c>
      <c r="D56" s="5" t="s">
        <v>13</v>
      </c>
      <c r="E56" s="5">
        <v>49</v>
      </c>
      <c r="F56" s="5" t="s">
        <v>14</v>
      </c>
      <c r="G56" s="5">
        <v>79</v>
      </c>
      <c r="H56" s="5">
        <v>0</v>
      </c>
      <c r="I56" s="5">
        <v>66</v>
      </c>
      <c r="J56" s="5">
        <v>71</v>
      </c>
      <c r="K56" s="5">
        <v>68</v>
      </c>
      <c r="L56" s="5">
        <f t="shared" si="0"/>
        <v>56.8</v>
      </c>
      <c r="M56" s="7" t="str">
        <f t="shared" si="1"/>
        <v>不合格</v>
      </c>
    </row>
    <row r="57" spans="2:13">
      <c r="B57" s="4">
        <v>18</v>
      </c>
      <c r="C57" s="5" t="s">
        <v>69</v>
      </c>
      <c r="D57" s="5" t="s">
        <v>13</v>
      </c>
      <c r="E57" s="5">
        <v>51</v>
      </c>
      <c r="F57" s="5" t="s">
        <v>14</v>
      </c>
      <c r="G57" s="5">
        <v>71</v>
      </c>
      <c r="H57" s="5">
        <v>45</v>
      </c>
      <c r="I57" s="5">
        <v>52</v>
      </c>
      <c r="J57" s="5">
        <v>52</v>
      </c>
      <c r="K57" s="5">
        <v>55</v>
      </c>
      <c r="L57" s="5">
        <f t="shared" si="0"/>
        <v>55</v>
      </c>
      <c r="M57" s="7" t="str">
        <f t="shared" si="1"/>
        <v>不合格</v>
      </c>
    </row>
    <row r="58" spans="2:13">
      <c r="B58" s="4">
        <v>148</v>
      </c>
      <c r="C58" s="5" t="s">
        <v>70</v>
      </c>
      <c r="D58" s="5" t="s">
        <v>13</v>
      </c>
      <c r="E58" s="5">
        <v>40</v>
      </c>
      <c r="F58" s="5" t="s">
        <v>14</v>
      </c>
      <c r="G58" s="5">
        <v>70</v>
      </c>
      <c r="H58" s="5">
        <v>0</v>
      </c>
      <c r="I58" s="5">
        <v>77</v>
      </c>
      <c r="J58" s="5">
        <v>54</v>
      </c>
      <c r="K58" s="5">
        <v>65</v>
      </c>
      <c r="L58" s="5">
        <f t="shared" si="0"/>
        <v>53.2</v>
      </c>
      <c r="M58" s="7" t="str">
        <f t="shared" si="1"/>
        <v>不合格</v>
      </c>
    </row>
    <row r="59" spans="2:13">
      <c r="B59" s="4">
        <v>227</v>
      </c>
      <c r="C59" s="5" t="s">
        <v>71</v>
      </c>
      <c r="D59" s="5" t="s">
        <v>13</v>
      </c>
      <c r="E59" s="5">
        <v>45</v>
      </c>
      <c r="F59" s="5" t="s">
        <v>14</v>
      </c>
      <c r="G59" s="5">
        <v>55</v>
      </c>
      <c r="H59" s="5">
        <v>73</v>
      </c>
      <c r="I59" s="5">
        <v>61</v>
      </c>
      <c r="J59" s="5">
        <v>0</v>
      </c>
      <c r="K59" s="5">
        <v>60</v>
      </c>
      <c r="L59" s="5">
        <f t="shared" si="0"/>
        <v>49.8</v>
      </c>
      <c r="M59" s="7" t="str">
        <f t="shared" si="1"/>
        <v>不合格</v>
      </c>
    </row>
    <row r="60" spans="2:13">
      <c r="B60" s="4">
        <v>261</v>
      </c>
      <c r="C60" s="5" t="s">
        <v>72</v>
      </c>
      <c r="D60" s="5" t="s">
        <v>22</v>
      </c>
      <c r="E60" s="5">
        <v>33</v>
      </c>
      <c r="F60" s="5" t="s">
        <v>73</v>
      </c>
      <c r="G60" s="5">
        <v>92</v>
      </c>
      <c r="H60" s="5">
        <v>75</v>
      </c>
      <c r="I60" s="5">
        <v>93</v>
      </c>
      <c r="J60" s="5">
        <v>86</v>
      </c>
      <c r="K60" s="5">
        <v>87</v>
      </c>
      <c r="L60" s="5">
        <f t="shared" si="0"/>
        <v>86.6</v>
      </c>
      <c r="M60" s="7" t="str">
        <f t="shared" si="1"/>
        <v>优</v>
      </c>
    </row>
    <row r="61" spans="2:13">
      <c r="B61" s="4">
        <v>272</v>
      </c>
      <c r="C61" s="5" t="s">
        <v>74</v>
      </c>
      <c r="D61" s="5" t="s">
        <v>13</v>
      </c>
      <c r="E61" s="5">
        <v>32</v>
      </c>
      <c r="F61" s="5" t="s">
        <v>73</v>
      </c>
      <c r="G61" s="5">
        <v>80</v>
      </c>
      <c r="H61" s="5">
        <v>92</v>
      </c>
      <c r="I61" s="5">
        <v>66</v>
      </c>
      <c r="J61" s="5">
        <v>95</v>
      </c>
      <c r="K61" s="5">
        <v>95</v>
      </c>
      <c r="L61" s="5">
        <f t="shared" si="0"/>
        <v>85.6</v>
      </c>
      <c r="M61" s="7" t="str">
        <f t="shared" si="1"/>
        <v>优</v>
      </c>
    </row>
    <row r="62" spans="2:13">
      <c r="B62" s="4">
        <v>141</v>
      </c>
      <c r="C62" s="5" t="s">
        <v>75</v>
      </c>
      <c r="D62" s="5" t="s">
        <v>13</v>
      </c>
      <c r="E62" s="5">
        <v>34</v>
      </c>
      <c r="F62" s="5" t="s">
        <v>73</v>
      </c>
      <c r="G62" s="5">
        <v>95</v>
      </c>
      <c r="H62" s="5">
        <v>73</v>
      </c>
      <c r="I62" s="5">
        <v>79</v>
      </c>
      <c r="J62" s="5">
        <v>90</v>
      </c>
      <c r="K62" s="5">
        <v>85</v>
      </c>
      <c r="L62" s="5">
        <f t="shared" si="0"/>
        <v>84.4</v>
      </c>
      <c r="M62" s="7" t="str">
        <f t="shared" si="1"/>
        <v>良</v>
      </c>
    </row>
    <row r="63" spans="2:13">
      <c r="B63" s="4">
        <v>172</v>
      </c>
      <c r="C63" s="5" t="s">
        <v>76</v>
      </c>
      <c r="D63" s="5" t="s">
        <v>13</v>
      </c>
      <c r="E63" s="5">
        <v>24</v>
      </c>
      <c r="F63" s="5" t="s">
        <v>73</v>
      </c>
      <c r="G63" s="5">
        <v>71</v>
      </c>
      <c r="H63" s="5">
        <v>73</v>
      </c>
      <c r="I63" s="5">
        <v>99</v>
      </c>
      <c r="J63" s="5">
        <v>92</v>
      </c>
      <c r="K63" s="5">
        <v>84</v>
      </c>
      <c r="L63" s="5">
        <f t="shared" si="0"/>
        <v>83.8</v>
      </c>
      <c r="M63" s="7" t="str">
        <f t="shared" si="1"/>
        <v>良</v>
      </c>
    </row>
    <row r="64" spans="2:13">
      <c r="B64" s="4">
        <v>245</v>
      </c>
      <c r="C64" s="5" t="s">
        <v>77</v>
      </c>
      <c r="D64" s="5" t="s">
        <v>13</v>
      </c>
      <c r="E64" s="5">
        <v>30</v>
      </c>
      <c r="F64" s="5" t="s">
        <v>73</v>
      </c>
      <c r="G64" s="5">
        <v>91</v>
      </c>
      <c r="H64" s="5">
        <v>95</v>
      </c>
      <c r="I64" s="5">
        <v>63</v>
      </c>
      <c r="J64" s="5">
        <v>94</v>
      </c>
      <c r="K64" s="5">
        <v>74</v>
      </c>
      <c r="L64" s="5">
        <f t="shared" si="0"/>
        <v>83.4</v>
      </c>
      <c r="M64" s="7" t="str">
        <f t="shared" si="1"/>
        <v>良</v>
      </c>
    </row>
    <row r="65" spans="2:13">
      <c r="B65" s="4">
        <v>40</v>
      </c>
      <c r="C65" s="5" t="s">
        <v>78</v>
      </c>
      <c r="D65" s="5" t="s">
        <v>13</v>
      </c>
      <c r="E65" s="5">
        <v>24</v>
      </c>
      <c r="F65" s="5" t="s">
        <v>73</v>
      </c>
      <c r="G65" s="5">
        <v>68</v>
      </c>
      <c r="H65" s="5">
        <v>100</v>
      </c>
      <c r="I65" s="5">
        <v>75</v>
      </c>
      <c r="J65" s="5">
        <v>96</v>
      </c>
      <c r="K65" s="5">
        <v>77</v>
      </c>
      <c r="L65" s="5">
        <f t="shared" si="0"/>
        <v>83.2</v>
      </c>
      <c r="M65" s="7" t="str">
        <f t="shared" si="1"/>
        <v>良</v>
      </c>
    </row>
    <row r="66" spans="2:13">
      <c r="B66" s="4">
        <v>84</v>
      </c>
      <c r="C66" s="5" t="s">
        <v>79</v>
      </c>
      <c r="D66" s="5" t="s">
        <v>13</v>
      </c>
      <c r="E66" s="5">
        <v>27</v>
      </c>
      <c r="F66" s="5" t="s">
        <v>73</v>
      </c>
      <c r="G66" s="5">
        <v>92</v>
      </c>
      <c r="H66" s="5">
        <v>68</v>
      </c>
      <c r="I66" s="5">
        <v>82</v>
      </c>
      <c r="J66" s="5">
        <v>93</v>
      </c>
      <c r="K66" s="5">
        <v>73</v>
      </c>
      <c r="L66" s="5">
        <f t="shared" si="0"/>
        <v>81.6</v>
      </c>
      <c r="M66" s="7" t="str">
        <f t="shared" si="1"/>
        <v>良</v>
      </c>
    </row>
    <row r="67" spans="2:13">
      <c r="B67" s="4">
        <v>277</v>
      </c>
      <c r="C67" s="5" t="s">
        <v>80</v>
      </c>
      <c r="D67" s="5" t="s">
        <v>13</v>
      </c>
      <c r="E67" s="5">
        <v>28</v>
      </c>
      <c r="F67" s="5" t="s">
        <v>73</v>
      </c>
      <c r="G67" s="5">
        <v>77</v>
      </c>
      <c r="H67" s="5">
        <v>98</v>
      </c>
      <c r="I67" s="5">
        <v>73</v>
      </c>
      <c r="J67" s="5">
        <v>67</v>
      </c>
      <c r="K67" s="5">
        <v>92</v>
      </c>
      <c r="L67" s="5">
        <f t="shared" ref="L67:L130" si="2">AVERAGE(G67:K67)</f>
        <v>81.4</v>
      </c>
      <c r="M67" s="7" t="str">
        <f t="shared" ref="M67:M130" si="3">IF(OR(G67&lt;60,H67&lt;60,I67&lt;60,J67&lt;60,K67&lt;60),"不合格",IF(L67&lt;75,"及格",IF(L67&lt;85,"良","优")))</f>
        <v>良</v>
      </c>
    </row>
    <row r="68" spans="2:13">
      <c r="B68" s="4">
        <v>279</v>
      </c>
      <c r="C68" s="5" t="s">
        <v>81</v>
      </c>
      <c r="D68" s="5" t="s">
        <v>13</v>
      </c>
      <c r="E68" s="5">
        <v>36</v>
      </c>
      <c r="F68" s="5" t="s">
        <v>73</v>
      </c>
      <c r="G68" s="5">
        <v>83</v>
      </c>
      <c r="H68" s="5">
        <v>73</v>
      </c>
      <c r="I68" s="5">
        <v>72</v>
      </c>
      <c r="J68" s="5">
        <v>88</v>
      </c>
      <c r="K68" s="5">
        <v>88</v>
      </c>
      <c r="L68" s="5">
        <f t="shared" si="2"/>
        <v>80.8</v>
      </c>
      <c r="M68" s="7" t="str">
        <f t="shared" si="3"/>
        <v>良</v>
      </c>
    </row>
    <row r="69" spans="2:13">
      <c r="B69" s="4">
        <v>254</v>
      </c>
      <c r="C69" s="5" t="s">
        <v>82</v>
      </c>
      <c r="D69" s="5" t="s">
        <v>13</v>
      </c>
      <c r="E69" s="5">
        <v>38</v>
      </c>
      <c r="F69" s="5" t="s">
        <v>73</v>
      </c>
      <c r="G69" s="5">
        <v>62</v>
      </c>
      <c r="H69" s="5">
        <v>86</v>
      </c>
      <c r="I69" s="5">
        <v>95</v>
      </c>
      <c r="J69" s="5">
        <v>76</v>
      </c>
      <c r="K69" s="5">
        <v>84</v>
      </c>
      <c r="L69" s="5">
        <f t="shared" si="2"/>
        <v>80.6</v>
      </c>
      <c r="M69" s="7" t="str">
        <f t="shared" si="3"/>
        <v>良</v>
      </c>
    </row>
    <row r="70" spans="2:13">
      <c r="B70" s="4">
        <v>280</v>
      </c>
      <c r="C70" s="5" t="s">
        <v>83</v>
      </c>
      <c r="D70" s="5" t="s">
        <v>13</v>
      </c>
      <c r="E70" s="5">
        <v>32</v>
      </c>
      <c r="F70" s="5" t="s">
        <v>73</v>
      </c>
      <c r="G70" s="5">
        <v>88</v>
      </c>
      <c r="H70" s="5">
        <v>89</v>
      </c>
      <c r="I70" s="5">
        <v>82</v>
      </c>
      <c r="J70" s="5">
        <v>64</v>
      </c>
      <c r="K70" s="5">
        <v>80</v>
      </c>
      <c r="L70" s="5">
        <f t="shared" si="2"/>
        <v>80.6</v>
      </c>
      <c r="M70" s="7" t="str">
        <f t="shared" si="3"/>
        <v>良</v>
      </c>
    </row>
    <row r="71" spans="2:13">
      <c r="B71" s="4">
        <v>174</v>
      </c>
      <c r="C71" s="5" t="s">
        <v>84</v>
      </c>
      <c r="D71" s="5" t="s">
        <v>13</v>
      </c>
      <c r="E71" s="5">
        <v>38</v>
      </c>
      <c r="F71" s="5" t="s">
        <v>73</v>
      </c>
      <c r="G71" s="5">
        <v>89</v>
      </c>
      <c r="H71" s="5">
        <v>58</v>
      </c>
      <c r="I71" s="5">
        <v>91</v>
      </c>
      <c r="J71" s="5">
        <v>86</v>
      </c>
      <c r="K71" s="5">
        <v>78</v>
      </c>
      <c r="L71" s="5">
        <f t="shared" si="2"/>
        <v>80.4</v>
      </c>
      <c r="M71" s="7" t="str">
        <f t="shared" si="3"/>
        <v>不合格</v>
      </c>
    </row>
    <row r="72" spans="2:13">
      <c r="B72" s="4">
        <v>325</v>
      </c>
      <c r="C72" s="5" t="s">
        <v>85</v>
      </c>
      <c r="D72" s="5" t="s">
        <v>13</v>
      </c>
      <c r="E72" s="5">
        <v>31</v>
      </c>
      <c r="F72" s="5" t="s">
        <v>73</v>
      </c>
      <c r="G72" s="5">
        <v>96</v>
      </c>
      <c r="H72" s="5">
        <v>66</v>
      </c>
      <c r="I72" s="5">
        <v>84</v>
      </c>
      <c r="J72" s="5">
        <v>91</v>
      </c>
      <c r="K72" s="5">
        <v>64</v>
      </c>
      <c r="L72" s="5">
        <f t="shared" si="2"/>
        <v>80.2</v>
      </c>
      <c r="M72" s="7" t="str">
        <f t="shared" si="3"/>
        <v>良</v>
      </c>
    </row>
    <row r="73" spans="2:13">
      <c r="B73" s="4">
        <v>64</v>
      </c>
      <c r="C73" s="5" t="s">
        <v>86</v>
      </c>
      <c r="D73" s="5" t="s">
        <v>13</v>
      </c>
      <c r="E73" s="5">
        <v>38</v>
      </c>
      <c r="F73" s="5" t="s">
        <v>73</v>
      </c>
      <c r="G73" s="5">
        <v>61</v>
      </c>
      <c r="H73" s="5">
        <v>83</v>
      </c>
      <c r="I73" s="5">
        <v>95</v>
      </c>
      <c r="J73" s="5">
        <v>61</v>
      </c>
      <c r="K73" s="5">
        <v>93</v>
      </c>
      <c r="L73" s="5">
        <f t="shared" si="2"/>
        <v>78.6</v>
      </c>
      <c r="M73" s="7" t="str">
        <f t="shared" si="3"/>
        <v>良</v>
      </c>
    </row>
    <row r="74" spans="2:13">
      <c r="B74" s="4">
        <v>206</v>
      </c>
      <c r="C74" s="5" t="s">
        <v>87</v>
      </c>
      <c r="D74" s="5" t="s">
        <v>13</v>
      </c>
      <c r="E74" s="5">
        <v>28</v>
      </c>
      <c r="F74" s="5" t="s">
        <v>73</v>
      </c>
      <c r="G74" s="5">
        <v>63</v>
      </c>
      <c r="H74" s="5">
        <v>63</v>
      </c>
      <c r="I74" s="5">
        <v>84</v>
      </c>
      <c r="J74" s="5">
        <v>98</v>
      </c>
      <c r="K74" s="5">
        <v>80</v>
      </c>
      <c r="L74" s="5">
        <f t="shared" si="2"/>
        <v>77.6</v>
      </c>
      <c r="M74" s="7" t="str">
        <f t="shared" si="3"/>
        <v>良</v>
      </c>
    </row>
    <row r="75" spans="2:13">
      <c r="B75" s="4">
        <v>176</v>
      </c>
      <c r="C75" s="5" t="s">
        <v>88</v>
      </c>
      <c r="D75" s="5" t="s">
        <v>13</v>
      </c>
      <c r="E75" s="5">
        <v>34</v>
      </c>
      <c r="F75" s="5" t="s">
        <v>73</v>
      </c>
      <c r="G75" s="5">
        <v>85</v>
      </c>
      <c r="H75" s="5">
        <v>61</v>
      </c>
      <c r="I75" s="5">
        <v>71</v>
      </c>
      <c r="J75" s="5">
        <v>77</v>
      </c>
      <c r="K75" s="5">
        <v>90</v>
      </c>
      <c r="L75" s="5">
        <f t="shared" si="2"/>
        <v>76.8</v>
      </c>
      <c r="M75" s="7" t="str">
        <f t="shared" si="3"/>
        <v>良</v>
      </c>
    </row>
    <row r="76" spans="2:13">
      <c r="B76" s="4">
        <v>128</v>
      </c>
      <c r="C76" s="5" t="s">
        <v>89</v>
      </c>
      <c r="D76" s="5" t="s">
        <v>22</v>
      </c>
      <c r="E76" s="5">
        <v>37</v>
      </c>
      <c r="F76" s="5" t="s">
        <v>73</v>
      </c>
      <c r="G76" s="5">
        <v>93</v>
      </c>
      <c r="H76" s="5">
        <v>71</v>
      </c>
      <c r="I76" s="5">
        <v>82</v>
      </c>
      <c r="J76" s="5">
        <v>66</v>
      </c>
      <c r="K76" s="5">
        <v>68</v>
      </c>
      <c r="L76" s="5">
        <f t="shared" si="2"/>
        <v>76</v>
      </c>
      <c r="M76" s="7" t="str">
        <f t="shared" si="3"/>
        <v>良</v>
      </c>
    </row>
    <row r="77" spans="2:13">
      <c r="B77" s="4">
        <v>331</v>
      </c>
      <c r="C77" s="5" t="s">
        <v>90</v>
      </c>
      <c r="D77" s="5" t="s">
        <v>13</v>
      </c>
      <c r="E77" s="5">
        <v>26</v>
      </c>
      <c r="F77" s="5" t="s">
        <v>73</v>
      </c>
      <c r="G77" s="5">
        <v>89</v>
      </c>
      <c r="H77" s="5">
        <v>65</v>
      </c>
      <c r="I77" s="5">
        <v>86</v>
      </c>
      <c r="J77" s="5">
        <v>72</v>
      </c>
      <c r="K77" s="5">
        <v>67</v>
      </c>
      <c r="L77" s="5">
        <f t="shared" si="2"/>
        <v>75.8</v>
      </c>
      <c r="M77" s="7" t="str">
        <f t="shared" si="3"/>
        <v>良</v>
      </c>
    </row>
    <row r="78" spans="2:13">
      <c r="B78" s="4">
        <v>332</v>
      </c>
      <c r="C78" s="5" t="s">
        <v>91</v>
      </c>
      <c r="D78" s="5" t="s">
        <v>13</v>
      </c>
      <c r="E78" s="5">
        <v>27</v>
      </c>
      <c r="F78" s="5" t="s">
        <v>73</v>
      </c>
      <c r="G78" s="5">
        <v>73</v>
      </c>
      <c r="H78" s="5">
        <v>63</v>
      </c>
      <c r="I78" s="5">
        <v>98</v>
      </c>
      <c r="J78" s="5">
        <v>72</v>
      </c>
      <c r="K78" s="5">
        <v>71</v>
      </c>
      <c r="L78" s="5">
        <f t="shared" si="2"/>
        <v>75.4</v>
      </c>
      <c r="M78" s="7" t="str">
        <f t="shared" si="3"/>
        <v>良</v>
      </c>
    </row>
    <row r="79" spans="2:13">
      <c r="B79" s="4">
        <v>14</v>
      </c>
      <c r="C79" s="5" t="s">
        <v>92</v>
      </c>
      <c r="D79" s="5" t="s">
        <v>13</v>
      </c>
      <c r="E79" s="5">
        <v>37</v>
      </c>
      <c r="F79" s="5" t="s">
        <v>73</v>
      </c>
      <c r="G79" s="5">
        <v>85</v>
      </c>
      <c r="H79" s="5">
        <v>61</v>
      </c>
      <c r="I79" s="5">
        <v>68</v>
      </c>
      <c r="J79" s="5">
        <v>89</v>
      </c>
      <c r="K79" s="5">
        <v>72</v>
      </c>
      <c r="L79" s="5">
        <f t="shared" si="2"/>
        <v>75</v>
      </c>
      <c r="M79" s="7" t="str">
        <f t="shared" si="3"/>
        <v>良</v>
      </c>
    </row>
    <row r="80" spans="2:13">
      <c r="B80" s="4">
        <v>228</v>
      </c>
      <c r="C80" s="5" t="s">
        <v>93</v>
      </c>
      <c r="D80" s="5" t="s">
        <v>13</v>
      </c>
      <c r="E80" s="5">
        <v>37</v>
      </c>
      <c r="F80" s="5" t="s">
        <v>73</v>
      </c>
      <c r="G80" s="5">
        <v>59</v>
      </c>
      <c r="H80" s="5">
        <v>91</v>
      </c>
      <c r="I80" s="5">
        <v>79</v>
      </c>
      <c r="J80" s="5">
        <v>88</v>
      </c>
      <c r="K80" s="5">
        <v>58</v>
      </c>
      <c r="L80" s="5">
        <f t="shared" si="2"/>
        <v>75</v>
      </c>
      <c r="M80" s="7" t="str">
        <f t="shared" si="3"/>
        <v>不合格</v>
      </c>
    </row>
    <row r="81" spans="2:13">
      <c r="B81" s="4">
        <v>90</v>
      </c>
      <c r="C81" s="5" t="s">
        <v>94</v>
      </c>
      <c r="D81" s="5" t="s">
        <v>13</v>
      </c>
      <c r="E81" s="5">
        <v>27</v>
      </c>
      <c r="F81" s="5" t="s">
        <v>73</v>
      </c>
      <c r="G81" s="5">
        <v>85</v>
      </c>
      <c r="H81" s="5">
        <v>64</v>
      </c>
      <c r="I81" s="5">
        <v>78</v>
      </c>
      <c r="J81" s="5">
        <v>77</v>
      </c>
      <c r="K81" s="5">
        <v>70</v>
      </c>
      <c r="L81" s="5">
        <f t="shared" si="2"/>
        <v>74.8</v>
      </c>
      <c r="M81" s="7" t="str">
        <f t="shared" si="3"/>
        <v>及格</v>
      </c>
    </row>
    <row r="82" spans="2:13">
      <c r="B82" s="4">
        <v>177</v>
      </c>
      <c r="C82" s="5" t="s">
        <v>95</v>
      </c>
      <c r="D82" s="5" t="s">
        <v>13</v>
      </c>
      <c r="E82" s="5">
        <v>44</v>
      </c>
      <c r="F82" s="5" t="s">
        <v>73</v>
      </c>
      <c r="G82" s="5">
        <v>84</v>
      </c>
      <c r="H82" s="5">
        <v>58</v>
      </c>
      <c r="I82" s="5">
        <v>65</v>
      </c>
      <c r="J82" s="5">
        <v>83</v>
      </c>
      <c r="K82" s="5">
        <v>84</v>
      </c>
      <c r="L82" s="5">
        <f t="shared" si="2"/>
        <v>74.8</v>
      </c>
      <c r="M82" s="7" t="str">
        <f t="shared" si="3"/>
        <v>不合格</v>
      </c>
    </row>
    <row r="83" spans="2:13">
      <c r="B83" s="4">
        <v>264</v>
      </c>
      <c r="C83" s="5" t="s">
        <v>96</v>
      </c>
      <c r="D83" s="5" t="s">
        <v>22</v>
      </c>
      <c r="E83" s="5">
        <v>44</v>
      </c>
      <c r="F83" s="5" t="s">
        <v>73</v>
      </c>
      <c r="G83" s="5">
        <v>79</v>
      </c>
      <c r="H83" s="5">
        <v>76</v>
      </c>
      <c r="I83" s="5">
        <v>76</v>
      </c>
      <c r="J83" s="5">
        <v>55</v>
      </c>
      <c r="K83" s="5">
        <v>88</v>
      </c>
      <c r="L83" s="5">
        <f t="shared" si="2"/>
        <v>74.8</v>
      </c>
      <c r="M83" s="7" t="str">
        <f t="shared" si="3"/>
        <v>不合格</v>
      </c>
    </row>
    <row r="84" spans="2:13">
      <c r="B84" s="4">
        <v>70</v>
      </c>
      <c r="C84" s="5" t="s">
        <v>97</v>
      </c>
      <c r="D84" s="5" t="s">
        <v>13</v>
      </c>
      <c r="E84" s="5">
        <v>43</v>
      </c>
      <c r="F84" s="5" t="s">
        <v>73</v>
      </c>
      <c r="G84" s="5">
        <v>52</v>
      </c>
      <c r="H84" s="5">
        <v>77</v>
      </c>
      <c r="I84" s="5">
        <v>84</v>
      </c>
      <c r="J84" s="5">
        <v>81</v>
      </c>
      <c r="K84" s="5">
        <v>79</v>
      </c>
      <c r="L84" s="5">
        <f t="shared" si="2"/>
        <v>74.6</v>
      </c>
      <c r="M84" s="7" t="str">
        <f t="shared" si="3"/>
        <v>不合格</v>
      </c>
    </row>
    <row r="85" spans="2:13">
      <c r="B85" s="4">
        <v>208</v>
      </c>
      <c r="C85" s="5" t="s">
        <v>98</v>
      </c>
      <c r="D85" s="5" t="s">
        <v>13</v>
      </c>
      <c r="E85" s="5">
        <v>48</v>
      </c>
      <c r="F85" s="5" t="s">
        <v>73</v>
      </c>
      <c r="G85" s="5">
        <v>70</v>
      </c>
      <c r="H85" s="5">
        <v>71</v>
      </c>
      <c r="I85" s="5">
        <v>77</v>
      </c>
      <c r="J85" s="5">
        <v>85</v>
      </c>
      <c r="K85" s="5">
        <v>69</v>
      </c>
      <c r="L85" s="5">
        <f t="shared" si="2"/>
        <v>74.4</v>
      </c>
      <c r="M85" s="7" t="str">
        <f t="shared" si="3"/>
        <v>及格</v>
      </c>
    </row>
    <row r="86" spans="2:13">
      <c r="B86" s="4">
        <v>104</v>
      </c>
      <c r="C86" s="5" t="s">
        <v>99</v>
      </c>
      <c r="D86" s="5" t="s">
        <v>13</v>
      </c>
      <c r="E86" s="5">
        <v>41</v>
      </c>
      <c r="F86" s="5" t="s">
        <v>73</v>
      </c>
      <c r="G86" s="5">
        <v>77</v>
      </c>
      <c r="H86" s="5">
        <v>82</v>
      </c>
      <c r="I86" s="5">
        <v>64</v>
      </c>
      <c r="J86" s="5">
        <v>59</v>
      </c>
      <c r="K86" s="5">
        <v>88</v>
      </c>
      <c r="L86" s="5">
        <f t="shared" si="2"/>
        <v>74</v>
      </c>
      <c r="M86" s="7" t="str">
        <f t="shared" si="3"/>
        <v>不合格</v>
      </c>
    </row>
    <row r="87" spans="2:13">
      <c r="B87" s="4">
        <v>256</v>
      </c>
      <c r="C87" s="5" t="s">
        <v>100</v>
      </c>
      <c r="D87" s="5" t="s">
        <v>13</v>
      </c>
      <c r="E87" s="5">
        <v>29</v>
      </c>
      <c r="F87" s="5" t="s">
        <v>73</v>
      </c>
      <c r="G87" s="5">
        <v>76</v>
      </c>
      <c r="H87" s="5">
        <v>68</v>
      </c>
      <c r="I87" s="5">
        <v>92</v>
      </c>
      <c r="J87" s="5">
        <v>64</v>
      </c>
      <c r="K87" s="5">
        <v>68</v>
      </c>
      <c r="L87" s="5">
        <f t="shared" si="2"/>
        <v>73.6</v>
      </c>
      <c r="M87" s="7" t="str">
        <f t="shared" si="3"/>
        <v>及格</v>
      </c>
    </row>
    <row r="88" spans="2:13">
      <c r="B88" s="4">
        <v>45</v>
      </c>
      <c r="C88" s="5" t="s">
        <v>101</v>
      </c>
      <c r="D88" s="5" t="s">
        <v>13</v>
      </c>
      <c r="E88" s="5">
        <v>48</v>
      </c>
      <c r="F88" s="5" t="s">
        <v>73</v>
      </c>
      <c r="G88" s="5">
        <v>74</v>
      </c>
      <c r="H88" s="5">
        <v>68</v>
      </c>
      <c r="I88" s="5">
        <v>73</v>
      </c>
      <c r="J88" s="5">
        <v>67</v>
      </c>
      <c r="K88" s="5">
        <v>81</v>
      </c>
      <c r="L88" s="5">
        <f t="shared" si="2"/>
        <v>72.6</v>
      </c>
      <c r="M88" s="7" t="str">
        <f t="shared" si="3"/>
        <v>及格</v>
      </c>
    </row>
    <row r="89" spans="2:13">
      <c r="B89" s="4">
        <v>39</v>
      </c>
      <c r="C89" s="5" t="s">
        <v>102</v>
      </c>
      <c r="D89" s="5" t="s">
        <v>13</v>
      </c>
      <c r="E89" s="5">
        <v>32</v>
      </c>
      <c r="F89" s="5" t="s">
        <v>73</v>
      </c>
      <c r="G89" s="5">
        <v>58</v>
      </c>
      <c r="H89" s="5">
        <v>91</v>
      </c>
      <c r="I89" s="5">
        <v>60</v>
      </c>
      <c r="J89" s="5">
        <v>76</v>
      </c>
      <c r="K89" s="5">
        <v>77</v>
      </c>
      <c r="L89" s="5">
        <f t="shared" si="2"/>
        <v>72.4</v>
      </c>
      <c r="M89" s="7" t="str">
        <f t="shared" si="3"/>
        <v>不合格</v>
      </c>
    </row>
    <row r="90" spans="2:13">
      <c r="B90" s="4">
        <v>92</v>
      </c>
      <c r="C90" s="5" t="s">
        <v>103</v>
      </c>
      <c r="D90" s="5" t="s">
        <v>13</v>
      </c>
      <c r="E90" s="5">
        <v>49</v>
      </c>
      <c r="F90" s="5" t="s">
        <v>73</v>
      </c>
      <c r="G90" s="5">
        <v>69</v>
      </c>
      <c r="H90" s="5">
        <v>75</v>
      </c>
      <c r="I90" s="5">
        <v>72</v>
      </c>
      <c r="J90" s="5">
        <v>67</v>
      </c>
      <c r="K90" s="5">
        <v>76</v>
      </c>
      <c r="L90" s="5">
        <f t="shared" si="2"/>
        <v>71.8</v>
      </c>
      <c r="M90" s="7" t="str">
        <f t="shared" si="3"/>
        <v>及格</v>
      </c>
    </row>
    <row r="91" spans="2:13">
      <c r="B91" s="4">
        <v>162</v>
      </c>
      <c r="C91" s="5" t="s">
        <v>104</v>
      </c>
      <c r="D91" s="5" t="s">
        <v>22</v>
      </c>
      <c r="E91" s="5">
        <v>40</v>
      </c>
      <c r="F91" s="5" t="s">
        <v>73</v>
      </c>
      <c r="G91" s="5">
        <v>67</v>
      </c>
      <c r="H91" s="5">
        <v>88</v>
      </c>
      <c r="I91" s="5">
        <v>60</v>
      </c>
      <c r="J91" s="5">
        <v>53</v>
      </c>
      <c r="K91" s="5">
        <v>84</v>
      </c>
      <c r="L91" s="5">
        <f t="shared" si="2"/>
        <v>70.4</v>
      </c>
      <c r="M91" s="7" t="str">
        <f t="shared" si="3"/>
        <v>不合格</v>
      </c>
    </row>
    <row r="92" spans="2:13">
      <c r="B92" s="4">
        <v>296</v>
      </c>
      <c r="C92" s="5" t="s">
        <v>105</v>
      </c>
      <c r="D92" s="5" t="s">
        <v>22</v>
      </c>
      <c r="E92" s="5">
        <v>33</v>
      </c>
      <c r="F92" s="5" t="s">
        <v>73</v>
      </c>
      <c r="G92" s="5">
        <v>64</v>
      </c>
      <c r="H92" s="5">
        <v>59</v>
      </c>
      <c r="I92" s="5">
        <v>88</v>
      </c>
      <c r="J92" s="5">
        <v>70</v>
      </c>
      <c r="K92" s="5">
        <v>70</v>
      </c>
      <c r="L92" s="5">
        <f t="shared" si="2"/>
        <v>70.2</v>
      </c>
      <c r="M92" s="7" t="str">
        <f t="shared" si="3"/>
        <v>不合格</v>
      </c>
    </row>
    <row r="93" spans="2:13">
      <c r="B93" s="4">
        <v>306</v>
      </c>
      <c r="C93" s="5" t="s">
        <v>106</v>
      </c>
      <c r="D93" s="5" t="s">
        <v>13</v>
      </c>
      <c r="E93" s="5">
        <v>48</v>
      </c>
      <c r="F93" s="5" t="s">
        <v>73</v>
      </c>
      <c r="G93" s="5">
        <v>80</v>
      </c>
      <c r="H93" s="5">
        <v>79</v>
      </c>
      <c r="I93" s="5">
        <v>58</v>
      </c>
      <c r="J93" s="5">
        <v>80</v>
      </c>
      <c r="K93" s="5">
        <v>54</v>
      </c>
      <c r="L93" s="5">
        <f t="shared" si="2"/>
        <v>70.2</v>
      </c>
      <c r="M93" s="7" t="str">
        <f t="shared" si="3"/>
        <v>不合格</v>
      </c>
    </row>
    <row r="94" spans="2:13">
      <c r="B94" s="4">
        <v>187</v>
      </c>
      <c r="C94" s="5" t="s">
        <v>107</v>
      </c>
      <c r="D94" s="5" t="s">
        <v>13</v>
      </c>
      <c r="E94" s="5">
        <v>46</v>
      </c>
      <c r="F94" s="5" t="s">
        <v>73</v>
      </c>
      <c r="G94" s="5">
        <v>83</v>
      </c>
      <c r="H94" s="5">
        <v>73</v>
      </c>
      <c r="I94" s="5">
        <v>61</v>
      </c>
      <c r="J94" s="5">
        <v>53</v>
      </c>
      <c r="K94" s="5">
        <v>73</v>
      </c>
      <c r="L94" s="5">
        <f t="shared" si="2"/>
        <v>68.6</v>
      </c>
      <c r="M94" s="7" t="str">
        <f t="shared" si="3"/>
        <v>不合格</v>
      </c>
    </row>
    <row r="95" spans="2:13">
      <c r="B95" s="4">
        <v>2</v>
      </c>
      <c r="C95" s="5" t="s">
        <v>108</v>
      </c>
      <c r="D95" s="5" t="s">
        <v>13</v>
      </c>
      <c r="E95" s="5">
        <v>41</v>
      </c>
      <c r="F95" s="5" t="s">
        <v>73</v>
      </c>
      <c r="G95" s="5">
        <v>54</v>
      </c>
      <c r="H95" s="5">
        <v>83</v>
      </c>
      <c r="I95" s="5">
        <v>54</v>
      </c>
      <c r="J95" s="5">
        <v>80</v>
      </c>
      <c r="K95" s="5">
        <v>67</v>
      </c>
      <c r="L95" s="5">
        <f t="shared" si="2"/>
        <v>67.6</v>
      </c>
      <c r="M95" s="7" t="str">
        <f t="shared" si="3"/>
        <v>不合格</v>
      </c>
    </row>
    <row r="96" spans="2:13">
      <c r="B96" s="4">
        <v>74</v>
      </c>
      <c r="C96" s="5" t="s">
        <v>109</v>
      </c>
      <c r="D96" s="5" t="s">
        <v>13</v>
      </c>
      <c r="E96" s="5">
        <v>55</v>
      </c>
      <c r="F96" s="5" t="s">
        <v>73</v>
      </c>
      <c r="G96" s="5">
        <v>79</v>
      </c>
      <c r="H96" s="5">
        <v>45</v>
      </c>
      <c r="I96" s="5">
        <v>57</v>
      </c>
      <c r="J96" s="5">
        <v>81</v>
      </c>
      <c r="K96" s="5">
        <v>74</v>
      </c>
      <c r="L96" s="5">
        <f t="shared" si="2"/>
        <v>67.2</v>
      </c>
      <c r="M96" s="7" t="str">
        <f t="shared" si="3"/>
        <v>不合格</v>
      </c>
    </row>
    <row r="97" spans="2:13">
      <c r="B97" s="4">
        <v>253</v>
      </c>
      <c r="C97" s="5" t="s">
        <v>110</v>
      </c>
      <c r="D97" s="5" t="s">
        <v>13</v>
      </c>
      <c r="E97" s="5">
        <v>25</v>
      </c>
      <c r="F97" s="5" t="s">
        <v>73</v>
      </c>
      <c r="G97" s="5">
        <v>78</v>
      </c>
      <c r="H97" s="5">
        <v>87</v>
      </c>
      <c r="I97" s="5">
        <v>72</v>
      </c>
      <c r="J97" s="5">
        <v>99</v>
      </c>
      <c r="K97" s="5">
        <v>0</v>
      </c>
      <c r="L97" s="5">
        <f t="shared" si="2"/>
        <v>67.2</v>
      </c>
      <c r="M97" s="7" t="str">
        <f t="shared" si="3"/>
        <v>不合格</v>
      </c>
    </row>
    <row r="98" spans="2:13">
      <c r="B98" s="4">
        <v>262</v>
      </c>
      <c r="C98" s="5" t="s">
        <v>111</v>
      </c>
      <c r="D98" s="5" t="s">
        <v>13</v>
      </c>
      <c r="E98" s="5">
        <v>45</v>
      </c>
      <c r="F98" s="5" t="s">
        <v>73</v>
      </c>
      <c r="G98" s="5">
        <v>58</v>
      </c>
      <c r="H98" s="5">
        <v>72</v>
      </c>
      <c r="I98" s="5">
        <v>81</v>
      </c>
      <c r="J98" s="5">
        <v>59</v>
      </c>
      <c r="K98" s="5">
        <v>66</v>
      </c>
      <c r="L98" s="5">
        <f t="shared" si="2"/>
        <v>67.2</v>
      </c>
      <c r="M98" s="7" t="str">
        <f t="shared" si="3"/>
        <v>不合格</v>
      </c>
    </row>
    <row r="99" spans="2:13">
      <c r="B99" s="4">
        <v>230</v>
      </c>
      <c r="C99" s="5" t="s">
        <v>112</v>
      </c>
      <c r="D99" s="5" t="s">
        <v>13</v>
      </c>
      <c r="E99" s="5">
        <v>48</v>
      </c>
      <c r="F99" s="5" t="s">
        <v>73</v>
      </c>
      <c r="G99" s="5">
        <v>86</v>
      </c>
      <c r="H99" s="5">
        <v>81</v>
      </c>
      <c r="I99" s="5">
        <v>89</v>
      </c>
      <c r="J99" s="5">
        <v>0</v>
      </c>
      <c r="K99" s="5">
        <v>79</v>
      </c>
      <c r="L99" s="5">
        <f t="shared" si="2"/>
        <v>67</v>
      </c>
      <c r="M99" s="7" t="str">
        <f t="shared" si="3"/>
        <v>不合格</v>
      </c>
    </row>
    <row r="100" spans="2:13">
      <c r="B100" s="4">
        <v>31</v>
      </c>
      <c r="C100" s="5" t="s">
        <v>113</v>
      </c>
      <c r="D100" s="5" t="s">
        <v>13</v>
      </c>
      <c r="E100" s="5">
        <v>54</v>
      </c>
      <c r="F100" s="5" t="s">
        <v>73</v>
      </c>
      <c r="G100" s="5">
        <v>66</v>
      </c>
      <c r="H100" s="5">
        <v>79</v>
      </c>
      <c r="I100" s="5">
        <v>69</v>
      </c>
      <c r="J100" s="5">
        <v>73</v>
      </c>
      <c r="K100" s="5">
        <v>46</v>
      </c>
      <c r="L100" s="5">
        <f t="shared" si="2"/>
        <v>66.6</v>
      </c>
      <c r="M100" s="7" t="str">
        <f t="shared" si="3"/>
        <v>不合格</v>
      </c>
    </row>
    <row r="101" spans="2:13">
      <c r="B101" s="4">
        <v>214</v>
      </c>
      <c r="C101" s="5" t="s">
        <v>114</v>
      </c>
      <c r="D101" s="5" t="s">
        <v>13</v>
      </c>
      <c r="E101" s="5">
        <v>49</v>
      </c>
      <c r="F101" s="5" t="s">
        <v>73</v>
      </c>
      <c r="G101" s="5">
        <v>66</v>
      </c>
      <c r="H101" s="5">
        <v>60</v>
      </c>
      <c r="I101" s="5">
        <v>57</v>
      </c>
      <c r="J101" s="5">
        <v>80</v>
      </c>
      <c r="K101" s="5">
        <v>70</v>
      </c>
      <c r="L101" s="5">
        <f t="shared" si="2"/>
        <v>66.6</v>
      </c>
      <c r="M101" s="7" t="str">
        <f t="shared" si="3"/>
        <v>不合格</v>
      </c>
    </row>
    <row r="102" spans="2:13">
      <c r="B102" s="4">
        <v>137</v>
      </c>
      <c r="C102" s="5" t="s">
        <v>115</v>
      </c>
      <c r="D102" s="5" t="s">
        <v>13</v>
      </c>
      <c r="E102" s="5">
        <v>49</v>
      </c>
      <c r="F102" s="5" t="s">
        <v>73</v>
      </c>
      <c r="G102" s="5">
        <v>55</v>
      </c>
      <c r="H102" s="5">
        <v>71</v>
      </c>
      <c r="I102" s="5">
        <v>72</v>
      </c>
      <c r="J102" s="5">
        <v>78</v>
      </c>
      <c r="K102" s="5">
        <v>56</v>
      </c>
      <c r="L102" s="5">
        <f t="shared" si="2"/>
        <v>66.4</v>
      </c>
      <c r="M102" s="7" t="str">
        <f t="shared" si="3"/>
        <v>不合格</v>
      </c>
    </row>
    <row r="103" spans="2:13">
      <c r="B103" s="4">
        <v>318</v>
      </c>
      <c r="C103" s="5" t="s">
        <v>116</v>
      </c>
      <c r="D103" s="5" t="s">
        <v>13</v>
      </c>
      <c r="E103" s="5">
        <v>52</v>
      </c>
      <c r="F103" s="5" t="s">
        <v>73</v>
      </c>
      <c r="G103" s="5">
        <v>75</v>
      </c>
      <c r="H103" s="5">
        <v>72</v>
      </c>
      <c r="I103" s="5">
        <v>57</v>
      </c>
      <c r="J103" s="5">
        <v>53</v>
      </c>
      <c r="K103" s="5">
        <v>75</v>
      </c>
      <c r="L103" s="5">
        <f t="shared" si="2"/>
        <v>66.4</v>
      </c>
      <c r="M103" s="7" t="str">
        <f t="shared" si="3"/>
        <v>不合格</v>
      </c>
    </row>
    <row r="104" spans="2:13">
      <c r="B104" s="4">
        <v>145</v>
      </c>
      <c r="C104" s="5" t="s">
        <v>117</v>
      </c>
      <c r="D104" s="5" t="s">
        <v>13</v>
      </c>
      <c r="E104" s="5">
        <v>55</v>
      </c>
      <c r="F104" s="5" t="s">
        <v>73</v>
      </c>
      <c r="G104" s="5">
        <v>66</v>
      </c>
      <c r="H104" s="5">
        <v>75</v>
      </c>
      <c r="I104" s="5">
        <v>61</v>
      </c>
      <c r="J104" s="5">
        <v>51</v>
      </c>
      <c r="K104" s="5">
        <v>78</v>
      </c>
      <c r="L104" s="5">
        <f t="shared" si="2"/>
        <v>66.2</v>
      </c>
      <c r="M104" s="7" t="str">
        <f t="shared" si="3"/>
        <v>不合格</v>
      </c>
    </row>
    <row r="105" spans="2:13">
      <c r="B105" s="4">
        <v>328</v>
      </c>
      <c r="C105" s="5" t="s">
        <v>118</v>
      </c>
      <c r="D105" s="5" t="s">
        <v>13</v>
      </c>
      <c r="E105" s="5">
        <v>28</v>
      </c>
      <c r="F105" s="5" t="s">
        <v>73</v>
      </c>
      <c r="G105" s="5">
        <v>0</v>
      </c>
      <c r="H105" s="5">
        <v>83</v>
      </c>
      <c r="I105" s="5">
        <v>66</v>
      </c>
      <c r="J105" s="5">
        <v>89</v>
      </c>
      <c r="K105" s="5">
        <v>93</v>
      </c>
      <c r="L105" s="5">
        <f t="shared" si="2"/>
        <v>66.2</v>
      </c>
      <c r="M105" s="7" t="str">
        <f t="shared" si="3"/>
        <v>不合格</v>
      </c>
    </row>
    <row r="106" spans="2:13">
      <c r="B106" s="4">
        <v>186</v>
      </c>
      <c r="C106" s="5" t="s">
        <v>119</v>
      </c>
      <c r="D106" s="5" t="s">
        <v>13</v>
      </c>
      <c r="E106" s="5">
        <v>30</v>
      </c>
      <c r="F106" s="5" t="s">
        <v>73</v>
      </c>
      <c r="G106" s="5">
        <v>71</v>
      </c>
      <c r="H106" s="5">
        <v>91</v>
      </c>
      <c r="I106" s="5">
        <v>0</v>
      </c>
      <c r="J106" s="5">
        <v>95</v>
      </c>
      <c r="K106" s="5">
        <v>72</v>
      </c>
      <c r="L106" s="5">
        <f t="shared" si="2"/>
        <v>65.8</v>
      </c>
      <c r="M106" s="7" t="str">
        <f t="shared" si="3"/>
        <v>不合格</v>
      </c>
    </row>
    <row r="107" spans="2:13">
      <c r="B107" s="4">
        <v>86</v>
      </c>
      <c r="C107" s="5" t="s">
        <v>120</v>
      </c>
      <c r="D107" s="5" t="s">
        <v>13</v>
      </c>
      <c r="E107" s="5">
        <v>53</v>
      </c>
      <c r="F107" s="5" t="s">
        <v>73</v>
      </c>
      <c r="G107" s="5">
        <v>51</v>
      </c>
      <c r="H107" s="5">
        <v>81</v>
      </c>
      <c r="I107" s="5">
        <v>74</v>
      </c>
      <c r="J107" s="5">
        <v>46</v>
      </c>
      <c r="K107" s="5">
        <v>75</v>
      </c>
      <c r="L107" s="5">
        <f t="shared" si="2"/>
        <v>65.4</v>
      </c>
      <c r="M107" s="7" t="str">
        <f t="shared" si="3"/>
        <v>不合格</v>
      </c>
    </row>
    <row r="108" spans="2:13">
      <c r="B108" s="4">
        <v>6</v>
      </c>
      <c r="C108" s="5" t="s">
        <v>121</v>
      </c>
      <c r="D108" s="5" t="s">
        <v>22</v>
      </c>
      <c r="E108" s="5">
        <v>54</v>
      </c>
      <c r="F108" s="5" t="s">
        <v>73</v>
      </c>
      <c r="G108" s="5">
        <v>58</v>
      </c>
      <c r="H108" s="5">
        <v>63</v>
      </c>
      <c r="I108" s="5">
        <v>46</v>
      </c>
      <c r="J108" s="5">
        <v>73</v>
      </c>
      <c r="K108" s="5">
        <v>76</v>
      </c>
      <c r="L108" s="5">
        <f t="shared" si="2"/>
        <v>63.2</v>
      </c>
      <c r="M108" s="7" t="str">
        <f t="shared" si="3"/>
        <v>不合格</v>
      </c>
    </row>
    <row r="109" spans="2:13">
      <c r="B109" s="4">
        <v>282</v>
      </c>
      <c r="C109" s="5" t="s">
        <v>122</v>
      </c>
      <c r="D109" s="5" t="s">
        <v>13</v>
      </c>
      <c r="E109" s="5">
        <v>49</v>
      </c>
      <c r="F109" s="5" t="s">
        <v>73</v>
      </c>
      <c r="G109" s="5">
        <v>54</v>
      </c>
      <c r="H109" s="5">
        <v>64</v>
      </c>
      <c r="I109" s="5">
        <v>52</v>
      </c>
      <c r="J109" s="5">
        <v>77</v>
      </c>
      <c r="K109" s="5">
        <v>69</v>
      </c>
      <c r="L109" s="5">
        <f t="shared" si="2"/>
        <v>63.2</v>
      </c>
      <c r="M109" s="7" t="str">
        <f t="shared" si="3"/>
        <v>不合格</v>
      </c>
    </row>
    <row r="110" spans="2:13">
      <c r="B110" s="4">
        <v>94</v>
      </c>
      <c r="C110" s="5" t="s">
        <v>123</v>
      </c>
      <c r="D110" s="5" t="s">
        <v>13</v>
      </c>
      <c r="E110" s="5">
        <v>25</v>
      </c>
      <c r="F110" s="5" t="s">
        <v>73</v>
      </c>
      <c r="G110" s="5">
        <v>0</v>
      </c>
      <c r="H110" s="5">
        <v>74</v>
      </c>
      <c r="I110" s="5">
        <v>92</v>
      </c>
      <c r="J110" s="5">
        <v>75</v>
      </c>
      <c r="K110" s="5">
        <v>73</v>
      </c>
      <c r="L110" s="5">
        <f t="shared" si="2"/>
        <v>62.8</v>
      </c>
      <c r="M110" s="7" t="str">
        <f t="shared" si="3"/>
        <v>不合格</v>
      </c>
    </row>
    <row r="111" spans="2:13">
      <c r="B111" s="4">
        <v>103</v>
      </c>
      <c r="C111" s="5" t="s">
        <v>124</v>
      </c>
      <c r="D111" s="5" t="s">
        <v>13</v>
      </c>
      <c r="E111" s="5">
        <v>53</v>
      </c>
      <c r="F111" s="5" t="s">
        <v>73</v>
      </c>
      <c r="G111" s="5">
        <v>49</v>
      </c>
      <c r="H111" s="5">
        <v>65</v>
      </c>
      <c r="I111" s="5">
        <v>80</v>
      </c>
      <c r="J111" s="5">
        <v>65</v>
      </c>
      <c r="K111" s="5">
        <v>52</v>
      </c>
      <c r="L111" s="5">
        <f t="shared" si="2"/>
        <v>62.2</v>
      </c>
      <c r="M111" s="7" t="str">
        <f t="shared" si="3"/>
        <v>不合格</v>
      </c>
    </row>
    <row r="112" spans="2:13">
      <c r="B112" s="4">
        <v>300</v>
      </c>
      <c r="C112" s="5" t="s">
        <v>125</v>
      </c>
      <c r="D112" s="5" t="s">
        <v>13</v>
      </c>
      <c r="E112" s="5">
        <v>40</v>
      </c>
      <c r="F112" s="5" t="s">
        <v>73</v>
      </c>
      <c r="G112" s="5">
        <v>57</v>
      </c>
      <c r="H112" s="5">
        <v>53</v>
      </c>
      <c r="I112" s="5">
        <v>62</v>
      </c>
      <c r="J112" s="5">
        <v>67</v>
      </c>
      <c r="K112" s="5">
        <v>64</v>
      </c>
      <c r="L112" s="5">
        <f t="shared" si="2"/>
        <v>60.6</v>
      </c>
      <c r="M112" s="7" t="str">
        <f t="shared" si="3"/>
        <v>不合格</v>
      </c>
    </row>
    <row r="113" spans="2:13">
      <c r="B113" s="4">
        <v>80</v>
      </c>
      <c r="C113" s="5" t="s">
        <v>126</v>
      </c>
      <c r="D113" s="5" t="s">
        <v>13</v>
      </c>
      <c r="E113" s="5">
        <v>51</v>
      </c>
      <c r="F113" s="5" t="s">
        <v>73</v>
      </c>
      <c r="G113" s="5">
        <v>58</v>
      </c>
      <c r="H113" s="5">
        <v>50</v>
      </c>
      <c r="I113" s="5">
        <v>63</v>
      </c>
      <c r="J113" s="5">
        <v>66</v>
      </c>
      <c r="K113" s="5">
        <v>63</v>
      </c>
      <c r="L113" s="5">
        <f t="shared" si="2"/>
        <v>60</v>
      </c>
      <c r="M113" s="7" t="str">
        <f t="shared" si="3"/>
        <v>不合格</v>
      </c>
    </row>
    <row r="114" spans="2:13">
      <c r="B114" s="4">
        <v>219</v>
      </c>
      <c r="C114" s="5" t="s">
        <v>127</v>
      </c>
      <c r="D114" s="5" t="s">
        <v>13</v>
      </c>
      <c r="E114" s="5">
        <v>41</v>
      </c>
      <c r="F114" s="5" t="s">
        <v>73</v>
      </c>
      <c r="G114" s="5">
        <v>73</v>
      </c>
      <c r="H114" s="5">
        <v>88</v>
      </c>
      <c r="I114" s="5">
        <v>52</v>
      </c>
      <c r="J114" s="5">
        <v>85</v>
      </c>
      <c r="K114" s="5">
        <v>0</v>
      </c>
      <c r="L114" s="5">
        <f t="shared" si="2"/>
        <v>59.6</v>
      </c>
      <c r="M114" s="7" t="str">
        <f t="shared" si="3"/>
        <v>不合格</v>
      </c>
    </row>
    <row r="115" spans="2:13">
      <c r="B115" s="4">
        <v>102</v>
      </c>
      <c r="C115" s="5" t="s">
        <v>128</v>
      </c>
      <c r="D115" s="5" t="s">
        <v>13</v>
      </c>
      <c r="E115" s="5">
        <v>26</v>
      </c>
      <c r="F115" s="5" t="s">
        <v>73</v>
      </c>
      <c r="G115" s="5">
        <v>78</v>
      </c>
      <c r="H115" s="5">
        <v>0</v>
      </c>
      <c r="I115" s="5">
        <v>70</v>
      </c>
      <c r="J115" s="5">
        <v>71</v>
      </c>
      <c r="K115" s="5">
        <v>78</v>
      </c>
      <c r="L115" s="5">
        <f t="shared" si="2"/>
        <v>59.4</v>
      </c>
      <c r="M115" s="7" t="str">
        <f t="shared" si="3"/>
        <v>不合格</v>
      </c>
    </row>
    <row r="116" spans="2:13">
      <c r="B116" s="4">
        <v>108</v>
      </c>
      <c r="C116" s="5" t="s">
        <v>129</v>
      </c>
      <c r="D116" s="5" t="s">
        <v>13</v>
      </c>
      <c r="E116" s="5">
        <v>34</v>
      </c>
      <c r="F116" s="5" t="s">
        <v>73</v>
      </c>
      <c r="G116" s="5">
        <v>91</v>
      </c>
      <c r="H116" s="5">
        <v>0</v>
      </c>
      <c r="I116" s="5">
        <v>70</v>
      </c>
      <c r="J116" s="5">
        <v>67</v>
      </c>
      <c r="K116" s="5">
        <v>63</v>
      </c>
      <c r="L116" s="5">
        <f t="shared" si="2"/>
        <v>58.2</v>
      </c>
      <c r="M116" s="7" t="str">
        <f t="shared" si="3"/>
        <v>不合格</v>
      </c>
    </row>
    <row r="117" spans="2:13">
      <c r="B117" s="4">
        <v>326</v>
      </c>
      <c r="C117" s="5" t="s">
        <v>130</v>
      </c>
      <c r="D117" s="5" t="s">
        <v>13</v>
      </c>
      <c r="E117" s="5">
        <v>54</v>
      </c>
      <c r="F117" s="5" t="s">
        <v>73</v>
      </c>
      <c r="G117" s="5">
        <v>52</v>
      </c>
      <c r="H117" s="5">
        <v>63</v>
      </c>
      <c r="I117" s="5">
        <v>54</v>
      </c>
      <c r="J117" s="5">
        <v>71</v>
      </c>
      <c r="K117" s="5">
        <v>51</v>
      </c>
      <c r="L117" s="5">
        <f t="shared" si="2"/>
        <v>58.2</v>
      </c>
      <c r="M117" s="7" t="str">
        <f t="shared" si="3"/>
        <v>不合格</v>
      </c>
    </row>
    <row r="118" spans="2:13">
      <c r="B118" s="4">
        <v>79</v>
      </c>
      <c r="C118" s="5" t="s">
        <v>131</v>
      </c>
      <c r="D118" s="5" t="s">
        <v>13</v>
      </c>
      <c r="E118" s="5">
        <v>24</v>
      </c>
      <c r="F118" s="5" t="s">
        <v>73</v>
      </c>
      <c r="G118" s="5">
        <v>67</v>
      </c>
      <c r="H118" s="5">
        <v>0</v>
      </c>
      <c r="I118" s="5">
        <v>84</v>
      </c>
      <c r="J118" s="5">
        <v>76</v>
      </c>
      <c r="K118" s="5">
        <v>63</v>
      </c>
      <c r="L118" s="5">
        <f t="shared" si="2"/>
        <v>58</v>
      </c>
      <c r="M118" s="7" t="str">
        <f t="shared" si="3"/>
        <v>不合格</v>
      </c>
    </row>
    <row r="119" spans="2:13">
      <c r="B119" s="4">
        <v>57</v>
      </c>
      <c r="C119" s="5" t="s">
        <v>132</v>
      </c>
      <c r="D119" s="5" t="s">
        <v>22</v>
      </c>
      <c r="E119" s="5">
        <v>53</v>
      </c>
      <c r="F119" s="5" t="s">
        <v>73</v>
      </c>
      <c r="G119" s="5">
        <v>57</v>
      </c>
      <c r="H119" s="5">
        <v>49</v>
      </c>
      <c r="I119" s="5">
        <v>75</v>
      </c>
      <c r="J119" s="5">
        <v>49</v>
      </c>
      <c r="K119" s="5">
        <v>59</v>
      </c>
      <c r="L119" s="5">
        <f t="shared" si="2"/>
        <v>57.8</v>
      </c>
      <c r="M119" s="7" t="str">
        <f t="shared" si="3"/>
        <v>不合格</v>
      </c>
    </row>
    <row r="120" spans="2:13">
      <c r="B120" s="4">
        <v>143</v>
      </c>
      <c r="C120" s="5" t="s">
        <v>133</v>
      </c>
      <c r="D120" s="5" t="s">
        <v>13</v>
      </c>
      <c r="E120" s="5">
        <v>27</v>
      </c>
      <c r="F120" s="5" t="s">
        <v>73</v>
      </c>
      <c r="G120" s="5">
        <v>70</v>
      </c>
      <c r="H120" s="5">
        <v>82</v>
      </c>
      <c r="I120" s="5">
        <v>62</v>
      </c>
      <c r="J120" s="5">
        <v>71</v>
      </c>
      <c r="K120" s="5">
        <v>0</v>
      </c>
      <c r="L120" s="5">
        <f t="shared" si="2"/>
        <v>57</v>
      </c>
      <c r="M120" s="7" t="str">
        <f t="shared" si="3"/>
        <v>不合格</v>
      </c>
    </row>
    <row r="121" spans="2:13">
      <c r="B121" s="4">
        <v>121</v>
      </c>
      <c r="C121" s="5" t="s">
        <v>134</v>
      </c>
      <c r="D121" s="5" t="s">
        <v>22</v>
      </c>
      <c r="E121" s="5">
        <v>41</v>
      </c>
      <c r="F121" s="5" t="s">
        <v>73</v>
      </c>
      <c r="G121" s="5">
        <v>58</v>
      </c>
      <c r="H121" s="5">
        <v>55</v>
      </c>
      <c r="I121" s="5">
        <v>52</v>
      </c>
      <c r="J121" s="5">
        <v>64</v>
      </c>
      <c r="K121" s="5">
        <v>52</v>
      </c>
      <c r="L121" s="5">
        <f t="shared" si="2"/>
        <v>56.2</v>
      </c>
      <c r="M121" s="7" t="str">
        <f t="shared" si="3"/>
        <v>不合格</v>
      </c>
    </row>
    <row r="122" spans="2:13">
      <c r="B122" s="4">
        <v>122</v>
      </c>
      <c r="C122" s="5" t="s">
        <v>135</v>
      </c>
      <c r="D122" s="5" t="s">
        <v>22</v>
      </c>
      <c r="E122" s="5">
        <v>49</v>
      </c>
      <c r="F122" s="5" t="s">
        <v>73</v>
      </c>
      <c r="G122" s="5">
        <v>54</v>
      </c>
      <c r="H122" s="5">
        <v>46</v>
      </c>
      <c r="I122" s="5">
        <v>51</v>
      </c>
      <c r="J122" s="5">
        <v>60</v>
      </c>
      <c r="K122" s="5">
        <v>67</v>
      </c>
      <c r="L122" s="5">
        <f t="shared" si="2"/>
        <v>55.6</v>
      </c>
      <c r="M122" s="7" t="str">
        <f t="shared" si="3"/>
        <v>不合格</v>
      </c>
    </row>
    <row r="123" spans="2:13">
      <c r="B123" s="4">
        <v>321</v>
      </c>
      <c r="C123" s="5" t="s">
        <v>136</v>
      </c>
      <c r="D123" s="5" t="s">
        <v>13</v>
      </c>
      <c r="E123" s="5">
        <v>48</v>
      </c>
      <c r="F123" s="5" t="s">
        <v>73</v>
      </c>
      <c r="G123" s="5">
        <v>67</v>
      </c>
      <c r="H123" s="5">
        <v>45</v>
      </c>
      <c r="I123" s="5">
        <v>60</v>
      </c>
      <c r="J123" s="5">
        <v>61</v>
      </c>
      <c r="K123" s="5">
        <v>45</v>
      </c>
      <c r="L123" s="5">
        <f t="shared" si="2"/>
        <v>55.6</v>
      </c>
      <c r="M123" s="7" t="str">
        <f t="shared" si="3"/>
        <v>不合格</v>
      </c>
    </row>
    <row r="124" spans="2:13">
      <c r="B124" s="4">
        <v>324</v>
      </c>
      <c r="C124" s="5" t="s">
        <v>137</v>
      </c>
      <c r="D124" s="5" t="s">
        <v>22</v>
      </c>
      <c r="E124" s="5">
        <v>26</v>
      </c>
      <c r="F124" s="5" t="s">
        <v>138</v>
      </c>
      <c r="G124" s="5">
        <v>92</v>
      </c>
      <c r="H124" s="5">
        <v>92</v>
      </c>
      <c r="I124" s="5">
        <v>78</v>
      </c>
      <c r="J124" s="5">
        <v>92</v>
      </c>
      <c r="K124" s="5">
        <v>94</v>
      </c>
      <c r="L124" s="5">
        <f t="shared" si="2"/>
        <v>89.6</v>
      </c>
      <c r="M124" s="7" t="str">
        <f t="shared" si="3"/>
        <v>优</v>
      </c>
    </row>
    <row r="125" spans="2:13">
      <c r="B125" s="4">
        <v>226</v>
      </c>
      <c r="C125" s="5" t="s">
        <v>139</v>
      </c>
      <c r="D125" s="5" t="s">
        <v>13</v>
      </c>
      <c r="E125" s="5">
        <v>24</v>
      </c>
      <c r="F125" s="5" t="s">
        <v>138</v>
      </c>
      <c r="G125" s="5">
        <v>85</v>
      </c>
      <c r="H125" s="5">
        <v>95</v>
      </c>
      <c r="I125" s="5">
        <v>100</v>
      </c>
      <c r="J125" s="5">
        <v>72</v>
      </c>
      <c r="K125" s="5">
        <v>85</v>
      </c>
      <c r="L125" s="5">
        <f t="shared" si="2"/>
        <v>87.4</v>
      </c>
      <c r="M125" s="7" t="str">
        <f t="shared" si="3"/>
        <v>优</v>
      </c>
    </row>
    <row r="126" spans="2:13">
      <c r="B126" s="4">
        <v>157</v>
      </c>
      <c r="C126" s="5" t="s">
        <v>140</v>
      </c>
      <c r="D126" s="5" t="s">
        <v>13</v>
      </c>
      <c r="E126" s="5">
        <v>25</v>
      </c>
      <c r="F126" s="5" t="s">
        <v>138</v>
      </c>
      <c r="G126" s="5">
        <v>90</v>
      </c>
      <c r="H126" s="5">
        <v>72</v>
      </c>
      <c r="I126" s="5">
        <v>96</v>
      </c>
      <c r="J126" s="5">
        <v>100</v>
      </c>
      <c r="K126" s="5">
        <v>76</v>
      </c>
      <c r="L126" s="5">
        <f t="shared" si="2"/>
        <v>86.8</v>
      </c>
      <c r="M126" s="7" t="str">
        <f t="shared" si="3"/>
        <v>优</v>
      </c>
    </row>
    <row r="127" spans="2:13">
      <c r="B127" s="4">
        <v>323</v>
      </c>
      <c r="C127" s="5" t="s">
        <v>141</v>
      </c>
      <c r="D127" s="5" t="s">
        <v>22</v>
      </c>
      <c r="E127" s="5">
        <v>31</v>
      </c>
      <c r="F127" s="5" t="s">
        <v>138</v>
      </c>
      <c r="G127" s="5">
        <v>96</v>
      </c>
      <c r="H127" s="5">
        <v>75</v>
      </c>
      <c r="I127" s="5">
        <v>86</v>
      </c>
      <c r="J127" s="5">
        <v>84</v>
      </c>
      <c r="K127" s="5">
        <v>93</v>
      </c>
      <c r="L127" s="5">
        <f t="shared" si="2"/>
        <v>86.8</v>
      </c>
      <c r="M127" s="7" t="str">
        <f t="shared" si="3"/>
        <v>优</v>
      </c>
    </row>
    <row r="128" spans="2:13">
      <c r="B128" s="4">
        <v>312</v>
      </c>
      <c r="C128" s="5" t="s">
        <v>142</v>
      </c>
      <c r="D128" s="5" t="s">
        <v>13</v>
      </c>
      <c r="E128" s="5">
        <v>37</v>
      </c>
      <c r="F128" s="5" t="s">
        <v>138</v>
      </c>
      <c r="G128" s="5">
        <v>86</v>
      </c>
      <c r="H128" s="5">
        <v>90</v>
      </c>
      <c r="I128" s="5">
        <v>79</v>
      </c>
      <c r="J128" s="5">
        <v>95</v>
      </c>
      <c r="K128" s="5">
        <v>77</v>
      </c>
      <c r="L128" s="5">
        <f t="shared" si="2"/>
        <v>85.4</v>
      </c>
      <c r="M128" s="7" t="str">
        <f t="shared" si="3"/>
        <v>优</v>
      </c>
    </row>
    <row r="129" spans="2:13">
      <c r="B129" s="4">
        <v>320</v>
      </c>
      <c r="C129" s="5" t="s">
        <v>143</v>
      </c>
      <c r="D129" s="5" t="s">
        <v>13</v>
      </c>
      <c r="E129" s="5">
        <v>29</v>
      </c>
      <c r="F129" s="5" t="s">
        <v>138</v>
      </c>
      <c r="G129" s="5">
        <v>100</v>
      </c>
      <c r="H129" s="5">
        <v>83</v>
      </c>
      <c r="I129" s="5">
        <v>82</v>
      </c>
      <c r="J129" s="5">
        <v>83</v>
      </c>
      <c r="K129" s="5">
        <v>78</v>
      </c>
      <c r="L129" s="5">
        <f t="shared" si="2"/>
        <v>85.2</v>
      </c>
      <c r="M129" s="7" t="str">
        <f t="shared" si="3"/>
        <v>优</v>
      </c>
    </row>
    <row r="130" spans="2:13">
      <c r="B130" s="4">
        <v>286</v>
      </c>
      <c r="C130" s="5" t="s">
        <v>144</v>
      </c>
      <c r="D130" s="5" t="s">
        <v>13</v>
      </c>
      <c r="E130" s="5">
        <v>27</v>
      </c>
      <c r="F130" s="5" t="s">
        <v>138</v>
      </c>
      <c r="G130" s="5">
        <v>76</v>
      </c>
      <c r="H130" s="5">
        <v>100</v>
      </c>
      <c r="I130" s="5">
        <v>100</v>
      </c>
      <c r="J130" s="5">
        <v>63</v>
      </c>
      <c r="K130" s="5">
        <v>82</v>
      </c>
      <c r="L130" s="5">
        <f t="shared" si="2"/>
        <v>84.2</v>
      </c>
      <c r="M130" s="7" t="str">
        <f t="shared" si="3"/>
        <v>良</v>
      </c>
    </row>
    <row r="131" spans="2:13">
      <c r="B131" s="4">
        <v>225</v>
      </c>
      <c r="C131" s="5" t="s">
        <v>145</v>
      </c>
      <c r="D131" s="5" t="s">
        <v>13</v>
      </c>
      <c r="E131" s="5">
        <v>31</v>
      </c>
      <c r="F131" s="5" t="s">
        <v>138</v>
      </c>
      <c r="G131" s="5">
        <v>88</v>
      </c>
      <c r="H131" s="5">
        <v>78</v>
      </c>
      <c r="I131" s="5">
        <v>70</v>
      </c>
      <c r="J131" s="5">
        <v>90</v>
      </c>
      <c r="K131" s="5">
        <v>86</v>
      </c>
      <c r="L131" s="5">
        <f t="shared" ref="L131:L194" si="4">AVERAGE(G131:K131)</f>
        <v>82.4</v>
      </c>
      <c r="M131" s="7" t="str">
        <f t="shared" ref="M131:M194" si="5">IF(OR(G131&lt;60,H131&lt;60,I131&lt;60,J131&lt;60,K131&lt;60),"不合格",IF(L131&lt;75,"及格",IF(L131&lt;85,"良","优")))</f>
        <v>良</v>
      </c>
    </row>
    <row r="132" spans="2:13">
      <c r="B132" s="4">
        <v>32</v>
      </c>
      <c r="C132" s="5" t="s">
        <v>146</v>
      </c>
      <c r="D132" s="5" t="s">
        <v>13</v>
      </c>
      <c r="E132" s="5">
        <v>36</v>
      </c>
      <c r="F132" s="5" t="s">
        <v>138</v>
      </c>
      <c r="G132" s="5">
        <v>89</v>
      </c>
      <c r="H132" s="5">
        <v>89</v>
      </c>
      <c r="I132" s="5">
        <v>80</v>
      </c>
      <c r="J132" s="5">
        <v>60</v>
      </c>
      <c r="K132" s="5">
        <v>93</v>
      </c>
      <c r="L132" s="5">
        <f t="shared" si="4"/>
        <v>82.2</v>
      </c>
      <c r="M132" s="7" t="str">
        <f t="shared" si="5"/>
        <v>良</v>
      </c>
    </row>
    <row r="133" spans="2:13">
      <c r="B133" s="4">
        <v>158</v>
      </c>
      <c r="C133" s="5" t="s">
        <v>147</v>
      </c>
      <c r="D133" s="5" t="s">
        <v>22</v>
      </c>
      <c r="E133" s="5">
        <v>34</v>
      </c>
      <c r="F133" s="5" t="s">
        <v>138</v>
      </c>
      <c r="G133" s="5">
        <v>63</v>
      </c>
      <c r="H133" s="5">
        <v>86</v>
      </c>
      <c r="I133" s="5">
        <v>66</v>
      </c>
      <c r="J133" s="5">
        <v>91</v>
      </c>
      <c r="K133" s="5">
        <v>94</v>
      </c>
      <c r="L133" s="5">
        <f t="shared" si="4"/>
        <v>80</v>
      </c>
      <c r="M133" s="7" t="str">
        <f t="shared" si="5"/>
        <v>良</v>
      </c>
    </row>
    <row r="134" spans="2:13">
      <c r="B134" s="4">
        <v>164</v>
      </c>
      <c r="C134" s="5" t="s">
        <v>148</v>
      </c>
      <c r="D134" s="5" t="s">
        <v>13</v>
      </c>
      <c r="E134" s="5">
        <v>35</v>
      </c>
      <c r="F134" s="5" t="s">
        <v>138</v>
      </c>
      <c r="G134" s="5">
        <v>94</v>
      </c>
      <c r="H134" s="5">
        <v>58</v>
      </c>
      <c r="I134" s="5">
        <v>92</v>
      </c>
      <c r="J134" s="5">
        <v>72</v>
      </c>
      <c r="K134" s="5">
        <v>79</v>
      </c>
      <c r="L134" s="5">
        <f t="shared" si="4"/>
        <v>79</v>
      </c>
      <c r="M134" s="7" t="str">
        <f t="shared" si="5"/>
        <v>不合格</v>
      </c>
    </row>
    <row r="135" spans="2:13">
      <c r="B135" s="4">
        <v>271</v>
      </c>
      <c r="C135" s="5" t="s">
        <v>149</v>
      </c>
      <c r="D135" s="5" t="s">
        <v>13</v>
      </c>
      <c r="E135" s="5">
        <v>37</v>
      </c>
      <c r="F135" s="5" t="s">
        <v>138</v>
      </c>
      <c r="G135" s="5">
        <v>82</v>
      </c>
      <c r="H135" s="5">
        <v>73</v>
      </c>
      <c r="I135" s="5">
        <v>90</v>
      </c>
      <c r="J135" s="5">
        <v>90</v>
      </c>
      <c r="K135" s="5">
        <v>60</v>
      </c>
      <c r="L135" s="5">
        <f t="shared" si="4"/>
        <v>79</v>
      </c>
      <c r="M135" s="7" t="str">
        <f t="shared" si="5"/>
        <v>良</v>
      </c>
    </row>
    <row r="136" spans="2:13">
      <c r="B136" s="4">
        <v>178</v>
      </c>
      <c r="C136" s="5" t="s">
        <v>150</v>
      </c>
      <c r="D136" s="5" t="s">
        <v>13</v>
      </c>
      <c r="E136" s="5">
        <v>26</v>
      </c>
      <c r="F136" s="5" t="s">
        <v>138</v>
      </c>
      <c r="G136" s="5">
        <v>93</v>
      </c>
      <c r="H136" s="5">
        <v>95</v>
      </c>
      <c r="I136" s="5">
        <v>65</v>
      </c>
      <c r="J136" s="5">
        <v>67</v>
      </c>
      <c r="K136" s="5">
        <v>66</v>
      </c>
      <c r="L136" s="5">
        <f t="shared" si="4"/>
        <v>77.2</v>
      </c>
      <c r="M136" s="7" t="str">
        <f t="shared" si="5"/>
        <v>良</v>
      </c>
    </row>
    <row r="137" spans="2:13">
      <c r="B137" s="4">
        <v>287</v>
      </c>
      <c r="C137" s="5" t="s">
        <v>151</v>
      </c>
      <c r="D137" s="5" t="s">
        <v>13</v>
      </c>
      <c r="E137" s="5">
        <v>33</v>
      </c>
      <c r="F137" s="5" t="s">
        <v>138</v>
      </c>
      <c r="G137" s="5">
        <v>77</v>
      </c>
      <c r="H137" s="5">
        <v>60</v>
      </c>
      <c r="I137" s="5">
        <v>88</v>
      </c>
      <c r="J137" s="5">
        <v>81</v>
      </c>
      <c r="K137" s="5">
        <v>80</v>
      </c>
      <c r="L137" s="5">
        <f t="shared" si="4"/>
        <v>77.2</v>
      </c>
      <c r="M137" s="7" t="str">
        <f t="shared" si="5"/>
        <v>良</v>
      </c>
    </row>
    <row r="138" spans="2:13">
      <c r="B138" s="4">
        <v>36</v>
      </c>
      <c r="C138" s="5" t="s">
        <v>152</v>
      </c>
      <c r="D138" s="5" t="s">
        <v>22</v>
      </c>
      <c r="E138" s="5">
        <v>45</v>
      </c>
      <c r="F138" s="5" t="s">
        <v>138</v>
      </c>
      <c r="G138" s="5">
        <v>58</v>
      </c>
      <c r="H138" s="5">
        <v>80</v>
      </c>
      <c r="I138" s="5">
        <v>72</v>
      </c>
      <c r="J138" s="5">
        <v>88</v>
      </c>
      <c r="K138" s="5">
        <v>85</v>
      </c>
      <c r="L138" s="5">
        <f t="shared" si="4"/>
        <v>76.6</v>
      </c>
      <c r="M138" s="7" t="str">
        <f t="shared" si="5"/>
        <v>不合格</v>
      </c>
    </row>
    <row r="139" spans="2:13">
      <c r="B139" s="4">
        <v>201</v>
      </c>
      <c r="C139" s="5" t="s">
        <v>153</v>
      </c>
      <c r="D139" s="5" t="s">
        <v>13</v>
      </c>
      <c r="E139" s="5">
        <v>34</v>
      </c>
      <c r="F139" s="5" t="s">
        <v>138</v>
      </c>
      <c r="G139" s="5">
        <v>68</v>
      </c>
      <c r="H139" s="5">
        <v>85</v>
      </c>
      <c r="I139" s="5">
        <v>58</v>
      </c>
      <c r="J139" s="5">
        <v>86</v>
      </c>
      <c r="K139" s="5">
        <v>86</v>
      </c>
      <c r="L139" s="5">
        <f t="shared" si="4"/>
        <v>76.6</v>
      </c>
      <c r="M139" s="7" t="str">
        <f t="shared" si="5"/>
        <v>不合格</v>
      </c>
    </row>
    <row r="140" spans="2:13">
      <c r="B140" s="4">
        <v>275</v>
      </c>
      <c r="C140" s="5" t="s">
        <v>154</v>
      </c>
      <c r="D140" s="5" t="s">
        <v>13</v>
      </c>
      <c r="E140" s="5">
        <v>27</v>
      </c>
      <c r="F140" s="5" t="s">
        <v>138</v>
      </c>
      <c r="G140" s="5">
        <v>80</v>
      </c>
      <c r="H140" s="5">
        <v>68</v>
      </c>
      <c r="I140" s="5">
        <v>70</v>
      </c>
      <c r="J140" s="5">
        <v>82</v>
      </c>
      <c r="K140" s="5">
        <v>81</v>
      </c>
      <c r="L140" s="5">
        <f t="shared" si="4"/>
        <v>76.2</v>
      </c>
      <c r="M140" s="7" t="str">
        <f t="shared" si="5"/>
        <v>良</v>
      </c>
    </row>
    <row r="141" spans="2:13">
      <c r="B141" s="4">
        <v>196</v>
      </c>
      <c r="C141" s="5" t="s">
        <v>155</v>
      </c>
      <c r="D141" s="5" t="s">
        <v>13</v>
      </c>
      <c r="E141" s="5">
        <v>45</v>
      </c>
      <c r="F141" s="5" t="s">
        <v>138</v>
      </c>
      <c r="G141" s="5">
        <v>83</v>
      </c>
      <c r="H141" s="5">
        <v>87</v>
      </c>
      <c r="I141" s="5">
        <v>52</v>
      </c>
      <c r="J141" s="5">
        <v>74</v>
      </c>
      <c r="K141" s="5">
        <v>82</v>
      </c>
      <c r="L141" s="5">
        <f t="shared" si="4"/>
        <v>75.6</v>
      </c>
      <c r="M141" s="7" t="str">
        <f t="shared" si="5"/>
        <v>不合格</v>
      </c>
    </row>
    <row r="142" spans="2:13">
      <c r="B142" s="4">
        <v>101</v>
      </c>
      <c r="C142" s="5" t="s">
        <v>156</v>
      </c>
      <c r="D142" s="5" t="s">
        <v>13</v>
      </c>
      <c r="E142" s="5">
        <v>39</v>
      </c>
      <c r="F142" s="5" t="s">
        <v>138</v>
      </c>
      <c r="G142" s="5">
        <v>74</v>
      </c>
      <c r="H142" s="5">
        <v>75</v>
      </c>
      <c r="I142" s="5">
        <v>72</v>
      </c>
      <c r="J142" s="5">
        <v>90</v>
      </c>
      <c r="K142" s="5">
        <v>65</v>
      </c>
      <c r="L142" s="5">
        <f t="shared" si="4"/>
        <v>75.2</v>
      </c>
      <c r="M142" s="7" t="str">
        <f t="shared" si="5"/>
        <v>良</v>
      </c>
    </row>
    <row r="143" spans="2:13">
      <c r="B143" s="4">
        <v>12</v>
      </c>
      <c r="C143" s="5" t="s">
        <v>157</v>
      </c>
      <c r="D143" s="5" t="s">
        <v>13</v>
      </c>
      <c r="E143" s="5">
        <v>40</v>
      </c>
      <c r="F143" s="5" t="s">
        <v>138</v>
      </c>
      <c r="G143" s="5">
        <v>56</v>
      </c>
      <c r="H143" s="5">
        <v>75</v>
      </c>
      <c r="I143" s="5">
        <v>71</v>
      </c>
      <c r="J143" s="5">
        <v>87</v>
      </c>
      <c r="K143" s="5">
        <v>85</v>
      </c>
      <c r="L143" s="5">
        <f t="shared" si="4"/>
        <v>74.8</v>
      </c>
      <c r="M143" s="7" t="str">
        <f t="shared" si="5"/>
        <v>不合格</v>
      </c>
    </row>
    <row r="144" spans="2:13">
      <c r="B144" s="4">
        <v>48</v>
      </c>
      <c r="C144" s="5" t="s">
        <v>158</v>
      </c>
      <c r="D144" s="5" t="s">
        <v>13</v>
      </c>
      <c r="E144" s="5">
        <v>25</v>
      </c>
      <c r="F144" s="5" t="s">
        <v>138</v>
      </c>
      <c r="G144" s="5">
        <v>62</v>
      </c>
      <c r="H144" s="5">
        <v>88</v>
      </c>
      <c r="I144" s="5">
        <v>65</v>
      </c>
      <c r="J144" s="5">
        <v>63</v>
      </c>
      <c r="K144" s="5">
        <v>95</v>
      </c>
      <c r="L144" s="5">
        <f t="shared" si="4"/>
        <v>74.6</v>
      </c>
      <c r="M144" s="7" t="str">
        <f t="shared" si="5"/>
        <v>及格</v>
      </c>
    </row>
    <row r="145" spans="2:13">
      <c r="B145" s="4">
        <v>93</v>
      </c>
      <c r="C145" s="5" t="s">
        <v>159</v>
      </c>
      <c r="D145" s="5" t="s">
        <v>13</v>
      </c>
      <c r="E145" s="5">
        <v>44</v>
      </c>
      <c r="F145" s="5" t="s">
        <v>138</v>
      </c>
      <c r="G145" s="5">
        <v>79</v>
      </c>
      <c r="H145" s="5">
        <v>75</v>
      </c>
      <c r="I145" s="5">
        <v>66</v>
      </c>
      <c r="J145" s="5">
        <v>76</v>
      </c>
      <c r="K145" s="5">
        <v>73</v>
      </c>
      <c r="L145" s="5">
        <f t="shared" si="4"/>
        <v>73.8</v>
      </c>
      <c r="M145" s="7" t="str">
        <f t="shared" si="5"/>
        <v>及格</v>
      </c>
    </row>
    <row r="146" spans="2:13">
      <c r="B146" s="4">
        <v>258</v>
      </c>
      <c r="C146" s="5" t="s">
        <v>160</v>
      </c>
      <c r="D146" s="5" t="s">
        <v>13</v>
      </c>
      <c r="E146" s="5">
        <v>43</v>
      </c>
      <c r="F146" s="5" t="s">
        <v>138</v>
      </c>
      <c r="G146" s="5">
        <v>61</v>
      </c>
      <c r="H146" s="5">
        <v>84</v>
      </c>
      <c r="I146" s="5">
        <v>55</v>
      </c>
      <c r="J146" s="5">
        <v>85</v>
      </c>
      <c r="K146" s="5">
        <v>82</v>
      </c>
      <c r="L146" s="5">
        <f t="shared" si="4"/>
        <v>73.4</v>
      </c>
      <c r="M146" s="7" t="str">
        <f t="shared" si="5"/>
        <v>不合格</v>
      </c>
    </row>
    <row r="147" spans="2:13">
      <c r="B147" s="4">
        <v>303</v>
      </c>
      <c r="C147" s="5" t="s">
        <v>161</v>
      </c>
      <c r="D147" s="5" t="s">
        <v>13</v>
      </c>
      <c r="E147" s="5">
        <v>38</v>
      </c>
      <c r="F147" s="5" t="s">
        <v>138</v>
      </c>
      <c r="G147" s="5">
        <v>71</v>
      </c>
      <c r="H147" s="5">
        <v>68</v>
      </c>
      <c r="I147" s="5">
        <v>66</v>
      </c>
      <c r="J147" s="5">
        <v>84</v>
      </c>
      <c r="K147" s="5">
        <v>75</v>
      </c>
      <c r="L147" s="5">
        <f t="shared" si="4"/>
        <v>72.8</v>
      </c>
      <c r="M147" s="7" t="str">
        <f t="shared" si="5"/>
        <v>及格</v>
      </c>
    </row>
    <row r="148" spans="2:13">
      <c r="B148" s="4">
        <v>216</v>
      </c>
      <c r="C148" s="5" t="s">
        <v>162</v>
      </c>
      <c r="D148" s="5" t="s">
        <v>13</v>
      </c>
      <c r="E148" s="5">
        <v>39</v>
      </c>
      <c r="F148" s="5" t="s">
        <v>138</v>
      </c>
      <c r="G148" s="5">
        <v>62</v>
      </c>
      <c r="H148" s="5">
        <v>64</v>
      </c>
      <c r="I148" s="5">
        <v>93</v>
      </c>
      <c r="J148" s="5">
        <v>65</v>
      </c>
      <c r="K148" s="5">
        <v>78</v>
      </c>
      <c r="L148" s="5">
        <f t="shared" si="4"/>
        <v>72.4</v>
      </c>
      <c r="M148" s="7" t="str">
        <f t="shared" si="5"/>
        <v>及格</v>
      </c>
    </row>
    <row r="149" spans="2:13">
      <c r="B149" s="4">
        <v>124</v>
      </c>
      <c r="C149" s="5" t="s">
        <v>163</v>
      </c>
      <c r="D149" s="5" t="s">
        <v>22</v>
      </c>
      <c r="E149" s="5">
        <v>44</v>
      </c>
      <c r="F149" s="5" t="s">
        <v>138</v>
      </c>
      <c r="G149" s="5">
        <v>73</v>
      </c>
      <c r="H149" s="5">
        <v>81</v>
      </c>
      <c r="I149" s="5">
        <v>75</v>
      </c>
      <c r="J149" s="5">
        <v>61</v>
      </c>
      <c r="K149" s="5">
        <v>71</v>
      </c>
      <c r="L149" s="5">
        <f t="shared" si="4"/>
        <v>72.2</v>
      </c>
      <c r="M149" s="7" t="str">
        <f t="shared" si="5"/>
        <v>及格</v>
      </c>
    </row>
    <row r="150" spans="2:13">
      <c r="B150" s="4">
        <v>307</v>
      </c>
      <c r="C150" s="5" t="s">
        <v>164</v>
      </c>
      <c r="D150" s="5" t="s">
        <v>22</v>
      </c>
      <c r="E150" s="5">
        <v>41</v>
      </c>
      <c r="F150" s="5" t="s">
        <v>138</v>
      </c>
      <c r="G150" s="5">
        <v>67</v>
      </c>
      <c r="H150" s="5">
        <v>68</v>
      </c>
      <c r="I150" s="5">
        <v>87</v>
      </c>
      <c r="J150" s="5">
        <v>68</v>
      </c>
      <c r="K150" s="5">
        <v>71</v>
      </c>
      <c r="L150" s="5">
        <f t="shared" si="4"/>
        <v>72.2</v>
      </c>
      <c r="M150" s="7" t="str">
        <f t="shared" si="5"/>
        <v>及格</v>
      </c>
    </row>
    <row r="151" spans="2:13">
      <c r="B151" s="4">
        <v>281</v>
      </c>
      <c r="C151" s="5" t="s">
        <v>165</v>
      </c>
      <c r="D151" s="5" t="s">
        <v>13</v>
      </c>
      <c r="E151" s="5">
        <v>46</v>
      </c>
      <c r="F151" s="5" t="s">
        <v>138</v>
      </c>
      <c r="G151" s="5">
        <v>75</v>
      </c>
      <c r="H151" s="5">
        <v>60</v>
      </c>
      <c r="I151" s="5">
        <v>69</v>
      </c>
      <c r="J151" s="5">
        <v>82</v>
      </c>
      <c r="K151" s="5">
        <v>72</v>
      </c>
      <c r="L151" s="5">
        <f t="shared" si="4"/>
        <v>71.6</v>
      </c>
      <c r="M151" s="7" t="str">
        <f t="shared" si="5"/>
        <v>及格</v>
      </c>
    </row>
    <row r="152" spans="2:13">
      <c r="B152" s="4">
        <v>134</v>
      </c>
      <c r="C152" s="5" t="s">
        <v>166</v>
      </c>
      <c r="D152" s="5" t="s">
        <v>13</v>
      </c>
      <c r="E152" s="5">
        <v>29</v>
      </c>
      <c r="F152" s="5" t="s">
        <v>138</v>
      </c>
      <c r="G152" s="5">
        <v>75</v>
      </c>
      <c r="H152" s="5">
        <v>78</v>
      </c>
      <c r="I152" s="5">
        <v>72</v>
      </c>
      <c r="J152" s="5">
        <v>69</v>
      </c>
      <c r="K152" s="5">
        <v>62</v>
      </c>
      <c r="L152" s="5">
        <f t="shared" si="4"/>
        <v>71.2</v>
      </c>
      <c r="M152" s="7" t="str">
        <f t="shared" si="5"/>
        <v>及格</v>
      </c>
    </row>
    <row r="153" spans="2:13">
      <c r="B153" s="4">
        <v>47</v>
      </c>
      <c r="C153" s="5" t="s">
        <v>167</v>
      </c>
      <c r="D153" s="5" t="s">
        <v>13</v>
      </c>
      <c r="E153" s="5">
        <v>54</v>
      </c>
      <c r="F153" s="5" t="s">
        <v>138</v>
      </c>
      <c r="G153" s="5">
        <v>77</v>
      </c>
      <c r="H153" s="5">
        <v>77</v>
      </c>
      <c r="I153" s="5">
        <v>80</v>
      </c>
      <c r="J153" s="5">
        <v>65</v>
      </c>
      <c r="K153" s="5">
        <v>50</v>
      </c>
      <c r="L153" s="5">
        <f t="shared" si="4"/>
        <v>69.8</v>
      </c>
      <c r="M153" s="7" t="str">
        <f t="shared" si="5"/>
        <v>不合格</v>
      </c>
    </row>
    <row r="154" spans="2:13">
      <c r="B154" s="4">
        <v>16</v>
      </c>
      <c r="C154" s="5" t="s">
        <v>168</v>
      </c>
      <c r="D154" s="5" t="s">
        <v>13</v>
      </c>
      <c r="E154" s="5">
        <v>45</v>
      </c>
      <c r="F154" s="5" t="s">
        <v>138</v>
      </c>
      <c r="G154" s="5">
        <v>78</v>
      </c>
      <c r="H154" s="5">
        <v>80</v>
      </c>
      <c r="I154" s="5">
        <v>54</v>
      </c>
      <c r="J154" s="5">
        <v>53</v>
      </c>
      <c r="K154" s="5">
        <v>82</v>
      </c>
      <c r="L154" s="5">
        <f t="shared" si="4"/>
        <v>69.4</v>
      </c>
      <c r="M154" s="7" t="str">
        <f t="shared" si="5"/>
        <v>不合格</v>
      </c>
    </row>
    <row r="155" spans="2:13">
      <c r="B155" s="4">
        <v>53</v>
      </c>
      <c r="C155" s="5" t="s">
        <v>169</v>
      </c>
      <c r="D155" s="5" t="s">
        <v>13</v>
      </c>
      <c r="E155" s="5">
        <v>31</v>
      </c>
      <c r="F155" s="5" t="s">
        <v>138</v>
      </c>
      <c r="G155" s="5">
        <v>73</v>
      </c>
      <c r="H155" s="5">
        <v>69</v>
      </c>
      <c r="I155" s="5">
        <v>89</v>
      </c>
      <c r="J155" s="5">
        <v>58</v>
      </c>
      <c r="K155" s="5">
        <v>58</v>
      </c>
      <c r="L155" s="5">
        <f t="shared" si="4"/>
        <v>69.4</v>
      </c>
      <c r="M155" s="7" t="str">
        <f t="shared" si="5"/>
        <v>不合格</v>
      </c>
    </row>
    <row r="156" spans="2:13">
      <c r="B156" s="4">
        <v>76</v>
      </c>
      <c r="C156" s="5" t="s">
        <v>170</v>
      </c>
      <c r="D156" s="5" t="s">
        <v>13</v>
      </c>
      <c r="E156" s="5">
        <v>54</v>
      </c>
      <c r="F156" s="5" t="s">
        <v>138</v>
      </c>
      <c r="G156" s="5">
        <v>66</v>
      </c>
      <c r="H156" s="5">
        <v>64</v>
      </c>
      <c r="I156" s="5">
        <v>75</v>
      </c>
      <c r="J156" s="5">
        <v>61</v>
      </c>
      <c r="K156" s="5">
        <v>81</v>
      </c>
      <c r="L156" s="5">
        <f t="shared" si="4"/>
        <v>69.4</v>
      </c>
      <c r="M156" s="7" t="str">
        <f t="shared" si="5"/>
        <v>及格</v>
      </c>
    </row>
    <row r="157" spans="2:13">
      <c r="B157" s="4">
        <v>218</v>
      </c>
      <c r="C157" s="5" t="s">
        <v>171</v>
      </c>
      <c r="D157" s="5" t="s">
        <v>13</v>
      </c>
      <c r="E157" s="5">
        <v>38</v>
      </c>
      <c r="F157" s="5" t="s">
        <v>138</v>
      </c>
      <c r="G157" s="5">
        <v>80</v>
      </c>
      <c r="H157" s="5">
        <v>58</v>
      </c>
      <c r="I157" s="5">
        <v>62</v>
      </c>
      <c r="J157" s="5">
        <v>67</v>
      </c>
      <c r="K157" s="5">
        <v>76</v>
      </c>
      <c r="L157" s="5">
        <f t="shared" si="4"/>
        <v>68.6</v>
      </c>
      <c r="M157" s="7" t="str">
        <f t="shared" si="5"/>
        <v>不合格</v>
      </c>
    </row>
    <row r="158" spans="2:13">
      <c r="B158" s="4">
        <v>154</v>
      </c>
      <c r="C158" s="5" t="s">
        <v>172</v>
      </c>
      <c r="D158" s="5" t="s">
        <v>13</v>
      </c>
      <c r="E158" s="5">
        <v>46</v>
      </c>
      <c r="F158" s="5" t="s">
        <v>138</v>
      </c>
      <c r="G158" s="5">
        <v>57</v>
      </c>
      <c r="H158" s="5">
        <v>84</v>
      </c>
      <c r="I158" s="5">
        <v>55</v>
      </c>
      <c r="J158" s="5">
        <v>55</v>
      </c>
      <c r="K158" s="5">
        <v>87</v>
      </c>
      <c r="L158" s="5">
        <f t="shared" si="4"/>
        <v>67.6</v>
      </c>
      <c r="M158" s="7" t="str">
        <f t="shared" si="5"/>
        <v>不合格</v>
      </c>
    </row>
    <row r="159" spans="2:13">
      <c r="B159" s="4">
        <v>117</v>
      </c>
      <c r="C159" s="5" t="s">
        <v>173</v>
      </c>
      <c r="D159" s="5" t="s">
        <v>13</v>
      </c>
      <c r="E159" s="5">
        <v>46</v>
      </c>
      <c r="F159" s="5" t="s">
        <v>138</v>
      </c>
      <c r="G159" s="5">
        <v>84</v>
      </c>
      <c r="H159" s="5">
        <v>70</v>
      </c>
      <c r="I159" s="5">
        <v>52</v>
      </c>
      <c r="J159" s="5">
        <v>64</v>
      </c>
      <c r="K159" s="5">
        <v>66</v>
      </c>
      <c r="L159" s="5">
        <f t="shared" si="4"/>
        <v>67.2</v>
      </c>
      <c r="M159" s="7" t="str">
        <f t="shared" si="5"/>
        <v>不合格</v>
      </c>
    </row>
    <row r="160" spans="2:13">
      <c r="B160" s="4">
        <v>193</v>
      </c>
      <c r="C160" s="5" t="s">
        <v>174</v>
      </c>
      <c r="D160" s="5" t="s">
        <v>13</v>
      </c>
      <c r="E160" s="5">
        <v>49</v>
      </c>
      <c r="F160" s="5" t="s">
        <v>138</v>
      </c>
      <c r="G160" s="5">
        <v>64</v>
      </c>
      <c r="H160" s="5">
        <v>58</v>
      </c>
      <c r="I160" s="5">
        <v>76</v>
      </c>
      <c r="J160" s="5">
        <v>78</v>
      </c>
      <c r="K160" s="5">
        <v>59</v>
      </c>
      <c r="L160" s="5">
        <f t="shared" si="4"/>
        <v>67</v>
      </c>
      <c r="M160" s="7" t="str">
        <f t="shared" si="5"/>
        <v>不合格</v>
      </c>
    </row>
    <row r="161" spans="2:13">
      <c r="B161" s="4">
        <v>131</v>
      </c>
      <c r="C161" s="5" t="s">
        <v>175</v>
      </c>
      <c r="D161" s="5" t="s">
        <v>13</v>
      </c>
      <c r="E161" s="5">
        <v>41</v>
      </c>
      <c r="F161" s="5" t="s">
        <v>138</v>
      </c>
      <c r="G161" s="5">
        <v>61</v>
      </c>
      <c r="H161" s="5">
        <v>54</v>
      </c>
      <c r="I161" s="5">
        <v>82</v>
      </c>
      <c r="J161" s="5">
        <v>82</v>
      </c>
      <c r="K161" s="5">
        <v>55</v>
      </c>
      <c r="L161" s="5">
        <f t="shared" si="4"/>
        <v>66.8</v>
      </c>
      <c r="M161" s="7" t="str">
        <f t="shared" si="5"/>
        <v>不合格</v>
      </c>
    </row>
    <row r="162" spans="2:13">
      <c r="B162" s="4">
        <v>149</v>
      </c>
      <c r="C162" s="5" t="s">
        <v>176</v>
      </c>
      <c r="D162" s="5" t="s">
        <v>13</v>
      </c>
      <c r="E162" s="5">
        <v>42</v>
      </c>
      <c r="F162" s="5" t="s">
        <v>138</v>
      </c>
      <c r="G162" s="5">
        <v>75</v>
      </c>
      <c r="H162" s="5">
        <v>69</v>
      </c>
      <c r="I162" s="5">
        <v>53</v>
      </c>
      <c r="J162" s="5">
        <v>62</v>
      </c>
      <c r="K162" s="5">
        <v>74</v>
      </c>
      <c r="L162" s="5">
        <f t="shared" si="4"/>
        <v>66.6</v>
      </c>
      <c r="M162" s="7" t="str">
        <f t="shared" si="5"/>
        <v>不合格</v>
      </c>
    </row>
    <row r="163" spans="2:13">
      <c r="B163" s="4">
        <v>98</v>
      </c>
      <c r="C163" s="5" t="s">
        <v>177</v>
      </c>
      <c r="D163" s="5" t="s">
        <v>13</v>
      </c>
      <c r="E163" s="5">
        <v>52</v>
      </c>
      <c r="F163" s="5" t="s">
        <v>138</v>
      </c>
      <c r="G163" s="5">
        <v>71</v>
      </c>
      <c r="H163" s="5">
        <v>75</v>
      </c>
      <c r="I163" s="5">
        <v>74</v>
      </c>
      <c r="J163" s="5">
        <v>66</v>
      </c>
      <c r="K163" s="5">
        <v>45</v>
      </c>
      <c r="L163" s="5">
        <f t="shared" si="4"/>
        <v>66.2</v>
      </c>
      <c r="M163" s="7" t="str">
        <f t="shared" si="5"/>
        <v>不合格</v>
      </c>
    </row>
    <row r="164" spans="2:13">
      <c r="B164" s="4">
        <v>100</v>
      </c>
      <c r="C164" s="5" t="s">
        <v>178</v>
      </c>
      <c r="D164" s="5" t="s">
        <v>13</v>
      </c>
      <c r="E164" s="5">
        <v>54</v>
      </c>
      <c r="F164" s="5" t="s">
        <v>138</v>
      </c>
      <c r="G164" s="5">
        <v>46</v>
      </c>
      <c r="H164" s="5">
        <v>79</v>
      </c>
      <c r="I164" s="5">
        <v>72</v>
      </c>
      <c r="J164" s="5">
        <v>72</v>
      </c>
      <c r="K164" s="5">
        <v>62</v>
      </c>
      <c r="L164" s="5">
        <f t="shared" si="4"/>
        <v>66.2</v>
      </c>
      <c r="M164" s="7" t="str">
        <f t="shared" si="5"/>
        <v>不合格</v>
      </c>
    </row>
    <row r="165" spans="2:13">
      <c r="B165" s="4">
        <v>213</v>
      </c>
      <c r="C165" s="5" t="s">
        <v>179</v>
      </c>
      <c r="D165" s="5" t="s">
        <v>22</v>
      </c>
      <c r="E165" s="5">
        <v>52</v>
      </c>
      <c r="F165" s="5" t="s">
        <v>138</v>
      </c>
      <c r="G165" s="5">
        <v>76</v>
      </c>
      <c r="H165" s="5">
        <v>54</v>
      </c>
      <c r="I165" s="5">
        <v>67</v>
      </c>
      <c r="J165" s="5">
        <v>73</v>
      </c>
      <c r="K165" s="5">
        <v>58</v>
      </c>
      <c r="L165" s="5">
        <f t="shared" si="4"/>
        <v>65.6</v>
      </c>
      <c r="M165" s="7" t="str">
        <f t="shared" si="5"/>
        <v>不合格</v>
      </c>
    </row>
    <row r="166" spans="2:13">
      <c r="B166" s="4">
        <v>241</v>
      </c>
      <c r="C166" s="5" t="s">
        <v>180</v>
      </c>
      <c r="D166" s="5" t="s">
        <v>13</v>
      </c>
      <c r="E166" s="5">
        <v>52</v>
      </c>
      <c r="F166" s="5" t="s">
        <v>138</v>
      </c>
      <c r="G166" s="5">
        <v>76</v>
      </c>
      <c r="H166" s="5">
        <v>69</v>
      </c>
      <c r="I166" s="5">
        <v>56</v>
      </c>
      <c r="J166" s="5">
        <v>70</v>
      </c>
      <c r="K166" s="5">
        <v>57</v>
      </c>
      <c r="L166" s="5">
        <f t="shared" si="4"/>
        <v>65.6</v>
      </c>
      <c r="M166" s="7" t="str">
        <f t="shared" si="5"/>
        <v>不合格</v>
      </c>
    </row>
    <row r="167" spans="2:13">
      <c r="B167" s="4">
        <v>257</v>
      </c>
      <c r="C167" s="5" t="s">
        <v>181</v>
      </c>
      <c r="D167" s="5" t="s">
        <v>13</v>
      </c>
      <c r="E167" s="5">
        <v>50</v>
      </c>
      <c r="F167" s="5" t="s">
        <v>138</v>
      </c>
      <c r="G167" s="5">
        <v>58</v>
      </c>
      <c r="H167" s="5">
        <v>65</v>
      </c>
      <c r="I167" s="5">
        <v>74</v>
      </c>
      <c r="J167" s="5">
        <v>67</v>
      </c>
      <c r="K167" s="5">
        <v>59</v>
      </c>
      <c r="L167" s="5">
        <f t="shared" si="4"/>
        <v>64.6</v>
      </c>
      <c r="M167" s="7" t="str">
        <f t="shared" si="5"/>
        <v>不合格</v>
      </c>
    </row>
    <row r="168" spans="2:13">
      <c r="B168" s="4">
        <v>155</v>
      </c>
      <c r="C168" s="5" t="s">
        <v>182</v>
      </c>
      <c r="D168" s="5" t="s">
        <v>13</v>
      </c>
      <c r="E168" s="5">
        <v>27</v>
      </c>
      <c r="F168" s="5" t="s">
        <v>138</v>
      </c>
      <c r="G168" s="5">
        <v>62</v>
      </c>
      <c r="H168" s="5">
        <v>96</v>
      </c>
      <c r="I168" s="5">
        <v>0</v>
      </c>
      <c r="J168" s="5">
        <v>67</v>
      </c>
      <c r="K168" s="5">
        <v>95</v>
      </c>
      <c r="L168" s="5">
        <f t="shared" si="4"/>
        <v>64</v>
      </c>
      <c r="M168" s="7" t="str">
        <f t="shared" si="5"/>
        <v>不合格</v>
      </c>
    </row>
    <row r="169" spans="2:13">
      <c r="B169" s="4">
        <v>244</v>
      </c>
      <c r="C169" s="5" t="s">
        <v>183</v>
      </c>
      <c r="D169" s="5" t="s">
        <v>13</v>
      </c>
      <c r="E169" s="5">
        <v>24</v>
      </c>
      <c r="F169" s="5" t="s">
        <v>138</v>
      </c>
      <c r="G169" s="5">
        <v>77</v>
      </c>
      <c r="H169" s="5">
        <v>100</v>
      </c>
      <c r="I169" s="5">
        <v>73</v>
      </c>
      <c r="J169" s="5">
        <v>0</v>
      </c>
      <c r="K169" s="5">
        <v>70</v>
      </c>
      <c r="L169" s="5">
        <f t="shared" si="4"/>
        <v>64</v>
      </c>
      <c r="M169" s="7" t="str">
        <f t="shared" si="5"/>
        <v>不合格</v>
      </c>
    </row>
    <row r="170" spans="2:13">
      <c r="B170" s="4">
        <v>51</v>
      </c>
      <c r="C170" s="5" t="s">
        <v>184</v>
      </c>
      <c r="D170" s="5" t="s">
        <v>13</v>
      </c>
      <c r="E170" s="5">
        <v>54</v>
      </c>
      <c r="F170" s="5" t="s">
        <v>138</v>
      </c>
      <c r="G170" s="5">
        <v>56</v>
      </c>
      <c r="H170" s="5">
        <v>77</v>
      </c>
      <c r="I170" s="5">
        <v>54</v>
      </c>
      <c r="J170" s="5">
        <v>62</v>
      </c>
      <c r="K170" s="5">
        <v>69</v>
      </c>
      <c r="L170" s="5">
        <f t="shared" si="4"/>
        <v>63.6</v>
      </c>
      <c r="M170" s="7" t="str">
        <f t="shared" si="5"/>
        <v>不合格</v>
      </c>
    </row>
    <row r="171" spans="2:13">
      <c r="B171" s="4">
        <v>243</v>
      </c>
      <c r="C171" s="5" t="s">
        <v>185</v>
      </c>
      <c r="D171" s="5" t="s">
        <v>13</v>
      </c>
      <c r="E171" s="5">
        <v>31</v>
      </c>
      <c r="F171" s="5" t="s">
        <v>138</v>
      </c>
      <c r="G171" s="5">
        <v>83</v>
      </c>
      <c r="H171" s="5">
        <v>67</v>
      </c>
      <c r="I171" s="5">
        <v>79</v>
      </c>
      <c r="J171" s="5">
        <v>89</v>
      </c>
      <c r="K171" s="5">
        <v>0</v>
      </c>
      <c r="L171" s="5">
        <f t="shared" si="4"/>
        <v>63.6</v>
      </c>
      <c r="M171" s="7" t="str">
        <f t="shared" si="5"/>
        <v>不合格</v>
      </c>
    </row>
    <row r="172" spans="2:13">
      <c r="B172" s="4">
        <v>129</v>
      </c>
      <c r="C172" s="5" t="s">
        <v>186</v>
      </c>
      <c r="D172" s="5" t="s">
        <v>13</v>
      </c>
      <c r="E172" s="5">
        <v>51</v>
      </c>
      <c r="F172" s="5" t="s">
        <v>138</v>
      </c>
      <c r="G172" s="5">
        <v>49</v>
      </c>
      <c r="H172" s="5">
        <v>49</v>
      </c>
      <c r="I172" s="5">
        <v>75</v>
      </c>
      <c r="J172" s="5">
        <v>68</v>
      </c>
      <c r="K172" s="5">
        <v>71</v>
      </c>
      <c r="L172" s="5">
        <f t="shared" si="4"/>
        <v>62.4</v>
      </c>
      <c r="M172" s="7" t="str">
        <f t="shared" si="5"/>
        <v>不合格</v>
      </c>
    </row>
    <row r="173" spans="2:13">
      <c r="B173" s="4">
        <v>269</v>
      </c>
      <c r="C173" s="5" t="s">
        <v>187</v>
      </c>
      <c r="D173" s="5" t="s">
        <v>13</v>
      </c>
      <c r="E173" s="5">
        <v>48</v>
      </c>
      <c r="F173" s="5" t="s">
        <v>138</v>
      </c>
      <c r="G173" s="5">
        <v>69</v>
      </c>
      <c r="H173" s="5">
        <v>56</v>
      </c>
      <c r="I173" s="5">
        <v>67</v>
      </c>
      <c r="J173" s="5">
        <v>66</v>
      </c>
      <c r="K173" s="5">
        <v>54</v>
      </c>
      <c r="L173" s="5">
        <f t="shared" si="4"/>
        <v>62.4</v>
      </c>
      <c r="M173" s="7" t="str">
        <f t="shared" si="5"/>
        <v>不合格</v>
      </c>
    </row>
    <row r="174" spans="2:13">
      <c r="B174" s="4">
        <v>285</v>
      </c>
      <c r="C174" s="5" t="s">
        <v>188</v>
      </c>
      <c r="D174" s="5" t="s">
        <v>13</v>
      </c>
      <c r="E174" s="5">
        <v>52</v>
      </c>
      <c r="F174" s="5" t="s">
        <v>138</v>
      </c>
      <c r="G174" s="5">
        <v>57</v>
      </c>
      <c r="H174" s="5">
        <v>79</v>
      </c>
      <c r="I174" s="5">
        <v>57</v>
      </c>
      <c r="J174" s="5">
        <v>59</v>
      </c>
      <c r="K174" s="5">
        <v>59</v>
      </c>
      <c r="L174" s="5">
        <f t="shared" si="4"/>
        <v>62.2</v>
      </c>
      <c r="M174" s="7" t="str">
        <f t="shared" si="5"/>
        <v>不合格</v>
      </c>
    </row>
    <row r="175" spans="2:13">
      <c r="B175" s="4">
        <v>83</v>
      </c>
      <c r="C175" s="5" t="s">
        <v>189</v>
      </c>
      <c r="D175" s="5" t="s">
        <v>13</v>
      </c>
      <c r="E175" s="5">
        <v>50</v>
      </c>
      <c r="F175" s="5" t="s">
        <v>138</v>
      </c>
      <c r="G175" s="5">
        <v>46</v>
      </c>
      <c r="H175" s="5">
        <v>72</v>
      </c>
      <c r="I175" s="5">
        <v>63</v>
      </c>
      <c r="J175" s="5">
        <v>65</v>
      </c>
      <c r="K175" s="5">
        <v>62</v>
      </c>
      <c r="L175" s="5">
        <f t="shared" si="4"/>
        <v>61.6</v>
      </c>
      <c r="M175" s="7" t="str">
        <f t="shared" si="5"/>
        <v>不合格</v>
      </c>
    </row>
    <row r="176" spans="2:13">
      <c r="B176" s="4">
        <v>215</v>
      </c>
      <c r="C176" s="5" t="s">
        <v>190</v>
      </c>
      <c r="D176" s="5" t="s">
        <v>13</v>
      </c>
      <c r="E176" s="5">
        <v>28</v>
      </c>
      <c r="F176" s="5" t="s">
        <v>138</v>
      </c>
      <c r="G176" s="5">
        <v>78</v>
      </c>
      <c r="H176" s="5">
        <v>0</v>
      </c>
      <c r="I176" s="5">
        <v>78</v>
      </c>
      <c r="J176" s="5">
        <v>70</v>
      </c>
      <c r="K176" s="5">
        <v>81</v>
      </c>
      <c r="L176" s="5">
        <f t="shared" si="4"/>
        <v>61.4</v>
      </c>
      <c r="M176" s="7" t="str">
        <f t="shared" si="5"/>
        <v>不合格</v>
      </c>
    </row>
    <row r="177" spans="2:13">
      <c r="B177" s="4">
        <v>95</v>
      </c>
      <c r="C177" s="5" t="s">
        <v>191</v>
      </c>
      <c r="D177" s="5" t="s">
        <v>13</v>
      </c>
      <c r="E177" s="5">
        <v>52</v>
      </c>
      <c r="F177" s="5" t="s">
        <v>138</v>
      </c>
      <c r="G177" s="5">
        <v>73</v>
      </c>
      <c r="H177" s="5">
        <v>59</v>
      </c>
      <c r="I177" s="5">
        <v>46</v>
      </c>
      <c r="J177" s="5">
        <v>55</v>
      </c>
      <c r="K177" s="5">
        <v>70</v>
      </c>
      <c r="L177" s="5">
        <f t="shared" si="4"/>
        <v>60.6</v>
      </c>
      <c r="M177" s="7" t="str">
        <f t="shared" si="5"/>
        <v>不合格</v>
      </c>
    </row>
    <row r="178" spans="2:13">
      <c r="B178" s="4">
        <v>38</v>
      </c>
      <c r="C178" s="5" t="s">
        <v>192</v>
      </c>
      <c r="D178" s="5" t="s">
        <v>22</v>
      </c>
      <c r="E178" s="5">
        <v>50</v>
      </c>
      <c r="F178" s="5" t="s">
        <v>138</v>
      </c>
      <c r="G178" s="5">
        <v>52</v>
      </c>
      <c r="H178" s="5">
        <v>51</v>
      </c>
      <c r="I178" s="5">
        <v>67</v>
      </c>
      <c r="J178" s="5">
        <v>81</v>
      </c>
      <c r="K178" s="5">
        <v>48</v>
      </c>
      <c r="L178" s="5">
        <f t="shared" si="4"/>
        <v>59.8</v>
      </c>
      <c r="M178" s="7" t="str">
        <f t="shared" si="5"/>
        <v>不合格</v>
      </c>
    </row>
    <row r="179" spans="2:13">
      <c r="B179" s="4">
        <v>311</v>
      </c>
      <c r="C179" s="5" t="s">
        <v>193</v>
      </c>
      <c r="D179" s="5" t="s">
        <v>13</v>
      </c>
      <c r="E179" s="5">
        <v>36</v>
      </c>
      <c r="F179" s="5" t="s">
        <v>138</v>
      </c>
      <c r="G179" s="5">
        <v>71</v>
      </c>
      <c r="H179" s="5">
        <v>0</v>
      </c>
      <c r="I179" s="5">
        <v>59</v>
      </c>
      <c r="J179" s="5">
        <v>70</v>
      </c>
      <c r="K179" s="5">
        <v>96</v>
      </c>
      <c r="L179" s="5">
        <f t="shared" si="4"/>
        <v>59.2</v>
      </c>
      <c r="M179" s="7" t="str">
        <f t="shared" si="5"/>
        <v>不合格</v>
      </c>
    </row>
    <row r="180" spans="2:13">
      <c r="B180" s="4">
        <v>195</v>
      </c>
      <c r="C180" s="5" t="s">
        <v>194</v>
      </c>
      <c r="D180" s="5" t="s">
        <v>13</v>
      </c>
      <c r="E180" s="5">
        <v>52</v>
      </c>
      <c r="F180" s="5" t="s">
        <v>138</v>
      </c>
      <c r="G180" s="5">
        <v>61</v>
      </c>
      <c r="H180" s="5">
        <v>65</v>
      </c>
      <c r="I180" s="5">
        <v>60</v>
      </c>
      <c r="J180" s="5">
        <v>53</v>
      </c>
      <c r="K180" s="5">
        <v>53</v>
      </c>
      <c r="L180" s="5">
        <f t="shared" si="4"/>
        <v>58.4</v>
      </c>
      <c r="M180" s="7" t="str">
        <f t="shared" si="5"/>
        <v>不合格</v>
      </c>
    </row>
    <row r="181" spans="2:13">
      <c r="B181" s="4">
        <v>267</v>
      </c>
      <c r="C181" s="5" t="s">
        <v>195</v>
      </c>
      <c r="D181" s="5" t="s">
        <v>13</v>
      </c>
      <c r="E181" s="5">
        <v>26</v>
      </c>
      <c r="F181" s="5" t="s">
        <v>196</v>
      </c>
      <c r="G181" s="5">
        <v>96</v>
      </c>
      <c r="H181" s="5">
        <v>94</v>
      </c>
      <c r="I181" s="5">
        <v>95</v>
      </c>
      <c r="J181" s="5">
        <v>88</v>
      </c>
      <c r="K181" s="5">
        <v>92</v>
      </c>
      <c r="L181" s="5">
        <f t="shared" si="4"/>
        <v>93</v>
      </c>
      <c r="M181" s="7" t="str">
        <f t="shared" si="5"/>
        <v>优</v>
      </c>
    </row>
    <row r="182" spans="2:13">
      <c r="B182" s="4">
        <v>194</v>
      </c>
      <c r="C182" s="5" t="s">
        <v>197</v>
      </c>
      <c r="D182" s="5" t="s">
        <v>13</v>
      </c>
      <c r="E182" s="5">
        <v>25</v>
      </c>
      <c r="F182" s="5" t="s">
        <v>196</v>
      </c>
      <c r="G182" s="5">
        <v>100</v>
      </c>
      <c r="H182" s="5">
        <v>77</v>
      </c>
      <c r="I182" s="5">
        <v>81</v>
      </c>
      <c r="J182" s="5">
        <v>82</v>
      </c>
      <c r="K182" s="5">
        <v>95</v>
      </c>
      <c r="L182" s="5">
        <f t="shared" si="4"/>
        <v>87</v>
      </c>
      <c r="M182" s="7" t="str">
        <f t="shared" si="5"/>
        <v>优</v>
      </c>
    </row>
    <row r="183" spans="2:13">
      <c r="B183" s="4">
        <v>67</v>
      </c>
      <c r="C183" s="5" t="s">
        <v>198</v>
      </c>
      <c r="D183" s="5" t="s">
        <v>13</v>
      </c>
      <c r="E183" s="5">
        <v>39</v>
      </c>
      <c r="F183" s="5" t="s">
        <v>196</v>
      </c>
      <c r="G183" s="5">
        <v>63</v>
      </c>
      <c r="H183" s="5">
        <v>93</v>
      </c>
      <c r="I183" s="5">
        <v>87</v>
      </c>
      <c r="J183" s="5">
        <v>88</v>
      </c>
      <c r="K183" s="5">
        <v>89</v>
      </c>
      <c r="L183" s="5">
        <f t="shared" si="4"/>
        <v>84</v>
      </c>
      <c r="M183" s="7" t="str">
        <f t="shared" si="5"/>
        <v>良</v>
      </c>
    </row>
    <row r="184" spans="2:13">
      <c r="B184" s="4">
        <v>185</v>
      </c>
      <c r="C184" s="5" t="s">
        <v>199</v>
      </c>
      <c r="D184" s="5" t="s">
        <v>13</v>
      </c>
      <c r="E184" s="5">
        <v>29</v>
      </c>
      <c r="F184" s="5" t="s">
        <v>196</v>
      </c>
      <c r="G184" s="5">
        <v>99</v>
      </c>
      <c r="H184" s="5">
        <v>72</v>
      </c>
      <c r="I184" s="5">
        <v>97</v>
      </c>
      <c r="J184" s="5">
        <v>74</v>
      </c>
      <c r="K184" s="5">
        <v>78</v>
      </c>
      <c r="L184" s="5">
        <f t="shared" si="4"/>
        <v>84</v>
      </c>
      <c r="M184" s="7" t="str">
        <f t="shared" si="5"/>
        <v>良</v>
      </c>
    </row>
    <row r="185" spans="2:13">
      <c r="B185" s="4">
        <v>232</v>
      </c>
      <c r="C185" s="5" t="s">
        <v>200</v>
      </c>
      <c r="D185" s="5" t="s">
        <v>13</v>
      </c>
      <c r="E185" s="5">
        <v>29</v>
      </c>
      <c r="F185" s="5" t="s">
        <v>196</v>
      </c>
      <c r="G185" s="5">
        <v>69</v>
      </c>
      <c r="H185" s="5">
        <v>91</v>
      </c>
      <c r="I185" s="5">
        <v>72</v>
      </c>
      <c r="J185" s="5">
        <v>94</v>
      </c>
      <c r="K185" s="5">
        <v>94</v>
      </c>
      <c r="L185" s="5">
        <f t="shared" si="4"/>
        <v>84</v>
      </c>
      <c r="M185" s="7" t="str">
        <f t="shared" si="5"/>
        <v>良</v>
      </c>
    </row>
    <row r="186" spans="2:13">
      <c r="B186" s="4">
        <v>163</v>
      </c>
      <c r="C186" s="5" t="s">
        <v>201</v>
      </c>
      <c r="D186" s="5" t="s">
        <v>13</v>
      </c>
      <c r="E186" s="5">
        <v>33</v>
      </c>
      <c r="F186" s="5" t="s">
        <v>196</v>
      </c>
      <c r="G186" s="5">
        <v>91</v>
      </c>
      <c r="H186" s="5">
        <v>75</v>
      </c>
      <c r="I186" s="5">
        <v>83</v>
      </c>
      <c r="J186" s="5">
        <v>78</v>
      </c>
      <c r="K186" s="5">
        <v>81</v>
      </c>
      <c r="L186" s="5">
        <f t="shared" si="4"/>
        <v>81.6</v>
      </c>
      <c r="M186" s="7" t="str">
        <f t="shared" si="5"/>
        <v>良</v>
      </c>
    </row>
    <row r="187" spans="2:13">
      <c r="B187" s="4">
        <v>23</v>
      </c>
      <c r="C187" s="5" t="s">
        <v>202</v>
      </c>
      <c r="D187" s="5" t="s">
        <v>13</v>
      </c>
      <c r="E187" s="5">
        <v>35</v>
      </c>
      <c r="F187" s="5" t="s">
        <v>196</v>
      </c>
      <c r="G187" s="5">
        <v>75</v>
      </c>
      <c r="H187" s="5">
        <v>88</v>
      </c>
      <c r="I187" s="5">
        <v>88</v>
      </c>
      <c r="J187" s="5">
        <v>75</v>
      </c>
      <c r="K187" s="5">
        <v>80</v>
      </c>
      <c r="L187" s="5">
        <f t="shared" si="4"/>
        <v>81.2</v>
      </c>
      <c r="M187" s="7" t="str">
        <f t="shared" si="5"/>
        <v>良</v>
      </c>
    </row>
    <row r="188" spans="2:13">
      <c r="B188" s="4">
        <v>59</v>
      </c>
      <c r="C188" s="5" t="s">
        <v>203</v>
      </c>
      <c r="D188" s="5" t="s">
        <v>13</v>
      </c>
      <c r="E188" s="5">
        <v>39</v>
      </c>
      <c r="F188" s="5" t="s">
        <v>196</v>
      </c>
      <c r="G188" s="5">
        <v>73</v>
      </c>
      <c r="H188" s="5">
        <v>73</v>
      </c>
      <c r="I188" s="5">
        <v>82</v>
      </c>
      <c r="J188" s="5">
        <v>95</v>
      </c>
      <c r="K188" s="5">
        <v>81</v>
      </c>
      <c r="L188" s="5">
        <f t="shared" si="4"/>
        <v>80.8</v>
      </c>
      <c r="M188" s="7" t="str">
        <f t="shared" si="5"/>
        <v>良</v>
      </c>
    </row>
    <row r="189" spans="2:13">
      <c r="B189" s="4">
        <v>302</v>
      </c>
      <c r="C189" s="5" t="s">
        <v>204</v>
      </c>
      <c r="D189" s="5" t="s">
        <v>13</v>
      </c>
      <c r="E189" s="5">
        <v>29</v>
      </c>
      <c r="F189" s="5" t="s">
        <v>196</v>
      </c>
      <c r="G189" s="5">
        <v>97</v>
      </c>
      <c r="H189" s="5">
        <v>65</v>
      </c>
      <c r="I189" s="5">
        <v>99</v>
      </c>
      <c r="J189" s="5">
        <v>64</v>
      </c>
      <c r="K189" s="5">
        <v>79</v>
      </c>
      <c r="L189" s="5">
        <f t="shared" si="4"/>
        <v>80.8</v>
      </c>
      <c r="M189" s="7" t="str">
        <f t="shared" si="5"/>
        <v>良</v>
      </c>
    </row>
    <row r="190" spans="2:13">
      <c r="B190" s="4">
        <v>15</v>
      </c>
      <c r="C190" s="5" t="s">
        <v>205</v>
      </c>
      <c r="D190" s="5" t="s">
        <v>13</v>
      </c>
      <c r="E190" s="5">
        <v>28</v>
      </c>
      <c r="F190" s="5" t="s">
        <v>196</v>
      </c>
      <c r="G190" s="5">
        <v>97</v>
      </c>
      <c r="H190" s="5">
        <v>78</v>
      </c>
      <c r="I190" s="5">
        <v>66</v>
      </c>
      <c r="J190" s="5">
        <v>71</v>
      </c>
      <c r="K190" s="5">
        <v>91</v>
      </c>
      <c r="L190" s="5">
        <f t="shared" si="4"/>
        <v>80.6</v>
      </c>
      <c r="M190" s="7" t="str">
        <f t="shared" si="5"/>
        <v>良</v>
      </c>
    </row>
    <row r="191" spans="2:13">
      <c r="B191" s="4">
        <v>21</v>
      </c>
      <c r="C191" s="5" t="s">
        <v>206</v>
      </c>
      <c r="D191" s="5" t="s">
        <v>13</v>
      </c>
      <c r="E191" s="5">
        <v>24</v>
      </c>
      <c r="F191" s="5" t="s">
        <v>196</v>
      </c>
      <c r="G191" s="5">
        <v>90</v>
      </c>
      <c r="H191" s="5">
        <v>82</v>
      </c>
      <c r="I191" s="5">
        <v>81</v>
      </c>
      <c r="J191" s="5">
        <v>71</v>
      </c>
      <c r="K191" s="5">
        <v>79</v>
      </c>
      <c r="L191" s="5">
        <f t="shared" si="4"/>
        <v>80.6</v>
      </c>
      <c r="M191" s="7" t="str">
        <f t="shared" si="5"/>
        <v>良</v>
      </c>
    </row>
    <row r="192" spans="2:13">
      <c r="B192" s="4">
        <v>165</v>
      </c>
      <c r="C192" s="5" t="s">
        <v>207</v>
      </c>
      <c r="D192" s="5" t="s">
        <v>13</v>
      </c>
      <c r="E192" s="5">
        <v>34</v>
      </c>
      <c r="F192" s="5" t="s">
        <v>196</v>
      </c>
      <c r="G192" s="5">
        <v>84</v>
      </c>
      <c r="H192" s="5">
        <v>79</v>
      </c>
      <c r="I192" s="5">
        <v>93</v>
      </c>
      <c r="J192" s="5">
        <v>65</v>
      </c>
      <c r="K192" s="5">
        <v>79</v>
      </c>
      <c r="L192" s="5">
        <f t="shared" si="4"/>
        <v>80</v>
      </c>
      <c r="M192" s="7" t="str">
        <f t="shared" si="5"/>
        <v>良</v>
      </c>
    </row>
    <row r="193" spans="2:13">
      <c r="B193" s="4">
        <v>252</v>
      </c>
      <c r="C193" s="5" t="s">
        <v>208</v>
      </c>
      <c r="D193" s="5" t="s">
        <v>13</v>
      </c>
      <c r="E193" s="5">
        <v>39</v>
      </c>
      <c r="F193" s="5" t="s">
        <v>196</v>
      </c>
      <c r="G193" s="5">
        <v>92</v>
      </c>
      <c r="H193" s="5">
        <v>68</v>
      </c>
      <c r="I193" s="5">
        <v>68</v>
      </c>
      <c r="J193" s="5">
        <v>94</v>
      </c>
      <c r="K193" s="5">
        <v>78</v>
      </c>
      <c r="L193" s="5">
        <f t="shared" si="4"/>
        <v>80</v>
      </c>
      <c r="M193" s="7" t="str">
        <f t="shared" si="5"/>
        <v>良</v>
      </c>
    </row>
    <row r="194" spans="2:13">
      <c r="B194" s="4">
        <v>111</v>
      </c>
      <c r="C194" s="5" t="s">
        <v>209</v>
      </c>
      <c r="D194" s="5" t="s">
        <v>13</v>
      </c>
      <c r="E194" s="5">
        <v>28</v>
      </c>
      <c r="F194" s="5" t="s">
        <v>196</v>
      </c>
      <c r="G194" s="5">
        <v>74</v>
      </c>
      <c r="H194" s="5">
        <v>86</v>
      </c>
      <c r="I194" s="5">
        <v>67</v>
      </c>
      <c r="J194" s="5">
        <v>94</v>
      </c>
      <c r="K194" s="5">
        <v>74</v>
      </c>
      <c r="L194" s="5">
        <f t="shared" si="4"/>
        <v>79</v>
      </c>
      <c r="M194" s="7" t="str">
        <f t="shared" si="5"/>
        <v>良</v>
      </c>
    </row>
    <row r="195" spans="2:13">
      <c r="B195" s="4">
        <v>89</v>
      </c>
      <c r="C195" s="5" t="s">
        <v>210</v>
      </c>
      <c r="D195" s="5" t="s">
        <v>13</v>
      </c>
      <c r="E195" s="5">
        <v>36</v>
      </c>
      <c r="F195" s="5" t="s">
        <v>196</v>
      </c>
      <c r="G195" s="5">
        <v>71</v>
      </c>
      <c r="H195" s="5">
        <v>88</v>
      </c>
      <c r="I195" s="5">
        <v>68</v>
      </c>
      <c r="J195" s="5">
        <v>93</v>
      </c>
      <c r="K195" s="5">
        <v>65</v>
      </c>
      <c r="L195" s="5">
        <f t="shared" ref="L195:L258" si="6">AVERAGE(G195:K195)</f>
        <v>77</v>
      </c>
      <c r="M195" s="7" t="str">
        <f t="shared" ref="M195:M258" si="7">IF(OR(G195&lt;60,H195&lt;60,I195&lt;60,J195&lt;60,K195&lt;60),"不合格",IF(L195&lt;75,"及格",IF(L195&lt;85,"良","优")))</f>
        <v>良</v>
      </c>
    </row>
    <row r="196" spans="2:13">
      <c r="B196" s="4">
        <v>212</v>
      </c>
      <c r="C196" s="5" t="s">
        <v>211</v>
      </c>
      <c r="D196" s="5" t="s">
        <v>13</v>
      </c>
      <c r="E196" s="5">
        <v>38</v>
      </c>
      <c r="F196" s="5" t="s">
        <v>196</v>
      </c>
      <c r="G196" s="5">
        <v>93</v>
      </c>
      <c r="H196" s="5">
        <v>71</v>
      </c>
      <c r="I196" s="5">
        <v>68</v>
      </c>
      <c r="J196" s="5">
        <v>63</v>
      </c>
      <c r="K196" s="5">
        <v>90</v>
      </c>
      <c r="L196" s="5">
        <f t="shared" si="6"/>
        <v>77</v>
      </c>
      <c r="M196" s="7" t="str">
        <f t="shared" si="7"/>
        <v>良</v>
      </c>
    </row>
    <row r="197" spans="2:13">
      <c r="B197" s="4">
        <v>179</v>
      </c>
      <c r="C197" s="5" t="s">
        <v>212</v>
      </c>
      <c r="D197" s="5" t="s">
        <v>13</v>
      </c>
      <c r="E197" s="5">
        <v>33</v>
      </c>
      <c r="F197" s="5" t="s">
        <v>196</v>
      </c>
      <c r="G197" s="5">
        <v>84</v>
      </c>
      <c r="H197" s="5">
        <v>66</v>
      </c>
      <c r="I197" s="5">
        <v>83</v>
      </c>
      <c r="J197" s="5">
        <v>74</v>
      </c>
      <c r="K197" s="5">
        <v>77</v>
      </c>
      <c r="L197" s="5">
        <f t="shared" si="6"/>
        <v>76.8</v>
      </c>
      <c r="M197" s="7" t="str">
        <f t="shared" si="7"/>
        <v>良</v>
      </c>
    </row>
    <row r="198" spans="2:13">
      <c r="B198" s="4">
        <v>65</v>
      </c>
      <c r="C198" s="5" t="s">
        <v>213</v>
      </c>
      <c r="D198" s="5" t="s">
        <v>13</v>
      </c>
      <c r="E198" s="5">
        <v>41</v>
      </c>
      <c r="F198" s="5" t="s">
        <v>196</v>
      </c>
      <c r="G198" s="5">
        <v>87</v>
      </c>
      <c r="H198" s="5">
        <v>70</v>
      </c>
      <c r="I198" s="5">
        <v>86</v>
      </c>
      <c r="J198" s="5">
        <v>81</v>
      </c>
      <c r="K198" s="5">
        <v>59</v>
      </c>
      <c r="L198" s="5">
        <f t="shared" si="6"/>
        <v>76.6</v>
      </c>
      <c r="M198" s="7" t="str">
        <f t="shared" si="7"/>
        <v>不合格</v>
      </c>
    </row>
    <row r="199" spans="2:13">
      <c r="B199" s="4">
        <v>317</v>
      </c>
      <c r="C199" s="5" t="s">
        <v>214</v>
      </c>
      <c r="D199" s="5" t="s">
        <v>13</v>
      </c>
      <c r="E199" s="5">
        <v>44</v>
      </c>
      <c r="F199" s="5" t="s">
        <v>196</v>
      </c>
      <c r="G199" s="5">
        <v>75</v>
      </c>
      <c r="H199" s="5">
        <v>66</v>
      </c>
      <c r="I199" s="5">
        <v>83</v>
      </c>
      <c r="J199" s="5">
        <v>85</v>
      </c>
      <c r="K199" s="5">
        <v>72</v>
      </c>
      <c r="L199" s="5">
        <f t="shared" si="6"/>
        <v>76.2</v>
      </c>
      <c r="M199" s="7" t="str">
        <f t="shared" si="7"/>
        <v>良</v>
      </c>
    </row>
    <row r="200" spans="2:13">
      <c r="B200" s="4">
        <v>139</v>
      </c>
      <c r="C200" s="5" t="s">
        <v>215</v>
      </c>
      <c r="D200" s="5" t="s">
        <v>13</v>
      </c>
      <c r="E200" s="5">
        <v>39</v>
      </c>
      <c r="F200" s="5" t="s">
        <v>196</v>
      </c>
      <c r="G200" s="5">
        <v>83</v>
      </c>
      <c r="H200" s="5">
        <v>75</v>
      </c>
      <c r="I200" s="5">
        <v>71</v>
      </c>
      <c r="J200" s="5">
        <v>89</v>
      </c>
      <c r="K200" s="5">
        <v>60</v>
      </c>
      <c r="L200" s="5">
        <f t="shared" si="6"/>
        <v>75.6</v>
      </c>
      <c r="M200" s="7" t="str">
        <f t="shared" si="7"/>
        <v>良</v>
      </c>
    </row>
    <row r="201" spans="2:13">
      <c r="B201" s="4">
        <v>159</v>
      </c>
      <c r="C201" s="5" t="s">
        <v>216</v>
      </c>
      <c r="D201" s="5" t="s">
        <v>13</v>
      </c>
      <c r="E201" s="5">
        <v>48</v>
      </c>
      <c r="F201" s="5" t="s">
        <v>196</v>
      </c>
      <c r="G201" s="5">
        <v>78</v>
      </c>
      <c r="H201" s="5">
        <v>80</v>
      </c>
      <c r="I201" s="5">
        <v>70</v>
      </c>
      <c r="J201" s="5">
        <v>78</v>
      </c>
      <c r="K201" s="5">
        <v>70</v>
      </c>
      <c r="L201" s="5">
        <f t="shared" si="6"/>
        <v>75.2</v>
      </c>
      <c r="M201" s="7" t="str">
        <f t="shared" si="7"/>
        <v>良</v>
      </c>
    </row>
    <row r="202" spans="2:13">
      <c r="B202" s="4">
        <v>276</v>
      </c>
      <c r="C202" s="5" t="s">
        <v>217</v>
      </c>
      <c r="D202" s="5" t="s">
        <v>13</v>
      </c>
      <c r="E202" s="5">
        <v>46</v>
      </c>
      <c r="F202" s="5" t="s">
        <v>196</v>
      </c>
      <c r="G202" s="5">
        <v>52</v>
      </c>
      <c r="H202" s="5">
        <v>76</v>
      </c>
      <c r="I202" s="5">
        <v>79</v>
      </c>
      <c r="J202" s="5">
        <v>80</v>
      </c>
      <c r="K202" s="5">
        <v>84</v>
      </c>
      <c r="L202" s="5">
        <f t="shared" si="6"/>
        <v>74.2</v>
      </c>
      <c r="M202" s="7" t="str">
        <f t="shared" si="7"/>
        <v>不合格</v>
      </c>
    </row>
    <row r="203" spans="2:13">
      <c r="B203" s="4">
        <v>234</v>
      </c>
      <c r="C203" s="5" t="s">
        <v>218</v>
      </c>
      <c r="D203" s="5" t="s">
        <v>13</v>
      </c>
      <c r="E203" s="5">
        <v>38</v>
      </c>
      <c r="F203" s="5" t="s">
        <v>196</v>
      </c>
      <c r="G203" s="5">
        <v>74</v>
      </c>
      <c r="H203" s="5">
        <v>59</v>
      </c>
      <c r="I203" s="5">
        <v>65</v>
      </c>
      <c r="J203" s="5">
        <v>88</v>
      </c>
      <c r="K203" s="5">
        <v>81</v>
      </c>
      <c r="L203" s="5">
        <f t="shared" si="6"/>
        <v>73.4</v>
      </c>
      <c r="M203" s="7" t="str">
        <f t="shared" si="7"/>
        <v>不合格</v>
      </c>
    </row>
    <row r="204" spans="2:13">
      <c r="B204" s="4">
        <v>35</v>
      </c>
      <c r="C204" s="5" t="s">
        <v>219</v>
      </c>
      <c r="D204" s="5" t="s">
        <v>13</v>
      </c>
      <c r="E204" s="5">
        <v>51</v>
      </c>
      <c r="F204" s="5" t="s">
        <v>196</v>
      </c>
      <c r="G204" s="5">
        <v>80</v>
      </c>
      <c r="H204" s="5">
        <v>81</v>
      </c>
      <c r="I204" s="5">
        <v>75</v>
      </c>
      <c r="J204" s="5">
        <v>58</v>
      </c>
      <c r="K204" s="5">
        <v>68</v>
      </c>
      <c r="L204" s="5">
        <f t="shared" si="6"/>
        <v>72.4</v>
      </c>
      <c r="M204" s="7" t="str">
        <f t="shared" si="7"/>
        <v>不合格</v>
      </c>
    </row>
    <row r="205" spans="2:13">
      <c r="B205" s="4">
        <v>209</v>
      </c>
      <c r="C205" s="5" t="s">
        <v>220</v>
      </c>
      <c r="D205" s="5" t="s">
        <v>13</v>
      </c>
      <c r="E205" s="5">
        <v>41</v>
      </c>
      <c r="F205" s="5" t="s">
        <v>196</v>
      </c>
      <c r="G205" s="5">
        <v>80</v>
      </c>
      <c r="H205" s="5">
        <v>71</v>
      </c>
      <c r="I205" s="5">
        <v>59</v>
      </c>
      <c r="J205" s="5">
        <v>80</v>
      </c>
      <c r="K205" s="5">
        <v>70</v>
      </c>
      <c r="L205" s="5">
        <f t="shared" si="6"/>
        <v>72</v>
      </c>
      <c r="M205" s="7" t="str">
        <f t="shared" si="7"/>
        <v>不合格</v>
      </c>
    </row>
    <row r="206" spans="2:13">
      <c r="B206" s="4">
        <v>78</v>
      </c>
      <c r="C206" s="5" t="s">
        <v>221</v>
      </c>
      <c r="D206" s="5" t="s">
        <v>13</v>
      </c>
      <c r="E206" s="5">
        <v>45</v>
      </c>
      <c r="F206" s="5" t="s">
        <v>196</v>
      </c>
      <c r="G206" s="5">
        <v>82</v>
      </c>
      <c r="H206" s="5">
        <v>63</v>
      </c>
      <c r="I206" s="5">
        <v>63</v>
      </c>
      <c r="J206" s="5">
        <v>66</v>
      </c>
      <c r="K206" s="5">
        <v>82</v>
      </c>
      <c r="L206" s="5">
        <f t="shared" si="6"/>
        <v>71.2</v>
      </c>
      <c r="M206" s="7" t="str">
        <f t="shared" si="7"/>
        <v>及格</v>
      </c>
    </row>
    <row r="207" spans="2:13">
      <c r="B207" s="4">
        <v>5</v>
      </c>
      <c r="C207" s="5" t="s">
        <v>222</v>
      </c>
      <c r="D207" s="5" t="s">
        <v>13</v>
      </c>
      <c r="E207" s="5">
        <v>45</v>
      </c>
      <c r="F207" s="5" t="s">
        <v>196</v>
      </c>
      <c r="G207" s="5">
        <v>54</v>
      </c>
      <c r="H207" s="5">
        <v>67</v>
      </c>
      <c r="I207" s="5">
        <v>67</v>
      </c>
      <c r="J207" s="5">
        <v>82</v>
      </c>
      <c r="K207" s="5">
        <v>80</v>
      </c>
      <c r="L207" s="5">
        <f t="shared" si="6"/>
        <v>70</v>
      </c>
      <c r="M207" s="7" t="str">
        <f t="shared" si="7"/>
        <v>不合格</v>
      </c>
    </row>
    <row r="208" spans="2:13">
      <c r="B208" s="4">
        <v>314</v>
      </c>
      <c r="C208" s="5" t="s">
        <v>223</v>
      </c>
      <c r="D208" s="5" t="s">
        <v>13</v>
      </c>
      <c r="E208" s="5">
        <v>50</v>
      </c>
      <c r="F208" s="5" t="s">
        <v>196</v>
      </c>
      <c r="G208" s="5">
        <v>74</v>
      </c>
      <c r="H208" s="5">
        <v>69</v>
      </c>
      <c r="I208" s="5">
        <v>64</v>
      </c>
      <c r="J208" s="5">
        <v>75</v>
      </c>
      <c r="K208" s="5">
        <v>63</v>
      </c>
      <c r="L208" s="5">
        <f t="shared" si="6"/>
        <v>69</v>
      </c>
      <c r="M208" s="7" t="str">
        <f t="shared" si="7"/>
        <v>及格</v>
      </c>
    </row>
    <row r="209" spans="2:13">
      <c r="B209" s="4">
        <v>44</v>
      </c>
      <c r="C209" s="5" t="s">
        <v>224</v>
      </c>
      <c r="D209" s="5" t="s">
        <v>22</v>
      </c>
      <c r="E209" s="5">
        <v>44</v>
      </c>
      <c r="F209" s="5" t="s">
        <v>196</v>
      </c>
      <c r="G209" s="5">
        <v>56</v>
      </c>
      <c r="H209" s="5">
        <v>61</v>
      </c>
      <c r="I209" s="5">
        <v>69</v>
      </c>
      <c r="J209" s="5">
        <v>76</v>
      </c>
      <c r="K209" s="5">
        <v>82</v>
      </c>
      <c r="L209" s="5">
        <f t="shared" si="6"/>
        <v>68.8</v>
      </c>
      <c r="M209" s="7" t="str">
        <f t="shared" si="7"/>
        <v>不合格</v>
      </c>
    </row>
    <row r="210" spans="2:13">
      <c r="B210" s="4">
        <v>308</v>
      </c>
      <c r="C210" s="5" t="s">
        <v>225</v>
      </c>
      <c r="D210" s="5" t="s">
        <v>13</v>
      </c>
      <c r="E210" s="5">
        <v>49</v>
      </c>
      <c r="F210" s="5" t="s">
        <v>196</v>
      </c>
      <c r="G210" s="5">
        <v>52</v>
      </c>
      <c r="H210" s="5">
        <v>77</v>
      </c>
      <c r="I210" s="5">
        <v>73</v>
      </c>
      <c r="J210" s="5">
        <v>63</v>
      </c>
      <c r="K210" s="5">
        <v>78</v>
      </c>
      <c r="L210" s="5">
        <f t="shared" si="6"/>
        <v>68.6</v>
      </c>
      <c r="M210" s="7" t="str">
        <f t="shared" si="7"/>
        <v>不合格</v>
      </c>
    </row>
    <row r="211" spans="2:13">
      <c r="B211" s="4">
        <v>288</v>
      </c>
      <c r="C211" s="5" t="s">
        <v>226</v>
      </c>
      <c r="D211" s="5" t="s">
        <v>13</v>
      </c>
      <c r="E211" s="5">
        <v>55</v>
      </c>
      <c r="F211" s="5" t="s">
        <v>196</v>
      </c>
      <c r="G211" s="5">
        <v>51</v>
      </c>
      <c r="H211" s="5">
        <v>81</v>
      </c>
      <c r="I211" s="5">
        <v>50</v>
      </c>
      <c r="J211" s="5">
        <v>81</v>
      </c>
      <c r="K211" s="5">
        <v>78</v>
      </c>
      <c r="L211" s="5">
        <f t="shared" si="6"/>
        <v>68.2</v>
      </c>
      <c r="M211" s="7" t="str">
        <f t="shared" si="7"/>
        <v>不合格</v>
      </c>
    </row>
    <row r="212" spans="2:13">
      <c r="B212" s="4">
        <v>130</v>
      </c>
      <c r="C212" s="5" t="s">
        <v>227</v>
      </c>
      <c r="D212" s="5" t="s">
        <v>22</v>
      </c>
      <c r="E212" s="5">
        <v>34</v>
      </c>
      <c r="F212" s="5" t="s">
        <v>196</v>
      </c>
      <c r="G212" s="5">
        <v>69</v>
      </c>
      <c r="H212" s="5">
        <v>69</v>
      </c>
      <c r="I212" s="5">
        <v>71</v>
      </c>
      <c r="J212" s="5">
        <v>64</v>
      </c>
      <c r="K212" s="5">
        <v>67</v>
      </c>
      <c r="L212" s="5">
        <f t="shared" si="6"/>
        <v>68</v>
      </c>
      <c r="M212" s="7" t="str">
        <f t="shared" si="7"/>
        <v>及格</v>
      </c>
    </row>
    <row r="213" spans="2:13">
      <c r="B213" s="4">
        <v>304</v>
      </c>
      <c r="C213" s="5" t="s">
        <v>228</v>
      </c>
      <c r="D213" s="5" t="s">
        <v>13</v>
      </c>
      <c r="E213" s="5">
        <v>42</v>
      </c>
      <c r="F213" s="5" t="s">
        <v>196</v>
      </c>
      <c r="G213" s="5">
        <v>74</v>
      </c>
      <c r="H213" s="5">
        <v>87</v>
      </c>
      <c r="I213" s="5">
        <v>86</v>
      </c>
      <c r="J213" s="5">
        <v>81</v>
      </c>
      <c r="K213" s="5">
        <v>0</v>
      </c>
      <c r="L213" s="5">
        <f t="shared" si="6"/>
        <v>65.6</v>
      </c>
      <c r="M213" s="7" t="str">
        <f t="shared" si="7"/>
        <v>不合格</v>
      </c>
    </row>
    <row r="214" spans="2:13">
      <c r="B214" s="4">
        <v>278</v>
      </c>
      <c r="C214" s="5" t="s">
        <v>229</v>
      </c>
      <c r="D214" s="5" t="s">
        <v>13</v>
      </c>
      <c r="E214" s="5">
        <v>48</v>
      </c>
      <c r="F214" s="5" t="s">
        <v>196</v>
      </c>
      <c r="G214" s="5">
        <v>73</v>
      </c>
      <c r="H214" s="5">
        <v>53</v>
      </c>
      <c r="I214" s="5">
        <v>66</v>
      </c>
      <c r="J214" s="5">
        <v>76</v>
      </c>
      <c r="K214" s="5">
        <v>59</v>
      </c>
      <c r="L214" s="5">
        <f t="shared" si="6"/>
        <v>65.4</v>
      </c>
      <c r="M214" s="7" t="str">
        <f t="shared" si="7"/>
        <v>不合格</v>
      </c>
    </row>
    <row r="215" spans="2:13">
      <c r="B215" s="4">
        <v>52</v>
      </c>
      <c r="C215" s="5" t="s">
        <v>230</v>
      </c>
      <c r="D215" s="5" t="s">
        <v>13</v>
      </c>
      <c r="E215" s="5">
        <v>44</v>
      </c>
      <c r="F215" s="5" t="s">
        <v>196</v>
      </c>
      <c r="G215" s="5">
        <v>75</v>
      </c>
      <c r="H215" s="5">
        <v>56</v>
      </c>
      <c r="I215" s="5">
        <v>54</v>
      </c>
      <c r="J215" s="5">
        <v>56</v>
      </c>
      <c r="K215" s="5">
        <v>84</v>
      </c>
      <c r="L215" s="5">
        <f t="shared" si="6"/>
        <v>65</v>
      </c>
      <c r="M215" s="7" t="str">
        <f t="shared" si="7"/>
        <v>不合格</v>
      </c>
    </row>
    <row r="216" spans="2:13">
      <c r="B216" s="4">
        <v>171</v>
      </c>
      <c r="C216" s="5" t="s">
        <v>231</v>
      </c>
      <c r="D216" s="5" t="s">
        <v>13</v>
      </c>
      <c r="E216" s="5">
        <v>31</v>
      </c>
      <c r="F216" s="5" t="s">
        <v>196</v>
      </c>
      <c r="G216" s="5">
        <v>90</v>
      </c>
      <c r="H216" s="5">
        <v>0</v>
      </c>
      <c r="I216" s="5">
        <v>92</v>
      </c>
      <c r="J216" s="5">
        <v>80</v>
      </c>
      <c r="K216" s="5">
        <v>59</v>
      </c>
      <c r="L216" s="5">
        <f t="shared" si="6"/>
        <v>64.2</v>
      </c>
      <c r="M216" s="7" t="str">
        <f t="shared" si="7"/>
        <v>不合格</v>
      </c>
    </row>
    <row r="217" spans="2:13">
      <c r="B217" s="4">
        <v>184</v>
      </c>
      <c r="C217" s="5" t="s">
        <v>232</v>
      </c>
      <c r="D217" s="5" t="s">
        <v>13</v>
      </c>
      <c r="E217" s="5">
        <v>47</v>
      </c>
      <c r="F217" s="5" t="s">
        <v>196</v>
      </c>
      <c r="G217" s="5">
        <v>59</v>
      </c>
      <c r="H217" s="5">
        <v>80</v>
      </c>
      <c r="I217" s="5">
        <v>74</v>
      </c>
      <c r="J217" s="5">
        <v>53</v>
      </c>
      <c r="K217" s="5">
        <v>54</v>
      </c>
      <c r="L217" s="5">
        <f t="shared" si="6"/>
        <v>64</v>
      </c>
      <c r="M217" s="7" t="str">
        <f t="shared" si="7"/>
        <v>不合格</v>
      </c>
    </row>
    <row r="218" spans="2:13">
      <c r="B218" s="4">
        <v>240</v>
      </c>
      <c r="C218" s="5" t="s">
        <v>233</v>
      </c>
      <c r="D218" s="5" t="s">
        <v>13</v>
      </c>
      <c r="E218" s="5">
        <v>47</v>
      </c>
      <c r="F218" s="5" t="s">
        <v>196</v>
      </c>
      <c r="G218" s="5">
        <v>60</v>
      </c>
      <c r="H218" s="5">
        <v>73</v>
      </c>
      <c r="I218" s="5">
        <v>55</v>
      </c>
      <c r="J218" s="5">
        <v>56</v>
      </c>
      <c r="K218" s="5">
        <v>75</v>
      </c>
      <c r="L218" s="5">
        <f t="shared" si="6"/>
        <v>63.8</v>
      </c>
      <c r="M218" s="7" t="str">
        <f t="shared" si="7"/>
        <v>不合格</v>
      </c>
    </row>
    <row r="219" spans="2:13">
      <c r="B219" s="4">
        <v>123</v>
      </c>
      <c r="C219" s="5" t="s">
        <v>234</v>
      </c>
      <c r="D219" s="5" t="s">
        <v>22</v>
      </c>
      <c r="E219" s="5">
        <v>33</v>
      </c>
      <c r="F219" s="5" t="s">
        <v>196</v>
      </c>
      <c r="G219" s="5">
        <v>92</v>
      </c>
      <c r="H219" s="5">
        <v>81</v>
      </c>
      <c r="I219" s="5">
        <v>76</v>
      </c>
      <c r="J219" s="5">
        <v>0</v>
      </c>
      <c r="K219" s="5">
        <v>69</v>
      </c>
      <c r="L219" s="5">
        <f t="shared" si="6"/>
        <v>63.6</v>
      </c>
      <c r="M219" s="7" t="str">
        <f t="shared" si="7"/>
        <v>不合格</v>
      </c>
    </row>
    <row r="220" spans="2:13">
      <c r="B220" s="4">
        <v>198</v>
      </c>
      <c r="C220" s="5" t="s">
        <v>235</v>
      </c>
      <c r="D220" s="5" t="s">
        <v>13</v>
      </c>
      <c r="E220" s="5">
        <v>52</v>
      </c>
      <c r="F220" s="5" t="s">
        <v>196</v>
      </c>
      <c r="G220" s="5">
        <v>66</v>
      </c>
      <c r="H220" s="5">
        <v>52</v>
      </c>
      <c r="I220" s="5">
        <v>79</v>
      </c>
      <c r="J220" s="5">
        <v>67</v>
      </c>
      <c r="K220" s="5">
        <v>51</v>
      </c>
      <c r="L220" s="5">
        <f t="shared" si="6"/>
        <v>63</v>
      </c>
      <c r="M220" s="7" t="str">
        <f t="shared" si="7"/>
        <v>不合格</v>
      </c>
    </row>
    <row r="221" spans="2:13">
      <c r="B221" s="4">
        <v>13</v>
      </c>
      <c r="C221" s="5" t="s">
        <v>236</v>
      </c>
      <c r="D221" s="5" t="s">
        <v>13</v>
      </c>
      <c r="E221" s="5">
        <v>51</v>
      </c>
      <c r="F221" s="5" t="s">
        <v>196</v>
      </c>
      <c r="G221" s="5">
        <v>62</v>
      </c>
      <c r="H221" s="5">
        <v>77</v>
      </c>
      <c r="I221" s="5">
        <v>69</v>
      </c>
      <c r="J221" s="5">
        <v>50</v>
      </c>
      <c r="K221" s="5">
        <v>51</v>
      </c>
      <c r="L221" s="5">
        <f t="shared" si="6"/>
        <v>61.8</v>
      </c>
      <c r="M221" s="7" t="str">
        <f t="shared" si="7"/>
        <v>不合格</v>
      </c>
    </row>
    <row r="222" spans="2:13">
      <c r="B222" s="4">
        <v>283</v>
      </c>
      <c r="C222" s="5" t="s">
        <v>237</v>
      </c>
      <c r="D222" s="5" t="s">
        <v>13</v>
      </c>
      <c r="E222" s="5">
        <v>37</v>
      </c>
      <c r="F222" s="5" t="s">
        <v>196</v>
      </c>
      <c r="G222" s="5">
        <v>77</v>
      </c>
      <c r="H222" s="5">
        <v>82</v>
      </c>
      <c r="I222" s="5">
        <v>0</v>
      </c>
      <c r="J222" s="5">
        <v>65</v>
      </c>
      <c r="K222" s="5">
        <v>85</v>
      </c>
      <c r="L222" s="5">
        <f t="shared" si="6"/>
        <v>61.8</v>
      </c>
      <c r="M222" s="7" t="str">
        <f t="shared" si="7"/>
        <v>不合格</v>
      </c>
    </row>
    <row r="223" spans="2:13">
      <c r="B223" s="4">
        <v>298</v>
      </c>
      <c r="C223" s="5" t="s">
        <v>238</v>
      </c>
      <c r="D223" s="5" t="s">
        <v>13</v>
      </c>
      <c r="E223" s="5">
        <v>41</v>
      </c>
      <c r="F223" s="5" t="s">
        <v>196</v>
      </c>
      <c r="G223" s="5">
        <v>73</v>
      </c>
      <c r="H223" s="5">
        <v>57</v>
      </c>
      <c r="I223" s="5">
        <v>65</v>
      </c>
      <c r="J223" s="5">
        <v>53</v>
      </c>
      <c r="K223" s="5">
        <v>61</v>
      </c>
      <c r="L223" s="5">
        <f t="shared" si="6"/>
        <v>61.8</v>
      </c>
      <c r="M223" s="7" t="str">
        <f t="shared" si="7"/>
        <v>不合格</v>
      </c>
    </row>
    <row r="224" spans="2:13">
      <c r="B224" s="4">
        <v>91</v>
      </c>
      <c r="C224" s="5" t="s">
        <v>239</v>
      </c>
      <c r="D224" s="5" t="s">
        <v>13</v>
      </c>
      <c r="E224" s="5">
        <v>35</v>
      </c>
      <c r="F224" s="5" t="s">
        <v>196</v>
      </c>
      <c r="G224" s="5">
        <v>60</v>
      </c>
      <c r="H224" s="5">
        <v>81</v>
      </c>
      <c r="I224" s="5">
        <v>79</v>
      </c>
      <c r="J224" s="5">
        <v>0</v>
      </c>
      <c r="K224" s="5">
        <v>84</v>
      </c>
      <c r="L224" s="5">
        <f t="shared" si="6"/>
        <v>60.8</v>
      </c>
      <c r="M224" s="7" t="str">
        <f t="shared" si="7"/>
        <v>不合格</v>
      </c>
    </row>
    <row r="225" spans="2:13">
      <c r="B225" s="4">
        <v>34</v>
      </c>
      <c r="C225" s="5" t="s">
        <v>240</v>
      </c>
      <c r="D225" s="5" t="s">
        <v>13</v>
      </c>
      <c r="E225" s="5">
        <v>54</v>
      </c>
      <c r="F225" s="5" t="s">
        <v>196</v>
      </c>
      <c r="G225" s="5">
        <v>46</v>
      </c>
      <c r="H225" s="5">
        <v>63</v>
      </c>
      <c r="I225" s="5">
        <v>45</v>
      </c>
      <c r="J225" s="5">
        <v>50</v>
      </c>
      <c r="K225" s="5">
        <v>77</v>
      </c>
      <c r="L225" s="5">
        <f t="shared" si="6"/>
        <v>56.2</v>
      </c>
      <c r="M225" s="7" t="str">
        <f t="shared" si="7"/>
        <v>不合格</v>
      </c>
    </row>
    <row r="226" spans="2:13">
      <c r="B226" s="4">
        <v>150</v>
      </c>
      <c r="C226" s="5" t="s">
        <v>241</v>
      </c>
      <c r="D226" s="5" t="s">
        <v>13</v>
      </c>
      <c r="E226" s="5">
        <v>38</v>
      </c>
      <c r="F226" s="5" t="s">
        <v>242</v>
      </c>
      <c r="G226" s="5">
        <v>93</v>
      </c>
      <c r="H226" s="5">
        <v>87</v>
      </c>
      <c r="I226" s="5">
        <v>78</v>
      </c>
      <c r="J226" s="5">
        <v>85</v>
      </c>
      <c r="K226" s="5">
        <v>85</v>
      </c>
      <c r="L226" s="5">
        <f t="shared" si="6"/>
        <v>85.6</v>
      </c>
      <c r="M226" s="7" t="str">
        <f t="shared" si="7"/>
        <v>优</v>
      </c>
    </row>
    <row r="227" spans="2:13">
      <c r="B227" s="4">
        <v>68</v>
      </c>
      <c r="C227" s="5" t="s">
        <v>243</v>
      </c>
      <c r="D227" s="5" t="s">
        <v>13</v>
      </c>
      <c r="E227" s="5">
        <v>33</v>
      </c>
      <c r="F227" s="5" t="s">
        <v>242</v>
      </c>
      <c r="G227" s="5">
        <v>84</v>
      </c>
      <c r="H227" s="5">
        <v>76</v>
      </c>
      <c r="I227" s="5">
        <v>96</v>
      </c>
      <c r="J227" s="5">
        <v>76</v>
      </c>
      <c r="K227" s="5">
        <v>92</v>
      </c>
      <c r="L227" s="5">
        <f t="shared" si="6"/>
        <v>84.8</v>
      </c>
      <c r="M227" s="7" t="str">
        <f t="shared" si="7"/>
        <v>良</v>
      </c>
    </row>
    <row r="228" spans="2:13">
      <c r="B228" s="4">
        <v>173</v>
      </c>
      <c r="C228" s="5" t="s">
        <v>244</v>
      </c>
      <c r="D228" s="5" t="s">
        <v>13</v>
      </c>
      <c r="E228" s="5">
        <v>35</v>
      </c>
      <c r="F228" s="5" t="s">
        <v>242</v>
      </c>
      <c r="G228" s="5">
        <v>61</v>
      </c>
      <c r="H228" s="5">
        <v>93</v>
      </c>
      <c r="I228" s="5">
        <v>93</v>
      </c>
      <c r="J228" s="5">
        <v>91</v>
      </c>
      <c r="K228" s="5">
        <v>85</v>
      </c>
      <c r="L228" s="5">
        <f t="shared" si="6"/>
        <v>84.6</v>
      </c>
      <c r="M228" s="7" t="str">
        <f t="shared" si="7"/>
        <v>良</v>
      </c>
    </row>
    <row r="229" spans="2:13">
      <c r="B229" s="4">
        <v>85</v>
      </c>
      <c r="C229" s="5" t="s">
        <v>245</v>
      </c>
      <c r="D229" s="5" t="s">
        <v>22</v>
      </c>
      <c r="E229" s="5">
        <v>29</v>
      </c>
      <c r="F229" s="5" t="s">
        <v>242</v>
      </c>
      <c r="G229" s="5">
        <v>65</v>
      </c>
      <c r="H229" s="5">
        <v>91</v>
      </c>
      <c r="I229" s="5">
        <v>86</v>
      </c>
      <c r="J229" s="5">
        <v>83</v>
      </c>
      <c r="K229" s="5">
        <v>97</v>
      </c>
      <c r="L229" s="5">
        <f t="shared" si="6"/>
        <v>84.4</v>
      </c>
      <c r="M229" s="7" t="str">
        <f t="shared" si="7"/>
        <v>良</v>
      </c>
    </row>
    <row r="230" spans="2:13">
      <c r="B230" s="4">
        <v>220</v>
      </c>
      <c r="C230" s="5" t="s">
        <v>246</v>
      </c>
      <c r="D230" s="5" t="s">
        <v>13</v>
      </c>
      <c r="E230" s="5">
        <v>43</v>
      </c>
      <c r="F230" s="5" t="s">
        <v>242</v>
      </c>
      <c r="G230" s="5">
        <v>84</v>
      </c>
      <c r="H230" s="5">
        <v>84</v>
      </c>
      <c r="I230" s="5">
        <v>76</v>
      </c>
      <c r="J230" s="5">
        <v>84</v>
      </c>
      <c r="K230" s="5">
        <v>78</v>
      </c>
      <c r="L230" s="5">
        <f t="shared" si="6"/>
        <v>81.2</v>
      </c>
      <c r="M230" s="7" t="str">
        <f t="shared" si="7"/>
        <v>良</v>
      </c>
    </row>
    <row r="231" spans="2:13">
      <c r="B231" s="4">
        <v>56</v>
      </c>
      <c r="C231" s="5" t="s">
        <v>247</v>
      </c>
      <c r="D231" s="5" t="s">
        <v>13</v>
      </c>
      <c r="E231" s="5">
        <v>24</v>
      </c>
      <c r="F231" s="5" t="s">
        <v>242</v>
      </c>
      <c r="G231" s="5">
        <v>80</v>
      </c>
      <c r="H231" s="5">
        <v>84</v>
      </c>
      <c r="I231" s="5">
        <v>63</v>
      </c>
      <c r="J231" s="5">
        <v>89</v>
      </c>
      <c r="K231" s="5">
        <v>86</v>
      </c>
      <c r="L231" s="5">
        <f t="shared" si="6"/>
        <v>80.4</v>
      </c>
      <c r="M231" s="7" t="str">
        <f t="shared" si="7"/>
        <v>良</v>
      </c>
    </row>
    <row r="232" spans="2:13">
      <c r="B232" s="4">
        <v>152</v>
      </c>
      <c r="C232" s="5" t="s">
        <v>248</v>
      </c>
      <c r="D232" s="5" t="s">
        <v>13</v>
      </c>
      <c r="E232" s="5">
        <v>39</v>
      </c>
      <c r="F232" s="5" t="s">
        <v>242</v>
      </c>
      <c r="G232" s="5">
        <v>70</v>
      </c>
      <c r="H232" s="5">
        <v>87</v>
      </c>
      <c r="I232" s="5">
        <v>93</v>
      </c>
      <c r="J232" s="5">
        <v>73</v>
      </c>
      <c r="K232" s="5">
        <v>66</v>
      </c>
      <c r="L232" s="5">
        <f t="shared" si="6"/>
        <v>77.8</v>
      </c>
      <c r="M232" s="7" t="str">
        <f t="shared" si="7"/>
        <v>良</v>
      </c>
    </row>
    <row r="233" spans="2:13">
      <c r="B233" s="4">
        <v>211</v>
      </c>
      <c r="C233" s="5" t="s">
        <v>249</v>
      </c>
      <c r="D233" s="5" t="s">
        <v>13</v>
      </c>
      <c r="E233" s="5">
        <v>27</v>
      </c>
      <c r="F233" s="5" t="s">
        <v>242</v>
      </c>
      <c r="G233" s="5">
        <v>72</v>
      </c>
      <c r="H233" s="5">
        <v>66</v>
      </c>
      <c r="I233" s="5">
        <v>98</v>
      </c>
      <c r="J233" s="5">
        <v>91</v>
      </c>
      <c r="K233" s="5">
        <v>62</v>
      </c>
      <c r="L233" s="5">
        <f t="shared" si="6"/>
        <v>77.8</v>
      </c>
      <c r="M233" s="7" t="str">
        <f t="shared" si="7"/>
        <v>良</v>
      </c>
    </row>
    <row r="234" spans="2:13">
      <c r="B234" s="4">
        <v>132</v>
      </c>
      <c r="C234" s="5" t="s">
        <v>250</v>
      </c>
      <c r="D234" s="5" t="s">
        <v>13</v>
      </c>
      <c r="E234" s="5">
        <v>26</v>
      </c>
      <c r="F234" s="5" t="s">
        <v>242</v>
      </c>
      <c r="G234" s="5">
        <v>68</v>
      </c>
      <c r="H234" s="5">
        <v>84</v>
      </c>
      <c r="I234" s="5">
        <v>65</v>
      </c>
      <c r="J234" s="5">
        <v>87</v>
      </c>
      <c r="K234" s="5">
        <v>84</v>
      </c>
      <c r="L234" s="5">
        <f t="shared" si="6"/>
        <v>77.6</v>
      </c>
      <c r="M234" s="7" t="str">
        <f t="shared" si="7"/>
        <v>良</v>
      </c>
    </row>
    <row r="235" spans="2:13">
      <c r="B235" s="4">
        <v>181</v>
      </c>
      <c r="C235" s="5" t="s">
        <v>251</v>
      </c>
      <c r="D235" s="5" t="s">
        <v>13</v>
      </c>
      <c r="E235" s="5">
        <v>48</v>
      </c>
      <c r="F235" s="5" t="s">
        <v>242</v>
      </c>
      <c r="G235" s="5">
        <v>75</v>
      </c>
      <c r="H235" s="5">
        <v>74</v>
      </c>
      <c r="I235" s="5">
        <v>68</v>
      </c>
      <c r="J235" s="5">
        <v>84</v>
      </c>
      <c r="K235" s="5">
        <v>86</v>
      </c>
      <c r="L235" s="5">
        <f t="shared" si="6"/>
        <v>77.4</v>
      </c>
      <c r="M235" s="7" t="str">
        <f t="shared" si="7"/>
        <v>良</v>
      </c>
    </row>
    <row r="236" spans="2:13">
      <c r="B236" s="4">
        <v>46</v>
      </c>
      <c r="C236" s="5" t="s">
        <v>252</v>
      </c>
      <c r="D236" s="5" t="s">
        <v>22</v>
      </c>
      <c r="E236" s="5">
        <v>38</v>
      </c>
      <c r="F236" s="5" t="s">
        <v>242</v>
      </c>
      <c r="G236" s="5">
        <v>93</v>
      </c>
      <c r="H236" s="5">
        <v>84</v>
      </c>
      <c r="I236" s="5">
        <v>91</v>
      </c>
      <c r="J236" s="5">
        <v>58</v>
      </c>
      <c r="K236" s="5">
        <v>59</v>
      </c>
      <c r="L236" s="5">
        <f t="shared" si="6"/>
        <v>77</v>
      </c>
      <c r="M236" s="7" t="str">
        <f t="shared" si="7"/>
        <v>不合格</v>
      </c>
    </row>
    <row r="237" spans="2:13">
      <c r="B237" s="4">
        <v>135</v>
      </c>
      <c r="C237" s="5" t="s">
        <v>253</v>
      </c>
      <c r="D237" s="5" t="s">
        <v>13</v>
      </c>
      <c r="E237" s="5">
        <v>24</v>
      </c>
      <c r="F237" s="5" t="s">
        <v>242</v>
      </c>
      <c r="G237" s="5">
        <v>74</v>
      </c>
      <c r="H237" s="5">
        <v>91</v>
      </c>
      <c r="I237" s="5">
        <v>73</v>
      </c>
      <c r="J237" s="5">
        <v>66</v>
      </c>
      <c r="K237" s="5">
        <v>81</v>
      </c>
      <c r="L237" s="5">
        <f t="shared" si="6"/>
        <v>77</v>
      </c>
      <c r="M237" s="7" t="str">
        <f t="shared" si="7"/>
        <v>良</v>
      </c>
    </row>
    <row r="238" spans="2:13">
      <c r="B238" s="4">
        <v>116</v>
      </c>
      <c r="C238" s="5" t="s">
        <v>254</v>
      </c>
      <c r="D238" s="5" t="s">
        <v>13</v>
      </c>
      <c r="E238" s="5">
        <v>28</v>
      </c>
      <c r="F238" s="5" t="s">
        <v>242</v>
      </c>
      <c r="G238" s="5">
        <v>62</v>
      </c>
      <c r="H238" s="5">
        <v>75</v>
      </c>
      <c r="I238" s="5">
        <v>76</v>
      </c>
      <c r="J238" s="5">
        <v>84</v>
      </c>
      <c r="K238" s="5">
        <v>82</v>
      </c>
      <c r="L238" s="5">
        <f t="shared" si="6"/>
        <v>75.8</v>
      </c>
      <c r="M238" s="7" t="str">
        <f t="shared" si="7"/>
        <v>良</v>
      </c>
    </row>
    <row r="239" spans="2:13">
      <c r="B239" s="4">
        <v>41</v>
      </c>
      <c r="C239" s="5" t="s">
        <v>255</v>
      </c>
      <c r="D239" s="5" t="s">
        <v>13</v>
      </c>
      <c r="E239" s="5">
        <v>32</v>
      </c>
      <c r="F239" s="5" t="s">
        <v>242</v>
      </c>
      <c r="G239" s="5">
        <v>61</v>
      </c>
      <c r="H239" s="5">
        <v>79</v>
      </c>
      <c r="I239" s="5">
        <v>89</v>
      </c>
      <c r="J239" s="5">
        <v>88</v>
      </c>
      <c r="K239" s="5">
        <v>59</v>
      </c>
      <c r="L239" s="5">
        <f t="shared" si="6"/>
        <v>75.2</v>
      </c>
      <c r="M239" s="7" t="str">
        <f t="shared" si="7"/>
        <v>不合格</v>
      </c>
    </row>
    <row r="240" spans="2:13">
      <c r="B240" s="4">
        <v>42</v>
      </c>
      <c r="C240" s="5" t="s">
        <v>256</v>
      </c>
      <c r="D240" s="5" t="s">
        <v>13</v>
      </c>
      <c r="E240" s="5">
        <v>38</v>
      </c>
      <c r="F240" s="5" t="s">
        <v>242</v>
      </c>
      <c r="G240" s="5">
        <v>61</v>
      </c>
      <c r="H240" s="5">
        <v>78</v>
      </c>
      <c r="I240" s="5">
        <v>76</v>
      </c>
      <c r="J240" s="5">
        <v>78</v>
      </c>
      <c r="K240" s="5">
        <v>81</v>
      </c>
      <c r="L240" s="5">
        <f t="shared" si="6"/>
        <v>74.8</v>
      </c>
      <c r="M240" s="7" t="str">
        <f t="shared" si="7"/>
        <v>及格</v>
      </c>
    </row>
    <row r="241" spans="2:13">
      <c r="B241" s="4">
        <v>197</v>
      </c>
      <c r="C241" s="5" t="s">
        <v>257</v>
      </c>
      <c r="D241" s="5" t="s">
        <v>13</v>
      </c>
      <c r="E241" s="5">
        <v>37</v>
      </c>
      <c r="F241" s="5" t="s">
        <v>242</v>
      </c>
      <c r="G241" s="5">
        <v>68</v>
      </c>
      <c r="H241" s="5">
        <v>72</v>
      </c>
      <c r="I241" s="5">
        <v>72</v>
      </c>
      <c r="J241" s="5">
        <v>73</v>
      </c>
      <c r="K241" s="5">
        <v>89</v>
      </c>
      <c r="L241" s="5">
        <f t="shared" si="6"/>
        <v>74.8</v>
      </c>
      <c r="M241" s="7" t="str">
        <f t="shared" si="7"/>
        <v>及格</v>
      </c>
    </row>
    <row r="242" spans="2:13">
      <c r="B242" s="4">
        <v>142</v>
      </c>
      <c r="C242" s="5" t="s">
        <v>258</v>
      </c>
      <c r="D242" s="5" t="s">
        <v>13</v>
      </c>
      <c r="E242" s="5">
        <v>41</v>
      </c>
      <c r="F242" s="5" t="s">
        <v>242</v>
      </c>
      <c r="G242" s="5">
        <v>77</v>
      </c>
      <c r="H242" s="5">
        <v>83</v>
      </c>
      <c r="I242" s="5">
        <v>83</v>
      </c>
      <c r="J242" s="5">
        <v>55</v>
      </c>
      <c r="K242" s="5">
        <v>75</v>
      </c>
      <c r="L242" s="5">
        <f t="shared" si="6"/>
        <v>74.6</v>
      </c>
      <c r="M242" s="7" t="str">
        <f t="shared" si="7"/>
        <v>不合格</v>
      </c>
    </row>
    <row r="243" spans="2:13">
      <c r="B243" s="4">
        <v>69</v>
      </c>
      <c r="C243" s="5" t="s">
        <v>259</v>
      </c>
      <c r="D243" s="5" t="s">
        <v>22</v>
      </c>
      <c r="E243" s="5">
        <v>33</v>
      </c>
      <c r="F243" s="5" t="s">
        <v>242</v>
      </c>
      <c r="G243" s="5">
        <v>74</v>
      </c>
      <c r="H243" s="5">
        <v>72</v>
      </c>
      <c r="I243" s="5">
        <v>75</v>
      </c>
      <c r="J243" s="5">
        <v>63</v>
      </c>
      <c r="K243" s="5">
        <v>86</v>
      </c>
      <c r="L243" s="5">
        <f t="shared" si="6"/>
        <v>74</v>
      </c>
      <c r="M243" s="7" t="str">
        <f t="shared" si="7"/>
        <v>及格</v>
      </c>
    </row>
    <row r="244" spans="2:13">
      <c r="B244" s="4">
        <v>251</v>
      </c>
      <c r="C244" s="5" t="s">
        <v>260</v>
      </c>
      <c r="D244" s="5" t="s">
        <v>13</v>
      </c>
      <c r="E244" s="5">
        <v>43</v>
      </c>
      <c r="F244" s="5" t="s">
        <v>242</v>
      </c>
      <c r="G244" s="5">
        <v>74</v>
      </c>
      <c r="H244" s="5">
        <v>85</v>
      </c>
      <c r="I244" s="5">
        <v>74</v>
      </c>
      <c r="J244" s="5">
        <v>76</v>
      </c>
      <c r="K244" s="5">
        <v>60</v>
      </c>
      <c r="L244" s="5">
        <f t="shared" si="6"/>
        <v>73.8</v>
      </c>
      <c r="M244" s="7" t="str">
        <f t="shared" si="7"/>
        <v>及格</v>
      </c>
    </row>
    <row r="245" spans="2:13">
      <c r="B245" s="4">
        <v>295</v>
      </c>
      <c r="C245" s="5" t="s">
        <v>261</v>
      </c>
      <c r="D245" s="5" t="s">
        <v>13</v>
      </c>
      <c r="E245" s="5">
        <v>31</v>
      </c>
      <c r="F245" s="5" t="s">
        <v>242</v>
      </c>
      <c r="G245" s="5">
        <v>71</v>
      </c>
      <c r="H245" s="5">
        <v>69</v>
      </c>
      <c r="I245" s="5">
        <v>79</v>
      </c>
      <c r="J245" s="5">
        <v>69</v>
      </c>
      <c r="K245" s="5">
        <v>77</v>
      </c>
      <c r="L245" s="5">
        <f t="shared" si="6"/>
        <v>73</v>
      </c>
      <c r="M245" s="7" t="str">
        <f t="shared" si="7"/>
        <v>及格</v>
      </c>
    </row>
    <row r="246" spans="2:13">
      <c r="B246" s="4">
        <v>250</v>
      </c>
      <c r="C246" s="5" t="s">
        <v>262</v>
      </c>
      <c r="D246" s="5" t="s">
        <v>13</v>
      </c>
      <c r="E246" s="5">
        <v>44</v>
      </c>
      <c r="F246" s="5" t="s">
        <v>242</v>
      </c>
      <c r="G246" s="5">
        <v>78</v>
      </c>
      <c r="H246" s="5">
        <v>64</v>
      </c>
      <c r="I246" s="5">
        <v>76</v>
      </c>
      <c r="J246" s="5">
        <v>85</v>
      </c>
      <c r="K246" s="5">
        <v>58</v>
      </c>
      <c r="L246" s="5">
        <f t="shared" si="6"/>
        <v>72.2</v>
      </c>
      <c r="M246" s="7" t="str">
        <f t="shared" si="7"/>
        <v>不合格</v>
      </c>
    </row>
    <row r="247" spans="2:13">
      <c r="B247" s="4">
        <v>182</v>
      </c>
      <c r="C247" s="5" t="s">
        <v>263</v>
      </c>
      <c r="D247" s="5" t="s">
        <v>13</v>
      </c>
      <c r="E247" s="5">
        <v>51</v>
      </c>
      <c r="F247" s="5" t="s">
        <v>242</v>
      </c>
      <c r="G247" s="5">
        <v>54</v>
      </c>
      <c r="H247" s="5">
        <v>74</v>
      </c>
      <c r="I247" s="5">
        <v>79</v>
      </c>
      <c r="J247" s="5">
        <v>79</v>
      </c>
      <c r="K247" s="5">
        <v>74</v>
      </c>
      <c r="L247" s="5">
        <f t="shared" si="6"/>
        <v>72</v>
      </c>
      <c r="M247" s="7" t="str">
        <f t="shared" si="7"/>
        <v>不合格</v>
      </c>
    </row>
    <row r="248" spans="2:13">
      <c r="B248" s="4">
        <v>115</v>
      </c>
      <c r="C248" s="5" t="s">
        <v>264</v>
      </c>
      <c r="D248" s="5" t="s">
        <v>13</v>
      </c>
      <c r="E248" s="5">
        <v>54</v>
      </c>
      <c r="F248" s="5" t="s">
        <v>242</v>
      </c>
      <c r="G248" s="5">
        <v>75</v>
      </c>
      <c r="H248" s="5">
        <v>76</v>
      </c>
      <c r="I248" s="5">
        <v>80</v>
      </c>
      <c r="J248" s="5">
        <v>62</v>
      </c>
      <c r="K248" s="5">
        <v>63</v>
      </c>
      <c r="L248" s="5">
        <f t="shared" si="6"/>
        <v>71.2</v>
      </c>
      <c r="M248" s="7" t="str">
        <f t="shared" si="7"/>
        <v>及格</v>
      </c>
    </row>
    <row r="249" spans="2:13">
      <c r="B249" s="4">
        <v>19</v>
      </c>
      <c r="C249" s="5" t="s">
        <v>265</v>
      </c>
      <c r="D249" s="5" t="s">
        <v>13</v>
      </c>
      <c r="E249" s="5">
        <v>38</v>
      </c>
      <c r="F249" s="5" t="s">
        <v>242</v>
      </c>
      <c r="G249" s="5">
        <v>91</v>
      </c>
      <c r="H249" s="5">
        <v>68</v>
      </c>
      <c r="I249" s="5">
        <v>72</v>
      </c>
      <c r="J249" s="5">
        <v>62</v>
      </c>
      <c r="K249" s="5">
        <v>58</v>
      </c>
      <c r="L249" s="5">
        <f t="shared" si="6"/>
        <v>70.2</v>
      </c>
      <c r="M249" s="7" t="str">
        <f t="shared" si="7"/>
        <v>不合格</v>
      </c>
    </row>
    <row r="250" spans="2:13">
      <c r="B250" s="4">
        <v>49</v>
      </c>
      <c r="C250" s="5" t="s">
        <v>266</v>
      </c>
      <c r="D250" s="5" t="s">
        <v>13</v>
      </c>
      <c r="E250" s="5">
        <v>38</v>
      </c>
      <c r="F250" s="5" t="s">
        <v>242</v>
      </c>
      <c r="G250" s="5">
        <v>61</v>
      </c>
      <c r="H250" s="5">
        <v>82</v>
      </c>
      <c r="I250" s="5">
        <v>61</v>
      </c>
      <c r="J250" s="5">
        <v>72</v>
      </c>
      <c r="K250" s="5">
        <v>74</v>
      </c>
      <c r="L250" s="5">
        <f t="shared" si="6"/>
        <v>70</v>
      </c>
      <c r="M250" s="7" t="str">
        <f t="shared" si="7"/>
        <v>及格</v>
      </c>
    </row>
    <row r="251" spans="2:13">
      <c r="B251" s="4">
        <v>166</v>
      </c>
      <c r="C251" s="5" t="s">
        <v>267</v>
      </c>
      <c r="D251" s="5" t="s">
        <v>13</v>
      </c>
      <c r="E251" s="5">
        <v>41</v>
      </c>
      <c r="F251" s="5" t="s">
        <v>242</v>
      </c>
      <c r="G251" s="5">
        <v>84</v>
      </c>
      <c r="H251" s="5">
        <v>85</v>
      </c>
      <c r="I251" s="5">
        <v>69</v>
      </c>
      <c r="J251" s="5">
        <v>59</v>
      </c>
      <c r="K251" s="5">
        <v>53</v>
      </c>
      <c r="L251" s="5">
        <f t="shared" si="6"/>
        <v>70</v>
      </c>
      <c r="M251" s="7" t="str">
        <f t="shared" si="7"/>
        <v>不合格</v>
      </c>
    </row>
    <row r="252" spans="2:13">
      <c r="B252" s="4">
        <v>112</v>
      </c>
      <c r="C252" s="5" t="s">
        <v>268</v>
      </c>
      <c r="D252" s="5" t="s">
        <v>13</v>
      </c>
      <c r="E252" s="5">
        <v>47</v>
      </c>
      <c r="F252" s="5" t="s">
        <v>242</v>
      </c>
      <c r="G252" s="5">
        <v>67</v>
      </c>
      <c r="H252" s="5">
        <v>81</v>
      </c>
      <c r="I252" s="5">
        <v>53</v>
      </c>
      <c r="J252" s="5">
        <v>78</v>
      </c>
      <c r="K252" s="5">
        <v>60</v>
      </c>
      <c r="L252" s="5">
        <f t="shared" si="6"/>
        <v>67.8</v>
      </c>
      <c r="M252" s="7" t="str">
        <f t="shared" si="7"/>
        <v>不合格</v>
      </c>
    </row>
    <row r="253" spans="2:13">
      <c r="B253" s="4">
        <v>210</v>
      </c>
      <c r="C253" s="5" t="s">
        <v>269</v>
      </c>
      <c r="D253" s="5" t="s">
        <v>13</v>
      </c>
      <c r="E253" s="5">
        <v>41</v>
      </c>
      <c r="F253" s="5" t="s">
        <v>242</v>
      </c>
      <c r="G253" s="5">
        <v>72</v>
      </c>
      <c r="H253" s="5">
        <v>72</v>
      </c>
      <c r="I253" s="5">
        <v>53</v>
      </c>
      <c r="J253" s="5">
        <v>83</v>
      </c>
      <c r="K253" s="5">
        <v>53</v>
      </c>
      <c r="L253" s="5">
        <f t="shared" si="6"/>
        <v>66.6</v>
      </c>
      <c r="M253" s="7" t="str">
        <f t="shared" si="7"/>
        <v>不合格</v>
      </c>
    </row>
    <row r="254" spans="2:13">
      <c r="B254" s="4">
        <v>11</v>
      </c>
      <c r="C254" s="5" t="s">
        <v>270</v>
      </c>
      <c r="D254" s="5" t="s">
        <v>13</v>
      </c>
      <c r="E254" s="5">
        <v>46</v>
      </c>
      <c r="F254" s="5" t="s">
        <v>242</v>
      </c>
      <c r="G254" s="5">
        <v>58</v>
      </c>
      <c r="H254" s="5">
        <v>76</v>
      </c>
      <c r="I254" s="5">
        <v>75</v>
      </c>
      <c r="J254" s="5">
        <v>65</v>
      </c>
      <c r="K254" s="5">
        <v>58</v>
      </c>
      <c r="L254" s="5">
        <f t="shared" si="6"/>
        <v>66.4</v>
      </c>
      <c r="M254" s="7" t="str">
        <f t="shared" si="7"/>
        <v>不合格</v>
      </c>
    </row>
    <row r="255" spans="2:13">
      <c r="B255" s="4">
        <v>266</v>
      </c>
      <c r="C255" s="5" t="s">
        <v>271</v>
      </c>
      <c r="D255" s="5" t="s">
        <v>13</v>
      </c>
      <c r="E255" s="5">
        <v>54</v>
      </c>
      <c r="F255" s="5" t="s">
        <v>242</v>
      </c>
      <c r="G255" s="5">
        <v>47</v>
      </c>
      <c r="H255" s="5">
        <v>72</v>
      </c>
      <c r="I255" s="5">
        <v>77</v>
      </c>
      <c r="J255" s="5">
        <v>64</v>
      </c>
      <c r="K255" s="5">
        <v>71</v>
      </c>
      <c r="L255" s="5">
        <f t="shared" si="6"/>
        <v>66.2</v>
      </c>
      <c r="M255" s="7" t="str">
        <f t="shared" si="7"/>
        <v>不合格</v>
      </c>
    </row>
    <row r="256" spans="2:13">
      <c r="B256" s="4">
        <v>268</v>
      </c>
      <c r="C256" s="5" t="s">
        <v>272</v>
      </c>
      <c r="D256" s="5" t="s">
        <v>22</v>
      </c>
      <c r="E256" s="5">
        <v>53</v>
      </c>
      <c r="F256" s="5" t="s">
        <v>242</v>
      </c>
      <c r="G256" s="5">
        <v>80</v>
      </c>
      <c r="H256" s="5">
        <v>70</v>
      </c>
      <c r="I256" s="5">
        <v>57</v>
      </c>
      <c r="J256" s="5">
        <v>70</v>
      </c>
      <c r="K256" s="5">
        <v>53</v>
      </c>
      <c r="L256" s="5">
        <f t="shared" si="6"/>
        <v>66</v>
      </c>
      <c r="M256" s="7" t="str">
        <f t="shared" si="7"/>
        <v>不合格</v>
      </c>
    </row>
    <row r="257" spans="2:13">
      <c r="B257" s="4">
        <v>113</v>
      </c>
      <c r="C257" s="5" t="s">
        <v>273</v>
      </c>
      <c r="D257" s="5" t="s">
        <v>22</v>
      </c>
      <c r="E257" s="5">
        <v>44</v>
      </c>
      <c r="F257" s="5" t="s">
        <v>242</v>
      </c>
      <c r="G257" s="5">
        <v>85</v>
      </c>
      <c r="H257" s="5">
        <v>78</v>
      </c>
      <c r="I257" s="5">
        <v>54</v>
      </c>
      <c r="J257" s="5">
        <v>56</v>
      </c>
      <c r="K257" s="5">
        <v>56</v>
      </c>
      <c r="L257" s="5">
        <f t="shared" si="6"/>
        <v>65.8</v>
      </c>
      <c r="M257" s="7" t="str">
        <f t="shared" si="7"/>
        <v>不合格</v>
      </c>
    </row>
    <row r="258" spans="2:13">
      <c r="B258" s="4">
        <v>168</v>
      </c>
      <c r="C258" s="5" t="s">
        <v>274</v>
      </c>
      <c r="D258" s="5" t="s">
        <v>13</v>
      </c>
      <c r="E258" s="5">
        <v>53</v>
      </c>
      <c r="F258" s="5" t="s">
        <v>242</v>
      </c>
      <c r="G258" s="5">
        <v>77</v>
      </c>
      <c r="H258" s="5">
        <v>81</v>
      </c>
      <c r="I258" s="5">
        <v>47</v>
      </c>
      <c r="J258" s="5">
        <v>48</v>
      </c>
      <c r="K258" s="5">
        <v>76</v>
      </c>
      <c r="L258" s="5">
        <f t="shared" si="6"/>
        <v>65.8</v>
      </c>
      <c r="M258" s="7" t="str">
        <f t="shared" si="7"/>
        <v>不合格</v>
      </c>
    </row>
    <row r="259" spans="2:13">
      <c r="B259" s="4">
        <v>82</v>
      </c>
      <c r="C259" s="5" t="s">
        <v>275</v>
      </c>
      <c r="D259" s="5" t="s">
        <v>13</v>
      </c>
      <c r="E259" s="5">
        <v>41</v>
      </c>
      <c r="F259" s="5" t="s">
        <v>242</v>
      </c>
      <c r="G259" s="5">
        <v>55</v>
      </c>
      <c r="H259" s="5">
        <v>76</v>
      </c>
      <c r="I259" s="5">
        <v>71</v>
      </c>
      <c r="J259" s="5">
        <v>69</v>
      </c>
      <c r="K259" s="5">
        <v>56</v>
      </c>
      <c r="L259" s="5">
        <f t="shared" ref="L259:L322" si="8">AVERAGE(G259:K259)</f>
        <v>65.4</v>
      </c>
      <c r="M259" s="7" t="str">
        <f t="shared" ref="M259:M322" si="9">IF(OR(G259&lt;60,H259&lt;60,I259&lt;60,J259&lt;60,K259&lt;60),"不合格",IF(L259&lt;75,"及格",IF(L259&lt;85,"良","优")))</f>
        <v>不合格</v>
      </c>
    </row>
    <row r="260" spans="2:13">
      <c r="B260" s="4">
        <v>33</v>
      </c>
      <c r="C260" s="5" t="s">
        <v>276</v>
      </c>
      <c r="D260" s="5" t="s">
        <v>13</v>
      </c>
      <c r="E260" s="5">
        <v>41</v>
      </c>
      <c r="F260" s="5" t="s">
        <v>242</v>
      </c>
      <c r="G260" s="5">
        <v>61</v>
      </c>
      <c r="H260" s="5">
        <v>64</v>
      </c>
      <c r="I260" s="5">
        <v>66</v>
      </c>
      <c r="J260" s="5">
        <v>80</v>
      </c>
      <c r="K260" s="5">
        <v>55</v>
      </c>
      <c r="L260" s="5">
        <f t="shared" si="8"/>
        <v>65.2</v>
      </c>
      <c r="M260" s="7" t="str">
        <f t="shared" si="9"/>
        <v>不合格</v>
      </c>
    </row>
    <row r="261" spans="2:13">
      <c r="B261" s="4">
        <v>29</v>
      </c>
      <c r="C261" s="5" t="s">
        <v>277</v>
      </c>
      <c r="D261" s="5" t="s">
        <v>13</v>
      </c>
      <c r="E261" s="5">
        <v>51</v>
      </c>
      <c r="F261" s="5" t="s">
        <v>242</v>
      </c>
      <c r="G261" s="5">
        <v>55</v>
      </c>
      <c r="H261" s="5">
        <v>69</v>
      </c>
      <c r="I261" s="5">
        <v>55</v>
      </c>
      <c r="J261" s="5">
        <v>68</v>
      </c>
      <c r="K261" s="5">
        <v>78</v>
      </c>
      <c r="L261" s="5">
        <f t="shared" si="8"/>
        <v>65</v>
      </c>
      <c r="M261" s="7" t="str">
        <f t="shared" si="9"/>
        <v>不合格</v>
      </c>
    </row>
    <row r="262" spans="2:13">
      <c r="B262" s="4">
        <v>146</v>
      </c>
      <c r="C262" s="5" t="s">
        <v>278</v>
      </c>
      <c r="D262" s="5" t="s">
        <v>13</v>
      </c>
      <c r="E262" s="5">
        <v>54</v>
      </c>
      <c r="F262" s="5" t="s">
        <v>242</v>
      </c>
      <c r="G262" s="5">
        <v>60</v>
      </c>
      <c r="H262" s="5">
        <v>72</v>
      </c>
      <c r="I262" s="5">
        <v>59</v>
      </c>
      <c r="J262" s="5">
        <v>73</v>
      </c>
      <c r="K262" s="5">
        <v>60</v>
      </c>
      <c r="L262" s="5">
        <f t="shared" si="8"/>
        <v>64.8</v>
      </c>
      <c r="M262" s="7" t="str">
        <f t="shared" si="9"/>
        <v>不合格</v>
      </c>
    </row>
    <row r="263" spans="2:13">
      <c r="B263" s="4">
        <v>169</v>
      </c>
      <c r="C263" s="5" t="s">
        <v>279</v>
      </c>
      <c r="D263" s="5" t="s">
        <v>13</v>
      </c>
      <c r="E263" s="5">
        <v>54</v>
      </c>
      <c r="F263" s="5" t="s">
        <v>242</v>
      </c>
      <c r="G263" s="5">
        <v>54</v>
      </c>
      <c r="H263" s="5">
        <v>59</v>
      </c>
      <c r="I263" s="5">
        <v>70</v>
      </c>
      <c r="J263" s="5">
        <v>74</v>
      </c>
      <c r="K263" s="5">
        <v>64</v>
      </c>
      <c r="L263" s="5">
        <f t="shared" si="8"/>
        <v>64.2</v>
      </c>
      <c r="M263" s="7" t="str">
        <f t="shared" si="9"/>
        <v>不合格</v>
      </c>
    </row>
    <row r="264" spans="2:13">
      <c r="B264" s="4">
        <v>54</v>
      </c>
      <c r="C264" s="5" t="s">
        <v>280</v>
      </c>
      <c r="D264" s="5" t="s">
        <v>22</v>
      </c>
      <c r="E264" s="5">
        <v>43</v>
      </c>
      <c r="F264" s="5" t="s">
        <v>242</v>
      </c>
      <c r="G264" s="5">
        <v>78</v>
      </c>
      <c r="H264" s="5">
        <v>55</v>
      </c>
      <c r="I264" s="5">
        <v>63</v>
      </c>
      <c r="J264" s="5">
        <v>72</v>
      </c>
      <c r="K264" s="5">
        <v>52</v>
      </c>
      <c r="L264" s="5">
        <f t="shared" si="8"/>
        <v>64</v>
      </c>
      <c r="M264" s="7" t="str">
        <f t="shared" si="9"/>
        <v>不合格</v>
      </c>
    </row>
    <row r="265" spans="2:13">
      <c r="B265" s="4">
        <v>319</v>
      </c>
      <c r="C265" s="5" t="s">
        <v>281</v>
      </c>
      <c r="D265" s="5" t="s">
        <v>13</v>
      </c>
      <c r="E265" s="5">
        <v>48</v>
      </c>
      <c r="F265" s="5" t="s">
        <v>242</v>
      </c>
      <c r="G265" s="5">
        <v>56</v>
      </c>
      <c r="H265" s="5">
        <v>53</v>
      </c>
      <c r="I265" s="5">
        <v>80</v>
      </c>
      <c r="J265" s="5">
        <v>64</v>
      </c>
      <c r="K265" s="5">
        <v>67</v>
      </c>
      <c r="L265" s="5">
        <f t="shared" si="8"/>
        <v>64</v>
      </c>
      <c r="M265" s="7" t="str">
        <f t="shared" si="9"/>
        <v>不合格</v>
      </c>
    </row>
    <row r="266" spans="2:13">
      <c r="B266" s="4">
        <v>247</v>
      </c>
      <c r="C266" s="5" t="s">
        <v>282</v>
      </c>
      <c r="D266" s="5" t="s">
        <v>13</v>
      </c>
      <c r="E266" s="5">
        <v>41</v>
      </c>
      <c r="F266" s="5" t="s">
        <v>242</v>
      </c>
      <c r="G266" s="5">
        <v>84</v>
      </c>
      <c r="H266" s="5">
        <v>0</v>
      </c>
      <c r="I266" s="5">
        <v>88</v>
      </c>
      <c r="J266" s="5">
        <v>59</v>
      </c>
      <c r="K266" s="5">
        <v>88</v>
      </c>
      <c r="L266" s="5">
        <f t="shared" si="8"/>
        <v>63.8</v>
      </c>
      <c r="M266" s="7" t="str">
        <f t="shared" si="9"/>
        <v>不合格</v>
      </c>
    </row>
    <row r="267" spans="2:13">
      <c r="B267" s="4">
        <v>315</v>
      </c>
      <c r="C267" s="5" t="s">
        <v>283</v>
      </c>
      <c r="D267" s="5" t="s">
        <v>13</v>
      </c>
      <c r="E267" s="5">
        <v>48</v>
      </c>
      <c r="F267" s="5" t="s">
        <v>242</v>
      </c>
      <c r="G267" s="5">
        <v>64</v>
      </c>
      <c r="H267" s="5">
        <v>62</v>
      </c>
      <c r="I267" s="5">
        <v>77</v>
      </c>
      <c r="J267" s="5">
        <v>49</v>
      </c>
      <c r="K267" s="5">
        <v>67</v>
      </c>
      <c r="L267" s="5">
        <f t="shared" si="8"/>
        <v>63.8</v>
      </c>
      <c r="M267" s="7" t="str">
        <f t="shared" si="9"/>
        <v>不合格</v>
      </c>
    </row>
    <row r="268" spans="2:13">
      <c r="B268" s="4">
        <v>118</v>
      </c>
      <c r="C268" s="5" t="s">
        <v>284</v>
      </c>
      <c r="D268" s="5" t="s">
        <v>13</v>
      </c>
      <c r="E268" s="5">
        <v>32</v>
      </c>
      <c r="F268" s="5" t="s">
        <v>242</v>
      </c>
      <c r="G268" s="5">
        <v>82</v>
      </c>
      <c r="H268" s="5">
        <v>0</v>
      </c>
      <c r="I268" s="5">
        <v>90</v>
      </c>
      <c r="J268" s="5">
        <v>84</v>
      </c>
      <c r="K268" s="5">
        <v>62</v>
      </c>
      <c r="L268" s="5">
        <f t="shared" si="8"/>
        <v>63.6</v>
      </c>
      <c r="M268" s="7" t="str">
        <f t="shared" si="9"/>
        <v>不合格</v>
      </c>
    </row>
    <row r="269" spans="2:13">
      <c r="B269" s="4">
        <v>246</v>
      </c>
      <c r="C269" s="5" t="s">
        <v>285</v>
      </c>
      <c r="D269" s="5" t="s">
        <v>13</v>
      </c>
      <c r="E269" s="5">
        <v>55</v>
      </c>
      <c r="F269" s="5" t="s">
        <v>242</v>
      </c>
      <c r="G269" s="5">
        <v>61</v>
      </c>
      <c r="H269" s="5">
        <v>72</v>
      </c>
      <c r="I269" s="5">
        <v>57</v>
      </c>
      <c r="J269" s="5">
        <v>53</v>
      </c>
      <c r="K269" s="5">
        <v>71</v>
      </c>
      <c r="L269" s="5">
        <f t="shared" si="8"/>
        <v>62.8</v>
      </c>
      <c r="M269" s="7" t="str">
        <f t="shared" si="9"/>
        <v>不合格</v>
      </c>
    </row>
    <row r="270" spans="2:13">
      <c r="B270" s="4">
        <v>322</v>
      </c>
      <c r="C270" s="5" t="s">
        <v>286</v>
      </c>
      <c r="D270" s="5" t="s">
        <v>13</v>
      </c>
      <c r="E270" s="5">
        <v>55</v>
      </c>
      <c r="F270" s="5" t="s">
        <v>242</v>
      </c>
      <c r="G270" s="5">
        <v>61</v>
      </c>
      <c r="H270" s="5">
        <v>45</v>
      </c>
      <c r="I270" s="5">
        <v>65</v>
      </c>
      <c r="J270" s="5">
        <v>80</v>
      </c>
      <c r="K270" s="5">
        <v>63</v>
      </c>
      <c r="L270" s="5">
        <f t="shared" si="8"/>
        <v>62.8</v>
      </c>
      <c r="M270" s="7" t="str">
        <f t="shared" si="9"/>
        <v>不合格</v>
      </c>
    </row>
    <row r="271" spans="2:13">
      <c r="B271" s="4">
        <v>290</v>
      </c>
      <c r="C271" s="5" t="s">
        <v>287</v>
      </c>
      <c r="D271" s="5" t="s">
        <v>22</v>
      </c>
      <c r="E271" s="5">
        <v>55</v>
      </c>
      <c r="F271" s="5" t="s">
        <v>242</v>
      </c>
      <c r="G271" s="5">
        <v>71</v>
      </c>
      <c r="H271" s="5">
        <v>65</v>
      </c>
      <c r="I271" s="5">
        <v>71</v>
      </c>
      <c r="J271" s="5">
        <v>45</v>
      </c>
      <c r="K271" s="5">
        <v>58</v>
      </c>
      <c r="L271" s="5">
        <f t="shared" si="8"/>
        <v>62</v>
      </c>
      <c r="M271" s="7" t="str">
        <f t="shared" si="9"/>
        <v>不合格</v>
      </c>
    </row>
    <row r="272" spans="2:13">
      <c r="B272" s="4">
        <v>291</v>
      </c>
      <c r="C272" s="5" t="s">
        <v>288</v>
      </c>
      <c r="D272" s="5" t="s">
        <v>13</v>
      </c>
      <c r="E272" s="5">
        <v>39</v>
      </c>
      <c r="F272" s="5" t="s">
        <v>242</v>
      </c>
      <c r="G272" s="5">
        <v>74</v>
      </c>
      <c r="H272" s="5">
        <v>0</v>
      </c>
      <c r="I272" s="5">
        <v>84</v>
      </c>
      <c r="J272" s="5">
        <v>82</v>
      </c>
      <c r="K272" s="5">
        <v>70</v>
      </c>
      <c r="L272" s="5">
        <f t="shared" si="8"/>
        <v>62</v>
      </c>
      <c r="M272" s="7" t="str">
        <f t="shared" si="9"/>
        <v>不合格</v>
      </c>
    </row>
    <row r="273" spans="2:13">
      <c r="B273" s="4">
        <v>273</v>
      </c>
      <c r="C273" s="5" t="s">
        <v>289</v>
      </c>
      <c r="D273" s="5" t="s">
        <v>13</v>
      </c>
      <c r="E273" s="5">
        <v>31</v>
      </c>
      <c r="F273" s="5" t="s">
        <v>242</v>
      </c>
      <c r="G273" s="5">
        <v>84</v>
      </c>
      <c r="H273" s="5">
        <v>0</v>
      </c>
      <c r="I273" s="5">
        <v>82</v>
      </c>
      <c r="J273" s="5">
        <v>73</v>
      </c>
      <c r="K273" s="5">
        <v>69</v>
      </c>
      <c r="L273" s="5">
        <f t="shared" si="8"/>
        <v>61.6</v>
      </c>
      <c r="M273" s="7" t="str">
        <f t="shared" si="9"/>
        <v>不合格</v>
      </c>
    </row>
    <row r="274" spans="2:13">
      <c r="B274" s="4">
        <v>263</v>
      </c>
      <c r="C274" s="5" t="s">
        <v>290</v>
      </c>
      <c r="D274" s="5" t="s">
        <v>13</v>
      </c>
      <c r="E274" s="5">
        <v>51</v>
      </c>
      <c r="F274" s="5" t="s">
        <v>242</v>
      </c>
      <c r="G274" s="5">
        <v>81</v>
      </c>
      <c r="H274" s="5">
        <v>52</v>
      </c>
      <c r="I274" s="5">
        <v>72</v>
      </c>
      <c r="J274" s="5">
        <v>52</v>
      </c>
      <c r="K274" s="5">
        <v>48</v>
      </c>
      <c r="L274" s="5">
        <f t="shared" si="8"/>
        <v>61</v>
      </c>
      <c r="M274" s="7" t="str">
        <f t="shared" si="9"/>
        <v>不合格</v>
      </c>
    </row>
    <row r="275" spans="2:13">
      <c r="B275" s="4">
        <v>109</v>
      </c>
      <c r="C275" s="5" t="s">
        <v>291</v>
      </c>
      <c r="D275" s="5" t="s">
        <v>13</v>
      </c>
      <c r="E275" s="5">
        <v>53</v>
      </c>
      <c r="F275" s="5" t="s">
        <v>242</v>
      </c>
      <c r="G275" s="5">
        <v>51</v>
      </c>
      <c r="H275" s="5">
        <v>77</v>
      </c>
      <c r="I275" s="5">
        <v>66</v>
      </c>
      <c r="J275" s="5">
        <v>49</v>
      </c>
      <c r="K275" s="5">
        <v>60</v>
      </c>
      <c r="L275" s="5">
        <f t="shared" si="8"/>
        <v>60.6</v>
      </c>
      <c r="M275" s="7" t="str">
        <f t="shared" si="9"/>
        <v>不合格</v>
      </c>
    </row>
    <row r="276" spans="2:13">
      <c r="B276" s="4">
        <v>203</v>
      </c>
      <c r="C276" s="5" t="s">
        <v>292</v>
      </c>
      <c r="D276" s="5" t="s">
        <v>13</v>
      </c>
      <c r="E276" s="5">
        <v>51</v>
      </c>
      <c r="F276" s="5" t="s">
        <v>242</v>
      </c>
      <c r="G276" s="5">
        <v>62</v>
      </c>
      <c r="H276" s="5">
        <v>48</v>
      </c>
      <c r="I276" s="5">
        <v>60</v>
      </c>
      <c r="J276" s="5">
        <v>66</v>
      </c>
      <c r="K276" s="5">
        <v>66</v>
      </c>
      <c r="L276" s="5">
        <f t="shared" si="8"/>
        <v>60.4</v>
      </c>
      <c r="M276" s="7" t="str">
        <f t="shared" si="9"/>
        <v>不合格</v>
      </c>
    </row>
    <row r="277" spans="2:13">
      <c r="B277" s="4">
        <v>200</v>
      </c>
      <c r="C277" s="5" t="s">
        <v>293</v>
      </c>
      <c r="D277" s="5" t="s">
        <v>13</v>
      </c>
      <c r="E277" s="5">
        <v>54</v>
      </c>
      <c r="F277" s="5" t="s">
        <v>242</v>
      </c>
      <c r="G277" s="5">
        <v>80</v>
      </c>
      <c r="H277" s="5">
        <v>56</v>
      </c>
      <c r="I277" s="5">
        <v>52</v>
      </c>
      <c r="J277" s="5">
        <v>45</v>
      </c>
      <c r="K277" s="5">
        <v>68</v>
      </c>
      <c r="L277" s="5">
        <f t="shared" si="8"/>
        <v>60.2</v>
      </c>
      <c r="M277" s="7" t="str">
        <f t="shared" si="9"/>
        <v>不合格</v>
      </c>
    </row>
    <row r="278" spans="2:13">
      <c r="B278" s="4">
        <v>133</v>
      </c>
      <c r="C278" s="5" t="s">
        <v>294</v>
      </c>
      <c r="D278" s="5" t="s">
        <v>13</v>
      </c>
      <c r="E278" s="5">
        <v>51</v>
      </c>
      <c r="F278" s="5" t="s">
        <v>242</v>
      </c>
      <c r="G278" s="5">
        <v>56</v>
      </c>
      <c r="H278" s="5">
        <v>47</v>
      </c>
      <c r="I278" s="5">
        <v>45</v>
      </c>
      <c r="J278" s="5">
        <v>67</v>
      </c>
      <c r="K278" s="5">
        <v>72</v>
      </c>
      <c r="L278" s="5">
        <f t="shared" si="8"/>
        <v>57.4</v>
      </c>
      <c r="M278" s="7" t="str">
        <f t="shared" si="9"/>
        <v>不合格</v>
      </c>
    </row>
    <row r="279" spans="2:13">
      <c r="B279" s="4">
        <v>313</v>
      </c>
      <c r="C279" s="5" t="s">
        <v>295</v>
      </c>
      <c r="D279" s="5" t="s">
        <v>13</v>
      </c>
      <c r="E279" s="5">
        <v>46</v>
      </c>
      <c r="F279" s="5" t="s">
        <v>242</v>
      </c>
      <c r="G279" s="5">
        <v>77</v>
      </c>
      <c r="H279" s="5">
        <v>0</v>
      </c>
      <c r="I279" s="5">
        <v>64</v>
      </c>
      <c r="J279" s="5">
        <v>76</v>
      </c>
      <c r="K279" s="5">
        <v>66</v>
      </c>
      <c r="L279" s="5">
        <f t="shared" si="8"/>
        <v>56.6</v>
      </c>
      <c r="M279" s="7" t="str">
        <f t="shared" si="9"/>
        <v>不合格</v>
      </c>
    </row>
    <row r="280" spans="2:13">
      <c r="B280" s="4">
        <v>114</v>
      </c>
      <c r="C280" s="5" t="s">
        <v>296</v>
      </c>
      <c r="D280" s="5" t="s">
        <v>13</v>
      </c>
      <c r="E280" s="5">
        <v>55</v>
      </c>
      <c r="F280" s="5" t="s">
        <v>242</v>
      </c>
      <c r="G280" s="5">
        <v>53</v>
      </c>
      <c r="H280" s="5">
        <v>72</v>
      </c>
      <c r="I280" s="5">
        <v>56</v>
      </c>
      <c r="J280" s="5">
        <v>46</v>
      </c>
      <c r="K280" s="5">
        <v>55</v>
      </c>
      <c r="L280" s="5">
        <f t="shared" si="8"/>
        <v>56.4</v>
      </c>
      <c r="M280" s="7" t="str">
        <f t="shared" si="9"/>
        <v>不合格</v>
      </c>
    </row>
    <row r="281" spans="2:13">
      <c r="B281" s="4">
        <v>183</v>
      </c>
      <c r="C281" s="5" t="s">
        <v>297</v>
      </c>
      <c r="D281" s="5" t="s">
        <v>22</v>
      </c>
      <c r="E281" s="5">
        <v>55</v>
      </c>
      <c r="F281" s="5" t="s">
        <v>242</v>
      </c>
      <c r="G281" s="5">
        <v>47</v>
      </c>
      <c r="H281" s="5">
        <v>55</v>
      </c>
      <c r="I281" s="5">
        <v>48</v>
      </c>
      <c r="J281" s="5">
        <v>77</v>
      </c>
      <c r="K281" s="5">
        <v>45</v>
      </c>
      <c r="L281" s="5">
        <f t="shared" si="8"/>
        <v>54.4</v>
      </c>
      <c r="M281" s="7" t="str">
        <f t="shared" si="9"/>
        <v>不合格</v>
      </c>
    </row>
    <row r="282" spans="2:13">
      <c r="B282" s="4">
        <v>140</v>
      </c>
      <c r="C282" s="5" t="s">
        <v>298</v>
      </c>
      <c r="D282" s="5" t="s">
        <v>13</v>
      </c>
      <c r="E282" s="5">
        <v>52</v>
      </c>
      <c r="F282" s="5" t="s">
        <v>242</v>
      </c>
      <c r="G282" s="5">
        <v>50</v>
      </c>
      <c r="H282" s="5">
        <v>51</v>
      </c>
      <c r="I282" s="5">
        <v>45</v>
      </c>
      <c r="J282" s="5">
        <v>60</v>
      </c>
      <c r="K282" s="5">
        <v>64</v>
      </c>
      <c r="L282" s="5">
        <f t="shared" si="8"/>
        <v>54</v>
      </c>
      <c r="M282" s="7" t="str">
        <f t="shared" si="9"/>
        <v>不合格</v>
      </c>
    </row>
    <row r="283" spans="2:13">
      <c r="B283" s="4">
        <v>297</v>
      </c>
      <c r="C283" s="5" t="s">
        <v>299</v>
      </c>
      <c r="D283" s="5" t="s">
        <v>22</v>
      </c>
      <c r="E283" s="5">
        <v>43</v>
      </c>
      <c r="F283" s="5" t="s">
        <v>242</v>
      </c>
      <c r="G283" s="5">
        <v>67</v>
      </c>
      <c r="H283" s="5">
        <v>0</v>
      </c>
      <c r="I283" s="5">
        <v>56</v>
      </c>
      <c r="J283" s="5">
        <v>62</v>
      </c>
      <c r="K283" s="5">
        <v>77</v>
      </c>
      <c r="L283" s="5">
        <f t="shared" si="8"/>
        <v>52.4</v>
      </c>
      <c r="M283" s="7" t="str">
        <f t="shared" si="9"/>
        <v>不合格</v>
      </c>
    </row>
    <row r="284" spans="2:13">
      <c r="B284" s="4">
        <v>231</v>
      </c>
      <c r="C284" s="5" t="s">
        <v>300</v>
      </c>
      <c r="D284" s="5" t="s">
        <v>13</v>
      </c>
      <c r="E284" s="5">
        <v>52</v>
      </c>
      <c r="F284" s="5" t="s">
        <v>242</v>
      </c>
      <c r="G284" s="5">
        <v>52</v>
      </c>
      <c r="H284" s="5">
        <v>47</v>
      </c>
      <c r="I284" s="5">
        <v>54</v>
      </c>
      <c r="J284" s="5">
        <v>49</v>
      </c>
      <c r="K284" s="5">
        <v>55</v>
      </c>
      <c r="L284" s="5">
        <f t="shared" si="8"/>
        <v>51.4</v>
      </c>
      <c r="M284" s="7" t="str">
        <f t="shared" si="9"/>
        <v>不合格</v>
      </c>
    </row>
    <row r="285" spans="2:13">
      <c r="B285" s="4">
        <v>20</v>
      </c>
      <c r="C285" s="5" t="s">
        <v>301</v>
      </c>
      <c r="D285" s="5" t="s">
        <v>13</v>
      </c>
      <c r="E285" s="5">
        <v>52</v>
      </c>
      <c r="F285" s="5" t="s">
        <v>242</v>
      </c>
      <c r="G285" s="5">
        <v>46</v>
      </c>
      <c r="H285" s="5">
        <v>66</v>
      </c>
      <c r="I285" s="5">
        <v>0</v>
      </c>
      <c r="J285" s="5">
        <v>55</v>
      </c>
      <c r="K285" s="5">
        <v>80</v>
      </c>
      <c r="L285" s="5">
        <f t="shared" si="8"/>
        <v>49.4</v>
      </c>
      <c r="M285" s="7" t="str">
        <f t="shared" si="9"/>
        <v>不合格</v>
      </c>
    </row>
    <row r="286" spans="2:13">
      <c r="B286" s="4">
        <v>87</v>
      </c>
      <c r="C286" s="5" t="s">
        <v>302</v>
      </c>
      <c r="D286" s="5" t="s">
        <v>22</v>
      </c>
      <c r="E286" s="5">
        <v>27</v>
      </c>
      <c r="F286" s="5" t="s">
        <v>303</v>
      </c>
      <c r="G286" s="5">
        <v>87</v>
      </c>
      <c r="H286" s="5">
        <v>90</v>
      </c>
      <c r="I286" s="5">
        <v>96</v>
      </c>
      <c r="J286" s="5">
        <v>83</v>
      </c>
      <c r="K286" s="5">
        <v>83</v>
      </c>
      <c r="L286" s="5">
        <f t="shared" si="8"/>
        <v>87.8</v>
      </c>
      <c r="M286" s="7" t="str">
        <f t="shared" si="9"/>
        <v>优</v>
      </c>
    </row>
    <row r="287" spans="2:13">
      <c r="B287" s="4">
        <v>10</v>
      </c>
      <c r="C287" s="5" t="s">
        <v>304</v>
      </c>
      <c r="D287" s="5" t="s">
        <v>13</v>
      </c>
      <c r="E287" s="5">
        <v>25</v>
      </c>
      <c r="F287" s="5" t="s">
        <v>303</v>
      </c>
      <c r="G287" s="5">
        <v>96</v>
      </c>
      <c r="H287" s="5">
        <v>90</v>
      </c>
      <c r="I287" s="5">
        <v>82</v>
      </c>
      <c r="J287" s="5">
        <v>88</v>
      </c>
      <c r="K287" s="5">
        <v>74</v>
      </c>
      <c r="L287" s="5">
        <f t="shared" si="8"/>
        <v>86</v>
      </c>
      <c r="M287" s="7" t="str">
        <f t="shared" si="9"/>
        <v>优</v>
      </c>
    </row>
    <row r="288" spans="2:13">
      <c r="B288" s="4">
        <v>235</v>
      </c>
      <c r="C288" s="5" t="s">
        <v>305</v>
      </c>
      <c r="D288" s="5" t="s">
        <v>13</v>
      </c>
      <c r="E288" s="5">
        <v>24</v>
      </c>
      <c r="F288" s="5" t="s">
        <v>303</v>
      </c>
      <c r="G288" s="5">
        <v>84</v>
      </c>
      <c r="H288" s="5">
        <v>75</v>
      </c>
      <c r="I288" s="5">
        <v>80</v>
      </c>
      <c r="J288" s="5">
        <v>97</v>
      </c>
      <c r="K288" s="5">
        <v>92</v>
      </c>
      <c r="L288" s="5">
        <f t="shared" si="8"/>
        <v>85.6</v>
      </c>
      <c r="M288" s="7" t="str">
        <f t="shared" si="9"/>
        <v>优</v>
      </c>
    </row>
    <row r="289" spans="2:13">
      <c r="B289" s="4">
        <v>58</v>
      </c>
      <c r="C289" s="5" t="s">
        <v>306</v>
      </c>
      <c r="D289" s="5" t="s">
        <v>13</v>
      </c>
      <c r="E289" s="5">
        <v>39</v>
      </c>
      <c r="F289" s="5" t="s">
        <v>303</v>
      </c>
      <c r="G289" s="5">
        <v>91</v>
      </c>
      <c r="H289" s="5">
        <v>85</v>
      </c>
      <c r="I289" s="5">
        <v>76</v>
      </c>
      <c r="J289" s="5">
        <v>83</v>
      </c>
      <c r="K289" s="5">
        <v>77</v>
      </c>
      <c r="L289" s="5">
        <f t="shared" si="8"/>
        <v>82.4</v>
      </c>
      <c r="M289" s="7" t="str">
        <f t="shared" si="9"/>
        <v>良</v>
      </c>
    </row>
    <row r="290" spans="2:13">
      <c r="B290" s="4">
        <v>99</v>
      </c>
      <c r="C290" s="5" t="s">
        <v>307</v>
      </c>
      <c r="D290" s="5" t="s">
        <v>22</v>
      </c>
      <c r="E290" s="5">
        <v>34</v>
      </c>
      <c r="F290" s="5" t="s">
        <v>303</v>
      </c>
      <c r="G290" s="5">
        <v>85</v>
      </c>
      <c r="H290" s="5">
        <v>73</v>
      </c>
      <c r="I290" s="5">
        <v>72</v>
      </c>
      <c r="J290" s="5">
        <v>87</v>
      </c>
      <c r="K290" s="5">
        <v>95</v>
      </c>
      <c r="L290" s="5">
        <f t="shared" si="8"/>
        <v>82.4</v>
      </c>
      <c r="M290" s="7" t="str">
        <f t="shared" si="9"/>
        <v>良</v>
      </c>
    </row>
    <row r="291" spans="2:13">
      <c r="B291" s="4">
        <v>144</v>
      </c>
      <c r="C291" s="5" t="s">
        <v>308</v>
      </c>
      <c r="D291" s="5" t="s">
        <v>22</v>
      </c>
      <c r="E291" s="5">
        <v>34</v>
      </c>
      <c r="F291" s="5" t="s">
        <v>303</v>
      </c>
      <c r="G291" s="5">
        <v>85</v>
      </c>
      <c r="H291" s="5">
        <v>91</v>
      </c>
      <c r="I291" s="5">
        <v>59</v>
      </c>
      <c r="J291" s="5">
        <v>91</v>
      </c>
      <c r="K291" s="5">
        <v>85</v>
      </c>
      <c r="L291" s="5">
        <f t="shared" si="8"/>
        <v>82.2</v>
      </c>
      <c r="M291" s="7" t="str">
        <f t="shared" si="9"/>
        <v>不合格</v>
      </c>
    </row>
    <row r="292" spans="2:13">
      <c r="B292" s="4">
        <v>105</v>
      </c>
      <c r="C292" s="5" t="s">
        <v>309</v>
      </c>
      <c r="D292" s="5" t="s">
        <v>13</v>
      </c>
      <c r="E292" s="5">
        <v>26</v>
      </c>
      <c r="F292" s="5" t="s">
        <v>303</v>
      </c>
      <c r="G292" s="5">
        <v>62</v>
      </c>
      <c r="H292" s="5">
        <v>100</v>
      </c>
      <c r="I292" s="5">
        <v>70</v>
      </c>
      <c r="J292" s="5">
        <v>86</v>
      </c>
      <c r="K292" s="5">
        <v>90</v>
      </c>
      <c r="L292" s="5">
        <f t="shared" si="8"/>
        <v>81.6</v>
      </c>
      <c r="M292" s="7" t="str">
        <f t="shared" si="9"/>
        <v>良</v>
      </c>
    </row>
    <row r="293" spans="2:13">
      <c r="B293" s="4">
        <v>63</v>
      </c>
      <c r="C293" s="5" t="s">
        <v>310</v>
      </c>
      <c r="D293" s="5" t="s">
        <v>13</v>
      </c>
      <c r="E293" s="5">
        <v>33</v>
      </c>
      <c r="F293" s="5" t="s">
        <v>303</v>
      </c>
      <c r="G293" s="5">
        <v>75</v>
      </c>
      <c r="H293" s="5">
        <v>89</v>
      </c>
      <c r="I293" s="5">
        <v>94</v>
      </c>
      <c r="J293" s="5">
        <v>83</v>
      </c>
      <c r="K293" s="5">
        <v>61</v>
      </c>
      <c r="L293" s="5">
        <f t="shared" si="8"/>
        <v>80.4</v>
      </c>
      <c r="M293" s="7" t="str">
        <f t="shared" si="9"/>
        <v>良</v>
      </c>
    </row>
    <row r="294" spans="2:13">
      <c r="B294" s="4">
        <v>329</v>
      </c>
      <c r="C294" s="5" t="s">
        <v>311</v>
      </c>
      <c r="D294" s="5" t="s">
        <v>13</v>
      </c>
      <c r="E294" s="5">
        <v>28</v>
      </c>
      <c r="F294" s="5" t="s">
        <v>303</v>
      </c>
      <c r="G294" s="5">
        <v>73</v>
      </c>
      <c r="H294" s="5">
        <v>80</v>
      </c>
      <c r="I294" s="5">
        <v>88</v>
      </c>
      <c r="J294" s="5">
        <v>87</v>
      </c>
      <c r="K294" s="5">
        <v>66</v>
      </c>
      <c r="L294" s="5">
        <f t="shared" si="8"/>
        <v>78.8</v>
      </c>
      <c r="M294" s="7" t="str">
        <f t="shared" si="9"/>
        <v>良</v>
      </c>
    </row>
    <row r="295" spans="2:13">
      <c r="B295" s="4">
        <v>153</v>
      </c>
      <c r="C295" s="5" t="s">
        <v>312</v>
      </c>
      <c r="D295" s="5" t="s">
        <v>13</v>
      </c>
      <c r="E295" s="5">
        <v>48</v>
      </c>
      <c r="F295" s="5" t="s">
        <v>303</v>
      </c>
      <c r="G295" s="5">
        <v>71</v>
      </c>
      <c r="H295" s="5">
        <v>81</v>
      </c>
      <c r="I295" s="5">
        <v>68</v>
      </c>
      <c r="J295" s="5">
        <v>89</v>
      </c>
      <c r="K295" s="5">
        <v>84</v>
      </c>
      <c r="L295" s="5">
        <f t="shared" si="8"/>
        <v>78.6</v>
      </c>
      <c r="M295" s="7" t="str">
        <f t="shared" si="9"/>
        <v>良</v>
      </c>
    </row>
    <row r="296" spans="2:13">
      <c r="B296" s="4">
        <v>22</v>
      </c>
      <c r="C296" s="5" t="s">
        <v>313</v>
      </c>
      <c r="D296" s="5" t="s">
        <v>13</v>
      </c>
      <c r="E296" s="5">
        <v>28</v>
      </c>
      <c r="F296" s="5" t="s">
        <v>303</v>
      </c>
      <c r="G296" s="5">
        <v>71</v>
      </c>
      <c r="H296" s="5">
        <v>74</v>
      </c>
      <c r="I296" s="5">
        <v>96</v>
      </c>
      <c r="J296" s="5">
        <v>72</v>
      </c>
      <c r="K296" s="5">
        <v>77</v>
      </c>
      <c r="L296" s="5">
        <f t="shared" si="8"/>
        <v>78</v>
      </c>
      <c r="M296" s="7" t="str">
        <f t="shared" si="9"/>
        <v>良</v>
      </c>
    </row>
    <row r="297" spans="2:13">
      <c r="B297" s="4">
        <v>289</v>
      </c>
      <c r="C297" s="5" t="s">
        <v>314</v>
      </c>
      <c r="D297" s="5" t="s">
        <v>13</v>
      </c>
      <c r="E297" s="5">
        <v>39</v>
      </c>
      <c r="F297" s="5" t="s">
        <v>303</v>
      </c>
      <c r="G297" s="5">
        <v>83</v>
      </c>
      <c r="H297" s="5">
        <v>86</v>
      </c>
      <c r="I297" s="5">
        <v>75</v>
      </c>
      <c r="J297" s="5">
        <v>78</v>
      </c>
      <c r="K297" s="5">
        <v>63</v>
      </c>
      <c r="L297" s="5">
        <f t="shared" si="8"/>
        <v>77</v>
      </c>
      <c r="M297" s="7" t="str">
        <f t="shared" si="9"/>
        <v>良</v>
      </c>
    </row>
    <row r="298" spans="2:13">
      <c r="B298" s="4">
        <v>237</v>
      </c>
      <c r="C298" s="5" t="s">
        <v>315</v>
      </c>
      <c r="D298" s="5" t="s">
        <v>13</v>
      </c>
      <c r="E298" s="5">
        <v>44</v>
      </c>
      <c r="F298" s="5" t="s">
        <v>303</v>
      </c>
      <c r="G298" s="5">
        <v>85</v>
      </c>
      <c r="H298" s="5">
        <v>72</v>
      </c>
      <c r="I298" s="5">
        <v>85</v>
      </c>
      <c r="J298" s="5">
        <v>75</v>
      </c>
      <c r="K298" s="5">
        <v>67</v>
      </c>
      <c r="L298" s="5">
        <f t="shared" si="8"/>
        <v>76.8</v>
      </c>
      <c r="M298" s="7" t="str">
        <f t="shared" si="9"/>
        <v>良</v>
      </c>
    </row>
    <row r="299" spans="2:13">
      <c r="B299" s="4">
        <v>259</v>
      </c>
      <c r="C299" s="5" t="s">
        <v>316</v>
      </c>
      <c r="D299" s="5" t="s">
        <v>13</v>
      </c>
      <c r="E299" s="5">
        <v>40</v>
      </c>
      <c r="F299" s="5" t="s">
        <v>303</v>
      </c>
      <c r="G299" s="5">
        <v>83</v>
      </c>
      <c r="H299" s="5">
        <v>79</v>
      </c>
      <c r="I299" s="5">
        <v>88</v>
      </c>
      <c r="J299" s="5">
        <v>61</v>
      </c>
      <c r="K299" s="5">
        <v>69</v>
      </c>
      <c r="L299" s="5">
        <f t="shared" si="8"/>
        <v>76</v>
      </c>
      <c r="M299" s="7" t="str">
        <f t="shared" si="9"/>
        <v>良</v>
      </c>
    </row>
    <row r="300" spans="2:13">
      <c r="B300" s="4">
        <v>294</v>
      </c>
      <c r="C300" s="5" t="s">
        <v>317</v>
      </c>
      <c r="D300" s="5" t="s">
        <v>13</v>
      </c>
      <c r="E300" s="5">
        <v>37</v>
      </c>
      <c r="F300" s="5" t="s">
        <v>303</v>
      </c>
      <c r="G300" s="5">
        <v>89</v>
      </c>
      <c r="H300" s="5">
        <v>69</v>
      </c>
      <c r="I300" s="5">
        <v>64</v>
      </c>
      <c r="J300" s="5">
        <v>73</v>
      </c>
      <c r="K300" s="5">
        <v>83</v>
      </c>
      <c r="L300" s="5">
        <f t="shared" si="8"/>
        <v>75.6</v>
      </c>
      <c r="M300" s="7" t="str">
        <f t="shared" si="9"/>
        <v>良</v>
      </c>
    </row>
    <row r="301" spans="2:13">
      <c r="B301" s="4">
        <v>25</v>
      </c>
      <c r="C301" s="5" t="s">
        <v>318</v>
      </c>
      <c r="D301" s="5" t="s">
        <v>13</v>
      </c>
      <c r="E301" s="5">
        <v>47</v>
      </c>
      <c r="F301" s="5" t="s">
        <v>303</v>
      </c>
      <c r="G301" s="5">
        <v>81</v>
      </c>
      <c r="H301" s="5">
        <v>77</v>
      </c>
      <c r="I301" s="5">
        <v>75</v>
      </c>
      <c r="J301" s="5">
        <v>68</v>
      </c>
      <c r="K301" s="5">
        <v>76</v>
      </c>
      <c r="L301" s="5">
        <f t="shared" si="8"/>
        <v>75.4</v>
      </c>
      <c r="M301" s="7" t="str">
        <f t="shared" si="9"/>
        <v>良</v>
      </c>
    </row>
    <row r="302" spans="2:13">
      <c r="B302" s="4">
        <v>55</v>
      </c>
      <c r="C302" s="5" t="s">
        <v>319</v>
      </c>
      <c r="D302" s="5" t="s">
        <v>13</v>
      </c>
      <c r="E302" s="5">
        <v>38</v>
      </c>
      <c r="F302" s="5" t="s">
        <v>303</v>
      </c>
      <c r="G302" s="5">
        <v>67</v>
      </c>
      <c r="H302" s="5">
        <v>85</v>
      </c>
      <c r="I302" s="5">
        <v>79</v>
      </c>
      <c r="J302" s="5">
        <v>87</v>
      </c>
      <c r="K302" s="5">
        <v>59</v>
      </c>
      <c r="L302" s="5">
        <f t="shared" si="8"/>
        <v>75.4</v>
      </c>
      <c r="M302" s="7" t="str">
        <f t="shared" si="9"/>
        <v>不合格</v>
      </c>
    </row>
    <row r="303" spans="2:13">
      <c r="B303" s="4">
        <v>61</v>
      </c>
      <c r="C303" s="5" t="s">
        <v>320</v>
      </c>
      <c r="D303" s="5" t="s">
        <v>13</v>
      </c>
      <c r="E303" s="5">
        <v>43</v>
      </c>
      <c r="F303" s="5" t="s">
        <v>303</v>
      </c>
      <c r="G303" s="5">
        <v>70</v>
      </c>
      <c r="H303" s="5">
        <v>81</v>
      </c>
      <c r="I303" s="5">
        <v>67</v>
      </c>
      <c r="J303" s="5">
        <v>85</v>
      </c>
      <c r="K303" s="5">
        <v>72</v>
      </c>
      <c r="L303" s="5">
        <f t="shared" si="8"/>
        <v>75</v>
      </c>
      <c r="M303" s="7" t="str">
        <f t="shared" si="9"/>
        <v>良</v>
      </c>
    </row>
    <row r="304" spans="2:13">
      <c r="B304" s="4">
        <v>248</v>
      </c>
      <c r="C304" s="5" t="s">
        <v>321</v>
      </c>
      <c r="D304" s="5" t="s">
        <v>13</v>
      </c>
      <c r="E304" s="5">
        <v>35</v>
      </c>
      <c r="F304" s="5" t="s">
        <v>303</v>
      </c>
      <c r="G304" s="5">
        <v>61</v>
      </c>
      <c r="H304" s="5">
        <v>68</v>
      </c>
      <c r="I304" s="5">
        <v>91</v>
      </c>
      <c r="J304" s="5">
        <v>94</v>
      </c>
      <c r="K304" s="5">
        <v>59</v>
      </c>
      <c r="L304" s="5">
        <f t="shared" si="8"/>
        <v>74.6</v>
      </c>
      <c r="M304" s="7" t="str">
        <f t="shared" si="9"/>
        <v>不合格</v>
      </c>
    </row>
    <row r="305" spans="2:13">
      <c r="B305" s="4">
        <v>207</v>
      </c>
      <c r="C305" s="5" t="s">
        <v>322</v>
      </c>
      <c r="D305" s="5" t="s">
        <v>22</v>
      </c>
      <c r="E305" s="5">
        <v>41</v>
      </c>
      <c r="F305" s="5" t="s">
        <v>303</v>
      </c>
      <c r="G305" s="5">
        <v>59</v>
      </c>
      <c r="H305" s="5">
        <v>78</v>
      </c>
      <c r="I305" s="5">
        <v>79</v>
      </c>
      <c r="J305" s="5">
        <v>85</v>
      </c>
      <c r="K305" s="5">
        <v>71</v>
      </c>
      <c r="L305" s="5">
        <f t="shared" si="8"/>
        <v>74.4</v>
      </c>
      <c r="M305" s="7" t="str">
        <f t="shared" si="9"/>
        <v>不合格</v>
      </c>
    </row>
    <row r="306" spans="2:13">
      <c r="B306" s="4">
        <v>147</v>
      </c>
      <c r="C306" s="5" t="s">
        <v>323</v>
      </c>
      <c r="D306" s="5" t="s">
        <v>13</v>
      </c>
      <c r="E306" s="5">
        <v>41</v>
      </c>
      <c r="F306" s="5" t="s">
        <v>303</v>
      </c>
      <c r="G306" s="5">
        <v>81</v>
      </c>
      <c r="H306" s="5">
        <v>61</v>
      </c>
      <c r="I306" s="5">
        <v>77</v>
      </c>
      <c r="J306" s="5">
        <v>79</v>
      </c>
      <c r="K306" s="5">
        <v>72</v>
      </c>
      <c r="L306" s="5">
        <f t="shared" si="8"/>
        <v>74</v>
      </c>
      <c r="M306" s="7" t="str">
        <f t="shared" si="9"/>
        <v>及格</v>
      </c>
    </row>
    <row r="307" spans="2:13">
      <c r="B307" s="4">
        <v>284</v>
      </c>
      <c r="C307" s="5" t="s">
        <v>324</v>
      </c>
      <c r="D307" s="5" t="s">
        <v>22</v>
      </c>
      <c r="E307" s="5">
        <v>26</v>
      </c>
      <c r="F307" s="5" t="s">
        <v>303</v>
      </c>
      <c r="G307" s="5">
        <v>83</v>
      </c>
      <c r="H307" s="5">
        <v>96</v>
      </c>
      <c r="I307" s="5">
        <v>89</v>
      </c>
      <c r="J307" s="5">
        <v>0</v>
      </c>
      <c r="K307" s="5">
        <v>96</v>
      </c>
      <c r="L307" s="5">
        <f t="shared" si="8"/>
        <v>72.8</v>
      </c>
      <c r="M307" s="7" t="str">
        <f t="shared" si="9"/>
        <v>不合格</v>
      </c>
    </row>
    <row r="308" spans="2:13">
      <c r="B308" s="4">
        <v>24</v>
      </c>
      <c r="C308" s="5" t="s">
        <v>325</v>
      </c>
      <c r="D308" s="5" t="s">
        <v>22</v>
      </c>
      <c r="E308" s="5">
        <v>46</v>
      </c>
      <c r="F308" s="5" t="s">
        <v>303</v>
      </c>
      <c r="G308" s="5">
        <v>79</v>
      </c>
      <c r="H308" s="5">
        <v>68</v>
      </c>
      <c r="I308" s="5">
        <v>53</v>
      </c>
      <c r="J308" s="5">
        <v>82</v>
      </c>
      <c r="K308" s="5">
        <v>79</v>
      </c>
      <c r="L308" s="5">
        <f t="shared" si="8"/>
        <v>72.2</v>
      </c>
      <c r="M308" s="7" t="str">
        <f t="shared" si="9"/>
        <v>不合格</v>
      </c>
    </row>
    <row r="309" spans="2:13">
      <c r="B309" s="4">
        <v>249</v>
      </c>
      <c r="C309" s="5" t="s">
        <v>326</v>
      </c>
      <c r="D309" s="5" t="s">
        <v>22</v>
      </c>
      <c r="E309" s="5">
        <v>30</v>
      </c>
      <c r="F309" s="5" t="s">
        <v>303</v>
      </c>
      <c r="G309" s="5">
        <v>68</v>
      </c>
      <c r="H309" s="5">
        <v>61</v>
      </c>
      <c r="I309" s="5">
        <v>73</v>
      </c>
      <c r="J309" s="5">
        <v>82</v>
      </c>
      <c r="K309" s="5">
        <v>74</v>
      </c>
      <c r="L309" s="5">
        <f t="shared" si="8"/>
        <v>71.6</v>
      </c>
      <c r="M309" s="7" t="str">
        <f t="shared" si="9"/>
        <v>及格</v>
      </c>
    </row>
    <row r="310" spans="2:13">
      <c r="B310" s="4">
        <v>73</v>
      </c>
      <c r="C310" s="5" t="s">
        <v>327</v>
      </c>
      <c r="D310" s="5" t="s">
        <v>13</v>
      </c>
      <c r="E310" s="5">
        <v>50</v>
      </c>
      <c r="F310" s="5" t="s">
        <v>303</v>
      </c>
      <c r="G310" s="5">
        <v>80</v>
      </c>
      <c r="H310" s="5">
        <v>81</v>
      </c>
      <c r="I310" s="5">
        <v>66</v>
      </c>
      <c r="J310" s="5">
        <v>80</v>
      </c>
      <c r="K310" s="5">
        <v>50</v>
      </c>
      <c r="L310" s="5">
        <f t="shared" si="8"/>
        <v>71.4</v>
      </c>
      <c r="M310" s="7" t="str">
        <f t="shared" si="9"/>
        <v>不合格</v>
      </c>
    </row>
    <row r="311" spans="2:13">
      <c r="B311" s="4">
        <v>293</v>
      </c>
      <c r="C311" s="5" t="s">
        <v>328</v>
      </c>
      <c r="D311" s="5" t="s">
        <v>13</v>
      </c>
      <c r="E311" s="5">
        <v>37</v>
      </c>
      <c r="F311" s="5" t="s">
        <v>303</v>
      </c>
      <c r="G311" s="5">
        <v>58</v>
      </c>
      <c r="H311" s="5">
        <v>75</v>
      </c>
      <c r="I311" s="5">
        <v>60</v>
      </c>
      <c r="J311" s="5">
        <v>86</v>
      </c>
      <c r="K311" s="5">
        <v>78</v>
      </c>
      <c r="L311" s="5">
        <f t="shared" si="8"/>
        <v>71.4</v>
      </c>
      <c r="M311" s="7" t="str">
        <f t="shared" si="9"/>
        <v>不合格</v>
      </c>
    </row>
    <row r="312" spans="2:13">
      <c r="B312" s="4">
        <v>71</v>
      </c>
      <c r="C312" s="5" t="s">
        <v>329</v>
      </c>
      <c r="D312" s="5" t="s">
        <v>13</v>
      </c>
      <c r="E312" s="5">
        <v>32</v>
      </c>
      <c r="F312" s="5" t="s">
        <v>303</v>
      </c>
      <c r="G312" s="5">
        <v>78</v>
      </c>
      <c r="H312" s="5">
        <v>81</v>
      </c>
      <c r="I312" s="5">
        <v>73</v>
      </c>
      <c r="J312" s="5">
        <v>60</v>
      </c>
      <c r="K312" s="5">
        <v>61</v>
      </c>
      <c r="L312" s="5">
        <f t="shared" si="8"/>
        <v>70.6</v>
      </c>
      <c r="M312" s="7" t="str">
        <f t="shared" si="9"/>
        <v>及格</v>
      </c>
    </row>
    <row r="313" spans="2:13">
      <c r="B313" s="4">
        <v>17</v>
      </c>
      <c r="C313" s="5" t="s">
        <v>330</v>
      </c>
      <c r="D313" s="5" t="s">
        <v>13</v>
      </c>
      <c r="E313" s="5">
        <v>27</v>
      </c>
      <c r="F313" s="5" t="s">
        <v>303</v>
      </c>
      <c r="G313" s="5">
        <v>79</v>
      </c>
      <c r="H313" s="5">
        <v>0</v>
      </c>
      <c r="I313" s="5">
        <v>94</v>
      </c>
      <c r="J313" s="5">
        <v>98</v>
      </c>
      <c r="K313" s="5">
        <v>81</v>
      </c>
      <c r="L313" s="5">
        <f t="shared" si="8"/>
        <v>70.4</v>
      </c>
      <c r="M313" s="7" t="str">
        <f t="shared" si="9"/>
        <v>不合格</v>
      </c>
    </row>
    <row r="314" spans="2:13">
      <c r="B314" s="4">
        <v>222</v>
      </c>
      <c r="C314" s="5" t="s">
        <v>331</v>
      </c>
      <c r="D314" s="5" t="s">
        <v>13</v>
      </c>
      <c r="E314" s="5">
        <v>44</v>
      </c>
      <c r="F314" s="5" t="s">
        <v>303</v>
      </c>
      <c r="G314" s="5">
        <v>66</v>
      </c>
      <c r="H314" s="5">
        <v>88</v>
      </c>
      <c r="I314" s="5">
        <v>80</v>
      </c>
      <c r="J314" s="5">
        <v>52</v>
      </c>
      <c r="K314" s="5">
        <v>66</v>
      </c>
      <c r="L314" s="5">
        <f t="shared" si="8"/>
        <v>70.4</v>
      </c>
      <c r="M314" s="7" t="str">
        <f t="shared" si="9"/>
        <v>不合格</v>
      </c>
    </row>
    <row r="315" spans="2:13">
      <c r="B315" s="4">
        <v>299</v>
      </c>
      <c r="C315" s="5" t="s">
        <v>332</v>
      </c>
      <c r="D315" s="5" t="s">
        <v>13</v>
      </c>
      <c r="E315" s="5">
        <v>53</v>
      </c>
      <c r="F315" s="5" t="s">
        <v>303</v>
      </c>
      <c r="G315" s="5">
        <v>68</v>
      </c>
      <c r="H315" s="5">
        <v>53</v>
      </c>
      <c r="I315" s="5">
        <v>75</v>
      </c>
      <c r="J315" s="5">
        <v>76</v>
      </c>
      <c r="K315" s="5">
        <v>78</v>
      </c>
      <c r="L315" s="5">
        <f t="shared" si="8"/>
        <v>70</v>
      </c>
      <c r="M315" s="7" t="str">
        <f t="shared" si="9"/>
        <v>不合格</v>
      </c>
    </row>
    <row r="316" spans="2:13">
      <c r="B316" s="4">
        <v>75</v>
      </c>
      <c r="C316" s="5" t="s">
        <v>333</v>
      </c>
      <c r="D316" s="5" t="s">
        <v>22</v>
      </c>
      <c r="E316" s="5">
        <v>32</v>
      </c>
      <c r="F316" s="5" t="s">
        <v>303</v>
      </c>
      <c r="G316" s="5">
        <v>79</v>
      </c>
      <c r="H316" s="5">
        <v>79</v>
      </c>
      <c r="I316" s="5">
        <v>58</v>
      </c>
      <c r="J316" s="5">
        <v>65</v>
      </c>
      <c r="K316" s="5">
        <v>68</v>
      </c>
      <c r="L316" s="5">
        <f t="shared" si="8"/>
        <v>69.8</v>
      </c>
      <c r="M316" s="7" t="str">
        <f t="shared" si="9"/>
        <v>不合格</v>
      </c>
    </row>
    <row r="317" spans="2:13">
      <c r="B317" s="4">
        <v>223</v>
      </c>
      <c r="C317" s="5" t="s">
        <v>334</v>
      </c>
      <c r="D317" s="5" t="s">
        <v>13</v>
      </c>
      <c r="E317" s="5">
        <v>43</v>
      </c>
      <c r="F317" s="5" t="s">
        <v>303</v>
      </c>
      <c r="G317" s="5">
        <v>85</v>
      </c>
      <c r="H317" s="5">
        <v>65</v>
      </c>
      <c r="I317" s="5">
        <v>58</v>
      </c>
      <c r="J317" s="5">
        <v>75</v>
      </c>
      <c r="K317" s="5">
        <v>63</v>
      </c>
      <c r="L317" s="5">
        <f t="shared" si="8"/>
        <v>69.2</v>
      </c>
      <c r="M317" s="7" t="str">
        <f t="shared" si="9"/>
        <v>不合格</v>
      </c>
    </row>
    <row r="318" spans="2:13">
      <c r="B318" s="4">
        <v>110</v>
      </c>
      <c r="C318" s="5" t="s">
        <v>335</v>
      </c>
      <c r="D318" s="5" t="s">
        <v>22</v>
      </c>
      <c r="E318" s="5">
        <v>47</v>
      </c>
      <c r="F318" s="5" t="s">
        <v>303</v>
      </c>
      <c r="G318" s="5">
        <v>67</v>
      </c>
      <c r="H318" s="5">
        <v>72</v>
      </c>
      <c r="I318" s="5">
        <v>70</v>
      </c>
      <c r="J318" s="5">
        <v>71</v>
      </c>
      <c r="K318" s="5">
        <v>64</v>
      </c>
      <c r="L318" s="5">
        <f t="shared" si="8"/>
        <v>68.8</v>
      </c>
      <c r="M318" s="7" t="str">
        <f t="shared" si="9"/>
        <v>及格</v>
      </c>
    </row>
    <row r="319" spans="2:13">
      <c r="B319" s="4">
        <v>224</v>
      </c>
      <c r="C319" s="5" t="s">
        <v>336</v>
      </c>
      <c r="D319" s="5" t="s">
        <v>13</v>
      </c>
      <c r="E319" s="5">
        <v>47</v>
      </c>
      <c r="F319" s="5" t="s">
        <v>303</v>
      </c>
      <c r="G319" s="5">
        <v>58</v>
      </c>
      <c r="H319" s="5">
        <v>57</v>
      </c>
      <c r="I319" s="5">
        <v>72</v>
      </c>
      <c r="J319" s="5">
        <v>78</v>
      </c>
      <c r="K319" s="5">
        <v>78</v>
      </c>
      <c r="L319" s="5">
        <f t="shared" si="8"/>
        <v>68.6</v>
      </c>
      <c r="M319" s="7" t="str">
        <f t="shared" si="9"/>
        <v>不合格</v>
      </c>
    </row>
    <row r="320" spans="2:13">
      <c r="B320" s="4">
        <v>217</v>
      </c>
      <c r="C320" s="5" t="s">
        <v>337</v>
      </c>
      <c r="D320" s="5" t="s">
        <v>13</v>
      </c>
      <c r="E320" s="5">
        <v>55</v>
      </c>
      <c r="F320" s="5" t="s">
        <v>303</v>
      </c>
      <c r="G320" s="5">
        <v>54</v>
      </c>
      <c r="H320" s="5">
        <v>73</v>
      </c>
      <c r="I320" s="5">
        <v>65</v>
      </c>
      <c r="J320" s="5">
        <v>65</v>
      </c>
      <c r="K320" s="5">
        <v>81</v>
      </c>
      <c r="L320" s="5">
        <f t="shared" si="8"/>
        <v>67.6</v>
      </c>
      <c r="M320" s="7" t="str">
        <f t="shared" si="9"/>
        <v>不合格</v>
      </c>
    </row>
    <row r="321" spans="2:13">
      <c r="B321" s="4">
        <v>127</v>
      </c>
      <c r="C321" s="5" t="s">
        <v>338</v>
      </c>
      <c r="D321" s="5" t="s">
        <v>13</v>
      </c>
      <c r="E321" s="5">
        <v>45</v>
      </c>
      <c r="F321" s="5" t="s">
        <v>303</v>
      </c>
      <c r="G321" s="5">
        <v>52</v>
      </c>
      <c r="H321" s="5">
        <v>55</v>
      </c>
      <c r="I321" s="5">
        <v>77</v>
      </c>
      <c r="J321" s="5">
        <v>73</v>
      </c>
      <c r="K321" s="5">
        <v>80</v>
      </c>
      <c r="L321" s="5">
        <f t="shared" si="8"/>
        <v>67.4</v>
      </c>
      <c r="M321" s="7" t="str">
        <f t="shared" si="9"/>
        <v>不合格</v>
      </c>
    </row>
    <row r="322" spans="2:13">
      <c r="B322" s="4">
        <v>202</v>
      </c>
      <c r="C322" s="5" t="s">
        <v>339</v>
      </c>
      <c r="D322" s="5" t="s">
        <v>13</v>
      </c>
      <c r="E322" s="5">
        <v>30</v>
      </c>
      <c r="F322" s="5" t="s">
        <v>303</v>
      </c>
      <c r="G322" s="5">
        <v>59</v>
      </c>
      <c r="H322" s="5">
        <v>65</v>
      </c>
      <c r="I322" s="5">
        <v>85</v>
      </c>
      <c r="J322" s="5">
        <v>59</v>
      </c>
      <c r="K322" s="5">
        <v>69</v>
      </c>
      <c r="L322" s="5">
        <f t="shared" si="8"/>
        <v>67.4</v>
      </c>
      <c r="M322" s="7" t="str">
        <f t="shared" si="9"/>
        <v>不合格</v>
      </c>
    </row>
    <row r="323" spans="2:13">
      <c r="B323" s="4">
        <v>88</v>
      </c>
      <c r="C323" s="5" t="s">
        <v>340</v>
      </c>
      <c r="D323" s="5" t="s">
        <v>13</v>
      </c>
      <c r="E323" s="5">
        <v>46</v>
      </c>
      <c r="F323" s="5" t="s">
        <v>303</v>
      </c>
      <c r="G323" s="5">
        <v>78</v>
      </c>
      <c r="H323" s="5">
        <v>84</v>
      </c>
      <c r="I323" s="5">
        <v>61</v>
      </c>
      <c r="J323" s="5">
        <v>60</v>
      </c>
      <c r="K323" s="5">
        <v>53</v>
      </c>
      <c r="L323" s="5">
        <f t="shared" ref="L323:L336" si="10">AVERAGE(G323:K323)</f>
        <v>67.2</v>
      </c>
      <c r="M323" s="7" t="str">
        <f t="shared" ref="M323:M336" si="11">IF(OR(G323&lt;60,H323&lt;60,I323&lt;60,J323&lt;60,K323&lt;60),"不合格",IF(L323&lt;75,"及格",IF(L323&lt;85,"良","优")))</f>
        <v>不合格</v>
      </c>
    </row>
    <row r="324" spans="2:13">
      <c r="B324" s="4">
        <v>60</v>
      </c>
      <c r="C324" s="5" t="s">
        <v>341</v>
      </c>
      <c r="D324" s="5" t="s">
        <v>13</v>
      </c>
      <c r="E324" s="5">
        <v>40</v>
      </c>
      <c r="F324" s="5" t="s">
        <v>303</v>
      </c>
      <c r="G324" s="5">
        <v>55</v>
      </c>
      <c r="H324" s="5">
        <v>71</v>
      </c>
      <c r="I324" s="5">
        <v>59</v>
      </c>
      <c r="J324" s="5">
        <v>71</v>
      </c>
      <c r="K324" s="5">
        <v>79</v>
      </c>
      <c r="L324" s="5">
        <f t="shared" si="10"/>
        <v>67</v>
      </c>
      <c r="M324" s="7" t="str">
        <f t="shared" si="11"/>
        <v>不合格</v>
      </c>
    </row>
    <row r="325" spans="2:13">
      <c r="B325" s="4">
        <v>167</v>
      </c>
      <c r="C325" s="5" t="s">
        <v>342</v>
      </c>
      <c r="D325" s="5" t="s">
        <v>13</v>
      </c>
      <c r="E325" s="5">
        <v>28</v>
      </c>
      <c r="F325" s="5" t="s">
        <v>303</v>
      </c>
      <c r="G325" s="5">
        <v>82</v>
      </c>
      <c r="H325" s="5">
        <v>86</v>
      </c>
      <c r="I325" s="5">
        <v>79</v>
      </c>
      <c r="J325" s="5">
        <v>84</v>
      </c>
      <c r="K325" s="5">
        <v>0</v>
      </c>
      <c r="L325" s="5">
        <f t="shared" si="10"/>
        <v>66.2</v>
      </c>
      <c r="M325" s="7" t="str">
        <f t="shared" si="11"/>
        <v>不合格</v>
      </c>
    </row>
    <row r="326" spans="2:13">
      <c r="B326" s="4">
        <v>191</v>
      </c>
      <c r="C326" s="5" t="s">
        <v>343</v>
      </c>
      <c r="D326" s="5" t="s">
        <v>13</v>
      </c>
      <c r="E326" s="5">
        <v>53</v>
      </c>
      <c r="F326" s="5" t="s">
        <v>303</v>
      </c>
      <c r="G326" s="5">
        <v>80</v>
      </c>
      <c r="H326" s="5">
        <v>73</v>
      </c>
      <c r="I326" s="5">
        <v>49</v>
      </c>
      <c r="J326" s="5">
        <v>67</v>
      </c>
      <c r="K326" s="5">
        <v>61</v>
      </c>
      <c r="L326" s="5">
        <f t="shared" si="10"/>
        <v>66</v>
      </c>
      <c r="M326" s="7" t="str">
        <f t="shared" si="11"/>
        <v>不合格</v>
      </c>
    </row>
    <row r="327" spans="2:13">
      <c r="B327" s="4">
        <v>330</v>
      </c>
      <c r="C327" s="5" t="s">
        <v>344</v>
      </c>
      <c r="D327" s="5" t="s">
        <v>22</v>
      </c>
      <c r="E327" s="5">
        <v>42</v>
      </c>
      <c r="F327" s="5" t="s">
        <v>303</v>
      </c>
      <c r="G327" s="5">
        <v>58</v>
      </c>
      <c r="H327" s="5">
        <v>59</v>
      </c>
      <c r="I327" s="5">
        <v>56</v>
      </c>
      <c r="J327" s="5">
        <v>63</v>
      </c>
      <c r="K327" s="5">
        <v>85</v>
      </c>
      <c r="L327" s="5">
        <f t="shared" si="10"/>
        <v>64.2</v>
      </c>
      <c r="M327" s="7" t="str">
        <f t="shared" si="11"/>
        <v>不合格</v>
      </c>
    </row>
    <row r="328" spans="2:13">
      <c r="B328" s="4">
        <v>161</v>
      </c>
      <c r="C328" s="5" t="s">
        <v>345</v>
      </c>
      <c r="D328" s="5" t="s">
        <v>13</v>
      </c>
      <c r="E328" s="5">
        <v>55</v>
      </c>
      <c r="F328" s="5" t="s">
        <v>303</v>
      </c>
      <c r="G328" s="5">
        <v>69</v>
      </c>
      <c r="H328" s="5">
        <v>47</v>
      </c>
      <c r="I328" s="5">
        <v>72</v>
      </c>
      <c r="J328" s="5">
        <v>58</v>
      </c>
      <c r="K328" s="5">
        <v>72</v>
      </c>
      <c r="L328" s="5">
        <f t="shared" si="10"/>
        <v>63.6</v>
      </c>
      <c r="M328" s="7" t="str">
        <f t="shared" si="11"/>
        <v>不合格</v>
      </c>
    </row>
    <row r="329" spans="2:13">
      <c r="B329" s="4">
        <v>160</v>
      </c>
      <c r="C329" s="5" t="s">
        <v>346</v>
      </c>
      <c r="D329" s="5" t="s">
        <v>13</v>
      </c>
      <c r="E329" s="5">
        <v>42</v>
      </c>
      <c r="F329" s="5" t="s">
        <v>303</v>
      </c>
      <c r="G329" s="5">
        <v>55</v>
      </c>
      <c r="H329" s="5">
        <v>66</v>
      </c>
      <c r="I329" s="5">
        <v>52</v>
      </c>
      <c r="J329" s="5">
        <v>84</v>
      </c>
      <c r="K329" s="5">
        <v>55</v>
      </c>
      <c r="L329" s="5">
        <f t="shared" si="10"/>
        <v>62.4</v>
      </c>
      <c r="M329" s="7" t="str">
        <f t="shared" si="11"/>
        <v>不合格</v>
      </c>
    </row>
    <row r="330" spans="2:13">
      <c r="B330" s="4">
        <v>7</v>
      </c>
      <c r="C330" s="5" t="s">
        <v>347</v>
      </c>
      <c r="D330" s="5" t="s">
        <v>13</v>
      </c>
      <c r="E330" s="5">
        <v>52</v>
      </c>
      <c r="F330" s="5" t="s">
        <v>303</v>
      </c>
      <c r="G330" s="5">
        <v>52</v>
      </c>
      <c r="H330" s="5">
        <v>81</v>
      </c>
      <c r="I330" s="5">
        <v>64</v>
      </c>
      <c r="J330" s="5">
        <v>51</v>
      </c>
      <c r="K330" s="5">
        <v>59</v>
      </c>
      <c r="L330" s="5">
        <f t="shared" si="10"/>
        <v>61.4</v>
      </c>
      <c r="M330" s="7" t="str">
        <f t="shared" si="11"/>
        <v>不合格</v>
      </c>
    </row>
    <row r="331" spans="2:13">
      <c r="B331" s="4">
        <v>3</v>
      </c>
      <c r="C331" s="5" t="s">
        <v>348</v>
      </c>
      <c r="D331" s="5" t="s">
        <v>13</v>
      </c>
      <c r="E331" s="5">
        <v>52</v>
      </c>
      <c r="F331" s="5" t="s">
        <v>303</v>
      </c>
      <c r="G331" s="5">
        <v>73</v>
      </c>
      <c r="H331" s="5">
        <v>68</v>
      </c>
      <c r="I331" s="5">
        <v>58</v>
      </c>
      <c r="J331" s="5">
        <v>61</v>
      </c>
      <c r="K331" s="5">
        <v>46</v>
      </c>
      <c r="L331" s="5">
        <f t="shared" si="10"/>
        <v>61.2</v>
      </c>
      <c r="M331" s="7" t="str">
        <f t="shared" si="11"/>
        <v>不合格</v>
      </c>
    </row>
    <row r="332" spans="2:13">
      <c r="B332" s="4">
        <v>242</v>
      </c>
      <c r="C332" s="5" t="s">
        <v>349</v>
      </c>
      <c r="D332" s="5" t="s">
        <v>13</v>
      </c>
      <c r="E332" s="5">
        <v>40</v>
      </c>
      <c r="F332" s="5" t="s">
        <v>303</v>
      </c>
      <c r="G332" s="5">
        <v>52</v>
      </c>
      <c r="H332" s="5">
        <v>55</v>
      </c>
      <c r="I332" s="5">
        <v>53</v>
      </c>
      <c r="J332" s="5">
        <v>71</v>
      </c>
      <c r="K332" s="5">
        <v>72</v>
      </c>
      <c r="L332" s="5">
        <f t="shared" si="10"/>
        <v>60.6</v>
      </c>
      <c r="M332" s="7" t="str">
        <f t="shared" si="11"/>
        <v>不合格</v>
      </c>
    </row>
    <row r="333" spans="2:13">
      <c r="B333" s="4">
        <v>310</v>
      </c>
      <c r="C333" s="5" t="s">
        <v>350</v>
      </c>
      <c r="D333" s="5" t="s">
        <v>13</v>
      </c>
      <c r="E333" s="5">
        <v>46</v>
      </c>
      <c r="F333" s="5" t="s">
        <v>303</v>
      </c>
      <c r="G333" s="5">
        <v>59</v>
      </c>
      <c r="H333" s="5">
        <v>74</v>
      </c>
      <c r="I333" s="5">
        <v>55</v>
      </c>
      <c r="J333" s="5">
        <v>54</v>
      </c>
      <c r="K333" s="5">
        <v>58</v>
      </c>
      <c r="L333" s="5">
        <f t="shared" si="10"/>
        <v>60</v>
      </c>
      <c r="M333" s="7" t="str">
        <f t="shared" si="11"/>
        <v>不合格</v>
      </c>
    </row>
    <row r="334" spans="2:13">
      <c r="B334" s="4">
        <v>292</v>
      </c>
      <c r="C334" s="5" t="s">
        <v>351</v>
      </c>
      <c r="D334" s="5" t="s">
        <v>13</v>
      </c>
      <c r="E334" s="5">
        <v>54</v>
      </c>
      <c r="F334" s="5" t="s">
        <v>303</v>
      </c>
      <c r="G334" s="5">
        <v>51</v>
      </c>
      <c r="H334" s="5">
        <v>57</v>
      </c>
      <c r="I334" s="5">
        <v>60</v>
      </c>
      <c r="J334" s="5">
        <v>56</v>
      </c>
      <c r="K334" s="5">
        <v>67</v>
      </c>
      <c r="L334" s="5">
        <f t="shared" si="10"/>
        <v>58.2</v>
      </c>
      <c r="M334" s="7" t="str">
        <f t="shared" si="11"/>
        <v>不合格</v>
      </c>
    </row>
    <row r="335" spans="2:13">
      <c r="B335" s="4">
        <v>107</v>
      </c>
      <c r="C335" s="5" t="s">
        <v>352</v>
      </c>
      <c r="D335" s="5" t="s">
        <v>13</v>
      </c>
      <c r="E335" s="5">
        <v>51</v>
      </c>
      <c r="F335" s="5" t="s">
        <v>303</v>
      </c>
      <c r="G335" s="5">
        <v>50</v>
      </c>
      <c r="H335" s="5">
        <v>56</v>
      </c>
      <c r="I335" s="5">
        <v>74</v>
      </c>
      <c r="J335" s="5">
        <v>54</v>
      </c>
      <c r="K335" s="5">
        <v>56</v>
      </c>
      <c r="L335" s="5">
        <f t="shared" si="10"/>
        <v>58</v>
      </c>
      <c r="M335" s="7" t="str">
        <f t="shared" si="11"/>
        <v>不合格</v>
      </c>
    </row>
    <row r="336" spans="2:13">
      <c r="B336" s="4">
        <v>327</v>
      </c>
      <c r="C336" s="8" t="s">
        <v>353</v>
      </c>
      <c r="D336" s="8" t="s">
        <v>13</v>
      </c>
      <c r="E336" s="8">
        <v>50</v>
      </c>
      <c r="F336" s="8" t="s">
        <v>303</v>
      </c>
      <c r="G336" s="8">
        <v>51</v>
      </c>
      <c r="H336" s="8">
        <v>55</v>
      </c>
      <c r="I336" s="8">
        <v>58</v>
      </c>
      <c r="J336" s="8">
        <v>70</v>
      </c>
      <c r="K336" s="8">
        <v>50</v>
      </c>
      <c r="L336" s="5">
        <f t="shared" si="10"/>
        <v>56.8</v>
      </c>
      <c r="M336" s="7" t="str">
        <f t="shared" si="11"/>
        <v>不合格</v>
      </c>
    </row>
  </sheetData>
  <sortState ref="B3:M336">
    <sortCondition ref="F3:F336" customList="研发部,物流部,采购部,行政部,生产部,市场部"/>
    <sortCondition ref="L3:L336" descending="1"/>
  </sortState>
  <printOptions horizontalCentered="1" verticalCentered="1"/>
  <pageMargins left="0.700694444444445" right="0.700694444444445" top="0.751388888888889" bottom="0.751388888888889" header="0.298611111111111" footer="0.298611111111111"/>
  <pageSetup paperSize="9" orientation="landscape" horizontalDpi="600"/>
  <headerFooter>
    <oddHeader>&amp;C成绩报告</oddHead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B2:D8"/>
  <sheetViews>
    <sheetView tabSelected="1" workbookViewId="0">
      <selection activeCell="I5" sqref="I5"/>
    </sheetView>
  </sheetViews>
  <sheetFormatPr defaultColWidth="9" defaultRowHeight="13.5" outlineLevelRow="7" outlineLevelCol="3"/>
  <cols>
    <col min="2" max="2" width="11.375"/>
    <col min="3" max="3" width="8.875"/>
    <col min="4" max="4" width="9.25"/>
  </cols>
  <sheetData>
    <row r="2" spans="2:4">
      <c r="B2" t="s">
        <v>10</v>
      </c>
      <c r="C2" t="s">
        <v>354</v>
      </c>
      <c r="D2" t="s">
        <v>355</v>
      </c>
    </row>
    <row r="3" spans="2:4">
      <c r="B3" t="s">
        <v>356</v>
      </c>
      <c r="C3">
        <v>32</v>
      </c>
      <c r="D3" s="1">
        <v>0.0958083832335329</v>
      </c>
    </row>
    <row r="4" spans="2:4">
      <c r="B4" t="s">
        <v>357</v>
      </c>
      <c r="C4">
        <v>127</v>
      </c>
      <c r="D4" s="1">
        <v>0.380239520958084</v>
      </c>
    </row>
    <row r="5" spans="2:4">
      <c r="B5" t="s">
        <v>358</v>
      </c>
      <c r="C5">
        <v>118</v>
      </c>
      <c r="D5" s="1">
        <v>0.353293413173653</v>
      </c>
    </row>
    <row r="6" spans="2:4">
      <c r="B6" t="s">
        <v>359</v>
      </c>
      <c r="C6">
        <v>55</v>
      </c>
      <c r="D6" s="1">
        <v>0.164670658682635</v>
      </c>
    </row>
    <row r="7" spans="2:4">
      <c r="B7" t="s">
        <v>360</v>
      </c>
      <c r="C7">
        <v>2</v>
      </c>
      <c r="D7" s="1">
        <v>0.00598802395209581</v>
      </c>
    </row>
    <row r="8" spans="2:4">
      <c r="B8" t="s">
        <v>361</v>
      </c>
      <c r="C8">
        <v>334</v>
      </c>
      <c r="D8" s="1">
        <v>1</v>
      </c>
    </row>
  </sheetData>
  <printOptions horizontalCentered="1" verticalCentered="1"/>
  <pageMargins left="0.700694444444445" right="0.700694444444445" top="0.751388888888889" bottom="0.751388888888889" header="0.298611111111111" footer="0.298611111111111"/>
  <pageSetup paperSize="9" orientation="landscape" horizontalDpi="600"/>
  <headerFooter>
    <oddHeader>&amp;C成绩报告</oddHeader>
    <oddFooter>&amp;C第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成绩单</vt:lpstr>
      <vt:lpstr>分数段统计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李东阳</dc:creator>
  <cp:lastModifiedBy>25472</cp:lastModifiedBy>
  <dcterms:created xsi:type="dcterms:W3CDTF">2016-02-29T03:50:00Z</dcterms:created>
  <dcterms:modified xsi:type="dcterms:W3CDTF">2025-02-24T05:12:50Z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7A57DEE224E74D4E966FC429C53A7A39_13</vt:lpwstr>
  </property>
</Properties>
</file>
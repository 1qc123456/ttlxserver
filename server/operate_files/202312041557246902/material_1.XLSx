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70" windowHeight="10065" activeTab="4"/>
  </bookViews>
  <sheets>
    <sheet name="学生支出表" sheetId="1" r:id="rId1"/>
    <sheet name="Sheet2" sheetId="5" r:id="rId2"/>
    <sheet name="筛选" sheetId="3" r:id="rId3"/>
    <sheet name="排序" sheetId="6" r:id="rId4"/>
    <sheet name="图表" sheetId="7" r:id="rId5"/>
  </sheets>
  <definedNames>
    <definedName name="_xlnm.Criteria" localSheetId="2">筛选!$A$1:$B$2</definedName>
    <definedName name="_xlnm.Extract" localSheetId="2">筛选!$B$5:$I$5</definedName>
  </definedNames>
  <calcPr calcId="144525"/>
</workbook>
</file>

<file path=xl/sharedStrings.xml><?xml version="1.0" encoding="utf-8"?>
<sst xmlns="http://schemas.openxmlformats.org/spreadsheetml/2006/main" count="230" uniqueCount="45">
  <si>
    <t>学生零花钱支出情况统计表</t>
  </si>
  <si>
    <t>班级</t>
  </si>
  <si>
    <t>姓名</t>
  </si>
  <si>
    <t>娱乐支出</t>
  </si>
  <si>
    <t>话费支出</t>
  </si>
  <si>
    <t>零食支出</t>
  </si>
  <si>
    <t>学习用品支出</t>
  </si>
  <si>
    <t>其它支出</t>
  </si>
  <si>
    <t>总支出</t>
  </si>
  <si>
    <t>高职班</t>
  </si>
  <si>
    <t>王纯</t>
  </si>
  <si>
    <t>中职班</t>
  </si>
  <si>
    <t>陈海洋</t>
  </si>
  <si>
    <t>陈玉洁</t>
  </si>
  <si>
    <t>本科班</t>
  </si>
  <si>
    <t>张子木</t>
  </si>
  <si>
    <t>丁永</t>
  </si>
  <si>
    <t>丁一</t>
  </si>
  <si>
    <t>杜庆丰</t>
  </si>
  <si>
    <t>张文博</t>
  </si>
  <si>
    <t>于凌敏</t>
  </si>
  <si>
    <t>龚加勋</t>
  </si>
  <si>
    <t>郭超然</t>
  </si>
  <si>
    <t>胡琳琳</t>
  </si>
  <si>
    <t>金鑫</t>
  </si>
  <si>
    <t>季杰</t>
  </si>
  <si>
    <t>顾海峰</t>
  </si>
  <si>
    <t>李豪雨</t>
  </si>
  <si>
    <r>
      <rPr>
        <sz val="11"/>
        <rFont val="黑体"/>
        <charset val="134"/>
      </rPr>
      <t>谢云</t>
    </r>
  </si>
  <si>
    <t>凌文娟</t>
  </si>
  <si>
    <t>刘子锋</t>
  </si>
  <si>
    <t>陆金星</t>
  </si>
  <si>
    <t>路金</t>
  </si>
  <si>
    <t>梅宇栋</t>
  </si>
  <si>
    <t>苗雨婷</t>
  </si>
  <si>
    <t>缪山</t>
  </si>
  <si>
    <t>韩文斌</t>
  </si>
  <si>
    <t>全朝阳</t>
  </si>
  <si>
    <t>任文渊</t>
  </si>
  <si>
    <t>林玉敬</t>
  </si>
  <si>
    <t>郭皓宇</t>
  </si>
  <si>
    <t>中职班人均总支出</t>
  </si>
  <si>
    <t>高职班人均总支出</t>
  </si>
  <si>
    <t>本科班人均总支出</t>
  </si>
  <si>
    <t>&gt;200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</si>
</sst>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4">
    <font>
      <sz val="12"/>
      <name val="宋体"/>
      <charset val="134"/>
    </font>
    <font>
      <b/>
      <i/>
      <sz val="16"/>
      <name val="华文仿宋"/>
      <charset val="134"/>
    </font>
    <font>
      <sz val="11"/>
      <name val="黑体"/>
      <charset val="134"/>
    </font>
    <font>
      <b/>
      <i/>
      <sz val="1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76" fontId="2" fillId="0" borderId="2" xfId="3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2" fillId="2" borderId="9" xfId="3" applyNumberFormat="1" applyFont="1" applyFill="1" applyBorder="1" applyAlignment="1">
      <alignment horizontal="center" vertical="center"/>
    </xf>
    <xf numFmtId="176" fontId="2" fillId="2" borderId="10" xfId="3" applyNumberFormat="1" applyFont="1" applyFill="1" applyBorder="1" applyAlignment="1">
      <alignment horizontal="center" vertical="center"/>
    </xf>
    <xf numFmtId="177" fontId="0" fillId="0" borderId="0" xfId="0" applyNumberFormat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部分学生零食支出统计图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学生支出表!$E$2</c:f>
              <c:strCache>
                <c:ptCount val="1"/>
                <c:pt idx="0">
                  <c:v>零食支出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学生支出表!$B$3:$B$8</c:f>
              <c:strCache>
                <c:ptCount val="6"/>
                <c:pt idx="0">
                  <c:v>王纯</c:v>
                </c:pt>
                <c:pt idx="1">
                  <c:v>陈海洋</c:v>
                </c:pt>
                <c:pt idx="2">
                  <c:v>陈玉洁</c:v>
                </c:pt>
                <c:pt idx="3">
                  <c:v>张子木</c:v>
                </c:pt>
                <c:pt idx="4">
                  <c:v>丁永</c:v>
                </c:pt>
                <c:pt idx="5">
                  <c:v>丁一</c:v>
                </c:pt>
              </c:strCache>
            </c:strRef>
          </c:cat>
          <c:val>
            <c:numRef>
              <c:f>学生支出表!$E$3:$E$8</c:f>
              <c:numCache>
                <c:formatCode>General</c:formatCode>
                <c:ptCount val="6"/>
                <c:pt idx="0">
                  <c:v>150</c:v>
                </c:pt>
                <c:pt idx="1">
                  <c:v>140</c:v>
                </c:pt>
                <c:pt idx="2">
                  <c:v>200</c:v>
                </c:pt>
                <c:pt idx="3">
                  <c:v>250</c:v>
                </c:pt>
                <c:pt idx="4">
                  <c:v>350</c:v>
                </c:pt>
                <c:pt idx="5">
                  <c:v>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256384"/>
        <c:axId val="215449984"/>
      </c:barChart>
      <c:catAx>
        <c:axId val="982563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449984"/>
        <c:crosses val="autoZero"/>
        <c:auto val="1"/>
        <c:lblAlgn val="ctr"/>
        <c:lblOffset val="100"/>
        <c:noMultiLvlLbl val="0"/>
      </c:catAx>
      <c:valAx>
        <c:axId val="2154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5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495300</xdr:colOff>
      <xdr:row>6</xdr:row>
      <xdr:rowOff>47625</xdr:rowOff>
    </xdr:from>
    <xdr:to>
      <xdr:col>9</xdr:col>
      <xdr:colOff>266700</xdr:colOff>
      <xdr:row>21</xdr:row>
      <xdr:rowOff>76200</xdr:rowOff>
    </xdr:to>
    <xdr:graphicFrame>
      <xdr:nvGraphicFramePr>
        <xdr:cNvPr id="2" name="图表 1"/>
        <xdr:cNvGraphicFramePr/>
      </xdr:nvGraphicFramePr>
      <xdr:xfrm>
        <a:off x="1866900" y="11334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2"/>
  <sheetViews>
    <sheetView zoomScale="70" zoomScaleNormal="70" workbookViewId="0">
      <selection activeCell="M21" sqref="M21"/>
    </sheetView>
  </sheetViews>
  <sheetFormatPr defaultColWidth="9" defaultRowHeight="14.25" outlineLevelCol="7"/>
  <cols>
    <col min="1" max="2" width="9" style="14"/>
    <col min="3" max="3" width="9.375" style="14" customWidth="1"/>
    <col min="4" max="4" width="10.5" style="14" customWidth="1"/>
    <col min="5" max="5" width="9" style="14"/>
    <col min="6" max="7" width="12.625" style="14" customWidth="1"/>
    <col min="8" max="8" width="9.5" style="14" customWidth="1"/>
  </cols>
  <sheetData>
    <row r="1" ht="22.5" spans="1:8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2" t="s">
        <v>9</v>
      </c>
      <c r="B3" s="2" t="s">
        <v>10</v>
      </c>
      <c r="C3" s="2">
        <v>50</v>
      </c>
      <c r="D3" s="2">
        <v>60</v>
      </c>
      <c r="E3" s="2">
        <v>150</v>
      </c>
      <c r="F3" s="2">
        <v>153</v>
      </c>
      <c r="G3" s="2">
        <v>250</v>
      </c>
      <c r="H3" s="3">
        <f>SUM(C3:G3)</f>
        <v>663</v>
      </c>
    </row>
    <row r="4" spans="1:8">
      <c r="A4" s="2" t="s">
        <v>11</v>
      </c>
      <c r="B4" s="2" t="s">
        <v>12</v>
      </c>
      <c r="C4" s="2">
        <v>40</v>
      </c>
      <c r="D4" s="2">
        <v>120</v>
      </c>
      <c r="E4" s="2">
        <v>140</v>
      </c>
      <c r="F4" s="2">
        <v>222</v>
      </c>
      <c r="G4" s="2">
        <v>240</v>
      </c>
      <c r="H4" s="3">
        <f t="shared" ref="H4:H31" si="0">SUM(C4:G4)</f>
        <v>762</v>
      </c>
    </row>
    <row r="5" spans="1:8">
      <c r="A5" s="2" t="s">
        <v>9</v>
      </c>
      <c r="B5" s="2" t="s">
        <v>13</v>
      </c>
      <c r="C5" s="2">
        <v>45</v>
      </c>
      <c r="D5" s="2">
        <v>105</v>
      </c>
      <c r="E5" s="2">
        <v>200</v>
      </c>
      <c r="F5" s="2">
        <v>129</v>
      </c>
      <c r="G5" s="2">
        <v>250</v>
      </c>
      <c r="H5" s="3">
        <f t="shared" si="0"/>
        <v>729</v>
      </c>
    </row>
    <row r="6" spans="1:8">
      <c r="A6" s="2" t="s">
        <v>14</v>
      </c>
      <c r="B6" s="2" t="s">
        <v>15</v>
      </c>
      <c r="C6" s="2">
        <v>135</v>
      </c>
      <c r="D6" s="2">
        <v>65</v>
      </c>
      <c r="E6" s="2">
        <v>250</v>
      </c>
      <c r="F6" s="2">
        <v>253</v>
      </c>
      <c r="G6" s="2">
        <v>350</v>
      </c>
      <c r="H6" s="3">
        <f t="shared" si="0"/>
        <v>1053</v>
      </c>
    </row>
    <row r="7" spans="1:8">
      <c r="A7" s="2" t="s">
        <v>14</v>
      </c>
      <c r="B7" s="2" t="s">
        <v>16</v>
      </c>
      <c r="C7" s="2">
        <v>270</v>
      </c>
      <c r="D7" s="2">
        <v>80</v>
      </c>
      <c r="E7" s="2">
        <v>350</v>
      </c>
      <c r="F7" s="2">
        <v>150</v>
      </c>
      <c r="G7" s="2">
        <v>650</v>
      </c>
      <c r="H7" s="3">
        <f t="shared" si="0"/>
        <v>1500</v>
      </c>
    </row>
    <row r="8" spans="1:8">
      <c r="A8" s="2" t="s">
        <v>9</v>
      </c>
      <c r="B8" s="2" t="s">
        <v>17</v>
      </c>
      <c r="C8" s="2">
        <v>20</v>
      </c>
      <c r="D8" s="2">
        <v>25</v>
      </c>
      <c r="E8" s="2">
        <v>70</v>
      </c>
      <c r="F8" s="2">
        <v>245</v>
      </c>
      <c r="G8" s="2">
        <v>50</v>
      </c>
      <c r="H8" s="3">
        <f t="shared" si="0"/>
        <v>410</v>
      </c>
    </row>
    <row r="9" spans="1:8">
      <c r="A9" s="2" t="s">
        <v>11</v>
      </c>
      <c r="B9" s="2" t="s">
        <v>18</v>
      </c>
      <c r="C9" s="2">
        <v>140</v>
      </c>
      <c r="D9" s="2">
        <v>60</v>
      </c>
      <c r="E9" s="2">
        <v>80</v>
      </c>
      <c r="F9" s="2">
        <v>234</v>
      </c>
      <c r="G9" s="2">
        <v>180</v>
      </c>
      <c r="H9" s="3">
        <f t="shared" si="0"/>
        <v>694</v>
      </c>
    </row>
    <row r="10" spans="1:8">
      <c r="A10" s="2" t="s">
        <v>14</v>
      </c>
      <c r="B10" s="2" t="s">
        <v>19</v>
      </c>
      <c r="C10" s="2">
        <v>155</v>
      </c>
      <c r="D10" s="2">
        <v>200</v>
      </c>
      <c r="E10" s="2">
        <v>450</v>
      </c>
      <c r="F10" s="2">
        <v>64</v>
      </c>
      <c r="G10" s="2">
        <v>235</v>
      </c>
      <c r="H10" s="3">
        <f t="shared" si="0"/>
        <v>1104</v>
      </c>
    </row>
    <row r="11" spans="1:8">
      <c r="A11" s="2" t="s">
        <v>14</v>
      </c>
      <c r="B11" s="2" t="s">
        <v>20</v>
      </c>
      <c r="C11" s="2">
        <v>10</v>
      </c>
      <c r="D11" s="2">
        <v>150</v>
      </c>
      <c r="E11" s="2">
        <v>300</v>
      </c>
      <c r="F11" s="2">
        <v>217</v>
      </c>
      <c r="G11" s="2">
        <v>580</v>
      </c>
      <c r="H11" s="3">
        <f t="shared" si="0"/>
        <v>1257</v>
      </c>
    </row>
    <row r="12" spans="1:8">
      <c r="A12" s="2" t="s">
        <v>9</v>
      </c>
      <c r="B12" s="2" t="s">
        <v>21</v>
      </c>
      <c r="C12" s="2">
        <v>20</v>
      </c>
      <c r="D12" s="2">
        <v>20</v>
      </c>
      <c r="E12" s="2">
        <v>150</v>
      </c>
      <c r="F12" s="2">
        <v>120</v>
      </c>
      <c r="G12" s="2">
        <v>150</v>
      </c>
      <c r="H12" s="3">
        <f t="shared" si="0"/>
        <v>460</v>
      </c>
    </row>
    <row r="13" spans="1:8">
      <c r="A13" s="2" t="s">
        <v>9</v>
      </c>
      <c r="B13" s="2" t="s">
        <v>22</v>
      </c>
      <c r="C13" s="2">
        <v>80</v>
      </c>
      <c r="D13" s="2">
        <v>90</v>
      </c>
      <c r="E13" s="2">
        <v>35</v>
      </c>
      <c r="F13" s="2">
        <v>40</v>
      </c>
      <c r="G13" s="2">
        <v>535</v>
      </c>
      <c r="H13" s="3">
        <f t="shared" si="0"/>
        <v>780</v>
      </c>
    </row>
    <row r="14" spans="1:8">
      <c r="A14" s="2" t="s">
        <v>11</v>
      </c>
      <c r="B14" s="2" t="s">
        <v>23</v>
      </c>
      <c r="C14" s="2">
        <v>160</v>
      </c>
      <c r="D14" s="2">
        <v>160</v>
      </c>
      <c r="E14" s="2">
        <v>180</v>
      </c>
      <c r="F14" s="2">
        <v>290</v>
      </c>
      <c r="G14" s="2">
        <v>480</v>
      </c>
      <c r="H14" s="3">
        <f t="shared" si="0"/>
        <v>1270</v>
      </c>
    </row>
    <row r="15" spans="1:8">
      <c r="A15" s="2" t="s">
        <v>14</v>
      </c>
      <c r="B15" s="2" t="s">
        <v>24</v>
      </c>
      <c r="C15" s="2">
        <v>150</v>
      </c>
      <c r="D15" s="2">
        <v>250</v>
      </c>
      <c r="E15" s="2">
        <v>400</v>
      </c>
      <c r="F15" s="2">
        <v>212</v>
      </c>
      <c r="G15" s="2">
        <v>480</v>
      </c>
      <c r="H15" s="3">
        <f t="shared" si="0"/>
        <v>1492</v>
      </c>
    </row>
    <row r="16" spans="1:8">
      <c r="A16" s="2" t="s">
        <v>14</v>
      </c>
      <c r="B16" s="2" t="s">
        <v>25</v>
      </c>
      <c r="C16" s="2">
        <v>30</v>
      </c>
      <c r="D16" s="2">
        <v>30</v>
      </c>
      <c r="E16" s="2">
        <v>90</v>
      </c>
      <c r="F16" s="2">
        <v>116</v>
      </c>
      <c r="G16" s="2">
        <v>160</v>
      </c>
      <c r="H16" s="3">
        <f t="shared" si="0"/>
        <v>426</v>
      </c>
    </row>
    <row r="17" spans="1:8">
      <c r="A17" s="2" t="s">
        <v>11</v>
      </c>
      <c r="B17" s="2" t="s">
        <v>26</v>
      </c>
      <c r="C17" s="2">
        <v>25</v>
      </c>
      <c r="D17" s="2">
        <v>50</v>
      </c>
      <c r="E17" s="2">
        <v>180</v>
      </c>
      <c r="F17" s="2">
        <v>224</v>
      </c>
      <c r="G17" s="2">
        <v>80</v>
      </c>
      <c r="H17" s="3">
        <f t="shared" si="0"/>
        <v>559</v>
      </c>
    </row>
    <row r="18" spans="1:8">
      <c r="A18" s="2" t="s">
        <v>11</v>
      </c>
      <c r="B18" s="2" t="s">
        <v>27</v>
      </c>
      <c r="C18" s="2">
        <v>115</v>
      </c>
      <c r="D18" s="2">
        <v>15</v>
      </c>
      <c r="E18" s="2">
        <v>200</v>
      </c>
      <c r="F18" s="2">
        <v>229</v>
      </c>
      <c r="G18" s="2">
        <v>300</v>
      </c>
      <c r="H18" s="3">
        <f t="shared" si="0"/>
        <v>859</v>
      </c>
    </row>
    <row r="19" spans="1:8">
      <c r="A19" s="2" t="s">
        <v>9</v>
      </c>
      <c r="B19" s="2" t="s">
        <v>28</v>
      </c>
      <c r="C19" s="2">
        <v>75</v>
      </c>
      <c r="D19" s="2">
        <v>60</v>
      </c>
      <c r="E19" s="2">
        <v>200</v>
      </c>
      <c r="F19" s="2">
        <v>130</v>
      </c>
      <c r="G19" s="2">
        <v>80</v>
      </c>
      <c r="H19" s="3">
        <f t="shared" si="0"/>
        <v>545</v>
      </c>
    </row>
    <row r="20" spans="1:8">
      <c r="A20" s="2" t="s">
        <v>9</v>
      </c>
      <c r="B20" s="2" t="s">
        <v>29</v>
      </c>
      <c r="C20" s="2">
        <v>170</v>
      </c>
      <c r="D20" s="2">
        <v>50</v>
      </c>
      <c r="E20" s="2">
        <v>380</v>
      </c>
      <c r="F20" s="2">
        <v>183</v>
      </c>
      <c r="G20" s="2">
        <v>80</v>
      </c>
      <c r="H20" s="3">
        <f t="shared" si="0"/>
        <v>863</v>
      </c>
    </row>
    <row r="21" spans="1:8">
      <c r="A21" s="2" t="s">
        <v>14</v>
      </c>
      <c r="B21" s="2" t="s">
        <v>30</v>
      </c>
      <c r="C21" s="2">
        <v>50</v>
      </c>
      <c r="D21" s="2">
        <v>50</v>
      </c>
      <c r="E21" s="2">
        <v>500</v>
      </c>
      <c r="F21" s="2">
        <v>23</v>
      </c>
      <c r="G21" s="2">
        <v>550</v>
      </c>
      <c r="H21" s="3">
        <f t="shared" si="0"/>
        <v>1173</v>
      </c>
    </row>
    <row r="22" spans="1:8">
      <c r="A22" s="2" t="s">
        <v>14</v>
      </c>
      <c r="B22" s="2" t="s">
        <v>31</v>
      </c>
      <c r="C22" s="2">
        <v>160</v>
      </c>
      <c r="D22" s="2">
        <v>70</v>
      </c>
      <c r="E22" s="2">
        <v>150</v>
      </c>
      <c r="F22" s="2">
        <v>232</v>
      </c>
      <c r="G22" s="2">
        <v>450</v>
      </c>
      <c r="H22" s="3">
        <f t="shared" si="0"/>
        <v>1062</v>
      </c>
    </row>
    <row r="23" spans="1:8">
      <c r="A23" s="2" t="s">
        <v>11</v>
      </c>
      <c r="B23" s="2" t="s">
        <v>32</v>
      </c>
      <c r="C23" s="2">
        <v>40</v>
      </c>
      <c r="D23" s="2">
        <v>165</v>
      </c>
      <c r="E23" s="2">
        <v>130</v>
      </c>
      <c r="F23" s="2">
        <v>168</v>
      </c>
      <c r="G23" s="2">
        <v>380</v>
      </c>
      <c r="H23" s="3">
        <f t="shared" si="0"/>
        <v>883</v>
      </c>
    </row>
    <row r="24" spans="1:8">
      <c r="A24" s="2" t="s">
        <v>9</v>
      </c>
      <c r="B24" s="2" t="s">
        <v>33</v>
      </c>
      <c r="C24" s="2">
        <v>135</v>
      </c>
      <c r="D24" s="2">
        <v>20</v>
      </c>
      <c r="E24" s="2">
        <v>150</v>
      </c>
      <c r="F24" s="2">
        <v>56</v>
      </c>
      <c r="G24" s="2">
        <v>150</v>
      </c>
      <c r="H24" s="3">
        <f t="shared" si="0"/>
        <v>511</v>
      </c>
    </row>
    <row r="25" spans="1:8">
      <c r="A25" s="2" t="s">
        <v>11</v>
      </c>
      <c r="B25" s="2" t="s">
        <v>34</v>
      </c>
      <c r="C25" s="2">
        <v>25</v>
      </c>
      <c r="D25" s="2">
        <v>80</v>
      </c>
      <c r="E25" s="2">
        <v>220</v>
      </c>
      <c r="F25" s="2">
        <v>178</v>
      </c>
      <c r="G25" s="2">
        <v>120</v>
      </c>
      <c r="H25" s="3">
        <f t="shared" si="0"/>
        <v>623</v>
      </c>
    </row>
    <row r="26" spans="1:8">
      <c r="A26" s="2" t="s">
        <v>14</v>
      </c>
      <c r="B26" s="2" t="s">
        <v>35</v>
      </c>
      <c r="C26" s="2">
        <v>20</v>
      </c>
      <c r="D26" s="2">
        <v>40</v>
      </c>
      <c r="E26" s="2">
        <v>355</v>
      </c>
      <c r="F26" s="2">
        <v>200</v>
      </c>
      <c r="G26" s="2">
        <v>150</v>
      </c>
      <c r="H26" s="3">
        <f t="shared" si="0"/>
        <v>765</v>
      </c>
    </row>
    <row r="27" spans="1:8">
      <c r="A27" s="2" t="s">
        <v>14</v>
      </c>
      <c r="B27" s="2" t="s">
        <v>36</v>
      </c>
      <c r="C27" s="2">
        <v>90</v>
      </c>
      <c r="D27" s="2">
        <v>100</v>
      </c>
      <c r="E27" s="2">
        <v>105</v>
      </c>
      <c r="F27" s="2">
        <v>91</v>
      </c>
      <c r="G27" s="2">
        <v>550</v>
      </c>
      <c r="H27" s="3">
        <f t="shared" si="0"/>
        <v>936</v>
      </c>
    </row>
    <row r="28" spans="1:8">
      <c r="A28" s="2" t="s">
        <v>14</v>
      </c>
      <c r="B28" s="2" t="s">
        <v>37</v>
      </c>
      <c r="C28" s="2">
        <v>180</v>
      </c>
      <c r="D28" s="2">
        <v>80</v>
      </c>
      <c r="E28" s="2">
        <v>110</v>
      </c>
      <c r="F28" s="2">
        <v>280</v>
      </c>
      <c r="G28" s="2">
        <v>310</v>
      </c>
      <c r="H28" s="3">
        <f t="shared" si="0"/>
        <v>960</v>
      </c>
    </row>
    <row r="29" spans="1:8">
      <c r="A29" s="2" t="s">
        <v>11</v>
      </c>
      <c r="B29" s="2" t="s">
        <v>38</v>
      </c>
      <c r="C29" s="2">
        <v>80</v>
      </c>
      <c r="D29" s="2">
        <v>90</v>
      </c>
      <c r="E29" s="2">
        <v>220</v>
      </c>
      <c r="F29" s="2">
        <v>112</v>
      </c>
      <c r="G29" s="2">
        <v>320</v>
      </c>
      <c r="H29" s="3">
        <f t="shared" si="0"/>
        <v>822</v>
      </c>
    </row>
    <row r="30" spans="1:8">
      <c r="A30" s="2" t="s">
        <v>9</v>
      </c>
      <c r="B30" s="2" t="s">
        <v>39</v>
      </c>
      <c r="C30" s="2">
        <v>15</v>
      </c>
      <c r="D30" s="2">
        <v>70</v>
      </c>
      <c r="E30" s="2">
        <v>80</v>
      </c>
      <c r="F30" s="2">
        <v>349</v>
      </c>
      <c r="G30" s="2">
        <v>480</v>
      </c>
      <c r="H30" s="3">
        <f t="shared" si="0"/>
        <v>994</v>
      </c>
    </row>
    <row r="31" spans="1:8">
      <c r="A31" s="2" t="s">
        <v>9</v>
      </c>
      <c r="B31" s="2" t="s">
        <v>40</v>
      </c>
      <c r="C31" s="2">
        <v>25</v>
      </c>
      <c r="D31" s="2">
        <v>50</v>
      </c>
      <c r="E31" s="2">
        <v>200</v>
      </c>
      <c r="F31" s="2">
        <v>273</v>
      </c>
      <c r="G31" s="2">
        <v>300</v>
      </c>
      <c r="H31" s="3">
        <f t="shared" si="0"/>
        <v>848</v>
      </c>
    </row>
    <row r="32" spans="2:2">
      <c r="B32" s="16"/>
    </row>
    <row r="33" spans="2:2">
      <c r="B33" s="16"/>
    </row>
    <row r="34" spans="2:2">
      <c r="B34" s="16"/>
    </row>
    <row r="35" spans="2:2">
      <c r="B35" s="16"/>
    </row>
    <row r="36" spans="2:2">
      <c r="B36" s="16"/>
    </row>
    <row r="37" spans="2:2">
      <c r="B37" s="16"/>
    </row>
    <row r="38" spans="2:2">
      <c r="B38" s="16"/>
    </row>
    <row r="39" spans="2:2">
      <c r="B39" s="16"/>
    </row>
    <row r="40" spans="2:2">
      <c r="B40" s="16"/>
    </row>
    <row r="41" spans="2:2">
      <c r="B41" s="16"/>
    </row>
    <row r="42" spans="2:2">
      <c r="B42" s="16"/>
    </row>
    <row r="43" spans="2:2">
      <c r="B43" s="16"/>
    </row>
    <row r="44" spans="2:2">
      <c r="B44" s="16"/>
    </row>
    <row r="45" spans="2:2">
      <c r="B45" s="16"/>
    </row>
    <row r="46" spans="2:2">
      <c r="B46" s="16"/>
    </row>
    <row r="47" spans="2:2">
      <c r="B47" s="16"/>
    </row>
    <row r="48" spans="2:2">
      <c r="B48" s="16"/>
    </row>
    <row r="49" spans="2:2">
      <c r="B49" s="16"/>
    </row>
    <row r="50" spans="2:2">
      <c r="B50" s="16"/>
    </row>
    <row r="51" spans="2:2">
      <c r="B51" s="17"/>
    </row>
    <row r="52" spans="2:2">
      <c r="B52" s="17"/>
    </row>
  </sheetData>
  <mergeCells count="1">
    <mergeCell ref="A1:H1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zoomScale="70" zoomScaleNormal="70" workbookViewId="0">
      <selection activeCell="X40" sqref="X40"/>
    </sheetView>
  </sheetViews>
  <sheetFormatPr defaultColWidth="9" defaultRowHeight="14.25"/>
  <cols>
    <col min="10" max="10" width="18.375" customWidth="1"/>
  </cols>
  <sheetData>
    <row r="1" ht="20.25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2" t="s">
        <v>9</v>
      </c>
      <c r="B3" s="2" t="s">
        <v>10</v>
      </c>
      <c r="C3" s="2">
        <v>50</v>
      </c>
      <c r="D3" s="2">
        <v>60</v>
      </c>
      <c r="E3" s="2">
        <v>150</v>
      </c>
      <c r="F3" s="2">
        <v>153</v>
      </c>
      <c r="G3" s="2">
        <v>250</v>
      </c>
      <c r="H3" s="3">
        <f>SUM(C3:G3)</f>
        <v>663</v>
      </c>
    </row>
    <row r="4" spans="1:8">
      <c r="A4" s="2" t="s">
        <v>11</v>
      </c>
      <c r="B4" s="2" t="s">
        <v>12</v>
      </c>
      <c r="C4" s="2">
        <v>40</v>
      </c>
      <c r="D4" s="2">
        <v>120</v>
      </c>
      <c r="E4" s="2">
        <v>140</v>
      </c>
      <c r="F4" s="2">
        <v>222</v>
      </c>
      <c r="G4" s="2">
        <v>240</v>
      </c>
      <c r="H4" s="3">
        <f t="shared" ref="H4:H31" si="0">SUM(C4:G4)</f>
        <v>762</v>
      </c>
    </row>
    <row r="5" spans="1:11">
      <c r="A5" s="2" t="s">
        <v>9</v>
      </c>
      <c r="B5" s="2" t="s">
        <v>13</v>
      </c>
      <c r="C5" s="2">
        <v>45</v>
      </c>
      <c r="D5" s="2">
        <v>105</v>
      </c>
      <c r="E5" s="2">
        <v>200</v>
      </c>
      <c r="F5" s="2">
        <v>129</v>
      </c>
      <c r="G5" s="2">
        <v>250</v>
      </c>
      <c r="H5" s="3">
        <f t="shared" si="0"/>
        <v>729</v>
      </c>
      <c r="J5" t="s">
        <v>41</v>
      </c>
      <c r="K5" s="13">
        <f>SUMIF(A$3:A$31,"中职班",H$3:H$31)/COUNTIF(A$3:A$31,"中职班")</f>
        <v>809</v>
      </c>
    </row>
    <row r="6" spans="1:11">
      <c r="A6" s="2" t="s">
        <v>14</v>
      </c>
      <c r="B6" s="2" t="s">
        <v>15</v>
      </c>
      <c r="C6" s="2">
        <v>135</v>
      </c>
      <c r="D6" s="2">
        <v>65</v>
      </c>
      <c r="E6" s="2">
        <v>250</v>
      </c>
      <c r="F6" s="2">
        <v>253</v>
      </c>
      <c r="G6" s="2">
        <v>350</v>
      </c>
      <c r="H6" s="3">
        <f t="shared" si="0"/>
        <v>1053</v>
      </c>
      <c r="J6" t="s">
        <v>42</v>
      </c>
      <c r="K6" s="13">
        <f>SUMIF(A$3:A$31,"高职班",H$3:H$31)/COUNTIF(A$3:A$31,"高职班")</f>
        <v>680.3</v>
      </c>
    </row>
    <row r="7" spans="1:11">
      <c r="A7" s="2" t="s">
        <v>14</v>
      </c>
      <c r="B7" s="2" t="s">
        <v>16</v>
      </c>
      <c r="C7" s="2">
        <v>270</v>
      </c>
      <c r="D7" s="2">
        <v>80</v>
      </c>
      <c r="E7" s="2">
        <v>350</v>
      </c>
      <c r="F7" s="2">
        <v>150</v>
      </c>
      <c r="G7" s="2">
        <v>650</v>
      </c>
      <c r="H7" s="3">
        <f t="shared" si="0"/>
        <v>1500</v>
      </c>
      <c r="J7" t="s">
        <v>43</v>
      </c>
      <c r="K7" s="13">
        <f>SUMIF(A$3:A$31,"本科班",H$3:H$31)/COUNTIF(A$3:A$31,"本科班")</f>
        <v>1066.18181818182</v>
      </c>
    </row>
    <row r="8" spans="1:8">
      <c r="A8" s="2" t="s">
        <v>9</v>
      </c>
      <c r="B8" s="2" t="s">
        <v>17</v>
      </c>
      <c r="C8" s="2">
        <v>20</v>
      </c>
      <c r="D8" s="2">
        <v>25</v>
      </c>
      <c r="E8" s="2">
        <v>70</v>
      </c>
      <c r="F8" s="2">
        <v>245</v>
      </c>
      <c r="G8" s="2">
        <v>50</v>
      </c>
      <c r="H8" s="3">
        <f t="shared" si="0"/>
        <v>410</v>
      </c>
    </row>
    <row r="9" spans="1:8">
      <c r="A9" s="2" t="s">
        <v>11</v>
      </c>
      <c r="B9" s="2" t="s">
        <v>18</v>
      </c>
      <c r="C9" s="2">
        <v>140</v>
      </c>
      <c r="D9" s="2">
        <v>60</v>
      </c>
      <c r="E9" s="2">
        <v>80</v>
      </c>
      <c r="F9" s="2">
        <v>234</v>
      </c>
      <c r="G9" s="2">
        <v>180</v>
      </c>
      <c r="H9" s="3">
        <f t="shared" si="0"/>
        <v>694</v>
      </c>
    </row>
    <row r="10" spans="1:8">
      <c r="A10" s="2" t="s">
        <v>14</v>
      </c>
      <c r="B10" s="2" t="s">
        <v>19</v>
      </c>
      <c r="C10" s="2">
        <v>155</v>
      </c>
      <c r="D10" s="2">
        <v>200</v>
      </c>
      <c r="E10" s="2">
        <v>450</v>
      </c>
      <c r="F10" s="2">
        <v>64</v>
      </c>
      <c r="G10" s="2">
        <v>235</v>
      </c>
      <c r="H10" s="3">
        <f t="shared" si="0"/>
        <v>1104</v>
      </c>
    </row>
    <row r="11" spans="1:8">
      <c r="A11" s="2" t="s">
        <v>14</v>
      </c>
      <c r="B11" s="2" t="s">
        <v>20</v>
      </c>
      <c r="C11" s="2">
        <v>10</v>
      </c>
      <c r="D11" s="2">
        <v>150</v>
      </c>
      <c r="E11" s="2">
        <v>300</v>
      </c>
      <c r="F11" s="2">
        <v>217</v>
      </c>
      <c r="G11" s="2">
        <v>580</v>
      </c>
      <c r="H11" s="3">
        <f t="shared" si="0"/>
        <v>1257</v>
      </c>
    </row>
    <row r="12" spans="1:8">
      <c r="A12" s="2" t="s">
        <v>9</v>
      </c>
      <c r="B12" s="2" t="s">
        <v>21</v>
      </c>
      <c r="C12" s="2">
        <v>20</v>
      </c>
      <c r="D12" s="2">
        <v>20</v>
      </c>
      <c r="E12" s="2">
        <v>150</v>
      </c>
      <c r="F12" s="2">
        <v>120</v>
      </c>
      <c r="G12" s="2">
        <v>150</v>
      </c>
      <c r="H12" s="3">
        <f t="shared" si="0"/>
        <v>460</v>
      </c>
    </row>
    <row r="13" spans="1:8">
      <c r="A13" s="2" t="s">
        <v>9</v>
      </c>
      <c r="B13" s="2" t="s">
        <v>22</v>
      </c>
      <c r="C13" s="2">
        <v>80</v>
      </c>
      <c r="D13" s="2">
        <v>90</v>
      </c>
      <c r="E13" s="2">
        <v>35</v>
      </c>
      <c r="F13" s="2">
        <v>40</v>
      </c>
      <c r="G13" s="2">
        <v>535</v>
      </c>
      <c r="H13" s="3">
        <f t="shared" si="0"/>
        <v>780</v>
      </c>
    </row>
    <row r="14" spans="1:8">
      <c r="A14" s="2" t="s">
        <v>11</v>
      </c>
      <c r="B14" s="2" t="s">
        <v>23</v>
      </c>
      <c r="C14" s="2">
        <v>160</v>
      </c>
      <c r="D14" s="2">
        <v>160</v>
      </c>
      <c r="E14" s="2">
        <v>180</v>
      </c>
      <c r="F14" s="2">
        <v>290</v>
      </c>
      <c r="G14" s="2">
        <v>480</v>
      </c>
      <c r="H14" s="3">
        <f t="shared" si="0"/>
        <v>1270</v>
      </c>
    </row>
    <row r="15" spans="1:8">
      <c r="A15" s="2" t="s">
        <v>14</v>
      </c>
      <c r="B15" s="2" t="s">
        <v>24</v>
      </c>
      <c r="C15" s="2">
        <v>150</v>
      </c>
      <c r="D15" s="2">
        <v>250</v>
      </c>
      <c r="E15" s="2">
        <v>400</v>
      </c>
      <c r="F15" s="2">
        <v>212</v>
      </c>
      <c r="G15" s="2">
        <v>480</v>
      </c>
      <c r="H15" s="3">
        <f t="shared" si="0"/>
        <v>1492</v>
      </c>
    </row>
    <row r="16" spans="1:8">
      <c r="A16" s="2" t="s">
        <v>14</v>
      </c>
      <c r="B16" s="2" t="s">
        <v>25</v>
      </c>
      <c r="C16" s="2">
        <v>30</v>
      </c>
      <c r="D16" s="2">
        <v>30</v>
      </c>
      <c r="E16" s="2">
        <v>90</v>
      </c>
      <c r="F16" s="2">
        <v>116</v>
      </c>
      <c r="G16" s="2">
        <v>160</v>
      </c>
      <c r="H16" s="3">
        <f t="shared" si="0"/>
        <v>426</v>
      </c>
    </row>
    <row r="17" spans="1:8">
      <c r="A17" s="2" t="s">
        <v>11</v>
      </c>
      <c r="B17" s="2" t="s">
        <v>26</v>
      </c>
      <c r="C17" s="2">
        <v>25</v>
      </c>
      <c r="D17" s="2">
        <v>50</v>
      </c>
      <c r="E17" s="2">
        <v>180</v>
      </c>
      <c r="F17" s="2">
        <v>224</v>
      </c>
      <c r="G17" s="2">
        <v>80</v>
      </c>
      <c r="H17" s="3">
        <f t="shared" si="0"/>
        <v>559</v>
      </c>
    </row>
    <row r="18" spans="1:8">
      <c r="A18" s="2" t="s">
        <v>11</v>
      </c>
      <c r="B18" s="2" t="s">
        <v>27</v>
      </c>
      <c r="C18" s="2">
        <v>115</v>
      </c>
      <c r="D18" s="2">
        <v>15</v>
      </c>
      <c r="E18" s="2">
        <v>200</v>
      </c>
      <c r="F18" s="2">
        <v>229</v>
      </c>
      <c r="G18" s="2">
        <v>300</v>
      </c>
      <c r="H18" s="3">
        <f t="shared" si="0"/>
        <v>859</v>
      </c>
    </row>
    <row r="19" spans="1:8">
      <c r="A19" s="2" t="s">
        <v>9</v>
      </c>
      <c r="B19" s="2" t="s">
        <v>28</v>
      </c>
      <c r="C19" s="2">
        <v>75</v>
      </c>
      <c r="D19" s="2">
        <v>60</v>
      </c>
      <c r="E19" s="2">
        <v>200</v>
      </c>
      <c r="F19" s="2">
        <v>130</v>
      </c>
      <c r="G19" s="2">
        <v>80</v>
      </c>
      <c r="H19" s="3">
        <f t="shared" si="0"/>
        <v>545</v>
      </c>
    </row>
    <row r="20" spans="1:8">
      <c r="A20" s="2" t="s">
        <v>9</v>
      </c>
      <c r="B20" s="2" t="s">
        <v>29</v>
      </c>
      <c r="C20" s="2">
        <v>170</v>
      </c>
      <c r="D20" s="2">
        <v>50</v>
      </c>
      <c r="E20" s="2">
        <v>380</v>
      </c>
      <c r="F20" s="2">
        <v>183</v>
      </c>
      <c r="G20" s="2">
        <v>80</v>
      </c>
      <c r="H20" s="3">
        <f t="shared" si="0"/>
        <v>863</v>
      </c>
    </row>
    <row r="21" spans="1:8">
      <c r="A21" s="2" t="s">
        <v>14</v>
      </c>
      <c r="B21" s="2" t="s">
        <v>30</v>
      </c>
      <c r="C21" s="2">
        <v>50</v>
      </c>
      <c r="D21" s="2">
        <v>50</v>
      </c>
      <c r="E21" s="2">
        <v>500</v>
      </c>
      <c r="F21" s="2">
        <v>23</v>
      </c>
      <c r="G21" s="2">
        <v>550</v>
      </c>
      <c r="H21" s="3">
        <f t="shared" si="0"/>
        <v>1173</v>
      </c>
    </row>
    <row r="22" spans="1:8">
      <c r="A22" s="2" t="s">
        <v>14</v>
      </c>
      <c r="B22" s="2" t="s">
        <v>31</v>
      </c>
      <c r="C22" s="2">
        <v>160</v>
      </c>
      <c r="D22" s="2">
        <v>70</v>
      </c>
      <c r="E22" s="2">
        <v>150</v>
      </c>
      <c r="F22" s="2">
        <v>232</v>
      </c>
      <c r="G22" s="2">
        <v>450</v>
      </c>
      <c r="H22" s="3">
        <f t="shared" si="0"/>
        <v>1062</v>
      </c>
    </row>
    <row r="23" spans="1:8">
      <c r="A23" s="2" t="s">
        <v>11</v>
      </c>
      <c r="B23" s="2" t="s">
        <v>32</v>
      </c>
      <c r="C23" s="2">
        <v>40</v>
      </c>
      <c r="D23" s="2">
        <v>165</v>
      </c>
      <c r="E23" s="2">
        <v>130</v>
      </c>
      <c r="F23" s="2">
        <v>168</v>
      </c>
      <c r="G23" s="2">
        <v>380</v>
      </c>
      <c r="H23" s="3">
        <f t="shared" si="0"/>
        <v>883</v>
      </c>
    </row>
    <row r="24" spans="1:8">
      <c r="A24" s="2" t="s">
        <v>9</v>
      </c>
      <c r="B24" s="2" t="s">
        <v>33</v>
      </c>
      <c r="C24" s="2">
        <v>135</v>
      </c>
      <c r="D24" s="2">
        <v>20</v>
      </c>
      <c r="E24" s="2">
        <v>150</v>
      </c>
      <c r="F24" s="2">
        <v>56</v>
      </c>
      <c r="G24" s="2">
        <v>150</v>
      </c>
      <c r="H24" s="3">
        <f t="shared" si="0"/>
        <v>511</v>
      </c>
    </row>
    <row r="25" spans="1:8">
      <c r="A25" s="2" t="s">
        <v>11</v>
      </c>
      <c r="B25" s="2" t="s">
        <v>34</v>
      </c>
      <c r="C25" s="2">
        <v>25</v>
      </c>
      <c r="D25" s="2">
        <v>80</v>
      </c>
      <c r="E25" s="2">
        <v>220</v>
      </c>
      <c r="F25" s="2">
        <v>178</v>
      </c>
      <c r="G25" s="2">
        <v>120</v>
      </c>
      <c r="H25" s="3">
        <f t="shared" si="0"/>
        <v>623</v>
      </c>
    </row>
    <row r="26" spans="1:8">
      <c r="A26" s="2" t="s">
        <v>14</v>
      </c>
      <c r="B26" s="2" t="s">
        <v>35</v>
      </c>
      <c r="C26" s="2">
        <v>20</v>
      </c>
      <c r="D26" s="2">
        <v>40</v>
      </c>
      <c r="E26" s="2">
        <v>355</v>
      </c>
      <c r="F26" s="2">
        <v>200</v>
      </c>
      <c r="G26" s="2">
        <v>150</v>
      </c>
      <c r="H26" s="3">
        <f t="shared" si="0"/>
        <v>765</v>
      </c>
    </row>
    <row r="27" spans="1:8">
      <c r="A27" s="2" t="s">
        <v>14</v>
      </c>
      <c r="B27" s="2" t="s">
        <v>36</v>
      </c>
      <c r="C27" s="2">
        <v>90</v>
      </c>
      <c r="D27" s="2">
        <v>100</v>
      </c>
      <c r="E27" s="2">
        <v>105</v>
      </c>
      <c r="F27" s="2">
        <v>91</v>
      </c>
      <c r="G27" s="2">
        <v>550</v>
      </c>
      <c r="H27" s="3">
        <f t="shared" si="0"/>
        <v>936</v>
      </c>
    </row>
    <row r="28" spans="1:8">
      <c r="A28" s="2" t="s">
        <v>14</v>
      </c>
      <c r="B28" s="2" t="s">
        <v>37</v>
      </c>
      <c r="C28" s="2">
        <v>180</v>
      </c>
      <c r="D28" s="2">
        <v>80</v>
      </c>
      <c r="E28" s="2">
        <v>110</v>
      </c>
      <c r="F28" s="2">
        <v>280</v>
      </c>
      <c r="G28" s="2">
        <v>310</v>
      </c>
      <c r="H28" s="3">
        <f t="shared" si="0"/>
        <v>960</v>
      </c>
    </row>
    <row r="29" spans="1:8">
      <c r="A29" s="2" t="s">
        <v>11</v>
      </c>
      <c r="B29" s="2" t="s">
        <v>38</v>
      </c>
      <c r="C29" s="2">
        <v>80</v>
      </c>
      <c r="D29" s="2">
        <v>90</v>
      </c>
      <c r="E29" s="2">
        <v>220</v>
      </c>
      <c r="F29" s="2">
        <v>112</v>
      </c>
      <c r="G29" s="2">
        <v>320</v>
      </c>
      <c r="H29" s="3">
        <f t="shared" si="0"/>
        <v>822</v>
      </c>
    </row>
    <row r="30" spans="1:8">
      <c r="A30" s="2" t="s">
        <v>9</v>
      </c>
      <c r="B30" s="2" t="s">
        <v>39</v>
      </c>
      <c r="C30" s="2">
        <v>15</v>
      </c>
      <c r="D30" s="2">
        <v>70</v>
      </c>
      <c r="E30" s="2">
        <v>80</v>
      </c>
      <c r="F30" s="2">
        <v>349</v>
      </c>
      <c r="G30" s="2">
        <v>480</v>
      </c>
      <c r="H30" s="3">
        <f t="shared" si="0"/>
        <v>994</v>
      </c>
    </row>
    <row r="31" spans="1:8">
      <c r="A31" s="2" t="s">
        <v>9</v>
      </c>
      <c r="B31" s="2" t="s">
        <v>40</v>
      </c>
      <c r="C31" s="2">
        <v>25</v>
      </c>
      <c r="D31" s="2">
        <v>50</v>
      </c>
      <c r="E31" s="2">
        <v>200</v>
      </c>
      <c r="F31" s="2">
        <v>273</v>
      </c>
      <c r="G31" s="2">
        <v>300</v>
      </c>
      <c r="H31" s="3">
        <f t="shared" si="0"/>
        <v>848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13"/>
  <sheetViews>
    <sheetView zoomScale="70" zoomScaleNormal="70" workbookViewId="0">
      <selection activeCell="P41" sqref="P41"/>
    </sheetView>
  </sheetViews>
  <sheetFormatPr defaultColWidth="9" defaultRowHeight="14.25"/>
  <sheetData>
    <row r="1" spans="1:2">
      <c r="A1" t="s">
        <v>1</v>
      </c>
      <c r="B1" t="s">
        <v>5</v>
      </c>
    </row>
    <row r="2" spans="1:2">
      <c r="A2" t="s">
        <v>14</v>
      </c>
      <c r="B2" t="s">
        <v>44</v>
      </c>
    </row>
    <row r="4" ht="15"/>
    <row r="5" ht="15" spans="2:9">
      <c r="B5" s="4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10" t="s">
        <v>8</v>
      </c>
    </row>
    <row r="6" spans="2:9">
      <c r="B6" s="6" t="s">
        <v>14</v>
      </c>
      <c r="C6" s="7" t="s">
        <v>15</v>
      </c>
      <c r="D6" s="7">
        <v>135</v>
      </c>
      <c r="E6" s="7">
        <v>65</v>
      </c>
      <c r="F6" s="7">
        <v>250</v>
      </c>
      <c r="G6" s="7">
        <v>253</v>
      </c>
      <c r="H6" s="7">
        <v>350</v>
      </c>
      <c r="I6" s="11">
        <v>1053</v>
      </c>
    </row>
    <row r="7" spans="2:9">
      <c r="B7" s="6" t="s">
        <v>14</v>
      </c>
      <c r="C7" s="7" t="s">
        <v>16</v>
      </c>
      <c r="D7" s="7">
        <v>270</v>
      </c>
      <c r="E7" s="7">
        <v>80</v>
      </c>
      <c r="F7" s="7">
        <v>350</v>
      </c>
      <c r="G7" s="7">
        <v>150</v>
      </c>
      <c r="H7" s="7">
        <v>650</v>
      </c>
      <c r="I7" s="11">
        <v>1500</v>
      </c>
    </row>
    <row r="8" spans="2:9">
      <c r="B8" s="6" t="s">
        <v>14</v>
      </c>
      <c r="C8" s="7" t="s">
        <v>19</v>
      </c>
      <c r="D8" s="7">
        <v>155</v>
      </c>
      <c r="E8" s="7">
        <v>200</v>
      </c>
      <c r="F8" s="7">
        <v>450</v>
      </c>
      <c r="G8" s="7">
        <v>64</v>
      </c>
      <c r="H8" s="7">
        <v>235</v>
      </c>
      <c r="I8" s="11">
        <v>1104</v>
      </c>
    </row>
    <row r="9" spans="2:9">
      <c r="B9" s="6" t="s">
        <v>14</v>
      </c>
      <c r="C9" s="7" t="s">
        <v>20</v>
      </c>
      <c r="D9" s="7">
        <v>10</v>
      </c>
      <c r="E9" s="7">
        <v>150</v>
      </c>
      <c r="F9" s="7">
        <v>300</v>
      </c>
      <c r="G9" s="7">
        <v>217</v>
      </c>
      <c r="H9" s="7">
        <v>580</v>
      </c>
      <c r="I9" s="11">
        <v>1257</v>
      </c>
    </row>
    <row r="10" spans="2:9">
      <c r="B10" s="6" t="s">
        <v>14</v>
      </c>
      <c r="C10" s="7" t="s">
        <v>24</v>
      </c>
      <c r="D10" s="7">
        <v>150</v>
      </c>
      <c r="E10" s="7">
        <v>250</v>
      </c>
      <c r="F10" s="7">
        <v>400</v>
      </c>
      <c r="G10" s="7">
        <v>212</v>
      </c>
      <c r="H10" s="7">
        <v>480</v>
      </c>
      <c r="I10" s="11">
        <v>1492</v>
      </c>
    </row>
    <row r="11" spans="2:9">
      <c r="B11" s="6" t="s">
        <v>14</v>
      </c>
      <c r="C11" s="7" t="s">
        <v>30</v>
      </c>
      <c r="D11" s="7">
        <v>50</v>
      </c>
      <c r="E11" s="7">
        <v>50</v>
      </c>
      <c r="F11" s="7">
        <v>500</v>
      </c>
      <c r="G11" s="7">
        <v>23</v>
      </c>
      <c r="H11" s="7">
        <v>550</v>
      </c>
      <c r="I11" s="11">
        <v>1173</v>
      </c>
    </row>
    <row r="12" ht="15" spans="2:9">
      <c r="B12" s="8" t="s">
        <v>14</v>
      </c>
      <c r="C12" s="9" t="s">
        <v>35</v>
      </c>
      <c r="D12" s="9">
        <v>20</v>
      </c>
      <c r="E12" s="9">
        <v>40</v>
      </c>
      <c r="F12" s="9">
        <v>355</v>
      </c>
      <c r="G12" s="9">
        <v>200</v>
      </c>
      <c r="H12" s="9">
        <v>150</v>
      </c>
      <c r="I12" s="12">
        <v>765</v>
      </c>
    </row>
    <row r="13" ht="15"/>
  </sheetData>
  <printOptions horizontalCentered="1"/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&amp;C零花钱统计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70" zoomScaleNormal="70" workbookViewId="0">
      <selection activeCell="S34" sqref="S34"/>
    </sheetView>
  </sheetViews>
  <sheetFormatPr defaultColWidth="9" defaultRowHeight="14.25" outlineLevelCol="7"/>
  <sheetData>
    <row r="1" ht="20.25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2" t="s">
        <v>11</v>
      </c>
      <c r="B3" s="2" t="s">
        <v>23</v>
      </c>
      <c r="C3" s="2">
        <v>160</v>
      </c>
      <c r="D3" s="2">
        <v>160</v>
      </c>
      <c r="E3" s="2">
        <v>180</v>
      </c>
      <c r="F3" s="2">
        <v>290</v>
      </c>
      <c r="G3" s="2">
        <v>480</v>
      </c>
      <c r="H3" s="3">
        <f t="shared" ref="H3:H31" si="0">SUM(C3:G3)</f>
        <v>1270</v>
      </c>
    </row>
    <row r="4" spans="1:8">
      <c r="A4" s="2" t="s">
        <v>11</v>
      </c>
      <c r="B4" s="2" t="s">
        <v>32</v>
      </c>
      <c r="C4" s="2">
        <v>40</v>
      </c>
      <c r="D4" s="2">
        <v>165</v>
      </c>
      <c r="E4" s="2">
        <v>130</v>
      </c>
      <c r="F4" s="2">
        <v>168</v>
      </c>
      <c r="G4" s="2">
        <v>380</v>
      </c>
      <c r="H4" s="3">
        <f t="shared" si="0"/>
        <v>883</v>
      </c>
    </row>
    <row r="5" spans="1:8">
      <c r="A5" s="2" t="s">
        <v>11</v>
      </c>
      <c r="B5" s="2" t="s">
        <v>27</v>
      </c>
      <c r="C5" s="2">
        <v>115</v>
      </c>
      <c r="D5" s="2">
        <v>15</v>
      </c>
      <c r="E5" s="2">
        <v>200</v>
      </c>
      <c r="F5" s="2">
        <v>229</v>
      </c>
      <c r="G5" s="2">
        <v>300</v>
      </c>
      <c r="H5" s="3">
        <f t="shared" si="0"/>
        <v>859</v>
      </c>
    </row>
    <row r="6" spans="1:8">
      <c r="A6" s="2" t="s">
        <v>11</v>
      </c>
      <c r="B6" s="2" t="s">
        <v>38</v>
      </c>
      <c r="C6" s="2">
        <v>80</v>
      </c>
      <c r="D6" s="2">
        <v>90</v>
      </c>
      <c r="E6" s="2">
        <v>220</v>
      </c>
      <c r="F6" s="2">
        <v>112</v>
      </c>
      <c r="G6" s="2">
        <v>320</v>
      </c>
      <c r="H6" s="3">
        <f t="shared" si="0"/>
        <v>822</v>
      </c>
    </row>
    <row r="7" spans="1:8">
      <c r="A7" s="2" t="s">
        <v>11</v>
      </c>
      <c r="B7" s="2" t="s">
        <v>12</v>
      </c>
      <c r="C7" s="2">
        <v>40</v>
      </c>
      <c r="D7" s="2">
        <v>120</v>
      </c>
      <c r="E7" s="2">
        <v>140</v>
      </c>
      <c r="F7" s="2">
        <v>222</v>
      </c>
      <c r="G7" s="2">
        <v>240</v>
      </c>
      <c r="H7" s="3">
        <f t="shared" si="0"/>
        <v>762</v>
      </c>
    </row>
    <row r="8" spans="1:8">
      <c r="A8" s="2" t="s">
        <v>11</v>
      </c>
      <c r="B8" s="2" t="s">
        <v>18</v>
      </c>
      <c r="C8" s="2">
        <v>140</v>
      </c>
      <c r="D8" s="2">
        <v>60</v>
      </c>
      <c r="E8" s="2">
        <v>80</v>
      </c>
      <c r="F8" s="2">
        <v>234</v>
      </c>
      <c r="G8" s="2">
        <v>180</v>
      </c>
      <c r="H8" s="3">
        <f t="shared" si="0"/>
        <v>694</v>
      </c>
    </row>
    <row r="9" spans="1:8">
      <c r="A9" s="2" t="s">
        <v>11</v>
      </c>
      <c r="B9" s="2" t="s">
        <v>34</v>
      </c>
      <c r="C9" s="2">
        <v>25</v>
      </c>
      <c r="D9" s="2">
        <v>80</v>
      </c>
      <c r="E9" s="2">
        <v>220</v>
      </c>
      <c r="F9" s="2">
        <v>178</v>
      </c>
      <c r="G9" s="2">
        <v>120</v>
      </c>
      <c r="H9" s="3">
        <f t="shared" si="0"/>
        <v>623</v>
      </c>
    </row>
    <row r="10" spans="1:8">
      <c r="A10" s="2" t="s">
        <v>11</v>
      </c>
      <c r="B10" s="2" t="s">
        <v>26</v>
      </c>
      <c r="C10" s="2">
        <v>25</v>
      </c>
      <c r="D10" s="2">
        <v>50</v>
      </c>
      <c r="E10" s="2">
        <v>180</v>
      </c>
      <c r="F10" s="2">
        <v>224</v>
      </c>
      <c r="G10" s="2">
        <v>80</v>
      </c>
      <c r="H10" s="3">
        <f t="shared" si="0"/>
        <v>559</v>
      </c>
    </row>
    <row r="11" spans="1:8">
      <c r="A11" s="2" t="s">
        <v>9</v>
      </c>
      <c r="B11" s="2" t="s">
        <v>39</v>
      </c>
      <c r="C11" s="2">
        <v>15</v>
      </c>
      <c r="D11" s="2">
        <v>70</v>
      </c>
      <c r="E11" s="2">
        <v>80</v>
      </c>
      <c r="F11" s="2">
        <v>349</v>
      </c>
      <c r="G11" s="2">
        <v>480</v>
      </c>
      <c r="H11" s="3">
        <f t="shared" si="0"/>
        <v>994</v>
      </c>
    </row>
    <row r="12" spans="1:8">
      <c r="A12" s="2" t="s">
        <v>9</v>
      </c>
      <c r="B12" s="2" t="s">
        <v>29</v>
      </c>
      <c r="C12" s="2">
        <v>170</v>
      </c>
      <c r="D12" s="2">
        <v>50</v>
      </c>
      <c r="E12" s="2">
        <v>380</v>
      </c>
      <c r="F12" s="2">
        <v>183</v>
      </c>
      <c r="G12" s="2">
        <v>80</v>
      </c>
      <c r="H12" s="3">
        <f t="shared" si="0"/>
        <v>863</v>
      </c>
    </row>
    <row r="13" spans="1:8">
      <c r="A13" s="2" t="s">
        <v>9</v>
      </c>
      <c r="B13" s="2" t="s">
        <v>40</v>
      </c>
      <c r="C13" s="2">
        <v>25</v>
      </c>
      <c r="D13" s="2">
        <v>50</v>
      </c>
      <c r="E13" s="2">
        <v>200</v>
      </c>
      <c r="F13" s="2">
        <v>273</v>
      </c>
      <c r="G13" s="2">
        <v>300</v>
      </c>
      <c r="H13" s="3">
        <f t="shared" si="0"/>
        <v>848</v>
      </c>
    </row>
    <row r="14" spans="1:8">
      <c r="A14" s="2" t="s">
        <v>9</v>
      </c>
      <c r="B14" s="2" t="s">
        <v>22</v>
      </c>
      <c r="C14" s="2">
        <v>80</v>
      </c>
      <c r="D14" s="2">
        <v>90</v>
      </c>
      <c r="E14" s="2">
        <v>35</v>
      </c>
      <c r="F14" s="2">
        <v>40</v>
      </c>
      <c r="G14" s="2">
        <v>535</v>
      </c>
      <c r="H14" s="3">
        <f t="shared" si="0"/>
        <v>780</v>
      </c>
    </row>
    <row r="15" spans="1:8">
      <c r="A15" s="2" t="s">
        <v>9</v>
      </c>
      <c r="B15" s="2" t="s">
        <v>13</v>
      </c>
      <c r="C15" s="2">
        <v>45</v>
      </c>
      <c r="D15" s="2">
        <v>105</v>
      </c>
      <c r="E15" s="2">
        <v>200</v>
      </c>
      <c r="F15" s="2">
        <v>129</v>
      </c>
      <c r="G15" s="2">
        <v>250</v>
      </c>
      <c r="H15" s="3">
        <f t="shared" si="0"/>
        <v>729</v>
      </c>
    </row>
    <row r="16" spans="1:8">
      <c r="A16" s="2" t="s">
        <v>9</v>
      </c>
      <c r="B16" s="2" t="s">
        <v>10</v>
      </c>
      <c r="C16" s="2">
        <v>50</v>
      </c>
      <c r="D16" s="2">
        <v>60</v>
      </c>
      <c r="E16" s="2">
        <v>150</v>
      </c>
      <c r="F16" s="2">
        <v>153</v>
      </c>
      <c r="G16" s="2">
        <v>250</v>
      </c>
      <c r="H16" s="3">
        <f t="shared" si="0"/>
        <v>663</v>
      </c>
    </row>
    <row r="17" spans="1:8">
      <c r="A17" s="2" t="s">
        <v>9</v>
      </c>
      <c r="B17" s="2" t="s">
        <v>28</v>
      </c>
      <c r="C17" s="2">
        <v>75</v>
      </c>
      <c r="D17" s="2">
        <v>60</v>
      </c>
      <c r="E17" s="2">
        <v>200</v>
      </c>
      <c r="F17" s="2">
        <v>130</v>
      </c>
      <c r="G17" s="2">
        <v>80</v>
      </c>
      <c r="H17" s="3">
        <f t="shared" si="0"/>
        <v>545</v>
      </c>
    </row>
    <row r="18" spans="1:8">
      <c r="A18" s="2" t="s">
        <v>9</v>
      </c>
      <c r="B18" s="2" t="s">
        <v>33</v>
      </c>
      <c r="C18" s="2">
        <v>135</v>
      </c>
      <c r="D18" s="2">
        <v>20</v>
      </c>
      <c r="E18" s="2">
        <v>150</v>
      </c>
      <c r="F18" s="2">
        <v>56</v>
      </c>
      <c r="G18" s="2">
        <v>150</v>
      </c>
      <c r="H18" s="3">
        <f t="shared" si="0"/>
        <v>511</v>
      </c>
    </row>
    <row r="19" spans="1:8">
      <c r="A19" s="2" t="s">
        <v>9</v>
      </c>
      <c r="B19" s="2" t="s">
        <v>21</v>
      </c>
      <c r="C19" s="2">
        <v>20</v>
      </c>
      <c r="D19" s="2">
        <v>20</v>
      </c>
      <c r="E19" s="2">
        <v>150</v>
      </c>
      <c r="F19" s="2">
        <v>120</v>
      </c>
      <c r="G19" s="2">
        <v>150</v>
      </c>
      <c r="H19" s="3">
        <f t="shared" si="0"/>
        <v>460</v>
      </c>
    </row>
    <row r="20" spans="1:8">
      <c r="A20" s="2" t="s">
        <v>9</v>
      </c>
      <c r="B20" s="2" t="s">
        <v>17</v>
      </c>
      <c r="C20" s="2">
        <v>20</v>
      </c>
      <c r="D20" s="2">
        <v>25</v>
      </c>
      <c r="E20" s="2">
        <v>70</v>
      </c>
      <c r="F20" s="2">
        <v>245</v>
      </c>
      <c r="G20" s="2">
        <v>50</v>
      </c>
      <c r="H20" s="3">
        <f t="shared" si="0"/>
        <v>410</v>
      </c>
    </row>
    <row r="21" spans="1:8">
      <c r="A21" s="2" t="s">
        <v>14</v>
      </c>
      <c r="B21" s="2" t="s">
        <v>16</v>
      </c>
      <c r="C21" s="2">
        <v>270</v>
      </c>
      <c r="D21" s="2">
        <v>80</v>
      </c>
      <c r="E21" s="2">
        <v>350</v>
      </c>
      <c r="F21" s="2">
        <v>150</v>
      </c>
      <c r="G21" s="2">
        <v>650</v>
      </c>
      <c r="H21" s="3">
        <f t="shared" si="0"/>
        <v>1500</v>
      </c>
    </row>
    <row r="22" spans="1:8">
      <c r="A22" s="2" t="s">
        <v>14</v>
      </c>
      <c r="B22" s="2" t="s">
        <v>24</v>
      </c>
      <c r="C22" s="2">
        <v>150</v>
      </c>
      <c r="D22" s="2">
        <v>250</v>
      </c>
      <c r="E22" s="2">
        <v>400</v>
      </c>
      <c r="F22" s="2">
        <v>212</v>
      </c>
      <c r="G22" s="2">
        <v>480</v>
      </c>
      <c r="H22" s="3">
        <f t="shared" si="0"/>
        <v>1492</v>
      </c>
    </row>
    <row r="23" spans="1:8">
      <c r="A23" s="2" t="s">
        <v>14</v>
      </c>
      <c r="B23" s="2" t="s">
        <v>20</v>
      </c>
      <c r="C23" s="2">
        <v>10</v>
      </c>
      <c r="D23" s="2">
        <v>150</v>
      </c>
      <c r="E23" s="2">
        <v>300</v>
      </c>
      <c r="F23" s="2">
        <v>217</v>
      </c>
      <c r="G23" s="2">
        <v>580</v>
      </c>
      <c r="H23" s="3">
        <f t="shared" si="0"/>
        <v>1257</v>
      </c>
    </row>
    <row r="24" spans="1:8">
      <c r="A24" s="2" t="s">
        <v>14</v>
      </c>
      <c r="B24" s="2" t="s">
        <v>30</v>
      </c>
      <c r="C24" s="2">
        <v>50</v>
      </c>
      <c r="D24" s="2">
        <v>50</v>
      </c>
      <c r="E24" s="2">
        <v>500</v>
      </c>
      <c r="F24" s="2">
        <v>23</v>
      </c>
      <c r="G24" s="2">
        <v>550</v>
      </c>
      <c r="H24" s="3">
        <f t="shared" si="0"/>
        <v>1173</v>
      </c>
    </row>
    <row r="25" spans="1:8">
      <c r="A25" s="2" t="s">
        <v>14</v>
      </c>
      <c r="B25" s="2" t="s">
        <v>19</v>
      </c>
      <c r="C25" s="2">
        <v>155</v>
      </c>
      <c r="D25" s="2">
        <v>200</v>
      </c>
      <c r="E25" s="2">
        <v>450</v>
      </c>
      <c r="F25" s="2">
        <v>64</v>
      </c>
      <c r="G25" s="2">
        <v>235</v>
      </c>
      <c r="H25" s="3">
        <f t="shared" si="0"/>
        <v>1104</v>
      </c>
    </row>
    <row r="26" spans="1:8">
      <c r="A26" s="2" t="s">
        <v>14</v>
      </c>
      <c r="B26" s="2" t="s">
        <v>31</v>
      </c>
      <c r="C26" s="2">
        <v>160</v>
      </c>
      <c r="D26" s="2">
        <v>70</v>
      </c>
      <c r="E26" s="2">
        <v>150</v>
      </c>
      <c r="F26" s="2">
        <v>232</v>
      </c>
      <c r="G26" s="2">
        <v>450</v>
      </c>
      <c r="H26" s="3">
        <f t="shared" si="0"/>
        <v>1062</v>
      </c>
    </row>
    <row r="27" spans="1:8">
      <c r="A27" s="2" t="s">
        <v>14</v>
      </c>
      <c r="B27" s="2" t="s">
        <v>15</v>
      </c>
      <c r="C27" s="2">
        <v>135</v>
      </c>
      <c r="D27" s="2">
        <v>65</v>
      </c>
      <c r="E27" s="2">
        <v>250</v>
      </c>
      <c r="F27" s="2">
        <v>253</v>
      </c>
      <c r="G27" s="2">
        <v>350</v>
      </c>
      <c r="H27" s="3">
        <f t="shared" si="0"/>
        <v>1053</v>
      </c>
    </row>
    <row r="28" spans="1:8">
      <c r="A28" s="2" t="s">
        <v>14</v>
      </c>
      <c r="B28" s="2" t="s">
        <v>37</v>
      </c>
      <c r="C28" s="2">
        <v>180</v>
      </c>
      <c r="D28" s="2">
        <v>80</v>
      </c>
      <c r="E28" s="2">
        <v>110</v>
      </c>
      <c r="F28" s="2">
        <v>280</v>
      </c>
      <c r="G28" s="2">
        <v>310</v>
      </c>
      <c r="H28" s="3">
        <f t="shared" si="0"/>
        <v>960</v>
      </c>
    </row>
    <row r="29" spans="1:8">
      <c r="A29" s="2" t="s">
        <v>14</v>
      </c>
      <c r="B29" s="2" t="s">
        <v>36</v>
      </c>
      <c r="C29" s="2">
        <v>90</v>
      </c>
      <c r="D29" s="2">
        <v>100</v>
      </c>
      <c r="E29" s="2">
        <v>105</v>
      </c>
      <c r="F29" s="2">
        <v>91</v>
      </c>
      <c r="G29" s="2">
        <v>550</v>
      </c>
      <c r="H29" s="3">
        <f t="shared" si="0"/>
        <v>936</v>
      </c>
    </row>
    <row r="30" spans="1:8">
      <c r="A30" s="2" t="s">
        <v>14</v>
      </c>
      <c r="B30" s="2" t="s">
        <v>35</v>
      </c>
      <c r="C30" s="2">
        <v>20</v>
      </c>
      <c r="D30" s="2">
        <v>40</v>
      </c>
      <c r="E30" s="2">
        <v>355</v>
      </c>
      <c r="F30" s="2">
        <v>200</v>
      </c>
      <c r="G30" s="2">
        <v>150</v>
      </c>
      <c r="H30" s="3">
        <f t="shared" si="0"/>
        <v>765</v>
      </c>
    </row>
    <row r="31" spans="1:8">
      <c r="A31" s="2" t="s">
        <v>14</v>
      </c>
      <c r="B31" s="2" t="s">
        <v>25</v>
      </c>
      <c r="C31" s="2">
        <v>30</v>
      </c>
      <c r="D31" s="2">
        <v>30</v>
      </c>
      <c r="E31" s="2">
        <v>90</v>
      </c>
      <c r="F31" s="2">
        <v>116</v>
      </c>
      <c r="G31" s="2">
        <v>160</v>
      </c>
      <c r="H31" s="3">
        <f t="shared" si="0"/>
        <v>426</v>
      </c>
    </row>
  </sheetData>
  <sortState ref="A3:H31">
    <sortCondition ref="A3:A31" customList="中职班,高职班,本科班"/>
    <sortCondition ref="H3:H31" descending="1"/>
  </sortState>
  <mergeCells count="1">
    <mergeCell ref="A1:H1"/>
  </mergeCells>
  <conditionalFormatting sqref="H3:H31">
    <cfRule type="cellIs" dxfId="0" priority="1" operator="greaterThan">
      <formula>1000</formula>
    </cfRule>
  </conditionalFormatting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O20" sqref="O20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学生支出表</vt:lpstr>
      <vt:lpstr>Sheet2</vt:lpstr>
      <vt:lpstr>筛选</vt:lpstr>
      <vt:lpstr>排序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1996-12-17T01:32:00Z</dcterms:created>
  <dcterms:modified xsi:type="dcterms:W3CDTF">2023-12-02T01:01:28Z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B7865A121C3449A1AE75F7CC02B26837_12</vt:lpwstr>
  </property>
  <property fmtid="{D5CDD505-2E9C-101B-9397-08002B2CF9AE}" pid="3" name="KSOProductBuildVer">
    <vt:lpwstr>2052-12.1.0.15712</vt:lpwstr>
  </property>
</Properties>
</file>
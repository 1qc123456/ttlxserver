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 activeTab="1"/>
  </bookViews>
  <sheets>
    <sheet name="图表统计" sheetId="4" r:id="rId1"/>
    <sheet name="员工资料统计表" sheetId="2" r:id="rId2"/>
    <sheet name="各部门员工资料统计" sheetId="3" state="hidden" r:id="rId3"/>
  </sheets>
  <definedNames>
    <definedName name="员工资料统计表">员工资料统计表!$A$1:$O$30</definedName>
  </definedNames>
  <calcPr calcId="144525"/>
  <pivotCaches>
    <pivotCache cacheId="0" r:id="rId4"/>
  </pivotCaches>
</workbook>
</file>

<file path=xl/comments1.xml><?xml version="1.0" encoding="utf-8"?>
<comments xmlns="http://schemas.openxmlformats.org/spreadsheetml/2006/main">
  <authors>
    <author>25472</author>
  </authors>
  <commentList>
    <comment ref="F2" authorId="0">
      <text>
        <r>
          <rPr>
            <sz val="9"/>
            <rFont val="宋体"/>
            <charset val="134"/>
          </rPr>
          <t>在中国身份证号码中，第17位代表性别，奇数表示男性，偶数表示女性。</t>
        </r>
      </text>
    </comment>
  </commentList>
</comments>
</file>

<file path=xl/sharedStrings.xml><?xml version="1.0" encoding="utf-8"?>
<sst xmlns="http://schemas.openxmlformats.org/spreadsheetml/2006/main" count="313" uniqueCount="144">
  <si>
    <t>民族</t>
  </si>
  <si>
    <t>(全部)</t>
  </si>
  <si>
    <t>计数项:性别</t>
  </si>
  <si>
    <t>学历</t>
  </si>
  <si>
    <t>部门</t>
  </si>
  <si>
    <t>本科</t>
  </si>
  <si>
    <t>大专</t>
  </si>
  <si>
    <t>研究生</t>
  </si>
  <si>
    <t>总计</t>
  </si>
  <si>
    <t>销售部</t>
  </si>
  <si>
    <t>行政部</t>
  </si>
  <si>
    <t>生产部</t>
  </si>
  <si>
    <t>财务部</t>
  </si>
  <si>
    <t>员工资料统计表</t>
  </si>
  <si>
    <t>员工编号</t>
  </si>
  <si>
    <t>姓名</t>
  </si>
  <si>
    <t>职称</t>
  </si>
  <si>
    <t>身份证号码</t>
  </si>
  <si>
    <t>性别</t>
  </si>
  <si>
    <t>出生日期</t>
  </si>
  <si>
    <t>籍贯</t>
  </si>
  <si>
    <t>婚姻状况</t>
  </si>
  <si>
    <t>血型</t>
  </si>
  <si>
    <t>入职时间</t>
  </si>
  <si>
    <t>联系电话</t>
  </si>
  <si>
    <t>电子邮件</t>
  </si>
  <si>
    <t>王强</t>
  </si>
  <si>
    <t>大区经理</t>
  </si>
  <si>
    <t>511027198101021161</t>
  </si>
  <si>
    <t>汉族</t>
  </si>
  <si>
    <t>安徽-合肥</t>
  </si>
  <si>
    <t>未婚</t>
  </si>
  <si>
    <t>O</t>
  </si>
  <si>
    <t>AB120001@126.com</t>
  </si>
  <si>
    <t>王波</t>
  </si>
  <si>
    <t>区域经理</t>
  </si>
  <si>
    <t>520112198302011142</t>
  </si>
  <si>
    <t>安徽-安庆</t>
  </si>
  <si>
    <t>AB120002@126.com</t>
  </si>
  <si>
    <t>周昊</t>
  </si>
  <si>
    <t>业务员</t>
  </si>
  <si>
    <t>145230198703101033</t>
  </si>
  <si>
    <t>安徽-芜湖</t>
  </si>
  <si>
    <t>A</t>
  </si>
  <si>
    <t>AB120003@126.com</t>
  </si>
  <si>
    <t>王明</t>
  </si>
  <si>
    <t>143021198502110294</t>
  </si>
  <si>
    <t>安徽-马鞍山</t>
  </si>
  <si>
    <t>B</t>
  </si>
  <si>
    <t>AB120004@126.com</t>
  </si>
  <si>
    <t>张兰</t>
  </si>
  <si>
    <t>135620198102120595</t>
  </si>
  <si>
    <t>湖南-长沙</t>
  </si>
  <si>
    <t>AB120005@126.com</t>
  </si>
  <si>
    <t>王菲</t>
  </si>
  <si>
    <t>163895198711023886</t>
  </si>
  <si>
    <t>湖南-株洲</t>
  </si>
  <si>
    <t>AB120006@126.com</t>
  </si>
  <si>
    <t>周明启</t>
  </si>
  <si>
    <t>536021198312031787</t>
  </si>
  <si>
    <t>AB120007@126.com</t>
  </si>
  <si>
    <t>王俊</t>
  </si>
  <si>
    <t>144321198712081218</t>
  </si>
  <si>
    <t>四川-成都</t>
  </si>
  <si>
    <t>AB120008@126.com</t>
  </si>
  <si>
    <t>黄恒</t>
  </si>
  <si>
    <t>143621198712130219</t>
  </si>
  <si>
    <t>AB120009@126.com</t>
  </si>
  <si>
    <t>周伊</t>
  </si>
  <si>
    <t>163021198312250151</t>
  </si>
  <si>
    <t>山西-太原</t>
  </si>
  <si>
    <t>AB120010@126.com</t>
  </si>
  <si>
    <t>周宇</t>
  </si>
  <si>
    <t>助理</t>
  </si>
  <si>
    <t>186352198711052332</t>
  </si>
  <si>
    <t>山西-榆次</t>
  </si>
  <si>
    <t>已婚</t>
  </si>
  <si>
    <t>AB</t>
  </si>
  <si>
    <t>AB120011@126.com</t>
  </si>
  <si>
    <t>王宙</t>
  </si>
  <si>
    <t>秘书长</t>
  </si>
  <si>
    <t>178024198302130243</t>
  </si>
  <si>
    <t>河北-石家庄</t>
  </si>
  <si>
    <t>AB130012@126.com</t>
  </si>
  <si>
    <t>张勇</t>
  </si>
  <si>
    <t>163001199201020384</t>
  </si>
  <si>
    <t>辽宁省-沈阳</t>
  </si>
  <si>
    <t>AB130013@126.com</t>
  </si>
  <si>
    <t>王富</t>
  </si>
  <si>
    <t>174544198201030515</t>
  </si>
  <si>
    <t>藏族</t>
  </si>
  <si>
    <t>云南省-昆明</t>
  </si>
  <si>
    <t>AB130014@126.com</t>
  </si>
  <si>
    <t>周圆</t>
  </si>
  <si>
    <t>163214198301125236</t>
  </si>
  <si>
    <t>白族</t>
  </si>
  <si>
    <t>AB130015@126.com</t>
  </si>
  <si>
    <t>黄雅</t>
  </si>
  <si>
    <t>198745198312030547</t>
  </si>
  <si>
    <t>壮族</t>
  </si>
  <si>
    <t>AB130016@126.com</t>
  </si>
  <si>
    <t>周雯</t>
  </si>
  <si>
    <t>197635197407030228</t>
  </si>
  <si>
    <t>维吾尔族</t>
  </si>
  <si>
    <t>贵州-贵阳</t>
  </si>
  <si>
    <t>AB130017@126.com</t>
  </si>
  <si>
    <t>王镁</t>
  </si>
  <si>
    <t>经理</t>
  </si>
  <si>
    <t>178936198307020899</t>
  </si>
  <si>
    <t>AB140018@126.com</t>
  </si>
  <si>
    <t>谢欣</t>
  </si>
  <si>
    <t>职员</t>
  </si>
  <si>
    <t>511027198302140271</t>
  </si>
  <si>
    <t>海南-海口</t>
  </si>
  <si>
    <t>AB140019@126.com</t>
  </si>
  <si>
    <t>郝强</t>
  </si>
  <si>
    <t>511027198712241462</t>
  </si>
  <si>
    <t>青海省-西宁</t>
  </si>
  <si>
    <t>AB140020@126.com</t>
  </si>
  <si>
    <t>郝俊</t>
  </si>
  <si>
    <t>511027198302150493</t>
  </si>
  <si>
    <t>AB140021@126.com</t>
  </si>
  <si>
    <t>郑灵</t>
  </si>
  <si>
    <t>511027198702130174</t>
  </si>
  <si>
    <t>AB140022@126.com</t>
  </si>
  <si>
    <t>王莉</t>
  </si>
  <si>
    <t>511027193504210235</t>
  </si>
  <si>
    <t>AB140023@126.com</t>
  </si>
  <si>
    <t>王慧</t>
  </si>
  <si>
    <t>511027198610300776</t>
  </si>
  <si>
    <t>AB140024@126.com</t>
  </si>
  <si>
    <t>李坤</t>
  </si>
  <si>
    <t>511027198612032827</t>
  </si>
  <si>
    <t>AB140025@126.com</t>
  </si>
  <si>
    <t>王涛</t>
  </si>
  <si>
    <t>510038198710203668</t>
  </si>
  <si>
    <t>AB150026@126.com</t>
  </si>
  <si>
    <t>张平</t>
  </si>
  <si>
    <t>511027199302102849</t>
  </si>
  <si>
    <t>AB150027@126.com</t>
  </si>
  <si>
    <t>各部门员工资料统计表</t>
  </si>
  <si>
    <t>部门名称</t>
  </si>
  <si>
    <t>人数</t>
  </si>
  <si>
    <t>百分比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</si>
</sst>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AB&quot;General"/>
    <numFmt numFmtId="177" formatCode="[DBNum1][$-804]yyyy&quot;年&quot;m&quot;月&quot;d&quot;日&quot;;@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ajor"/>
    </font>
    <font>
      <b/>
      <sz val="13"/>
      <color theme="1"/>
      <name val="汉鼎简隶变"/>
      <charset val="134"/>
    </font>
    <font>
      <sz val="13"/>
      <color theme="1"/>
      <name val="汉鼎简隶变"/>
      <charset val="134"/>
    </font>
    <font>
      <b/>
      <sz val="26"/>
      <color theme="1"/>
      <name val="等线"/>
      <charset val="134"/>
    </font>
    <font>
      <b/>
      <sz val="14"/>
      <color theme="1"/>
      <name val="宋体"/>
      <charset val="134"/>
      <scheme val="major"/>
    </font>
    <font>
      <sz val="11"/>
      <color theme="1"/>
      <name val="华文细黑"/>
      <charset val="134"/>
    </font>
    <font>
      <u/>
      <sz val="11"/>
      <color theme="10"/>
      <name val="华文细黑"/>
      <charset val="134"/>
    </font>
    <font>
      <u/>
      <sz val="11"/>
      <color rgb="FF800080"/>
      <name val="华文细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177" fontId="6" fillId="0" borderId="3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177" fontId="6" fillId="0" borderId="5" xfId="0" applyNumberFormat="1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7" fillId="0" borderId="6" xfId="6" applyFont="1" applyBorder="1" applyAlignment="1">
      <alignment horizontal="center" vertical="center"/>
    </xf>
    <xf numFmtId="0" fontId="8" fillId="0" borderId="6" xfId="6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7" fillId="0" borderId="7" xfId="6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[标准文件.xlsx]图表统计!数据透视表1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图表统计!$B$3:$B$4</c:f>
              <c:strCache>
                <c:ptCount val="1"/>
                <c:pt idx="0">
                  <c:v>本科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图表统计!$A$5:$A$9</c:f>
              <c:strCache>
                <c:ptCount val="4"/>
                <c:pt idx="0">
                  <c:v>销售部</c:v>
                </c:pt>
                <c:pt idx="1">
                  <c:v>行政部</c:v>
                </c:pt>
                <c:pt idx="2">
                  <c:v>生产部</c:v>
                </c:pt>
                <c:pt idx="3">
                  <c:v>财务部</c:v>
                </c:pt>
              </c:strCache>
            </c:strRef>
          </c:cat>
          <c:val>
            <c:numRef>
              <c:f>图表统计!$B$5:$B$9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图表统计!$C$3:$C$4</c:f>
              <c:strCache>
                <c:ptCount val="1"/>
                <c:pt idx="0">
                  <c:v>大专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图表统计!$A$5:$A$9</c:f>
              <c:strCache>
                <c:ptCount val="4"/>
                <c:pt idx="0">
                  <c:v>销售部</c:v>
                </c:pt>
                <c:pt idx="1">
                  <c:v>行政部</c:v>
                </c:pt>
                <c:pt idx="2">
                  <c:v>生产部</c:v>
                </c:pt>
                <c:pt idx="3">
                  <c:v>财务部</c:v>
                </c:pt>
              </c:strCache>
            </c:strRef>
          </c:cat>
          <c:val>
            <c:numRef>
              <c:f>图表统计!$C$5:$C$9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ser>
          <c:idx val="2"/>
          <c:order val="2"/>
          <c:tx>
            <c:strRef>
              <c:f>图表统计!$D$3:$D$4</c:f>
              <c:strCache>
                <c:ptCount val="1"/>
                <c:pt idx="0">
                  <c:v>研究生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图表统计!$A$5:$A$9</c:f>
              <c:strCache>
                <c:ptCount val="4"/>
                <c:pt idx="0">
                  <c:v>销售部</c:v>
                </c:pt>
                <c:pt idx="1">
                  <c:v>行政部</c:v>
                </c:pt>
                <c:pt idx="2">
                  <c:v>生产部</c:v>
                </c:pt>
                <c:pt idx="3">
                  <c:v>财务部</c:v>
                </c:pt>
              </c:strCache>
            </c:strRef>
          </c:cat>
          <c:val>
            <c:numRef>
              <c:f>图表统计!$D$5:$D$9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531593441"/>
        <c:axId val="10580373"/>
      </c:barChart>
      <c:catAx>
        <c:axId val="5315934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80373"/>
        <c:crosses val="autoZero"/>
        <c:auto val="1"/>
        <c:lblAlgn val="ctr"/>
        <c:lblOffset val="100"/>
        <c:noMultiLvlLbl val="0"/>
      </c:catAx>
      <c:valAx>
        <c:axId val="105803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5934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50800</xdr:colOff>
      <xdr:row>10</xdr:row>
      <xdr:rowOff>98425</xdr:rowOff>
    </xdr:from>
    <xdr:to>
      <xdr:col>7</xdr:col>
      <xdr:colOff>66675</xdr:colOff>
      <xdr:row>26</xdr:row>
      <xdr:rowOff>98425</xdr:rowOff>
    </xdr:to>
    <xdr:graphicFrame>
      <xdr:nvGraphicFramePr>
        <xdr:cNvPr id="2" name="各部门各学历人数"/>
        <xdr:cNvGraphicFramePr/>
      </xdr:nvGraphicFramePr>
      <xdr:xfrm>
        <a:off x="50800" y="1812925"/>
        <a:ext cx="47371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19.6474305556" refreshedBy="25472" recordCount="28">
  <cacheSource type="worksheet">
    <worksheetSource ref="A2:O30" sheet="员工资料统计表"/>
  </cacheSource>
  <cacheFields count="15">
    <cacheField name="员工编号" numFmtId="0">
      <sharedItems containsString="0" containsBlank="1" containsNumber="1" containsInteger="1" minValue="0" maxValue="150027" count="28">
        <m/>
        <n v="120001"/>
        <n v="120002"/>
        <n v="120003"/>
        <n v="120004"/>
        <n v="120005"/>
        <n v="120006"/>
        <n v="120007"/>
        <n v="120008"/>
        <n v="120009"/>
        <n v="120010"/>
        <n v="120011"/>
        <n v="130012"/>
        <n v="130013"/>
        <n v="130014"/>
        <n v="130015"/>
        <n v="130016"/>
        <n v="130017"/>
        <n v="140018"/>
        <n v="140019"/>
        <n v="140020"/>
        <n v="140021"/>
        <n v="140022"/>
        <n v="140023"/>
        <n v="140024"/>
        <n v="140025"/>
        <n v="150026"/>
        <n v="150027"/>
      </sharedItems>
    </cacheField>
    <cacheField name="部门" numFmtId="0">
      <sharedItems containsBlank="1" count="5">
        <m/>
        <s v="销售部"/>
        <s v="行政部"/>
        <s v="生产部"/>
        <s v="财务部"/>
      </sharedItems>
    </cacheField>
    <cacheField name="姓名" numFmtId="0">
      <sharedItems containsBlank="1" count="28">
        <m/>
        <s v="王强"/>
        <s v="王波"/>
        <s v="周昊"/>
        <s v="王明"/>
        <s v="张兰"/>
        <s v="王菲"/>
        <s v="周明启"/>
        <s v="王俊"/>
        <s v="黄恒"/>
        <s v="周伊"/>
        <s v="周宇"/>
        <s v="王宙"/>
        <s v="张勇"/>
        <s v="王富"/>
        <s v="周圆"/>
        <s v="黄雅"/>
        <s v="周雯"/>
        <s v="王镁"/>
        <s v="谢欣"/>
        <s v="郝强"/>
        <s v="郝俊"/>
        <s v="郑灵"/>
        <s v="王莉"/>
        <s v="王慧"/>
        <s v="李坤"/>
        <s v="王涛"/>
        <s v="张平"/>
      </sharedItems>
    </cacheField>
    <cacheField name="职称" numFmtId="0">
      <sharedItems containsBlank="1" count="8">
        <m/>
        <s v="大区经理"/>
        <s v="区域经理"/>
        <s v="业务员"/>
        <s v="助理"/>
        <s v="秘书长"/>
        <s v="经理"/>
        <s v="职员"/>
      </sharedItems>
    </cacheField>
    <cacheField name="身份证号码" numFmtId="0">
      <sharedItems containsBlank="1" count="28">
        <m/>
        <s v="51102719810102116"/>
        <s v="52011219830201114"/>
        <s v="14523019870310103"/>
        <s v="14302119850211029"/>
        <s v="13562019810212059"/>
        <s v="16389519871102388"/>
        <s v="53602119831203178"/>
        <s v="14432119871208121"/>
        <s v="14362119871213021"/>
        <s v="16302119831225015"/>
        <s v="18635219871105233"/>
        <s v="17802419830213024"/>
        <s v="16300119920102038"/>
        <s v="17454419820103051"/>
        <s v="16321419830112523"/>
        <s v="19874519831203054"/>
        <s v="19763519740703022"/>
        <s v="17893619830702089"/>
        <s v="51102719830214027"/>
        <s v="51102719871224146"/>
        <s v="51102719830215049"/>
        <s v="51102719870213017"/>
        <s v="51102719350421023"/>
        <s v="51102719861030077"/>
        <s v="51102719861203282"/>
        <s v="51003819871020366"/>
        <s v="51102719930210284"/>
      </sharedItems>
    </cacheField>
    <cacheField name="性别" numFmtId="0">
      <sharedItems containsBlank="1" count="3">
        <m/>
        <s v="女"/>
        <s v="男"/>
      </sharedItems>
    </cacheField>
    <cacheField name="出生日期" numFmtId="0">
      <sharedItems containsString="0" containsBlank="1" containsNonDate="0" containsDate="1" minDate="1935-04-21T00:00:00" maxDate="1993-02-10T00:00:00" count="27">
        <m/>
        <d v="1981-01-02T00:00:00"/>
        <d v="1983-02-01T00:00:00"/>
        <d v="1987-03-10T00:00:00"/>
        <d v="1985-02-11T00:00:00"/>
        <d v="1981-02-12T00:00:00"/>
        <d v="1987-11-02T00:00:00"/>
        <d v="1983-12-03T00:00:00"/>
        <d v="1987-12-08T00:00:00"/>
        <d v="1987-12-13T00:00:00"/>
        <d v="1983-12-25T00:00:00"/>
        <d v="1987-11-05T00:00:00"/>
        <d v="1983-02-13T00:00:00"/>
        <d v="1992-01-02T00:00:00"/>
        <d v="1982-01-03T00:00:00"/>
        <d v="1983-01-12T00:00:00"/>
        <d v="1974-07-03T00:00:00"/>
        <d v="1983-07-02T00:00:00"/>
        <d v="1983-02-14T00:00:00"/>
        <d v="1987-12-24T00:00:00"/>
        <d v="1983-02-15T00:00:00"/>
        <d v="1987-02-13T00:00:00"/>
        <d v="1935-04-21T00:00:00"/>
        <d v="1986-10-30T00:00:00"/>
        <d v="1986-12-03T00:00:00"/>
        <d v="1987-10-20T00:00:00"/>
        <d v="1993-02-10T00:00:00"/>
      </sharedItems>
    </cacheField>
    <cacheField name="民族" numFmtId="0">
      <sharedItems containsBlank="1" count="6">
        <m/>
        <s v="汉族"/>
        <s v="藏族"/>
        <s v="白族"/>
        <s v="壮族"/>
        <s v="维吾尔族"/>
      </sharedItems>
    </cacheField>
    <cacheField name="籍贯" numFmtId="0">
      <sharedItems containsBlank="1" count="16">
        <m/>
        <s v="安徽-合肥"/>
        <s v="安徽-安庆"/>
        <s v="安徽-芜湖"/>
        <s v="安徽-马鞍山"/>
        <s v="湖南-长沙"/>
        <s v="湖南-株洲"/>
        <s v="四川-成都"/>
        <s v="山西-太原"/>
        <s v="山西-榆次"/>
        <s v="河北-石家庄"/>
        <s v="辽宁省-沈阳"/>
        <s v="云南省-昆明"/>
        <s v="贵州-贵阳"/>
        <s v="海南-海口"/>
        <s v="青海省-西宁"/>
      </sharedItems>
    </cacheField>
    <cacheField name="婚姻状况" numFmtId="0">
      <sharedItems containsBlank="1" count="3">
        <m/>
        <s v="未婚"/>
        <s v="已婚"/>
      </sharedItems>
    </cacheField>
    <cacheField name="血型" numFmtId="0">
      <sharedItems containsBlank="1" count="5">
        <m/>
        <s v="O"/>
        <s v="A"/>
        <s v="B"/>
        <s v="AB"/>
      </sharedItems>
    </cacheField>
    <cacheField name="学历" numFmtId="0">
      <sharedItems containsBlank="1" count="4">
        <m/>
        <s v="本科"/>
        <s v="大专"/>
        <s v="研究生"/>
      </sharedItems>
    </cacheField>
    <cacheField name="入职时间" numFmtId="0">
      <sharedItems containsString="0" containsBlank="1" containsNonDate="0" containsDate="1" minDate="2005-05-20T00:00:00" maxDate="2010-08-03T00:00:00" count="20">
        <m/>
        <d v="2005-05-20T00:00:00"/>
        <d v="2005-05-30T00:00:00"/>
        <d v="2006-07-08T00:00:00"/>
        <d v="2007-08-09T00:00:00"/>
        <d v="2009-08-02T00:00:00"/>
        <d v="2009-08-05T00:00:00"/>
        <d v="2009-03-02T00:00:00"/>
        <d v="2009-07-08T00:00:00"/>
        <d v="2010-04-05T00:00:00"/>
        <d v="2010-07-08T00:00:00"/>
        <d v="2008-11-20T00:00:00"/>
        <d v="2010-03-05T00:00:00"/>
        <d v="2010-06-05T00:00:00"/>
        <d v="2010-05-02T00:00:00"/>
        <d v="2010-08-03T00:00:00"/>
        <d v="2007-10-02T00:00:00"/>
        <d v="2007-11-02T00:00:00"/>
        <d v="2006-11-06T00:00:00"/>
        <d v="2009-01-05T00:00:00"/>
      </sharedItems>
    </cacheField>
    <cacheField name="联系电话" numFmtId="0">
      <sharedItems containsString="0" containsBlank="1" containsNumber="1" containsInteger="1" minValue="0" maxValue="1596834575" count="28">
        <m/>
        <n v="1372545675"/>
        <n v="1382574486"/>
        <n v="1523654757"/>
        <n v="1536897454"/>
        <n v="1574687454"/>
        <n v="1596834575"/>
        <n v="1535247865"/>
        <n v="1553562441"/>
        <n v="1396857554"/>
        <n v="1526587474"/>
        <n v="1527897485"/>
        <n v="1554857487"/>
        <n v="1532574487"/>
        <n v="1589685744"/>
        <n v="1574856687"/>
        <n v="1532654477"/>
        <n v="1523657847"/>
        <n v="1385967455"/>
        <n v="1363998574"/>
        <n v="1378548967"/>
        <n v="1362564787"/>
        <n v="1345758525"/>
        <n v="1356897745"/>
        <n v="1362568874"/>
        <n v="1374585967"/>
        <n v="1368597485"/>
        <n v="1374857455"/>
      </sharedItems>
    </cacheField>
    <cacheField name="电子邮件" numFmtId="0">
      <sharedItems containsBlank="1" count="28">
        <m/>
        <s v="AB120001@126.com"/>
        <s v="AB120002@126.com"/>
        <s v="AB120003@126.com"/>
        <s v="AB120004@126.com"/>
        <s v="AB120005@126.com"/>
        <s v="AB120006@126.com"/>
        <s v="AB120007@126.com"/>
        <s v="AB120008@126.com"/>
        <s v="AB120009@126.com"/>
        <s v="AB120010@126.com"/>
        <s v="AB120011@126.com"/>
        <s v="AB130012@126.com"/>
        <s v="AB130013@126.com"/>
        <s v="AB130014@126.com"/>
        <s v="AB130015@126.com"/>
        <s v="AB130016@126.com"/>
        <s v="AB130017@126.com"/>
        <s v="AB140018@126.com"/>
        <s v="AB140019@126.com"/>
        <s v="AB140020@126.com"/>
        <s v="AB140021@126.com"/>
        <s v="AB140022@126.com"/>
        <s v="AB140023@126.com"/>
        <s v="AB140024@126.com"/>
        <s v="AB140025@126.com"/>
        <s v="AB150026@126.com"/>
        <s v="AB150027@126.com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2"/>
    <x v="2"/>
    <x v="2"/>
    <x v="1"/>
    <x v="2"/>
    <x v="1"/>
    <x v="2"/>
    <x v="1"/>
    <x v="1"/>
    <x v="2"/>
    <x v="2"/>
    <x v="2"/>
    <x v="2"/>
  </r>
  <r>
    <x v="3"/>
    <x v="1"/>
    <x v="3"/>
    <x v="3"/>
    <x v="3"/>
    <x v="2"/>
    <x v="3"/>
    <x v="1"/>
    <x v="3"/>
    <x v="1"/>
    <x v="2"/>
    <x v="3"/>
    <x v="3"/>
    <x v="3"/>
    <x v="3"/>
  </r>
  <r>
    <x v="4"/>
    <x v="1"/>
    <x v="4"/>
    <x v="3"/>
    <x v="4"/>
    <x v="2"/>
    <x v="4"/>
    <x v="1"/>
    <x v="4"/>
    <x v="1"/>
    <x v="3"/>
    <x v="1"/>
    <x v="3"/>
    <x v="4"/>
    <x v="4"/>
  </r>
  <r>
    <x v="5"/>
    <x v="1"/>
    <x v="5"/>
    <x v="3"/>
    <x v="5"/>
    <x v="2"/>
    <x v="5"/>
    <x v="1"/>
    <x v="5"/>
    <x v="1"/>
    <x v="1"/>
    <x v="1"/>
    <x v="4"/>
    <x v="5"/>
    <x v="5"/>
  </r>
  <r>
    <x v="6"/>
    <x v="1"/>
    <x v="6"/>
    <x v="1"/>
    <x v="6"/>
    <x v="1"/>
    <x v="6"/>
    <x v="1"/>
    <x v="6"/>
    <x v="1"/>
    <x v="2"/>
    <x v="2"/>
    <x v="5"/>
    <x v="6"/>
    <x v="6"/>
  </r>
  <r>
    <x v="7"/>
    <x v="1"/>
    <x v="7"/>
    <x v="3"/>
    <x v="7"/>
    <x v="1"/>
    <x v="7"/>
    <x v="1"/>
    <x v="6"/>
    <x v="1"/>
    <x v="3"/>
    <x v="3"/>
    <x v="6"/>
    <x v="7"/>
    <x v="7"/>
  </r>
  <r>
    <x v="8"/>
    <x v="1"/>
    <x v="8"/>
    <x v="3"/>
    <x v="8"/>
    <x v="2"/>
    <x v="8"/>
    <x v="1"/>
    <x v="7"/>
    <x v="1"/>
    <x v="2"/>
    <x v="3"/>
    <x v="7"/>
    <x v="8"/>
    <x v="8"/>
  </r>
  <r>
    <x v="9"/>
    <x v="1"/>
    <x v="9"/>
    <x v="2"/>
    <x v="9"/>
    <x v="2"/>
    <x v="9"/>
    <x v="1"/>
    <x v="7"/>
    <x v="1"/>
    <x v="3"/>
    <x v="1"/>
    <x v="8"/>
    <x v="9"/>
    <x v="9"/>
  </r>
  <r>
    <x v="10"/>
    <x v="1"/>
    <x v="10"/>
    <x v="2"/>
    <x v="10"/>
    <x v="2"/>
    <x v="10"/>
    <x v="1"/>
    <x v="8"/>
    <x v="1"/>
    <x v="1"/>
    <x v="1"/>
    <x v="9"/>
    <x v="10"/>
    <x v="10"/>
  </r>
  <r>
    <x v="11"/>
    <x v="2"/>
    <x v="11"/>
    <x v="4"/>
    <x v="11"/>
    <x v="2"/>
    <x v="11"/>
    <x v="1"/>
    <x v="9"/>
    <x v="2"/>
    <x v="4"/>
    <x v="1"/>
    <x v="10"/>
    <x v="11"/>
    <x v="11"/>
  </r>
  <r>
    <x v="12"/>
    <x v="2"/>
    <x v="12"/>
    <x v="5"/>
    <x v="12"/>
    <x v="1"/>
    <x v="12"/>
    <x v="1"/>
    <x v="10"/>
    <x v="1"/>
    <x v="2"/>
    <x v="2"/>
    <x v="11"/>
    <x v="12"/>
    <x v="12"/>
  </r>
  <r>
    <x v="13"/>
    <x v="2"/>
    <x v="13"/>
    <x v="4"/>
    <x v="13"/>
    <x v="1"/>
    <x v="13"/>
    <x v="1"/>
    <x v="11"/>
    <x v="1"/>
    <x v="1"/>
    <x v="1"/>
    <x v="12"/>
    <x v="13"/>
    <x v="13"/>
  </r>
  <r>
    <x v="14"/>
    <x v="2"/>
    <x v="14"/>
    <x v="4"/>
    <x v="14"/>
    <x v="2"/>
    <x v="14"/>
    <x v="2"/>
    <x v="12"/>
    <x v="2"/>
    <x v="1"/>
    <x v="1"/>
    <x v="10"/>
    <x v="14"/>
    <x v="14"/>
  </r>
  <r>
    <x v="15"/>
    <x v="2"/>
    <x v="15"/>
    <x v="4"/>
    <x v="15"/>
    <x v="2"/>
    <x v="15"/>
    <x v="3"/>
    <x v="12"/>
    <x v="1"/>
    <x v="3"/>
    <x v="1"/>
    <x v="13"/>
    <x v="15"/>
    <x v="15"/>
  </r>
  <r>
    <x v="16"/>
    <x v="2"/>
    <x v="16"/>
    <x v="4"/>
    <x v="16"/>
    <x v="1"/>
    <x v="7"/>
    <x v="4"/>
    <x v="12"/>
    <x v="1"/>
    <x v="3"/>
    <x v="1"/>
    <x v="14"/>
    <x v="16"/>
    <x v="16"/>
  </r>
  <r>
    <x v="17"/>
    <x v="2"/>
    <x v="17"/>
    <x v="4"/>
    <x v="17"/>
    <x v="1"/>
    <x v="16"/>
    <x v="5"/>
    <x v="13"/>
    <x v="2"/>
    <x v="4"/>
    <x v="3"/>
    <x v="15"/>
    <x v="17"/>
    <x v="17"/>
  </r>
  <r>
    <x v="18"/>
    <x v="3"/>
    <x v="18"/>
    <x v="6"/>
    <x v="18"/>
    <x v="2"/>
    <x v="17"/>
    <x v="1"/>
    <x v="13"/>
    <x v="2"/>
    <x v="1"/>
    <x v="3"/>
    <x v="16"/>
    <x v="18"/>
    <x v="18"/>
  </r>
  <r>
    <x v="19"/>
    <x v="3"/>
    <x v="19"/>
    <x v="7"/>
    <x v="19"/>
    <x v="2"/>
    <x v="18"/>
    <x v="1"/>
    <x v="14"/>
    <x v="1"/>
    <x v="2"/>
    <x v="1"/>
    <x v="17"/>
    <x v="19"/>
    <x v="19"/>
  </r>
  <r>
    <x v="20"/>
    <x v="3"/>
    <x v="20"/>
    <x v="7"/>
    <x v="20"/>
    <x v="1"/>
    <x v="19"/>
    <x v="1"/>
    <x v="15"/>
    <x v="1"/>
    <x v="3"/>
    <x v="1"/>
    <x v="18"/>
    <x v="20"/>
    <x v="20"/>
  </r>
  <r>
    <x v="21"/>
    <x v="3"/>
    <x v="21"/>
    <x v="7"/>
    <x v="21"/>
    <x v="2"/>
    <x v="20"/>
    <x v="1"/>
    <x v="7"/>
    <x v="2"/>
    <x v="4"/>
    <x v="1"/>
    <x v="17"/>
    <x v="21"/>
    <x v="21"/>
  </r>
  <r>
    <x v="22"/>
    <x v="3"/>
    <x v="22"/>
    <x v="7"/>
    <x v="22"/>
    <x v="2"/>
    <x v="21"/>
    <x v="2"/>
    <x v="7"/>
    <x v="1"/>
    <x v="4"/>
    <x v="2"/>
    <x v="18"/>
    <x v="22"/>
    <x v="22"/>
  </r>
  <r>
    <x v="23"/>
    <x v="4"/>
    <x v="23"/>
    <x v="7"/>
    <x v="23"/>
    <x v="2"/>
    <x v="22"/>
    <x v="1"/>
    <x v="7"/>
    <x v="2"/>
    <x v="3"/>
    <x v="2"/>
    <x v="17"/>
    <x v="23"/>
    <x v="23"/>
  </r>
  <r>
    <x v="24"/>
    <x v="4"/>
    <x v="24"/>
    <x v="7"/>
    <x v="24"/>
    <x v="2"/>
    <x v="23"/>
    <x v="3"/>
    <x v="12"/>
    <x v="2"/>
    <x v="1"/>
    <x v="3"/>
    <x v="19"/>
    <x v="24"/>
    <x v="24"/>
  </r>
  <r>
    <x v="25"/>
    <x v="4"/>
    <x v="25"/>
    <x v="7"/>
    <x v="25"/>
    <x v="1"/>
    <x v="24"/>
    <x v="1"/>
    <x v="10"/>
    <x v="1"/>
    <x v="1"/>
    <x v="1"/>
    <x v="17"/>
    <x v="25"/>
    <x v="25"/>
  </r>
  <r>
    <x v="26"/>
    <x v="4"/>
    <x v="26"/>
    <x v="7"/>
    <x v="26"/>
    <x v="1"/>
    <x v="25"/>
    <x v="1"/>
    <x v="10"/>
    <x v="1"/>
    <x v="2"/>
    <x v="1"/>
    <x v="18"/>
    <x v="26"/>
    <x v="26"/>
  </r>
  <r>
    <x v="27"/>
    <x v="4"/>
    <x v="27"/>
    <x v="6"/>
    <x v="27"/>
    <x v="1"/>
    <x v="26"/>
    <x v="1"/>
    <x v="10"/>
    <x v="1"/>
    <x v="4"/>
    <x v="3"/>
    <x v="17"/>
    <x v="27"/>
    <x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:E9" firstHeaderRow="1" firstDataRow="2" firstDataCol="1" rowPageCount="1" colPageCount="1"/>
  <pivotFields count="15">
    <pivotField compact="0" showAll="0">
      <items count="29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t="default"/>
      </items>
    </pivotField>
    <pivotField axis="axisRow" compact="0" multipleItemSelectionAllowed="1" showAll="0">
      <items count="6">
        <item x="1"/>
        <item x="2"/>
        <item x="3"/>
        <item x="4"/>
        <item h="1" x="0"/>
        <item t="default"/>
      </items>
    </pivotField>
    <pivotField compact="0" showAll="0">
      <items count="29">
        <item x="21"/>
        <item x="20"/>
        <item x="9"/>
        <item x="16"/>
        <item x="25"/>
        <item x="2"/>
        <item x="6"/>
        <item x="14"/>
        <item x="24"/>
        <item x="8"/>
        <item x="23"/>
        <item x="18"/>
        <item x="4"/>
        <item x="1"/>
        <item x="26"/>
        <item x="12"/>
        <item x="19"/>
        <item x="5"/>
        <item x="27"/>
        <item x="13"/>
        <item x="22"/>
        <item x="3"/>
        <item x="7"/>
        <item x="17"/>
        <item x="10"/>
        <item x="11"/>
        <item x="15"/>
        <item x="0"/>
        <item t="default"/>
      </items>
    </pivotField>
    <pivotField compact="0" showAll="0"/>
    <pivotField compact="0" showAll="0"/>
    <pivotField dataField="1" compact="0" showAll="0">
      <items count="4">
        <item x="2"/>
        <item x="1"/>
        <item x="0"/>
        <item t="default"/>
      </items>
    </pivotField>
    <pivotField compact="0" showAll="0"/>
    <pivotField axis="axisPage" compact="0" showAll="0">
      <items count="7">
        <item x="3"/>
        <item x="2"/>
        <item x="1"/>
        <item x="5"/>
        <item x="4"/>
        <item x="0"/>
        <item t="default"/>
      </items>
    </pivotField>
    <pivotField compact="0" showAll="0"/>
    <pivotField compact="0" showAll="0"/>
    <pivotField compact="0" showAll="0"/>
    <pivotField axis="axisCol" compact="0" showAll="0">
      <items count="5">
        <item x="1"/>
        <item x="2"/>
        <item x="3"/>
        <item x="0"/>
        <item t="default"/>
      </items>
    </pivotField>
    <pivotField compact="0" showAll="0"/>
    <pivotField compact="0" showAll="0"/>
    <pivotField compact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pageFields count="1">
    <pageField fld="7"/>
  </pageFields>
  <dataFields count="1">
    <dataField name="计数项:性别" fld="5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mailto:EC020003@126.com" TargetMode="External"/><Relationship Id="rId8" Type="http://schemas.openxmlformats.org/officeDocument/2006/relationships/hyperlink" Target="mailto:EC020002@126.com" TargetMode="External"/><Relationship Id="rId7" Type="http://schemas.openxmlformats.org/officeDocument/2006/relationships/hyperlink" Target="mailto:EC020001@126.com" TargetMode="External"/><Relationship Id="rId6" Type="http://schemas.openxmlformats.org/officeDocument/2006/relationships/hyperlink" Target="mailto:EC040024@126.com" TargetMode="External"/><Relationship Id="rId5" Type="http://schemas.openxmlformats.org/officeDocument/2006/relationships/hyperlink" Target="mailto:EC050027@126.com" TargetMode="External"/><Relationship Id="rId4" Type="http://schemas.openxmlformats.org/officeDocument/2006/relationships/hyperlink" Target="mailto:EC050026@126.com" TargetMode="External"/><Relationship Id="rId3" Type="http://schemas.openxmlformats.org/officeDocument/2006/relationships/hyperlink" Target="mailto:EC040025@126.com" TargetMode="External"/><Relationship Id="rId29" Type="http://schemas.openxmlformats.org/officeDocument/2006/relationships/hyperlink" Target="mailto:EC040023@126.com" TargetMode="External"/><Relationship Id="rId28" Type="http://schemas.openxmlformats.org/officeDocument/2006/relationships/hyperlink" Target="mailto:EC040022@126.com" TargetMode="External"/><Relationship Id="rId27" Type="http://schemas.openxmlformats.org/officeDocument/2006/relationships/hyperlink" Target="mailto:EC040021@126.com" TargetMode="External"/><Relationship Id="rId26" Type="http://schemas.openxmlformats.org/officeDocument/2006/relationships/hyperlink" Target="mailto:EC040020@126.com" TargetMode="External"/><Relationship Id="rId25" Type="http://schemas.openxmlformats.org/officeDocument/2006/relationships/hyperlink" Target="mailto:EC040019@126.com" TargetMode="External"/><Relationship Id="rId24" Type="http://schemas.openxmlformats.org/officeDocument/2006/relationships/hyperlink" Target="mailto:EC040018@126.com" TargetMode="External"/><Relationship Id="rId23" Type="http://schemas.openxmlformats.org/officeDocument/2006/relationships/hyperlink" Target="mailto:EC030017@126.com" TargetMode="External"/><Relationship Id="rId22" Type="http://schemas.openxmlformats.org/officeDocument/2006/relationships/hyperlink" Target="mailto:EC030016@126.com" TargetMode="External"/><Relationship Id="rId21" Type="http://schemas.openxmlformats.org/officeDocument/2006/relationships/hyperlink" Target="mailto:EC030015@126.com" TargetMode="External"/><Relationship Id="rId20" Type="http://schemas.openxmlformats.org/officeDocument/2006/relationships/hyperlink" Target="mailto:EC030014@126.com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mailto:EC030013@126.com" TargetMode="External"/><Relationship Id="rId18" Type="http://schemas.openxmlformats.org/officeDocument/2006/relationships/hyperlink" Target="mailto:EC030012@126.com" TargetMode="External"/><Relationship Id="rId17" Type="http://schemas.openxmlformats.org/officeDocument/2006/relationships/hyperlink" Target="mailto:EC020011@126.com" TargetMode="External"/><Relationship Id="rId16" Type="http://schemas.openxmlformats.org/officeDocument/2006/relationships/hyperlink" Target="mailto:EC020010@126.com" TargetMode="External"/><Relationship Id="rId15" Type="http://schemas.openxmlformats.org/officeDocument/2006/relationships/hyperlink" Target="mailto:EC020009@126.com" TargetMode="External"/><Relationship Id="rId14" Type="http://schemas.openxmlformats.org/officeDocument/2006/relationships/hyperlink" Target="mailto:EC020008@126.com" TargetMode="External"/><Relationship Id="rId13" Type="http://schemas.openxmlformats.org/officeDocument/2006/relationships/hyperlink" Target="mailto:EC020007@126.com" TargetMode="External"/><Relationship Id="rId12" Type="http://schemas.openxmlformats.org/officeDocument/2006/relationships/hyperlink" Target="mailto:EC020006@126.com" TargetMode="External"/><Relationship Id="rId11" Type="http://schemas.openxmlformats.org/officeDocument/2006/relationships/hyperlink" Target="mailto:EC020005@126.com" TargetMode="External"/><Relationship Id="rId10" Type="http://schemas.openxmlformats.org/officeDocument/2006/relationships/hyperlink" Target="mailto:EC020004@126.com" TargetMode="Externa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L17" sqref="L17"/>
    </sheetView>
  </sheetViews>
  <sheetFormatPr defaultColWidth="9" defaultRowHeight="13.5" outlineLevelCol="4"/>
  <cols>
    <col min="1" max="1" width="12.75"/>
    <col min="2" max="4" width="9.125"/>
    <col min="5" max="5" width="5.125"/>
    <col min="6" max="6" width="6.83333333333333"/>
    <col min="7" max="7" width="9.875"/>
    <col min="8" max="9" width="8.70833333333333"/>
    <col min="10" max="10" width="12"/>
    <col min="11" max="11" width="5.125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5">
      <c r="A4" t="s">
        <v>4</v>
      </c>
      <c r="B4" t="s">
        <v>5</v>
      </c>
      <c r="C4" t="s">
        <v>6</v>
      </c>
      <c r="D4" t="s">
        <v>7</v>
      </c>
      <c r="E4" t="s">
        <v>8</v>
      </c>
    </row>
    <row r="5" spans="1:5">
      <c r="A5" t="s">
        <v>9</v>
      </c>
      <c r="B5">
        <v>5</v>
      </c>
      <c r="C5">
        <v>2</v>
      </c>
      <c r="D5">
        <v>3</v>
      </c>
      <c r="E5">
        <v>10</v>
      </c>
    </row>
    <row r="6" spans="1:5">
      <c r="A6" t="s">
        <v>10</v>
      </c>
      <c r="B6">
        <v>5</v>
      </c>
      <c r="C6">
        <v>1</v>
      </c>
      <c r="D6">
        <v>1</v>
      </c>
      <c r="E6">
        <v>7</v>
      </c>
    </row>
    <row r="7" spans="1:5">
      <c r="A7" t="s">
        <v>11</v>
      </c>
      <c r="B7">
        <v>3</v>
      </c>
      <c r="C7">
        <v>1</v>
      </c>
      <c r="D7">
        <v>1</v>
      </c>
      <c r="E7">
        <v>5</v>
      </c>
    </row>
    <row r="8" spans="1:5">
      <c r="A8" t="s">
        <v>12</v>
      </c>
      <c r="B8">
        <v>2</v>
      </c>
      <c r="C8">
        <v>1</v>
      </c>
      <c r="D8">
        <v>2</v>
      </c>
      <c r="E8">
        <v>5</v>
      </c>
    </row>
    <row r="9" spans="1:5">
      <c r="A9" t="s">
        <v>8</v>
      </c>
      <c r="B9">
        <v>15</v>
      </c>
      <c r="C9">
        <v>5</v>
      </c>
      <c r="D9">
        <v>7</v>
      </c>
      <c r="E9">
        <v>27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30"/>
  <sheetViews>
    <sheetView tabSelected="1" workbookViewId="0">
      <pane ySplit="3" topLeftCell="A4" activePane="bottomLeft" state="frozen"/>
      <selection/>
      <selection pane="bottomLeft" activeCell="P15" sqref="P15"/>
    </sheetView>
  </sheetViews>
  <sheetFormatPr defaultColWidth="9" defaultRowHeight="13.5"/>
  <cols>
    <col min="1" max="1" width="11.625" style="6" customWidth="1"/>
    <col min="2" max="2" width="9" style="6"/>
    <col min="3" max="3" width="9" style="6" customWidth="1"/>
    <col min="4" max="4" width="10.375" style="6" customWidth="1"/>
    <col min="5" max="5" width="19.875" style="6" customWidth="1"/>
    <col min="6" max="6" width="6.875" style="6" customWidth="1"/>
    <col min="7" max="7" width="26.875" style="6" customWidth="1"/>
    <col min="8" max="8" width="9" style="6"/>
    <col min="9" max="9" width="13.625" style="6" customWidth="1"/>
    <col min="10" max="10" width="11.25" style="6" customWidth="1"/>
    <col min="11" max="11" width="7.375" style="6" customWidth="1"/>
    <col min="12" max="12" width="8.75" style="6" customWidth="1"/>
    <col min="13" max="13" width="11.125" style="6" customWidth="1"/>
    <col min="14" max="14" width="12.875" style="6" customWidth="1"/>
    <col min="15" max="15" width="19.125" style="6" customWidth="1"/>
    <col min="16" max="16" width="9" style="6"/>
  </cols>
  <sheetData>
    <row r="1" ht="33" spans="1:15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8" t="s">
        <v>14</v>
      </c>
      <c r="B2" s="8" t="s">
        <v>4</v>
      </c>
      <c r="C2" s="8" t="s">
        <v>15</v>
      </c>
      <c r="D2" s="8" t="s">
        <v>16</v>
      </c>
      <c r="E2" s="8" t="s">
        <v>17</v>
      </c>
      <c r="F2" s="8" t="s">
        <v>18</v>
      </c>
      <c r="G2" s="8" t="s">
        <v>19</v>
      </c>
      <c r="H2" s="8" t="s">
        <v>0</v>
      </c>
      <c r="I2" s="8" t="s">
        <v>20</v>
      </c>
      <c r="J2" s="8" t="s">
        <v>21</v>
      </c>
      <c r="K2" s="8" t="s">
        <v>22</v>
      </c>
      <c r="L2" s="8" t="s">
        <v>3</v>
      </c>
      <c r="M2" s="8" t="s">
        <v>23</v>
      </c>
      <c r="N2" s="8" t="s">
        <v>24</v>
      </c>
      <c r="O2" s="8" t="s">
        <v>25</v>
      </c>
    </row>
    <row r="3" spans="1:1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>
      <c r="A4" s="9">
        <v>120001</v>
      </c>
      <c r="B4" s="10" t="s">
        <v>9</v>
      </c>
      <c r="C4" s="10" t="s">
        <v>26</v>
      </c>
      <c r="D4" s="10" t="s">
        <v>27</v>
      </c>
      <c r="E4" s="11" t="s">
        <v>28</v>
      </c>
      <c r="F4" s="10" t="str">
        <f>IF(MOD(MID(E4,17,1),2)=0,"女","男")</f>
        <v>女</v>
      </c>
      <c r="G4" s="12">
        <f>DATE(MID(E4,7,VLOOKUP(LEN(E4),{15,2;18,4},2,0)),MID(E4,VLOOKUP(LEN(E4),{15,9;18,11},2,0),2),MID(E4,VLOOKUP(LEN(E4),{15,11;18,13},2,0),2))</f>
        <v>29588</v>
      </c>
      <c r="H4" s="10" t="s">
        <v>29</v>
      </c>
      <c r="I4" s="10" t="s">
        <v>30</v>
      </c>
      <c r="J4" s="10" t="s">
        <v>31</v>
      </c>
      <c r="K4" s="10" t="s">
        <v>32</v>
      </c>
      <c r="L4" s="10" t="s">
        <v>5</v>
      </c>
      <c r="M4" s="17">
        <v>38492</v>
      </c>
      <c r="N4" s="10">
        <v>1372545675</v>
      </c>
      <c r="O4" s="18" t="s">
        <v>33</v>
      </c>
    </row>
    <row r="5" spans="1:15">
      <c r="A5" s="9">
        <v>120002</v>
      </c>
      <c r="B5" s="10" t="s">
        <v>9</v>
      </c>
      <c r="C5" s="10" t="s">
        <v>34</v>
      </c>
      <c r="D5" s="10" t="s">
        <v>35</v>
      </c>
      <c r="E5" s="11" t="s">
        <v>36</v>
      </c>
      <c r="F5" s="10" t="str">
        <f t="shared" ref="F5:F30" si="0">IF(MOD(MID(E5,17,1),2)=0,"女","男")</f>
        <v>女</v>
      </c>
      <c r="G5" s="12">
        <f>DATE(MID(E5,7,VLOOKUP(LEN(E5),{15,2;18,4},2,0)),MID(E5,VLOOKUP(LEN(E5),{15,9;18,11},2,0),2),MID(E5,VLOOKUP(LEN(E5),{15,11;18,13},2,0),2))</f>
        <v>30348</v>
      </c>
      <c r="H5" s="10" t="s">
        <v>29</v>
      </c>
      <c r="I5" s="10" t="s">
        <v>37</v>
      </c>
      <c r="J5" s="10" t="s">
        <v>31</v>
      </c>
      <c r="K5" s="10" t="s">
        <v>32</v>
      </c>
      <c r="L5" s="10" t="s">
        <v>6</v>
      </c>
      <c r="M5" s="17">
        <v>38502</v>
      </c>
      <c r="N5" s="10">
        <v>1382574486</v>
      </c>
      <c r="O5" s="18" t="s">
        <v>38</v>
      </c>
    </row>
    <row r="6" spans="1:15">
      <c r="A6" s="9">
        <v>120003</v>
      </c>
      <c r="B6" s="10" t="s">
        <v>9</v>
      </c>
      <c r="C6" s="10" t="s">
        <v>39</v>
      </c>
      <c r="D6" s="10" t="s">
        <v>40</v>
      </c>
      <c r="E6" s="11" t="s">
        <v>41</v>
      </c>
      <c r="F6" s="10" t="str">
        <f t="shared" si="0"/>
        <v>男</v>
      </c>
      <c r="G6" s="12">
        <f>DATE(MID(E6,7,VLOOKUP(LEN(E6),{15,2;18,4},2,0)),MID(E6,VLOOKUP(LEN(E6),{15,9;18,11},2,0),2),MID(E6,VLOOKUP(LEN(E6),{15,11;18,13},2,0),2))</f>
        <v>31846</v>
      </c>
      <c r="H6" s="10" t="s">
        <v>29</v>
      </c>
      <c r="I6" s="10" t="s">
        <v>42</v>
      </c>
      <c r="J6" s="10" t="s">
        <v>31</v>
      </c>
      <c r="K6" s="10" t="s">
        <v>43</v>
      </c>
      <c r="L6" s="10" t="s">
        <v>7</v>
      </c>
      <c r="M6" s="17">
        <v>38906</v>
      </c>
      <c r="N6" s="10">
        <v>1523654757</v>
      </c>
      <c r="O6" s="18" t="s">
        <v>44</v>
      </c>
    </row>
    <row r="7" spans="1:15">
      <c r="A7" s="9">
        <v>120004</v>
      </c>
      <c r="B7" s="10" t="s">
        <v>9</v>
      </c>
      <c r="C7" s="10" t="s">
        <v>45</v>
      </c>
      <c r="D7" s="10" t="s">
        <v>40</v>
      </c>
      <c r="E7" s="11" t="s">
        <v>46</v>
      </c>
      <c r="F7" s="10" t="str">
        <f t="shared" si="0"/>
        <v>男</v>
      </c>
      <c r="G7" s="12">
        <f>DATE(MID(E7,7,VLOOKUP(LEN(E7),{15,2;18,4},2,0)),MID(E7,VLOOKUP(LEN(E7),{15,9;18,11},2,0),2),MID(E7,VLOOKUP(LEN(E7),{15,11;18,13},2,0),2))</f>
        <v>31089</v>
      </c>
      <c r="H7" s="10" t="s">
        <v>29</v>
      </c>
      <c r="I7" s="10" t="s">
        <v>47</v>
      </c>
      <c r="J7" s="10" t="s">
        <v>31</v>
      </c>
      <c r="K7" s="10" t="s">
        <v>48</v>
      </c>
      <c r="L7" s="10" t="s">
        <v>5</v>
      </c>
      <c r="M7" s="17">
        <v>38906</v>
      </c>
      <c r="N7" s="10">
        <v>1536897454</v>
      </c>
      <c r="O7" s="18" t="s">
        <v>49</v>
      </c>
    </row>
    <row r="8" spans="1:15">
      <c r="A8" s="9">
        <v>120005</v>
      </c>
      <c r="B8" s="10" t="s">
        <v>9</v>
      </c>
      <c r="C8" s="10" t="s">
        <v>50</v>
      </c>
      <c r="D8" s="10" t="s">
        <v>40</v>
      </c>
      <c r="E8" s="11" t="s">
        <v>51</v>
      </c>
      <c r="F8" s="10" t="str">
        <f t="shared" si="0"/>
        <v>男</v>
      </c>
      <c r="G8" s="12">
        <f>DATE(MID(E8,7,VLOOKUP(LEN(E8),{15,2;18,4},2,0)),MID(E8,VLOOKUP(LEN(E8),{15,9;18,11},2,0),2),MID(E8,VLOOKUP(LEN(E8),{15,11;18,13},2,0),2))</f>
        <v>29629</v>
      </c>
      <c r="H8" s="10" t="s">
        <v>29</v>
      </c>
      <c r="I8" s="10" t="s">
        <v>52</v>
      </c>
      <c r="J8" s="10" t="s">
        <v>31</v>
      </c>
      <c r="K8" s="10" t="s">
        <v>32</v>
      </c>
      <c r="L8" s="10" t="s">
        <v>5</v>
      </c>
      <c r="M8" s="17">
        <v>39303</v>
      </c>
      <c r="N8" s="10">
        <v>1574687454</v>
      </c>
      <c r="O8" s="18" t="s">
        <v>53</v>
      </c>
    </row>
    <row r="9" spans="1:15">
      <c r="A9" s="9">
        <v>120006</v>
      </c>
      <c r="B9" s="10" t="s">
        <v>9</v>
      </c>
      <c r="C9" s="10" t="s">
        <v>54</v>
      </c>
      <c r="D9" s="10" t="s">
        <v>27</v>
      </c>
      <c r="E9" s="11" t="s">
        <v>55</v>
      </c>
      <c r="F9" s="10" t="str">
        <f t="shared" si="0"/>
        <v>女</v>
      </c>
      <c r="G9" s="12">
        <f>DATE(MID(E9,7,VLOOKUP(LEN(E9),{15,2;18,4},2,0)),MID(E9,VLOOKUP(LEN(E9),{15,9;18,11},2,0),2),MID(E9,VLOOKUP(LEN(E9),{15,11;18,13},2,0),2))</f>
        <v>32083</v>
      </c>
      <c r="H9" s="10" t="s">
        <v>29</v>
      </c>
      <c r="I9" s="10" t="s">
        <v>56</v>
      </c>
      <c r="J9" s="10" t="s">
        <v>31</v>
      </c>
      <c r="K9" s="10" t="s">
        <v>43</v>
      </c>
      <c r="L9" s="10" t="s">
        <v>6</v>
      </c>
      <c r="M9" s="17">
        <v>40027</v>
      </c>
      <c r="N9" s="10">
        <v>1596834575</v>
      </c>
      <c r="O9" s="18" t="s">
        <v>57</v>
      </c>
    </row>
    <row r="10" spans="1:15">
      <c r="A10" s="9">
        <v>120007</v>
      </c>
      <c r="B10" s="10" t="s">
        <v>9</v>
      </c>
      <c r="C10" s="10" t="s">
        <v>58</v>
      </c>
      <c r="D10" s="10" t="s">
        <v>40</v>
      </c>
      <c r="E10" s="11" t="s">
        <v>59</v>
      </c>
      <c r="F10" s="10" t="str">
        <f t="shared" si="0"/>
        <v>女</v>
      </c>
      <c r="G10" s="12">
        <f>DATE(MID(E10,7,VLOOKUP(LEN(E10),{15,2;18,4},2,0)),MID(E10,VLOOKUP(LEN(E10),{15,9;18,11},2,0),2),MID(E10,VLOOKUP(LEN(E10),{15,11;18,13},2,0),2))</f>
        <v>30653</v>
      </c>
      <c r="H10" s="10" t="s">
        <v>29</v>
      </c>
      <c r="I10" s="10" t="s">
        <v>56</v>
      </c>
      <c r="J10" s="10" t="s">
        <v>31</v>
      </c>
      <c r="K10" s="10" t="s">
        <v>48</v>
      </c>
      <c r="L10" s="10" t="s">
        <v>7</v>
      </c>
      <c r="M10" s="17">
        <v>40030</v>
      </c>
      <c r="N10" s="10">
        <v>1535247865</v>
      </c>
      <c r="O10" s="19" t="s">
        <v>60</v>
      </c>
    </row>
    <row r="11" spans="1:15">
      <c r="A11" s="9">
        <v>120008</v>
      </c>
      <c r="B11" s="10" t="s">
        <v>9</v>
      </c>
      <c r="C11" s="10" t="s">
        <v>61</v>
      </c>
      <c r="D11" s="10" t="s">
        <v>40</v>
      </c>
      <c r="E11" s="11" t="s">
        <v>62</v>
      </c>
      <c r="F11" s="10" t="str">
        <f t="shared" si="0"/>
        <v>男</v>
      </c>
      <c r="G11" s="12">
        <f>DATE(MID(E11,7,VLOOKUP(LEN(E11),{15,2;18,4},2,0)),MID(E11,VLOOKUP(LEN(E11),{15,9;18,11},2,0),2),MID(E11,VLOOKUP(LEN(E11),{15,11;18,13},2,0),2))</f>
        <v>32119</v>
      </c>
      <c r="H11" s="10" t="s">
        <v>29</v>
      </c>
      <c r="I11" s="10" t="s">
        <v>63</v>
      </c>
      <c r="J11" s="10" t="s">
        <v>31</v>
      </c>
      <c r="K11" s="10" t="s">
        <v>43</v>
      </c>
      <c r="L11" s="10" t="s">
        <v>7</v>
      </c>
      <c r="M11" s="17">
        <v>39874</v>
      </c>
      <c r="N11" s="10">
        <v>1553562441</v>
      </c>
      <c r="O11" s="19" t="s">
        <v>64</v>
      </c>
    </row>
    <row r="12" spans="1:15">
      <c r="A12" s="9">
        <v>120009</v>
      </c>
      <c r="B12" s="10" t="s">
        <v>9</v>
      </c>
      <c r="C12" s="10" t="s">
        <v>65</v>
      </c>
      <c r="D12" s="10" t="s">
        <v>35</v>
      </c>
      <c r="E12" s="11" t="s">
        <v>66</v>
      </c>
      <c r="F12" s="10" t="str">
        <f t="shared" si="0"/>
        <v>男</v>
      </c>
      <c r="G12" s="12">
        <f>DATE(MID(E12,7,VLOOKUP(LEN(E12),{15,2;18,4},2,0)),MID(E12,VLOOKUP(LEN(E12),{15,9;18,11},2,0),2),MID(E12,VLOOKUP(LEN(E12),{15,11;18,13},2,0),2))</f>
        <v>32124</v>
      </c>
      <c r="H12" s="10" t="s">
        <v>29</v>
      </c>
      <c r="I12" s="10" t="s">
        <v>63</v>
      </c>
      <c r="J12" s="10" t="s">
        <v>31</v>
      </c>
      <c r="K12" s="10" t="s">
        <v>48</v>
      </c>
      <c r="L12" s="10" t="s">
        <v>5</v>
      </c>
      <c r="M12" s="17">
        <v>40002</v>
      </c>
      <c r="N12" s="10">
        <v>1396857554</v>
      </c>
      <c r="O12" s="18" t="s">
        <v>67</v>
      </c>
    </row>
    <row r="13" spans="1:15">
      <c r="A13" s="9">
        <v>120010</v>
      </c>
      <c r="B13" s="10" t="s">
        <v>9</v>
      </c>
      <c r="C13" s="10" t="s">
        <v>68</v>
      </c>
      <c r="D13" s="10" t="s">
        <v>35</v>
      </c>
      <c r="E13" s="11" t="s">
        <v>69</v>
      </c>
      <c r="F13" s="10" t="str">
        <f t="shared" si="0"/>
        <v>男</v>
      </c>
      <c r="G13" s="12">
        <f>DATE(MID(E13,7,VLOOKUP(LEN(E13),{15,2;18,4},2,0)),MID(E13,VLOOKUP(LEN(E13),{15,9;18,11},2,0),2),MID(E13,VLOOKUP(LEN(E13),{15,11;18,13},2,0),2))</f>
        <v>30675</v>
      </c>
      <c r="H13" s="10" t="s">
        <v>29</v>
      </c>
      <c r="I13" s="10" t="s">
        <v>70</v>
      </c>
      <c r="J13" s="10" t="s">
        <v>31</v>
      </c>
      <c r="K13" s="10" t="s">
        <v>32</v>
      </c>
      <c r="L13" s="10" t="s">
        <v>5</v>
      </c>
      <c r="M13" s="17">
        <v>40273</v>
      </c>
      <c r="N13" s="10">
        <v>1526587474</v>
      </c>
      <c r="O13" s="18" t="s">
        <v>71</v>
      </c>
    </row>
    <row r="14" spans="1:15">
      <c r="A14" s="9">
        <v>120011</v>
      </c>
      <c r="B14" s="10" t="s">
        <v>10</v>
      </c>
      <c r="C14" s="10" t="s">
        <v>72</v>
      </c>
      <c r="D14" s="10" t="s">
        <v>73</v>
      </c>
      <c r="E14" s="11" t="s">
        <v>74</v>
      </c>
      <c r="F14" s="10" t="str">
        <f t="shared" si="0"/>
        <v>男</v>
      </c>
      <c r="G14" s="12">
        <f>DATE(MID(E14,7,VLOOKUP(LEN(E14),{15,2;18,4},2,0)),MID(E14,VLOOKUP(LEN(E14),{15,9;18,11},2,0),2),MID(E14,VLOOKUP(LEN(E14),{15,11;18,13},2,0),2))</f>
        <v>32086</v>
      </c>
      <c r="H14" s="10" t="s">
        <v>29</v>
      </c>
      <c r="I14" s="10" t="s">
        <v>75</v>
      </c>
      <c r="J14" s="10" t="s">
        <v>76</v>
      </c>
      <c r="K14" s="10" t="s">
        <v>77</v>
      </c>
      <c r="L14" s="10" t="s">
        <v>5</v>
      </c>
      <c r="M14" s="17">
        <v>40367</v>
      </c>
      <c r="N14" s="10">
        <v>1527897485</v>
      </c>
      <c r="O14" s="18" t="s">
        <v>78</v>
      </c>
    </row>
    <row r="15" spans="1:15">
      <c r="A15" s="9">
        <v>130012</v>
      </c>
      <c r="B15" s="10" t="s">
        <v>10</v>
      </c>
      <c r="C15" s="10" t="s">
        <v>79</v>
      </c>
      <c r="D15" s="10" t="s">
        <v>80</v>
      </c>
      <c r="E15" s="11" t="s">
        <v>81</v>
      </c>
      <c r="F15" s="10" t="str">
        <f t="shared" si="0"/>
        <v>女</v>
      </c>
      <c r="G15" s="12">
        <f>DATE(MID(E15,7,VLOOKUP(LEN(E15),{15,2;18,4},2,0)),MID(E15,VLOOKUP(LEN(E15),{15,9;18,11},2,0),2),MID(E15,VLOOKUP(LEN(E15),{15,11;18,13},2,0),2))</f>
        <v>30360</v>
      </c>
      <c r="H15" s="10" t="s">
        <v>29</v>
      </c>
      <c r="I15" s="10" t="s">
        <v>82</v>
      </c>
      <c r="J15" s="10" t="s">
        <v>31</v>
      </c>
      <c r="K15" s="10" t="s">
        <v>43</v>
      </c>
      <c r="L15" s="10" t="s">
        <v>6</v>
      </c>
      <c r="M15" s="17">
        <v>39772</v>
      </c>
      <c r="N15" s="10">
        <v>1554857487</v>
      </c>
      <c r="O15" s="18" t="s">
        <v>83</v>
      </c>
    </row>
    <row r="16" spans="1:15">
      <c r="A16" s="9">
        <v>130013</v>
      </c>
      <c r="B16" s="10" t="s">
        <v>10</v>
      </c>
      <c r="C16" s="10" t="s">
        <v>84</v>
      </c>
      <c r="D16" s="10" t="s">
        <v>73</v>
      </c>
      <c r="E16" s="11" t="s">
        <v>85</v>
      </c>
      <c r="F16" s="10" t="str">
        <f t="shared" si="0"/>
        <v>女</v>
      </c>
      <c r="G16" s="12">
        <f>DATE(MID(E16,7,VLOOKUP(LEN(E16),{15,2;18,4},2,0)),MID(E16,VLOOKUP(LEN(E16),{15,9;18,11},2,0),2),MID(E16,VLOOKUP(LEN(E16),{15,11;18,13},2,0),2))</f>
        <v>33605</v>
      </c>
      <c r="H16" s="10" t="s">
        <v>29</v>
      </c>
      <c r="I16" s="10" t="s">
        <v>86</v>
      </c>
      <c r="J16" s="10" t="s">
        <v>31</v>
      </c>
      <c r="K16" s="10" t="s">
        <v>32</v>
      </c>
      <c r="L16" s="10" t="s">
        <v>5</v>
      </c>
      <c r="M16" s="17">
        <v>40242</v>
      </c>
      <c r="N16" s="10">
        <v>1532574487</v>
      </c>
      <c r="O16" s="18" t="s">
        <v>87</v>
      </c>
    </row>
    <row r="17" spans="1:15">
      <c r="A17" s="9">
        <v>130014</v>
      </c>
      <c r="B17" s="10" t="s">
        <v>10</v>
      </c>
      <c r="C17" s="10" t="s">
        <v>88</v>
      </c>
      <c r="D17" s="10" t="s">
        <v>73</v>
      </c>
      <c r="E17" s="11" t="s">
        <v>89</v>
      </c>
      <c r="F17" s="10" t="str">
        <f t="shared" si="0"/>
        <v>男</v>
      </c>
      <c r="G17" s="12">
        <f>DATE(MID(E17,7,VLOOKUP(LEN(E17),{15,2;18,4},2,0)),MID(E17,VLOOKUP(LEN(E17),{15,9;18,11},2,0),2),MID(E17,VLOOKUP(LEN(E17),{15,11;18,13},2,0),2))</f>
        <v>29954</v>
      </c>
      <c r="H17" s="10" t="s">
        <v>90</v>
      </c>
      <c r="I17" s="10" t="s">
        <v>91</v>
      </c>
      <c r="J17" s="10" t="s">
        <v>76</v>
      </c>
      <c r="K17" s="10" t="s">
        <v>32</v>
      </c>
      <c r="L17" s="10" t="s">
        <v>5</v>
      </c>
      <c r="M17" s="17">
        <v>40367</v>
      </c>
      <c r="N17" s="10">
        <v>1589685744</v>
      </c>
      <c r="O17" s="18" t="s">
        <v>92</v>
      </c>
    </row>
    <row r="18" spans="1:15">
      <c r="A18" s="9">
        <v>130015</v>
      </c>
      <c r="B18" s="10" t="s">
        <v>10</v>
      </c>
      <c r="C18" s="10" t="s">
        <v>93</v>
      </c>
      <c r="D18" s="10" t="s">
        <v>73</v>
      </c>
      <c r="E18" s="11" t="s">
        <v>94</v>
      </c>
      <c r="F18" s="10" t="str">
        <f t="shared" si="0"/>
        <v>男</v>
      </c>
      <c r="G18" s="12">
        <f>DATE(MID(E18,7,VLOOKUP(LEN(E18),{15,2;18,4},2,0)),MID(E18,VLOOKUP(LEN(E18),{15,9;18,11},2,0),2),MID(E18,VLOOKUP(LEN(E18),{15,11;18,13},2,0),2))</f>
        <v>30328</v>
      </c>
      <c r="H18" s="10" t="s">
        <v>95</v>
      </c>
      <c r="I18" s="10" t="s">
        <v>91</v>
      </c>
      <c r="J18" s="10" t="s">
        <v>31</v>
      </c>
      <c r="K18" s="10" t="s">
        <v>48</v>
      </c>
      <c r="L18" s="10" t="s">
        <v>5</v>
      </c>
      <c r="M18" s="17">
        <v>40334</v>
      </c>
      <c r="N18" s="10">
        <v>1574856687</v>
      </c>
      <c r="O18" s="18" t="s">
        <v>96</v>
      </c>
    </row>
    <row r="19" spans="1:15">
      <c r="A19" s="9">
        <v>130016</v>
      </c>
      <c r="B19" s="10" t="s">
        <v>10</v>
      </c>
      <c r="C19" s="10" t="s">
        <v>97</v>
      </c>
      <c r="D19" s="10" t="s">
        <v>73</v>
      </c>
      <c r="E19" s="11" t="s">
        <v>98</v>
      </c>
      <c r="F19" s="10" t="str">
        <f t="shared" si="0"/>
        <v>女</v>
      </c>
      <c r="G19" s="12">
        <f>DATE(MID(E19,7,VLOOKUP(LEN(E19),{15,2;18,4},2,0)),MID(E19,VLOOKUP(LEN(E19),{15,9;18,11},2,0),2),MID(E19,VLOOKUP(LEN(E19),{15,11;18,13},2,0),2))</f>
        <v>30653</v>
      </c>
      <c r="H19" s="10" t="s">
        <v>99</v>
      </c>
      <c r="I19" s="10" t="s">
        <v>91</v>
      </c>
      <c r="J19" s="10" t="s">
        <v>31</v>
      </c>
      <c r="K19" s="10" t="s">
        <v>48</v>
      </c>
      <c r="L19" s="10" t="s">
        <v>5</v>
      </c>
      <c r="M19" s="17">
        <v>40300</v>
      </c>
      <c r="N19" s="10">
        <v>1532654477</v>
      </c>
      <c r="O19" s="18" t="s">
        <v>100</v>
      </c>
    </row>
    <row r="20" spans="1:15">
      <c r="A20" s="9">
        <v>130017</v>
      </c>
      <c r="B20" s="10" t="s">
        <v>10</v>
      </c>
      <c r="C20" s="10" t="s">
        <v>101</v>
      </c>
      <c r="D20" s="10" t="s">
        <v>73</v>
      </c>
      <c r="E20" s="11" t="s">
        <v>102</v>
      </c>
      <c r="F20" s="10" t="str">
        <f t="shared" si="0"/>
        <v>女</v>
      </c>
      <c r="G20" s="12">
        <f>DATE(MID(E20,7,VLOOKUP(LEN(E20),{15,2;18,4},2,0)),MID(E20,VLOOKUP(LEN(E20),{15,9;18,11},2,0),2),MID(E20,VLOOKUP(LEN(E20),{15,11;18,13},2,0),2))</f>
        <v>27213</v>
      </c>
      <c r="H20" s="10" t="s">
        <v>103</v>
      </c>
      <c r="I20" s="10" t="s">
        <v>104</v>
      </c>
      <c r="J20" s="10" t="s">
        <v>76</v>
      </c>
      <c r="K20" s="10" t="s">
        <v>77</v>
      </c>
      <c r="L20" s="10" t="s">
        <v>7</v>
      </c>
      <c r="M20" s="17">
        <v>40393</v>
      </c>
      <c r="N20" s="10">
        <v>1523657847</v>
      </c>
      <c r="O20" s="18" t="s">
        <v>105</v>
      </c>
    </row>
    <row r="21" spans="1:15">
      <c r="A21" s="9">
        <v>140018</v>
      </c>
      <c r="B21" s="10" t="s">
        <v>11</v>
      </c>
      <c r="C21" s="10" t="s">
        <v>106</v>
      </c>
      <c r="D21" s="10" t="s">
        <v>107</v>
      </c>
      <c r="E21" s="11" t="s">
        <v>108</v>
      </c>
      <c r="F21" s="10" t="str">
        <f t="shared" si="0"/>
        <v>男</v>
      </c>
      <c r="G21" s="12">
        <f>DATE(MID(E21,7,VLOOKUP(LEN(E21),{15,2;18,4},2,0)),MID(E21,VLOOKUP(LEN(E21),{15,9;18,11},2,0),2),MID(E21,VLOOKUP(LEN(E21),{15,11;18,13},2,0),2))</f>
        <v>30499</v>
      </c>
      <c r="H21" s="10" t="s">
        <v>29</v>
      </c>
      <c r="I21" s="10" t="s">
        <v>104</v>
      </c>
      <c r="J21" s="10" t="s">
        <v>76</v>
      </c>
      <c r="K21" s="10" t="s">
        <v>32</v>
      </c>
      <c r="L21" s="10" t="s">
        <v>7</v>
      </c>
      <c r="M21" s="17">
        <v>39357</v>
      </c>
      <c r="N21" s="10">
        <v>1385967455</v>
      </c>
      <c r="O21" s="19" t="s">
        <v>109</v>
      </c>
    </row>
    <row r="22" spans="1:15">
      <c r="A22" s="9">
        <v>140019</v>
      </c>
      <c r="B22" s="10" t="s">
        <v>11</v>
      </c>
      <c r="C22" s="10" t="s">
        <v>110</v>
      </c>
      <c r="D22" s="10" t="s">
        <v>111</v>
      </c>
      <c r="E22" s="11" t="s">
        <v>112</v>
      </c>
      <c r="F22" s="10" t="str">
        <f t="shared" si="0"/>
        <v>男</v>
      </c>
      <c r="G22" s="12">
        <f>DATE(MID(E22,7,VLOOKUP(LEN(E22),{15,2;18,4},2,0)),MID(E22,VLOOKUP(LEN(E22),{15,9;18,11},2,0),2),MID(E22,VLOOKUP(LEN(E22),{15,11;18,13},2,0),2))</f>
        <v>30361</v>
      </c>
      <c r="H22" s="10" t="s">
        <v>29</v>
      </c>
      <c r="I22" s="10" t="s">
        <v>113</v>
      </c>
      <c r="J22" s="10" t="s">
        <v>31</v>
      </c>
      <c r="K22" s="10" t="s">
        <v>43</v>
      </c>
      <c r="L22" s="10" t="s">
        <v>5</v>
      </c>
      <c r="M22" s="17">
        <v>39388</v>
      </c>
      <c r="N22" s="10">
        <v>1363998574</v>
      </c>
      <c r="O22" s="18" t="s">
        <v>114</v>
      </c>
    </row>
    <row r="23" spans="1:15">
      <c r="A23" s="9">
        <v>140020</v>
      </c>
      <c r="B23" s="10" t="s">
        <v>11</v>
      </c>
      <c r="C23" s="10" t="s">
        <v>115</v>
      </c>
      <c r="D23" s="10" t="s">
        <v>111</v>
      </c>
      <c r="E23" s="11" t="s">
        <v>116</v>
      </c>
      <c r="F23" s="10" t="str">
        <f t="shared" si="0"/>
        <v>女</v>
      </c>
      <c r="G23" s="12">
        <f>DATE(MID(E23,7,VLOOKUP(LEN(E23),{15,2;18,4},2,0)),MID(E23,VLOOKUP(LEN(E23),{15,9;18,11},2,0),2),MID(E23,VLOOKUP(LEN(E23),{15,11;18,13},2,0),2))</f>
        <v>32135</v>
      </c>
      <c r="H23" s="10" t="s">
        <v>29</v>
      </c>
      <c r="I23" s="10" t="s">
        <v>117</v>
      </c>
      <c r="J23" s="10" t="s">
        <v>31</v>
      </c>
      <c r="K23" s="10" t="s">
        <v>48</v>
      </c>
      <c r="L23" s="10" t="s">
        <v>5</v>
      </c>
      <c r="M23" s="17">
        <v>39027</v>
      </c>
      <c r="N23" s="10">
        <v>1378548967</v>
      </c>
      <c r="O23" s="18" t="s">
        <v>118</v>
      </c>
    </row>
    <row r="24" spans="1:15">
      <c r="A24" s="9">
        <v>140021</v>
      </c>
      <c r="B24" s="10" t="s">
        <v>11</v>
      </c>
      <c r="C24" s="10" t="s">
        <v>119</v>
      </c>
      <c r="D24" s="10" t="s">
        <v>111</v>
      </c>
      <c r="E24" s="11" t="s">
        <v>120</v>
      </c>
      <c r="F24" s="10" t="str">
        <f t="shared" si="0"/>
        <v>男</v>
      </c>
      <c r="G24" s="12">
        <f>DATE(MID(E24,7,VLOOKUP(LEN(E24),{15,2;18,4},2,0)),MID(E24,VLOOKUP(LEN(E24),{15,9;18,11},2,0),2),MID(E24,VLOOKUP(LEN(E24),{15,11;18,13},2,0),2))</f>
        <v>30362</v>
      </c>
      <c r="H24" s="10" t="s">
        <v>29</v>
      </c>
      <c r="I24" s="10" t="s">
        <v>63</v>
      </c>
      <c r="J24" s="10" t="s">
        <v>76</v>
      </c>
      <c r="K24" s="10" t="s">
        <v>77</v>
      </c>
      <c r="L24" s="10" t="s">
        <v>5</v>
      </c>
      <c r="M24" s="17">
        <v>39388</v>
      </c>
      <c r="N24" s="10">
        <v>1362564787</v>
      </c>
      <c r="O24" s="18" t="s">
        <v>121</v>
      </c>
    </row>
    <row r="25" spans="1:15">
      <c r="A25" s="9">
        <v>140022</v>
      </c>
      <c r="B25" s="10" t="s">
        <v>11</v>
      </c>
      <c r="C25" s="10" t="s">
        <v>122</v>
      </c>
      <c r="D25" s="10" t="s">
        <v>111</v>
      </c>
      <c r="E25" s="11" t="s">
        <v>123</v>
      </c>
      <c r="F25" s="10" t="str">
        <f t="shared" si="0"/>
        <v>男</v>
      </c>
      <c r="G25" s="12">
        <f>DATE(MID(E25,7,VLOOKUP(LEN(E25),{15,2;18,4},2,0)),MID(E25,VLOOKUP(LEN(E25),{15,9;18,11},2,0),2),MID(E25,VLOOKUP(LEN(E25),{15,11;18,13},2,0),2))</f>
        <v>31821</v>
      </c>
      <c r="H25" s="10" t="s">
        <v>90</v>
      </c>
      <c r="I25" s="10" t="s">
        <v>63</v>
      </c>
      <c r="J25" s="10" t="s">
        <v>31</v>
      </c>
      <c r="K25" s="10" t="s">
        <v>77</v>
      </c>
      <c r="L25" s="10" t="s">
        <v>6</v>
      </c>
      <c r="M25" s="17">
        <v>39027</v>
      </c>
      <c r="N25" s="10">
        <v>1345758525</v>
      </c>
      <c r="O25" s="18" t="s">
        <v>124</v>
      </c>
    </row>
    <row r="26" spans="1:15">
      <c r="A26" s="9">
        <v>140023</v>
      </c>
      <c r="B26" s="10" t="s">
        <v>12</v>
      </c>
      <c r="C26" s="10" t="s">
        <v>125</v>
      </c>
      <c r="D26" s="10" t="s">
        <v>111</v>
      </c>
      <c r="E26" s="11" t="s">
        <v>126</v>
      </c>
      <c r="F26" s="10" t="str">
        <f t="shared" si="0"/>
        <v>男</v>
      </c>
      <c r="G26" s="12">
        <f>DATE(MID(E26,7,VLOOKUP(LEN(E26),{15,2;18,4},2,0)),MID(E26,VLOOKUP(LEN(E26),{15,9;18,11},2,0),2),MID(E26,VLOOKUP(LEN(E26),{15,11;18,13},2,0),2))</f>
        <v>12895</v>
      </c>
      <c r="H26" s="10" t="s">
        <v>29</v>
      </c>
      <c r="I26" s="10" t="s">
        <v>63</v>
      </c>
      <c r="J26" s="10" t="s">
        <v>76</v>
      </c>
      <c r="K26" s="10" t="s">
        <v>48</v>
      </c>
      <c r="L26" s="10" t="s">
        <v>6</v>
      </c>
      <c r="M26" s="17">
        <v>39388</v>
      </c>
      <c r="N26" s="10">
        <v>1356897745</v>
      </c>
      <c r="O26" s="18" t="s">
        <v>127</v>
      </c>
    </row>
    <row r="27" spans="1:15">
      <c r="A27" s="9">
        <v>140024</v>
      </c>
      <c r="B27" s="10" t="s">
        <v>12</v>
      </c>
      <c r="C27" s="10" t="s">
        <v>128</v>
      </c>
      <c r="D27" s="10" t="s">
        <v>111</v>
      </c>
      <c r="E27" s="11" t="s">
        <v>129</v>
      </c>
      <c r="F27" s="10" t="str">
        <f t="shared" si="0"/>
        <v>男</v>
      </c>
      <c r="G27" s="12">
        <f>DATE(MID(E27,7,VLOOKUP(LEN(E27),{15,2;18,4},2,0)),MID(E27,VLOOKUP(LEN(E27),{15,9;18,11},2,0),2),MID(E27,VLOOKUP(LEN(E27),{15,11;18,13},2,0),2))</f>
        <v>31715</v>
      </c>
      <c r="H27" s="10" t="s">
        <v>95</v>
      </c>
      <c r="I27" s="10" t="s">
        <v>91</v>
      </c>
      <c r="J27" s="10" t="s">
        <v>76</v>
      </c>
      <c r="K27" s="10" t="s">
        <v>32</v>
      </c>
      <c r="L27" s="10" t="s">
        <v>7</v>
      </c>
      <c r="M27" s="17">
        <v>39818</v>
      </c>
      <c r="N27" s="10">
        <v>1362568874</v>
      </c>
      <c r="O27" s="18" t="s">
        <v>130</v>
      </c>
    </row>
    <row r="28" spans="1:15">
      <c r="A28" s="9">
        <v>140025</v>
      </c>
      <c r="B28" s="10" t="s">
        <v>12</v>
      </c>
      <c r="C28" s="10" t="s">
        <v>131</v>
      </c>
      <c r="D28" s="10" t="s">
        <v>111</v>
      </c>
      <c r="E28" s="11" t="s">
        <v>132</v>
      </c>
      <c r="F28" s="10" t="str">
        <f t="shared" si="0"/>
        <v>女</v>
      </c>
      <c r="G28" s="12">
        <f>DATE(MID(E28,7,VLOOKUP(LEN(E28),{15,2;18,4},2,0)),MID(E28,VLOOKUP(LEN(E28),{15,9;18,11},2,0),2),MID(E28,VLOOKUP(LEN(E28),{15,11;18,13},2,0),2))</f>
        <v>31749</v>
      </c>
      <c r="H28" s="10" t="s">
        <v>29</v>
      </c>
      <c r="I28" s="10" t="s">
        <v>82</v>
      </c>
      <c r="J28" s="10" t="s">
        <v>31</v>
      </c>
      <c r="K28" s="10" t="s">
        <v>32</v>
      </c>
      <c r="L28" s="10" t="s">
        <v>5</v>
      </c>
      <c r="M28" s="17">
        <v>39388</v>
      </c>
      <c r="N28" s="10">
        <v>1374585967</v>
      </c>
      <c r="O28" s="18" t="s">
        <v>133</v>
      </c>
    </row>
    <row r="29" spans="1:15">
      <c r="A29" s="9">
        <v>150026</v>
      </c>
      <c r="B29" s="10" t="s">
        <v>12</v>
      </c>
      <c r="C29" s="10" t="s">
        <v>134</v>
      </c>
      <c r="D29" s="10" t="s">
        <v>111</v>
      </c>
      <c r="E29" s="11" t="s">
        <v>135</v>
      </c>
      <c r="F29" s="10" t="str">
        <f t="shared" si="0"/>
        <v>女</v>
      </c>
      <c r="G29" s="12">
        <f>DATE(MID(E29,7,VLOOKUP(LEN(E29),{15,2;18,4},2,0)),MID(E29,VLOOKUP(LEN(E29),{15,9;18,11},2,0),2),MID(E29,VLOOKUP(LEN(E29),{15,11;18,13},2,0),2))</f>
        <v>32070</v>
      </c>
      <c r="H29" s="10" t="s">
        <v>29</v>
      </c>
      <c r="I29" s="10" t="s">
        <v>82</v>
      </c>
      <c r="J29" s="10" t="s">
        <v>31</v>
      </c>
      <c r="K29" s="10" t="s">
        <v>43</v>
      </c>
      <c r="L29" s="10" t="s">
        <v>5</v>
      </c>
      <c r="M29" s="17">
        <v>39027</v>
      </c>
      <c r="N29" s="10">
        <v>1368597485</v>
      </c>
      <c r="O29" s="18" t="s">
        <v>136</v>
      </c>
    </row>
    <row r="30" spans="1:15">
      <c r="A30" s="13">
        <v>150027</v>
      </c>
      <c r="B30" s="14" t="s">
        <v>12</v>
      </c>
      <c r="C30" s="14" t="s">
        <v>137</v>
      </c>
      <c r="D30" s="14" t="s">
        <v>107</v>
      </c>
      <c r="E30" s="15" t="s">
        <v>138</v>
      </c>
      <c r="F30" s="14" t="str">
        <f t="shared" si="0"/>
        <v>女</v>
      </c>
      <c r="G30" s="16">
        <f>DATE(MID(E30,7,VLOOKUP(LEN(E30),{15,2;18,4},2,0)),MID(E30,VLOOKUP(LEN(E30),{15,9;18,11},2,0),2),MID(E30,VLOOKUP(LEN(E30),{15,11;18,13},2,0),2))</f>
        <v>34010</v>
      </c>
      <c r="H30" s="14" t="s">
        <v>29</v>
      </c>
      <c r="I30" s="14" t="s">
        <v>82</v>
      </c>
      <c r="J30" s="14" t="s">
        <v>31</v>
      </c>
      <c r="K30" s="14" t="s">
        <v>77</v>
      </c>
      <c r="L30" s="14" t="s">
        <v>7</v>
      </c>
      <c r="M30" s="20">
        <v>39388</v>
      </c>
      <c r="N30" s="14">
        <v>1374857455</v>
      </c>
      <c r="O30" s="21" t="s">
        <v>139</v>
      </c>
    </row>
  </sheetData>
  <mergeCells count="16">
    <mergeCell ref="A1:O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</mergeCells>
  <conditionalFormatting sqref="A4:O30">
    <cfRule type="expression" dxfId="0" priority="1">
      <formula>OR(AND($F4="男",$K4="O"),$L4="大专")</formula>
    </cfRule>
  </conditionalFormatting>
  <hyperlinks>
    <hyperlink ref="O28" r:id="rId3" display="AB140025@126.com"/>
    <hyperlink ref="O29" r:id="rId4" display="AB150026@126.com"/>
    <hyperlink ref="O30" r:id="rId5" display="AB150027@126.com"/>
    <hyperlink ref="O27" r:id="rId6" display="AB140024@126.com"/>
    <hyperlink ref="O4" r:id="rId7" display="AB120001@126.com"/>
    <hyperlink ref="O5" r:id="rId8" display="AB120002@126.com"/>
    <hyperlink ref="O6" r:id="rId9" display="AB120003@126.com"/>
    <hyperlink ref="O7" r:id="rId10" display="AB120004@126.com"/>
    <hyperlink ref="O8" r:id="rId11" display="AB120005@126.com"/>
    <hyperlink ref="O9" r:id="rId12" display="AB120006@126.com"/>
    <hyperlink ref="O10" r:id="rId13" display="AB120007@126.com"/>
    <hyperlink ref="O11" r:id="rId14" display="AB120008@126.com"/>
    <hyperlink ref="O12" r:id="rId15" display="AB120009@126.com"/>
    <hyperlink ref="O13" r:id="rId16" display="AB120010@126.com"/>
    <hyperlink ref="O14" r:id="rId17" display="AB120011@126.com"/>
    <hyperlink ref="O15" r:id="rId18" display="AB130012@126.com"/>
    <hyperlink ref="O16" r:id="rId19" display="AB130013@126.com"/>
    <hyperlink ref="O17" r:id="rId20" display="AB130014@126.com"/>
    <hyperlink ref="O18" r:id="rId21" display="AB130015@126.com"/>
    <hyperlink ref="O19" r:id="rId22" display="AB130016@126.com"/>
    <hyperlink ref="O20" r:id="rId23" display="AB130017@126.com"/>
    <hyperlink ref="O21" r:id="rId24" display="AB140018@126.com"/>
    <hyperlink ref="O22" r:id="rId25" display="AB140019@126.com"/>
    <hyperlink ref="O23" r:id="rId26" display="AB140020@126.com"/>
    <hyperlink ref="O24" r:id="rId27" display="AB140021@126.com"/>
    <hyperlink ref="O25" r:id="rId28" display="AB140022@126.com"/>
    <hyperlink ref="O26" r:id="rId29" display="AB140023@126.com"/>
  </hyperlinks>
  <printOptions horizontalCentered="1"/>
  <pageMargins left="0.590277777777778" right="0.393055555555556" top="0.786805555555556" bottom="0.984027777777778" header="0.298611111111111" footer="0.298611111111111"/>
  <pageSetup paperSize="9" orientation="portrait" horizontalDpi="6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8"/>
  <sheetViews>
    <sheetView workbookViewId="0">
      <selection activeCell="F12" sqref="F12"/>
    </sheetView>
  </sheetViews>
  <sheetFormatPr defaultColWidth="9" defaultRowHeight="13.5" outlineLevelRow="7" outlineLevelCol="5"/>
  <cols>
    <col min="1" max="1" width="10.875" customWidth="1"/>
    <col min="2" max="2" width="7.5" customWidth="1"/>
    <col min="3" max="3" width="10.25" customWidth="1"/>
    <col min="4" max="4" width="8.5" customWidth="1"/>
    <col min="5" max="5" width="8.625" customWidth="1"/>
    <col min="6" max="6" width="9.75" customWidth="1"/>
  </cols>
  <sheetData>
    <row r="1" ht="50.25" customHeight="1" spans="1:6">
      <c r="A1" s="1" t="s">
        <v>140</v>
      </c>
      <c r="B1" s="1"/>
      <c r="C1" s="1"/>
      <c r="D1" s="1"/>
      <c r="E1" s="1"/>
      <c r="F1" s="1"/>
    </row>
    <row r="2" ht="27" customHeight="1" spans="1:6">
      <c r="A2" s="2" t="s">
        <v>141</v>
      </c>
      <c r="B2" s="2" t="s">
        <v>142</v>
      </c>
      <c r="C2" s="2"/>
      <c r="D2" s="2" t="s">
        <v>3</v>
      </c>
      <c r="E2" s="2"/>
      <c r="F2" s="2"/>
    </row>
    <row r="3" ht="27" customHeight="1" spans="1:6">
      <c r="A3" s="2"/>
      <c r="B3" s="2" t="s">
        <v>142</v>
      </c>
      <c r="C3" s="2" t="s">
        <v>143</v>
      </c>
      <c r="D3" s="2" t="s">
        <v>6</v>
      </c>
      <c r="E3" s="2" t="s">
        <v>5</v>
      </c>
      <c r="F3" s="2" t="s">
        <v>7</v>
      </c>
    </row>
    <row r="4" ht="27.75" customHeight="1" spans="1:6">
      <c r="A4" s="3" t="s">
        <v>9</v>
      </c>
      <c r="B4" s="4">
        <f>COUNTIF(员工资料统计表!$B$2:$B$30,A4)</f>
        <v>10</v>
      </c>
      <c r="C4" s="5">
        <f>B4/COUNT(员工资料统计表!$A$4:$A$30)</f>
        <v>0.37037037037037</v>
      </c>
      <c r="D4" s="4">
        <f>COUNTIFS(员工资料统计表!$B$4:$B$30,$A4,员工资料统计表!$L$4:$L$30,$D$3)</f>
        <v>2</v>
      </c>
      <c r="E4" s="4">
        <f>COUNTIFS(员工资料统计表!$B$4:$B$30,$A4,员工资料统计表!$L$4:$L$30,E$3)</f>
        <v>5</v>
      </c>
      <c r="F4" s="4">
        <f>COUNTIFS(员工资料统计表!$B$4:$B$30,$A4,员工资料统计表!$L$4:$L$30,F$3)</f>
        <v>3</v>
      </c>
    </row>
    <row r="5" ht="27.75" customHeight="1" spans="1:6">
      <c r="A5" s="3" t="s">
        <v>10</v>
      </c>
      <c r="B5" s="4">
        <f>COUNTIF(员工资料统计表!$B$2:$B$30,A5)</f>
        <v>7</v>
      </c>
      <c r="C5" s="5">
        <f>B5/COUNT(员工资料统计表!$A$4:$A$30)</f>
        <v>0.259259259259259</v>
      </c>
      <c r="D5" s="4">
        <f>COUNTIFS(员工资料统计表!$B$4:$B$30,$A5,员工资料统计表!$L$4:$L$30,$D$3)</f>
        <v>1</v>
      </c>
      <c r="E5" s="4">
        <f>COUNTIFS(员工资料统计表!$B$4:$B$30,$A5,员工资料统计表!$L$4:$L$30,E$3)</f>
        <v>5</v>
      </c>
      <c r="F5" s="4">
        <f>COUNTIFS(员工资料统计表!$B$4:$B$30,$A5,员工资料统计表!$L$4:$L$30,F$3)</f>
        <v>1</v>
      </c>
    </row>
    <row r="6" ht="27.75" customHeight="1" spans="1:6">
      <c r="A6" s="3" t="s">
        <v>11</v>
      </c>
      <c r="B6" s="4">
        <f>COUNTIF(员工资料统计表!$B$2:$B$30,A6)</f>
        <v>5</v>
      </c>
      <c r="C6" s="5">
        <f>B6/COUNT(员工资料统计表!$A$4:$A$30)</f>
        <v>0.185185185185185</v>
      </c>
      <c r="D6" s="4">
        <f>COUNTIFS(员工资料统计表!$B$4:$B$30,$A6,员工资料统计表!$L$4:$L$30,$D$3)</f>
        <v>1</v>
      </c>
      <c r="E6" s="4">
        <f>COUNTIFS(员工资料统计表!$B$4:$B$30,$A6,员工资料统计表!$L$4:$L$30,E$3)</f>
        <v>3</v>
      </c>
      <c r="F6" s="4">
        <f>COUNTIFS(员工资料统计表!$B$4:$B$30,$A6,员工资料统计表!$L$4:$L$30,F$3)</f>
        <v>1</v>
      </c>
    </row>
    <row r="7" ht="27.75" customHeight="1" spans="1:6">
      <c r="A7" s="3" t="s">
        <v>12</v>
      </c>
      <c r="B7" s="4">
        <f>COUNTIF(员工资料统计表!$B$2:$B$30,A7)</f>
        <v>5</v>
      </c>
      <c r="C7" s="5">
        <f>B7/COUNT(员工资料统计表!$A$4:$A$30)</f>
        <v>0.185185185185185</v>
      </c>
      <c r="D7" s="4">
        <f>COUNTIFS(员工资料统计表!$B$4:$B$30,$A7,员工资料统计表!$L$4:$L$30,$D$3)</f>
        <v>1</v>
      </c>
      <c r="E7" s="4">
        <f>COUNTIFS(员工资料统计表!$B$4:$B$30,$A7,员工资料统计表!$L$4:$L$30,E$3)</f>
        <v>2</v>
      </c>
      <c r="F7" s="4">
        <f>COUNTIFS(员工资料统计表!$B$4:$B$30,$A7,员工资料统计表!$L$4:$L$30,F$3)</f>
        <v>2</v>
      </c>
    </row>
    <row r="8" ht="23.25" customHeight="1"/>
  </sheetData>
  <mergeCells count="4">
    <mergeCell ref="A1:F1"/>
    <mergeCell ref="B2:C2"/>
    <mergeCell ref="D2:F2"/>
    <mergeCell ref="A2:A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图表统计</vt:lpstr>
      <vt:lpstr>员工资料统计表</vt:lpstr>
      <vt:lpstr>各部门员工资料统计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湖北技能高考-陈欢</cp:lastModifiedBy>
  <dcterms:created xsi:type="dcterms:W3CDTF">2010-10-11T01:40:00Z</dcterms:created>
  <dcterms:modified xsi:type="dcterms:W3CDTF">2025-09-22T06:24:25Z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806F4CDDC2204613A4909C0237D36FE5_13</vt:lpwstr>
  </property>
  <property fmtid="{D5CDD505-2E9C-101B-9397-08002B2CF9AE}" pid="3" name="KSOProductBuildVer">
    <vt:lpwstr>2052-12.1.0.15712</vt:lpwstr>
  </property>
</Properties>
</file>
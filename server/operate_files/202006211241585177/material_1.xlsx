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11745" windowHeight="6105"/>
  </bookViews>
  <sheets>
    <sheet name="啤酒销售情况表" sheetId="1" r:id="rId1"/>
  </sheets>
  <definedNames>
    <definedName name="啤酒销售情况" localSheetId="0">啤酒销售情况表!#REF!</definedName>
    <definedName name="最高工资">啤酒销售情况表!#REF!</definedName>
  </definedNames>
  <calcPr calcId="144525"/>
</workbook>
</file>

<file path=xl/calcChain.xml><?xml version="1.0" encoding="utf-8"?>
<calcChain xmlns="http://schemas.openxmlformats.org/spreadsheetml/2006/main">
  <c r="M6" i="1" l="1"/>
  <c r="M7" i="1"/>
  <c r="M8" i="1"/>
  <c r="M9" i="1"/>
  <c r="M10" i="1"/>
  <c r="M5" i="1"/>
  <c r="L6" i="1"/>
  <c r="L7" i="1"/>
  <c r="L8" i="1"/>
  <c r="L9" i="1"/>
  <c r="L10" i="1"/>
  <c r="L5" i="1"/>
</calcChain>
</file>

<file path=xl/sharedStrings.xml><?xml version="1.0" encoding="utf-8"?>
<sst xmlns="http://schemas.openxmlformats.org/spreadsheetml/2006/main" count="24" uniqueCount="24">
  <si>
    <t>品牌</t>
    <phoneticPr fontId="1" type="noConversion"/>
  </si>
  <si>
    <t>一周销售情况</t>
    <phoneticPr fontId="1" type="noConversion"/>
  </si>
  <si>
    <t>日</t>
    <phoneticPr fontId="1" type="noConversion"/>
  </si>
  <si>
    <t>一</t>
    <phoneticPr fontId="1" type="noConversion"/>
  </si>
  <si>
    <t>二</t>
    <phoneticPr fontId="1" type="noConversion"/>
  </si>
  <si>
    <t>三</t>
    <phoneticPr fontId="1" type="noConversion"/>
  </si>
  <si>
    <t>四</t>
    <phoneticPr fontId="1" type="noConversion"/>
  </si>
  <si>
    <t>五</t>
    <phoneticPr fontId="1" type="noConversion"/>
  </si>
  <si>
    <t>六</t>
    <phoneticPr fontId="1" type="noConversion"/>
  </si>
  <si>
    <t>生力</t>
    <phoneticPr fontId="1" type="noConversion"/>
  </si>
  <si>
    <t>珠江</t>
    <phoneticPr fontId="1" type="noConversion"/>
  </si>
  <si>
    <t>纯生</t>
    <phoneticPr fontId="1" type="noConversion"/>
  </si>
  <si>
    <t>山水</t>
    <phoneticPr fontId="1" type="noConversion"/>
  </si>
  <si>
    <t>蓝带</t>
    <phoneticPr fontId="1" type="noConversion"/>
  </si>
  <si>
    <t>蓝妹</t>
    <phoneticPr fontId="1" type="noConversion"/>
  </si>
  <si>
    <t>“为食家”大排档啤酒销售情况表</t>
    <phoneticPr fontId="1" type="noConversion"/>
  </si>
  <si>
    <t>进价
(元)</t>
    <phoneticPr fontId="1" type="noConversion"/>
  </si>
  <si>
    <t>进货
(瓶)</t>
    <phoneticPr fontId="1" type="noConversion"/>
  </si>
  <si>
    <t>售价
(元)</t>
    <phoneticPr fontId="1" type="noConversion"/>
  </si>
  <si>
    <t>本周销量
(瓶)</t>
    <phoneticPr fontId="1" type="noConversion"/>
  </si>
  <si>
    <t>库存
(瓶)</t>
    <phoneticPr fontId="1" type="noConversion"/>
  </si>
  <si>
    <t>营业额
(元)</t>
    <phoneticPr fontId="1" type="noConversion"/>
  </si>
  <si>
    <t>本周利润
(元)</t>
    <phoneticPr fontId="1" type="noConversion"/>
  </si>
  <si>
    <t>库存利润
(元)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</si>
</sst>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name val="宋体"/>
      <charset val="134"/>
    </font>
    <font>
      <sz val="9"/>
      <name val="宋体"/>
      <family val="3"/>
      <charset val="134"/>
    </font>
    <font>
      <sz val="11"/>
      <color rgb="FF9C6500"/>
      <name val="宋体"/>
      <family val="2"/>
      <charset val="134"/>
      <scheme val="minor"/>
    </font>
    <font>
      <b/>
      <sz val="24"/>
      <color rgb="FF9C6500"/>
      <name val="幼圆"/>
      <family val="3"/>
      <charset val="134"/>
    </font>
    <font>
      <b/>
      <sz val="12"/>
      <color rgb="FF002060"/>
      <name val="宋体"/>
      <family val="3"/>
      <charset val="134"/>
    </font>
    <font>
      <sz val="12"/>
      <color rgb="FF7030A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 style="double">
        <color rgb="FFFF00FF"/>
      </left>
      <right style="mediumDashDotDot">
        <color rgb="FFFF0000"/>
      </right>
      <top style="double">
        <color rgb="FFFF00FF"/>
      </top>
      <bottom style="mediumDashDotDot">
        <color rgb="FFFF0000"/>
      </bottom>
      <diagonal/>
    </border>
    <border>
      <left style="mediumDashDotDot">
        <color rgb="FFFF0000"/>
      </left>
      <right style="mediumDashDotDot">
        <color rgb="FFFF0000"/>
      </right>
      <top style="double">
        <color rgb="FFFF00FF"/>
      </top>
      <bottom style="mediumDashDotDot">
        <color rgb="FFFF0000"/>
      </bottom>
      <diagonal/>
    </border>
    <border>
      <left style="mediumDashDotDot">
        <color rgb="FFFF0000"/>
      </left>
      <right style="double">
        <color rgb="FFFF00FF"/>
      </right>
      <top style="double">
        <color rgb="FFFF00FF"/>
      </top>
      <bottom style="mediumDashDotDot">
        <color rgb="FFFF0000"/>
      </bottom>
      <diagonal/>
    </border>
    <border>
      <left style="double">
        <color rgb="FFFF00FF"/>
      </left>
      <right style="mediumDashDotDot">
        <color rgb="FFFF0000"/>
      </right>
      <top style="mediumDashDotDot">
        <color rgb="FFFF0000"/>
      </top>
      <bottom style="mediumDashDotDot">
        <color rgb="FFFF0000"/>
      </bottom>
      <diagonal/>
    </border>
    <border>
      <left style="mediumDashDotDot">
        <color rgb="FFFF0000"/>
      </left>
      <right style="mediumDashDotDot">
        <color rgb="FFFF0000"/>
      </right>
      <top style="mediumDashDotDot">
        <color rgb="FFFF0000"/>
      </top>
      <bottom style="mediumDashDotDot">
        <color rgb="FFFF0000"/>
      </bottom>
      <diagonal/>
    </border>
    <border>
      <left style="mediumDashDotDot">
        <color rgb="FFFF0000"/>
      </left>
      <right style="double">
        <color rgb="FFFF00FF"/>
      </right>
      <top style="mediumDashDotDot">
        <color rgb="FFFF0000"/>
      </top>
      <bottom style="mediumDashDotDot">
        <color rgb="FFFF0000"/>
      </bottom>
      <diagonal/>
    </border>
    <border>
      <left style="double">
        <color rgb="FFFF00FF"/>
      </left>
      <right style="mediumDashDotDot">
        <color rgb="FFFF0000"/>
      </right>
      <top style="mediumDashDotDot">
        <color rgb="FFFF0000"/>
      </top>
      <bottom style="double">
        <color rgb="FFFF00FF"/>
      </bottom>
      <diagonal/>
    </border>
    <border>
      <left style="mediumDashDotDot">
        <color rgb="FFFF0000"/>
      </left>
      <right style="mediumDashDotDot">
        <color rgb="FFFF0000"/>
      </right>
      <top style="mediumDashDotDot">
        <color rgb="FFFF0000"/>
      </top>
      <bottom style="double">
        <color rgb="FFFF00FF"/>
      </bottom>
      <diagonal/>
    </border>
    <border>
      <left style="mediumDashDotDot">
        <color rgb="FFFF0000"/>
      </left>
      <right style="double">
        <color rgb="FFFF00FF"/>
      </right>
      <top style="mediumDashDotDot">
        <color rgb="FFFF0000"/>
      </top>
      <bottom style="double">
        <color rgb="FFFF00FF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>
      <alignment vertical="center"/>
    </xf>
  </cellStyleXfs>
  <cellXfs count="27">
    <xf numFmtId="0" fontId="0" fillId="0" borderId="0" xfId="0"/>
    <xf numFmtId="0" fontId="0" fillId="0" borderId="0" xfId="0" applyAlignment="1">
      <alignment horizontal="center"/>
    </xf>
    <xf numFmtId="0" fontId="4" fillId="4" borderId="5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2" fontId="0" fillId="0" borderId="5" xfId="0" applyNumberForma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1" fontId="0" fillId="0" borderId="5" xfId="0" applyNumberFormat="1" applyFill="1" applyBorder="1" applyAlignment="1">
      <alignment horizontal="center"/>
    </xf>
    <xf numFmtId="2" fontId="5" fillId="7" borderId="5" xfId="0" applyNumberFormat="1" applyFont="1" applyFill="1" applyBorder="1" applyAlignment="1">
      <alignment horizontal="center"/>
    </xf>
    <xf numFmtId="2" fontId="5" fillId="7" borderId="6" xfId="0" applyNumberFormat="1" applyFon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2" fontId="0" fillId="0" borderId="8" xfId="0" applyNumberForma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1" fontId="0" fillId="0" borderId="8" xfId="0" applyNumberFormat="1" applyFill="1" applyBorder="1" applyAlignment="1">
      <alignment horizontal="center"/>
    </xf>
    <xf numFmtId="2" fontId="5" fillId="7" borderId="8" xfId="0" applyNumberFormat="1" applyFont="1" applyFill="1" applyBorder="1" applyAlignment="1">
      <alignment horizontal="center"/>
    </xf>
    <xf numFmtId="2" fontId="5" fillId="7" borderId="9" xfId="0" applyNumberFormat="1" applyFont="1" applyFill="1" applyBorder="1" applyAlignment="1">
      <alignment horizontal="center"/>
    </xf>
    <xf numFmtId="0" fontId="3" fillId="2" borderId="0" xfId="1" applyFont="1" applyAlignment="1">
      <alignment horizontal="center" vertical="center"/>
    </xf>
    <xf numFmtId="0" fontId="2" fillId="2" borderId="0" xfId="1" applyAlignment="1">
      <alignment horizontal="center" vertical="center"/>
    </xf>
    <xf numFmtId="0" fontId="2" fillId="2" borderId="0" xfId="1" applyBorder="1" applyAlignment="1">
      <alignment horizontal="center" vertical="center"/>
    </xf>
    <xf numFmtId="0" fontId="4" fillId="5" borderId="2" xfId="0" applyFont="1" applyFill="1" applyBorder="1" applyAlignment="1">
      <alignment horizontal="center" wrapText="1"/>
    </xf>
    <xf numFmtId="0" fontId="4" fillId="5" borderId="5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 wrapText="1"/>
    </xf>
    <xf numFmtId="0" fontId="4" fillId="5" borderId="6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</cellXfs>
  <cellStyles count="2">
    <cellStyle name="常规" xfId="0" builtinId="0"/>
    <cellStyle name="适中" xfId="1" builtinId="28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本周销售数量</a:t>
            </a:r>
            <a:endParaRPr lang="en-US" altLang="zh-CN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啤酒销售情况表!$L$3</c:f>
              <c:strCache>
                <c:ptCount val="1"/>
                <c:pt idx="0">
                  <c:v>本周销量
(瓶)</c:v>
                </c:pt>
              </c:strCache>
            </c:strRef>
          </c:tx>
          <c:spPr>
            <a:ln w="12700"/>
            <a:scene3d>
              <a:camera prst="orthographicFront"/>
              <a:lightRig rig="threePt" dir="t"/>
            </a:scene3d>
            <a:sp3d>
              <a:bevelT w="139700" h="139700" prst="divot"/>
            </a:sp3d>
          </c:spPr>
          <c:invertIfNegative val="0"/>
          <c:cat>
            <c:strRef>
              <c:f>啤酒销售情况表!$A$4:$A$10</c:f>
              <c:strCache>
                <c:ptCount val="7"/>
                <c:pt idx="1">
                  <c:v>生力</c:v>
                </c:pt>
                <c:pt idx="2">
                  <c:v>珠江</c:v>
                </c:pt>
                <c:pt idx="3">
                  <c:v>纯生</c:v>
                </c:pt>
                <c:pt idx="4">
                  <c:v>山水</c:v>
                </c:pt>
                <c:pt idx="5">
                  <c:v>蓝带</c:v>
                </c:pt>
                <c:pt idx="6">
                  <c:v>蓝妹</c:v>
                </c:pt>
              </c:strCache>
            </c:strRef>
          </c:cat>
          <c:val>
            <c:numRef>
              <c:f>啤酒销售情况表!$L$4:$L$10</c:f>
              <c:numCache>
                <c:formatCode>0</c:formatCode>
                <c:ptCount val="7"/>
                <c:pt idx="1">
                  <c:v>214</c:v>
                </c:pt>
                <c:pt idx="2">
                  <c:v>257</c:v>
                </c:pt>
                <c:pt idx="3">
                  <c:v>260</c:v>
                </c:pt>
                <c:pt idx="4">
                  <c:v>296</c:v>
                </c:pt>
                <c:pt idx="5">
                  <c:v>242</c:v>
                </c:pt>
                <c:pt idx="6">
                  <c:v>215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3076736"/>
        <c:axId val="227746944"/>
      </c:barChart>
      <c:catAx>
        <c:axId val="223076736"/>
        <c:scaling>
          <c:orientation val="minMax"/>
        </c:scaling>
        <c:delete val="0"/>
        <c:axPos val="b"/>
        <c:majorTickMark val="out"/>
        <c:minorTickMark val="none"/>
        <c:tickLblPos val="nextTo"/>
        <c:crossAx val="227746944"/>
        <c:crosses val="autoZero"/>
        <c:auto val="1"/>
        <c:lblAlgn val="ctr"/>
        <c:lblOffset val="100"/>
        <c:noMultiLvlLbl val="0"/>
      </c:catAx>
      <c:valAx>
        <c:axId val="2277469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30767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11</xdr:row>
      <xdr:rowOff>104775</xdr:rowOff>
    </xdr:from>
    <xdr:to>
      <xdr:col>8</xdr:col>
      <xdr:colOff>113625</xdr:colOff>
      <xdr:row>31</xdr:row>
      <xdr:rowOff>85275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tabSelected="1" workbookViewId="0">
      <selection activeCell="J23" sqref="J23"/>
    </sheetView>
  </sheetViews>
  <sheetFormatPr defaultRowHeight="14.25" x14ac:dyDescent="0.15"/>
  <sheetData>
    <row r="1" spans="1:16" ht="30" customHeight="1" x14ac:dyDescent="0.15">
      <c r="A1" s="15" t="s">
        <v>15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ht="14.25" customHeight="1" thickBot="1" x14ac:dyDescent="0.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1:16" ht="14.25" customHeight="1" thickTop="1" thickBot="1" x14ac:dyDescent="0.2">
      <c r="A3" s="22" t="s">
        <v>0</v>
      </c>
      <c r="B3" s="24" t="s">
        <v>16</v>
      </c>
      <c r="C3" s="24" t="s">
        <v>17</v>
      </c>
      <c r="D3" s="24" t="s">
        <v>18</v>
      </c>
      <c r="E3" s="26" t="s">
        <v>1</v>
      </c>
      <c r="F3" s="26"/>
      <c r="G3" s="26"/>
      <c r="H3" s="26"/>
      <c r="I3" s="26"/>
      <c r="J3" s="26"/>
      <c r="K3" s="26"/>
      <c r="L3" s="18" t="s">
        <v>19</v>
      </c>
      <c r="M3" s="18" t="s">
        <v>20</v>
      </c>
      <c r="N3" s="18" t="s">
        <v>21</v>
      </c>
      <c r="O3" s="18" t="s">
        <v>22</v>
      </c>
      <c r="P3" s="20" t="s">
        <v>23</v>
      </c>
    </row>
    <row r="4" spans="1:16" s="1" customFormat="1" ht="15" thickBot="1" x14ac:dyDescent="0.2">
      <c r="A4" s="23"/>
      <c r="B4" s="25"/>
      <c r="C4" s="25"/>
      <c r="D4" s="25"/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19"/>
      <c r="M4" s="19"/>
      <c r="N4" s="19"/>
      <c r="O4" s="19"/>
      <c r="P4" s="21"/>
    </row>
    <row r="5" spans="1:16" ht="15" thickBot="1" x14ac:dyDescent="0.2">
      <c r="A5" s="3" t="s">
        <v>9</v>
      </c>
      <c r="B5" s="4">
        <v>5</v>
      </c>
      <c r="C5" s="5">
        <v>250</v>
      </c>
      <c r="D5" s="4">
        <v>8</v>
      </c>
      <c r="E5" s="6">
        <v>50</v>
      </c>
      <c r="F5" s="6">
        <v>20</v>
      </c>
      <c r="G5" s="6">
        <v>23</v>
      </c>
      <c r="H5" s="6">
        <v>28</v>
      </c>
      <c r="I5" s="6">
        <v>33</v>
      </c>
      <c r="J5" s="6">
        <v>18</v>
      </c>
      <c r="K5" s="6">
        <v>42</v>
      </c>
      <c r="L5" s="6">
        <f>SUM(E5:K5)</f>
        <v>214</v>
      </c>
      <c r="M5" s="6">
        <f>C5-L5</f>
        <v>36</v>
      </c>
      <c r="N5" s="4"/>
      <c r="O5" s="7"/>
      <c r="P5" s="8"/>
    </row>
    <row r="6" spans="1:16" ht="15" thickBot="1" x14ac:dyDescent="0.2">
      <c r="A6" s="3" t="s">
        <v>10</v>
      </c>
      <c r="B6" s="4">
        <v>3</v>
      </c>
      <c r="C6" s="5">
        <v>300</v>
      </c>
      <c r="D6" s="4">
        <v>6</v>
      </c>
      <c r="E6" s="6">
        <v>62</v>
      </c>
      <c r="F6" s="6">
        <v>25</v>
      </c>
      <c r="G6" s="6">
        <v>26</v>
      </c>
      <c r="H6" s="6">
        <v>35</v>
      </c>
      <c r="I6" s="6">
        <v>31</v>
      </c>
      <c r="J6" s="6">
        <v>28</v>
      </c>
      <c r="K6" s="6">
        <v>50</v>
      </c>
      <c r="L6" s="6">
        <f t="shared" ref="L6:L10" si="0">SUM(E6:K6)</f>
        <v>257</v>
      </c>
      <c r="M6" s="6">
        <f t="shared" ref="M6:M10" si="1">C6-L6</f>
        <v>43</v>
      </c>
      <c r="N6" s="4"/>
      <c r="O6" s="7"/>
      <c r="P6" s="8"/>
    </row>
    <row r="7" spans="1:16" ht="15" thickBot="1" x14ac:dyDescent="0.2">
      <c r="A7" s="3" t="s">
        <v>11</v>
      </c>
      <c r="B7" s="4">
        <v>2</v>
      </c>
      <c r="C7" s="5">
        <v>300</v>
      </c>
      <c r="D7" s="4">
        <v>4</v>
      </c>
      <c r="E7" s="6">
        <v>68</v>
      </c>
      <c r="F7" s="6">
        <v>26</v>
      </c>
      <c r="G7" s="6">
        <v>24</v>
      </c>
      <c r="H7" s="6">
        <v>30</v>
      </c>
      <c r="I7" s="6">
        <v>33</v>
      </c>
      <c r="J7" s="6">
        <v>23</v>
      </c>
      <c r="K7" s="6">
        <v>56</v>
      </c>
      <c r="L7" s="6">
        <f t="shared" si="0"/>
        <v>260</v>
      </c>
      <c r="M7" s="6">
        <f t="shared" si="1"/>
        <v>40</v>
      </c>
      <c r="N7" s="4"/>
      <c r="O7" s="7"/>
      <c r="P7" s="8"/>
    </row>
    <row r="8" spans="1:16" ht="15" thickBot="1" x14ac:dyDescent="0.2">
      <c r="A8" s="3" t="s">
        <v>12</v>
      </c>
      <c r="B8" s="4">
        <v>1.8</v>
      </c>
      <c r="C8" s="5">
        <v>350</v>
      </c>
      <c r="D8" s="4">
        <v>3.5</v>
      </c>
      <c r="E8" s="6">
        <v>73</v>
      </c>
      <c r="F8" s="6">
        <v>28</v>
      </c>
      <c r="G8" s="6">
        <v>30</v>
      </c>
      <c r="H8" s="6">
        <v>33</v>
      </c>
      <c r="I8" s="6">
        <v>39</v>
      </c>
      <c r="J8" s="6">
        <v>26</v>
      </c>
      <c r="K8" s="6">
        <v>67</v>
      </c>
      <c r="L8" s="6">
        <f t="shared" si="0"/>
        <v>296</v>
      </c>
      <c r="M8" s="6">
        <f t="shared" si="1"/>
        <v>54</v>
      </c>
      <c r="N8" s="4"/>
      <c r="O8" s="7"/>
      <c r="P8" s="8"/>
    </row>
    <row r="9" spans="1:16" ht="15" thickBot="1" x14ac:dyDescent="0.2">
      <c r="A9" s="3" t="s">
        <v>13</v>
      </c>
      <c r="B9" s="4">
        <v>3.5</v>
      </c>
      <c r="C9" s="5">
        <v>300</v>
      </c>
      <c r="D9" s="4">
        <v>7</v>
      </c>
      <c r="E9" s="6">
        <v>53</v>
      </c>
      <c r="F9" s="6">
        <v>22</v>
      </c>
      <c r="G9" s="6">
        <v>25</v>
      </c>
      <c r="H9" s="6">
        <v>31</v>
      </c>
      <c r="I9" s="6">
        <v>36</v>
      </c>
      <c r="J9" s="6">
        <v>29</v>
      </c>
      <c r="K9" s="6">
        <v>46</v>
      </c>
      <c r="L9" s="6">
        <f t="shared" si="0"/>
        <v>242</v>
      </c>
      <c r="M9" s="6">
        <f t="shared" si="1"/>
        <v>58</v>
      </c>
      <c r="N9" s="4"/>
      <c r="O9" s="7"/>
      <c r="P9" s="8"/>
    </row>
    <row r="10" spans="1:16" ht="15" thickBot="1" x14ac:dyDescent="0.2">
      <c r="A10" s="9" t="s">
        <v>14</v>
      </c>
      <c r="B10" s="10">
        <v>4.5</v>
      </c>
      <c r="C10" s="11">
        <v>250</v>
      </c>
      <c r="D10" s="10">
        <v>8</v>
      </c>
      <c r="E10" s="12">
        <v>55</v>
      </c>
      <c r="F10" s="12">
        <v>18</v>
      </c>
      <c r="G10" s="12">
        <v>21</v>
      </c>
      <c r="H10" s="12">
        <v>26</v>
      </c>
      <c r="I10" s="12">
        <v>34</v>
      </c>
      <c r="J10" s="12">
        <v>22</v>
      </c>
      <c r="K10" s="12">
        <v>39</v>
      </c>
      <c r="L10" s="6">
        <f t="shared" si="0"/>
        <v>215</v>
      </c>
      <c r="M10" s="6">
        <f t="shared" si="1"/>
        <v>35</v>
      </c>
      <c r="N10" s="10"/>
      <c r="O10" s="13"/>
      <c r="P10" s="14"/>
    </row>
    <row r="11" spans="1:16" ht="15" thickTop="1" x14ac:dyDescent="0.15"/>
  </sheetData>
  <mergeCells count="11">
    <mergeCell ref="A1:P2"/>
    <mergeCell ref="L3:L4"/>
    <mergeCell ref="M3:M4"/>
    <mergeCell ref="N3:N4"/>
    <mergeCell ref="O3:O4"/>
    <mergeCell ref="P3:P4"/>
    <mergeCell ref="A3:A4"/>
    <mergeCell ref="B3:B4"/>
    <mergeCell ref="C3:C4"/>
    <mergeCell ref="D3:D4"/>
    <mergeCell ref="E3:K3"/>
  </mergeCells>
  <phoneticPr fontId="1" type="noConversion"/>
  <pageMargins left="0.74803149606299213" right="0.74803149606299213" top="0.98425196850393704" bottom="0.98425196850393704" header="0.51181102362204722" footer="0.51181102362204722"/>
  <pageSetup paperSize="9" orientation="landscape" horizontalDpi="2400" verticalDpi="24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啤酒销售情况表</vt:lpstr>
    </vt:vector>
  </TitlesOfParts>
  <Company>yw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ztf</dc:creator>
  <cp:lastModifiedBy>86133</cp:lastModifiedBy>
  <cp:lastPrinted>2002-12-02T12:13:43Z</cp:lastPrinted>
  <dcterms:created xsi:type="dcterms:W3CDTF">2002-12-02T11:04:22Z</dcterms:created>
  <dcterms:modified xsi:type="dcterms:W3CDTF">2021-05-31T07:28:06Z</dcterms:modified>
</cp:coreProperties>
</file>
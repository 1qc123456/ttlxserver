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15" windowHeight="10065" activeTab="4"/>
  </bookViews>
  <sheets>
    <sheet name="教师工资统计表" sheetId="1" r:id="rId1"/>
    <sheet name="Sheet2" sheetId="2" r:id="rId2"/>
    <sheet name="筛选" sheetId="3" r:id="rId3"/>
    <sheet name="分类汇总" sheetId="4" r:id="rId4"/>
    <sheet name="图表" sheetId="5" r:id="rId5"/>
  </sheets>
  <definedNames>
    <definedName name="_xlnm._FilterDatabase" localSheetId="1" hidden="1">Sheet2!$A$1:$I$39</definedName>
    <definedName name="_xlchart.v1.0" hidden="1">(分类汇总!$B$27,分类汇总!$B$39,分类汇总!$B$42)</definedName>
    <definedName name="_xlchart.v1.1" hidden="1">(分类汇总!$H$27,分类汇总!$H$39,分类汇总!$H$42)</definedName>
    <definedName name="_xlchart.v1.2" hidden="1">(分类汇总!$I$27,分类汇总!$I$39,分类汇总!$I$42)</definedName>
    <definedName name="_xlchart.v1.3" hidden="1">分类汇总!$H$1</definedName>
    <definedName name="_xlchart.v1.4" hidden="1">分类汇总!$I$1</definedName>
    <definedName name="_xlnm.Criteria" localSheetId="2">筛选!$A$1:$B$3</definedName>
    <definedName name="_xlnm.Extract" localSheetId="2">筛选!$A$10:$I$10</definedName>
  </definedNames>
  <calcPr calcId="144525"/>
</workbook>
</file>

<file path=xl/sharedStrings.xml><?xml version="1.0" encoding="utf-8"?>
<sst xmlns="http://schemas.openxmlformats.org/spreadsheetml/2006/main" count="280" uniqueCount="56">
  <si>
    <t>2020年教师工资统计表</t>
  </si>
  <si>
    <t>姓名</t>
  </si>
  <si>
    <t>职称</t>
  </si>
  <si>
    <t>基本工资</t>
  </si>
  <si>
    <t>加班津贴</t>
  </si>
  <si>
    <t>奖金</t>
  </si>
  <si>
    <t>扣款</t>
  </si>
  <si>
    <t>月课时</t>
  </si>
  <si>
    <t>实发工资</t>
  </si>
  <si>
    <t>褚梦佳</t>
  </si>
  <si>
    <t>讲师</t>
  </si>
  <si>
    <t>蔡敏梅</t>
  </si>
  <si>
    <t>助教</t>
  </si>
  <si>
    <t>赵林莉</t>
  </si>
  <si>
    <t>糜义杰</t>
  </si>
  <si>
    <t>周丽萍</t>
  </si>
  <si>
    <t>高级讲师</t>
  </si>
  <si>
    <t>王英</t>
  </si>
  <si>
    <t>陈子雅</t>
  </si>
  <si>
    <t>周文洁</t>
  </si>
  <si>
    <t>成立</t>
  </si>
  <si>
    <t>陈晖</t>
  </si>
  <si>
    <t>王玉芳</t>
  </si>
  <si>
    <t>邵艳</t>
  </si>
  <si>
    <t>殷岳峰</t>
  </si>
  <si>
    <t>董红</t>
  </si>
  <si>
    <t>王海霞</t>
  </si>
  <si>
    <t>闫静</t>
  </si>
  <si>
    <t>裴娟娟</t>
  </si>
  <si>
    <t>曹淤青</t>
  </si>
  <si>
    <t>毛翠柳</t>
  </si>
  <si>
    <t>胡云</t>
  </si>
  <si>
    <t>谢洁</t>
  </si>
  <si>
    <t>杨学胜</t>
  </si>
  <si>
    <t>强兆娣</t>
  </si>
  <si>
    <t>徐佳佳</t>
  </si>
  <si>
    <t>汤勇</t>
  </si>
  <si>
    <t>谢京平</t>
  </si>
  <si>
    <t>唐红霞</t>
  </si>
  <si>
    <t>顾荣荣</t>
  </si>
  <si>
    <t>钱继英</t>
  </si>
  <si>
    <t>丁明亚</t>
  </si>
  <si>
    <t>刘雪云</t>
  </si>
  <si>
    <t>刁英英</t>
  </si>
  <si>
    <t>吴海洋</t>
  </si>
  <si>
    <t>蒋正明</t>
  </si>
  <si>
    <t>陶霞芳</t>
  </si>
  <si>
    <t>周洁明</t>
  </si>
  <si>
    <t>许远</t>
  </si>
  <si>
    <t>夏可利</t>
  </si>
  <si>
    <t>课时工资</t>
  </si>
  <si>
    <t>&gt;7200</t>
  </si>
  <si>
    <t>助教 平均值</t>
  </si>
  <si>
    <t>讲师 平均值</t>
  </si>
  <si>
    <t>高级讲师 平均值</t>
  </si>
  <si>
    <t>总计平均值</t>
  </si>
</sst>
</file>

<file path=xl/styles.xml><?xml version="1.0" encoding="utf-8"?>
<styleSheet xmlns="http://schemas.openxmlformats.org/spreadsheetml/2006/main" xmlns:xr9="http://schemas.microsoft.com/office/spreadsheetml/2016/revision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2"/>
      <color rgb="FFFF0000"/>
      <name val="微软雅黑"/>
      <charset val="134"/>
    </font>
    <font>
      <sz val="12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ck">
        <color rgb="FFFF0000"/>
      </left>
      <right style="double">
        <color rgb="FF7030A0"/>
      </right>
      <top style="thick">
        <color rgb="FFFF0000"/>
      </top>
      <bottom style="double">
        <color rgb="FF7030A0"/>
      </bottom>
      <diagonal/>
    </border>
    <border>
      <left style="double">
        <color rgb="FF7030A0"/>
      </left>
      <right style="double">
        <color rgb="FF7030A0"/>
      </right>
      <top style="thick">
        <color rgb="FFFF0000"/>
      </top>
      <bottom style="double">
        <color rgb="FF7030A0"/>
      </bottom>
      <diagonal/>
    </border>
    <border>
      <left style="thick">
        <color rgb="FFFF0000"/>
      </left>
      <right style="double">
        <color rgb="FF7030A0"/>
      </right>
      <top style="double">
        <color rgb="FF7030A0"/>
      </top>
      <bottom style="double">
        <color rgb="FF7030A0"/>
      </bottom>
      <diagonal/>
    </border>
    <border>
      <left style="double">
        <color rgb="FF7030A0"/>
      </left>
      <right style="double">
        <color rgb="FF7030A0"/>
      </right>
      <top style="double">
        <color rgb="FF7030A0"/>
      </top>
      <bottom style="double">
        <color rgb="FF7030A0"/>
      </bottom>
      <diagonal/>
    </border>
    <border>
      <left style="thick">
        <color rgb="FFFF0000"/>
      </left>
      <right style="double">
        <color rgb="FF7030A0"/>
      </right>
      <top style="double">
        <color rgb="FF7030A0"/>
      </top>
      <bottom style="thick">
        <color rgb="FFFF0000"/>
      </bottom>
      <diagonal/>
    </border>
    <border>
      <left style="double">
        <color rgb="FF7030A0"/>
      </left>
      <right style="double">
        <color rgb="FF7030A0"/>
      </right>
      <top style="double">
        <color rgb="FF7030A0"/>
      </top>
      <bottom style="thick">
        <color rgb="FFFF0000"/>
      </bottom>
      <diagonal/>
    </border>
    <border>
      <left style="double">
        <color rgb="FF7030A0"/>
      </left>
      <right style="thick">
        <color rgb="FFFF0000"/>
      </right>
      <top style="thick">
        <color rgb="FFFF0000"/>
      </top>
      <bottom style="double">
        <color rgb="FF7030A0"/>
      </bottom>
      <diagonal/>
    </border>
    <border>
      <left style="double">
        <color rgb="FF7030A0"/>
      </left>
      <right style="thick">
        <color rgb="FFFF0000"/>
      </right>
      <top style="double">
        <color rgb="FF7030A0"/>
      </top>
      <bottom style="double">
        <color rgb="FF7030A0"/>
      </bottom>
      <diagonal/>
    </border>
    <border>
      <left style="double">
        <color rgb="FF7030A0"/>
      </left>
      <right style="thick">
        <color rgb="FFFF0000"/>
      </right>
      <top style="double">
        <color rgb="FF7030A0"/>
      </top>
      <bottom style="thick">
        <color rgb="FFFF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0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13" applyNumberFormat="0" applyAlignment="0" applyProtection="0">
      <alignment vertical="center"/>
    </xf>
    <xf numFmtId="0" fontId="13" fillId="4" borderId="14" applyNumberFormat="0" applyAlignment="0" applyProtection="0">
      <alignment vertical="center"/>
    </xf>
    <xf numFmtId="0" fontId="14" fillId="4" borderId="13" applyNumberFormat="0" applyAlignment="0" applyProtection="0">
      <alignment vertical="center"/>
    </xf>
    <xf numFmtId="0" fontId="15" fillId="5" borderId="15" applyNumberFormat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0" borderId="0" xfId="0" applyFont="1"/>
    <xf numFmtId="176" fontId="0" fillId="0" borderId="0" xfId="0" applyNumberFormat="1"/>
    <xf numFmtId="177" fontId="0" fillId="0" borderId="0" xfId="0" applyNumberFormat="1"/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各职称两类工资均值统计图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分类汇总!$H$1</c:f>
              <c:strCache>
                <c:ptCount val="1"/>
                <c:pt idx="0">
                  <c:v>实发工资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(分类汇总!$B$27,分类汇总!$B$39,分类汇总!$B$42)</c:f>
              <c:strCache>
                <c:ptCount val="3"/>
                <c:pt idx="0">
                  <c:v>助教 平均值</c:v>
                </c:pt>
                <c:pt idx="1">
                  <c:v>讲师 平均值</c:v>
                </c:pt>
                <c:pt idx="2">
                  <c:v>高级讲师 平均值</c:v>
                </c:pt>
              </c:strCache>
            </c:strRef>
          </c:cat>
          <c:val>
            <c:numRef>
              <c:f>(分类汇总!$H$27,分类汇总!$H$39,分类汇总!$H$42)</c:f>
              <c:numCache>
                <c:formatCode>0.00_ </c:formatCode>
                <c:ptCount val="3"/>
                <c:pt idx="0">
                  <c:v>5596.0728</c:v>
                </c:pt>
                <c:pt idx="1">
                  <c:v>6910.18909090909</c:v>
                </c:pt>
                <c:pt idx="2">
                  <c:v>8144.67</c:v>
                </c:pt>
              </c:numCache>
            </c:numRef>
          </c:val>
        </c:ser>
        <c:ser>
          <c:idx val="1"/>
          <c:order val="1"/>
          <c:tx>
            <c:strRef>
              <c:f>分类汇总!$I$1</c:f>
              <c:strCache>
                <c:ptCount val="1"/>
                <c:pt idx="0">
                  <c:v>课时工资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(分类汇总!$B$27,分类汇总!$B$39,分类汇总!$B$42)</c:f>
              <c:strCache>
                <c:ptCount val="3"/>
                <c:pt idx="0">
                  <c:v>助教 平均值</c:v>
                </c:pt>
                <c:pt idx="1">
                  <c:v>讲师 平均值</c:v>
                </c:pt>
                <c:pt idx="2">
                  <c:v>高级讲师 平均值</c:v>
                </c:pt>
              </c:strCache>
            </c:strRef>
          </c:cat>
          <c:val>
            <c:numRef>
              <c:f>(分类汇总!$I$27,分类汇总!$I$39,分类汇总!$I$42)</c:f>
              <c:numCache>
                <c:formatCode>0.00_ </c:formatCode>
                <c:ptCount val="3"/>
                <c:pt idx="0">
                  <c:v>5921.0328</c:v>
                </c:pt>
                <c:pt idx="1">
                  <c:v>7415.28</c:v>
                </c:pt>
                <c:pt idx="2">
                  <c:v>8789.67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137679232"/>
        <c:axId val="137680768"/>
      </c:barChart>
      <c:catAx>
        <c:axId val="13767923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7680768"/>
        <c:crosses val="autoZero"/>
        <c:auto val="1"/>
        <c:lblAlgn val="ctr"/>
        <c:lblOffset val="100"/>
        <c:noMultiLvlLbl val="0"/>
      </c:catAx>
      <c:valAx>
        <c:axId val="137680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0200"/>
                </a:schemeClr>
              </a:solidFill>
              <a:round/>
            </a:ln>
            <a:effectLst/>
          </c:spPr>
        </c:majorGridlines>
        <c:numFmt formatCode="0.00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7679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acrossLinear" id="2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bg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0</xdr:colOff>
      <xdr:row>5</xdr:row>
      <xdr:rowOff>0</xdr:rowOff>
    </xdr:from>
    <xdr:to>
      <xdr:col>11</xdr:col>
      <xdr:colOff>457200</xdr:colOff>
      <xdr:row>21</xdr:row>
      <xdr:rowOff>0</xdr:rowOff>
    </xdr:to>
    <xdr:graphicFrame>
      <xdr:nvGraphicFramePr>
        <xdr:cNvPr id="2" name="图表 1"/>
        <xdr:cNvGraphicFramePr/>
      </xdr:nvGraphicFramePr>
      <xdr:xfrm>
        <a:off x="3429000" y="857250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1"/>
  <sheetViews>
    <sheetView zoomScale="70" zoomScaleNormal="70" workbookViewId="0">
      <selection activeCell="N21" sqref="N21"/>
    </sheetView>
  </sheetViews>
  <sheetFormatPr defaultColWidth="9" defaultRowHeight="13.5"/>
  <cols>
    <col min="8" max="8" width="9.25"/>
  </cols>
  <sheetData>
    <row r="1" ht="28" customHeight="1" spans="1:9">
      <c r="A1" s="4" t="s">
        <v>0</v>
      </c>
      <c r="B1" s="4"/>
      <c r="C1" s="4"/>
      <c r="D1" s="4"/>
      <c r="E1" s="4"/>
      <c r="F1" s="4"/>
      <c r="G1" s="4"/>
      <c r="H1" s="4"/>
      <c r="I1" s="4"/>
    </row>
    <row r="2" ht="18.75" spans="1:9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11"/>
    </row>
    <row r="3" ht="18.75" spans="1:9">
      <c r="A3" s="7" t="s">
        <v>9</v>
      </c>
      <c r="B3" s="8" t="s">
        <v>10</v>
      </c>
      <c r="C3" s="8">
        <v>5748</v>
      </c>
      <c r="D3" s="8">
        <v>561.18</v>
      </c>
      <c r="E3" s="8">
        <v>825</v>
      </c>
      <c r="F3" s="8">
        <v>150</v>
      </c>
      <c r="G3" s="8">
        <v>37.5</v>
      </c>
      <c r="H3" s="8">
        <f>C3+D3+E3-F3</f>
        <v>6984.18</v>
      </c>
      <c r="I3" s="12"/>
    </row>
    <row r="4" ht="18.75" spans="1:9">
      <c r="A4" s="7" t="s">
        <v>11</v>
      </c>
      <c r="B4" s="8" t="s">
        <v>12</v>
      </c>
      <c r="C4" s="8">
        <v>4580</v>
      </c>
      <c r="D4" s="8">
        <v>405.51</v>
      </c>
      <c r="E4" s="8">
        <v>765</v>
      </c>
      <c r="F4" s="8">
        <v>110</v>
      </c>
      <c r="G4" s="8">
        <v>43.5</v>
      </c>
      <c r="H4" s="8">
        <f t="shared" ref="H4:H40" si="0">C4+D4+E4-F4</f>
        <v>5640.51</v>
      </c>
      <c r="I4" s="12"/>
    </row>
    <row r="5" ht="18.75" spans="1:9">
      <c r="A5" s="7" t="s">
        <v>13</v>
      </c>
      <c r="B5" s="8" t="s">
        <v>12</v>
      </c>
      <c r="C5" s="8">
        <v>4570</v>
      </c>
      <c r="D5" s="8">
        <v>285.94</v>
      </c>
      <c r="E5" s="8">
        <v>855</v>
      </c>
      <c r="F5" s="8">
        <v>170</v>
      </c>
      <c r="G5" s="8">
        <v>34.5</v>
      </c>
      <c r="H5" s="8">
        <f t="shared" si="0"/>
        <v>5540.94</v>
      </c>
      <c r="I5" s="12"/>
    </row>
    <row r="6" ht="18.75" spans="1:9">
      <c r="A6" s="7" t="s">
        <v>14</v>
      </c>
      <c r="B6" s="8" t="s">
        <v>12</v>
      </c>
      <c r="C6" s="8">
        <v>4530</v>
      </c>
      <c r="D6" s="8">
        <v>475.61</v>
      </c>
      <c r="E6" s="8">
        <v>885</v>
      </c>
      <c r="F6" s="8">
        <v>190</v>
      </c>
      <c r="G6" s="8">
        <v>31.5</v>
      </c>
      <c r="H6" s="8">
        <f t="shared" si="0"/>
        <v>5700.61</v>
      </c>
      <c r="I6" s="12"/>
    </row>
    <row r="7" ht="18.75" spans="1:9">
      <c r="A7" s="7" t="s">
        <v>15</v>
      </c>
      <c r="B7" s="8" t="s">
        <v>16</v>
      </c>
      <c r="C7" s="8">
        <v>6700</v>
      </c>
      <c r="D7" s="8">
        <v>675.84</v>
      </c>
      <c r="E7" s="8">
        <v>840</v>
      </c>
      <c r="F7" s="8">
        <v>160</v>
      </c>
      <c r="G7" s="8">
        <v>36</v>
      </c>
      <c r="H7" s="8">
        <f t="shared" si="0"/>
        <v>8055.84</v>
      </c>
      <c r="I7" s="12"/>
    </row>
    <row r="8" ht="18.75" spans="1:9">
      <c r="A8" s="7" t="s">
        <v>17</v>
      </c>
      <c r="B8" s="8" t="s">
        <v>12</v>
      </c>
      <c r="C8" s="8">
        <v>4570</v>
      </c>
      <c r="D8" s="8">
        <v>661.15</v>
      </c>
      <c r="E8" s="8">
        <v>870</v>
      </c>
      <c r="F8" s="8">
        <v>180</v>
      </c>
      <c r="G8" s="8">
        <v>33</v>
      </c>
      <c r="H8" s="8">
        <f t="shared" si="0"/>
        <v>5921.15</v>
      </c>
      <c r="I8" s="12"/>
    </row>
    <row r="9" ht="18.75" spans="1:9">
      <c r="A9" s="7" t="s">
        <v>18</v>
      </c>
      <c r="B9" s="8" t="s">
        <v>10</v>
      </c>
      <c r="C9" s="8">
        <v>5808</v>
      </c>
      <c r="D9" s="8">
        <v>754.43</v>
      </c>
      <c r="E9" s="8">
        <v>900</v>
      </c>
      <c r="F9" s="8">
        <v>200</v>
      </c>
      <c r="G9" s="8">
        <v>30</v>
      </c>
      <c r="H9" s="8">
        <f t="shared" si="0"/>
        <v>7262.43</v>
      </c>
      <c r="I9" s="12"/>
    </row>
    <row r="10" ht="18.75" spans="1:9">
      <c r="A10" s="7" t="s">
        <v>19</v>
      </c>
      <c r="B10" s="8" t="s">
        <v>12</v>
      </c>
      <c r="C10" s="8">
        <v>4570</v>
      </c>
      <c r="D10" s="8">
        <v>393.87</v>
      </c>
      <c r="E10" s="8">
        <v>810</v>
      </c>
      <c r="F10" s="8">
        <v>140</v>
      </c>
      <c r="G10" s="8">
        <v>39</v>
      </c>
      <c r="H10" s="8">
        <f t="shared" si="0"/>
        <v>5633.87</v>
      </c>
      <c r="I10" s="12"/>
    </row>
    <row r="11" ht="18.75" spans="1:9">
      <c r="A11" s="7" t="s">
        <v>20</v>
      </c>
      <c r="B11" s="8" t="s">
        <v>12</v>
      </c>
      <c r="C11" s="8">
        <v>4570</v>
      </c>
      <c r="D11" s="8">
        <v>463.33</v>
      </c>
      <c r="E11" s="8">
        <v>705</v>
      </c>
      <c r="F11" s="8">
        <v>70</v>
      </c>
      <c r="G11" s="8">
        <v>49.5</v>
      </c>
      <c r="H11" s="8">
        <f t="shared" si="0"/>
        <v>5668.33</v>
      </c>
      <c r="I11" s="12"/>
    </row>
    <row r="12" ht="18.75" spans="1:9">
      <c r="A12" s="7" t="s">
        <v>21</v>
      </c>
      <c r="B12" s="8" t="s">
        <v>10</v>
      </c>
      <c r="C12" s="8">
        <v>5808</v>
      </c>
      <c r="D12" s="8">
        <v>518.12</v>
      </c>
      <c r="E12" s="8">
        <v>765</v>
      </c>
      <c r="F12" s="8">
        <v>110</v>
      </c>
      <c r="G12" s="8">
        <v>43.5</v>
      </c>
      <c r="H12" s="8">
        <f t="shared" si="0"/>
        <v>6981.12</v>
      </c>
      <c r="I12" s="12"/>
    </row>
    <row r="13" ht="18.75" spans="1:9">
      <c r="A13" s="7" t="s">
        <v>22</v>
      </c>
      <c r="B13" s="8" t="s">
        <v>12</v>
      </c>
      <c r="C13" s="8">
        <v>4570</v>
      </c>
      <c r="D13" s="8">
        <v>318.95</v>
      </c>
      <c r="E13" s="8">
        <v>795</v>
      </c>
      <c r="F13" s="8">
        <v>130</v>
      </c>
      <c r="G13" s="8">
        <v>40.5</v>
      </c>
      <c r="H13" s="8">
        <f t="shared" si="0"/>
        <v>5553.95</v>
      </c>
      <c r="I13" s="12"/>
    </row>
    <row r="14" ht="18.75" spans="1:9">
      <c r="A14" s="7" t="s">
        <v>23</v>
      </c>
      <c r="B14" s="8" t="s">
        <v>12</v>
      </c>
      <c r="C14" s="8">
        <v>4571</v>
      </c>
      <c r="D14" s="8">
        <v>218.72</v>
      </c>
      <c r="E14" s="8">
        <v>780</v>
      </c>
      <c r="F14" s="8">
        <v>120</v>
      </c>
      <c r="G14" s="8">
        <v>42</v>
      </c>
      <c r="H14" s="8">
        <f t="shared" si="0"/>
        <v>5449.72</v>
      </c>
      <c r="I14" s="12"/>
    </row>
    <row r="15" ht="18.75" spans="1:9">
      <c r="A15" s="7" t="s">
        <v>24</v>
      </c>
      <c r="B15" s="8" t="s">
        <v>10</v>
      </c>
      <c r="C15" s="8">
        <v>5808</v>
      </c>
      <c r="D15" s="8">
        <v>413.65</v>
      </c>
      <c r="E15" s="8">
        <v>825</v>
      </c>
      <c r="F15" s="8">
        <v>150</v>
      </c>
      <c r="G15" s="8">
        <v>37.5</v>
      </c>
      <c r="H15" s="8">
        <f t="shared" si="0"/>
        <v>6896.65</v>
      </c>
      <c r="I15" s="12"/>
    </row>
    <row r="16" ht="18.75" spans="1:9">
      <c r="A16" s="7" t="s">
        <v>25</v>
      </c>
      <c r="B16" s="8" t="s">
        <v>12</v>
      </c>
      <c r="C16" s="8">
        <v>4567</v>
      </c>
      <c r="D16" s="8">
        <v>250.49</v>
      </c>
      <c r="E16" s="8">
        <v>915</v>
      </c>
      <c r="F16" s="8">
        <v>210</v>
      </c>
      <c r="G16" s="8">
        <v>41.5</v>
      </c>
      <c r="H16" s="8">
        <f t="shared" si="0"/>
        <v>5522.49</v>
      </c>
      <c r="I16" s="12"/>
    </row>
    <row r="17" ht="18.75" spans="1:9">
      <c r="A17" s="7" t="s">
        <v>26</v>
      </c>
      <c r="B17" s="8" t="s">
        <v>12</v>
      </c>
      <c r="C17" s="8">
        <v>4577</v>
      </c>
      <c r="D17" s="8">
        <v>330.51</v>
      </c>
      <c r="E17" s="8">
        <v>840</v>
      </c>
      <c r="F17" s="8">
        <v>160</v>
      </c>
      <c r="G17" s="8">
        <v>36</v>
      </c>
      <c r="H17" s="8">
        <f t="shared" si="0"/>
        <v>5587.51</v>
      </c>
      <c r="I17" s="12"/>
    </row>
    <row r="18" ht="18.75" spans="1:9">
      <c r="A18" s="7" t="s">
        <v>27</v>
      </c>
      <c r="B18" s="8" t="s">
        <v>12</v>
      </c>
      <c r="C18" s="8">
        <v>4580</v>
      </c>
      <c r="D18" s="8">
        <v>413.97</v>
      </c>
      <c r="E18" s="8">
        <v>900</v>
      </c>
      <c r="F18" s="8">
        <v>200</v>
      </c>
      <c r="G18" s="8">
        <v>30</v>
      </c>
      <c r="H18" s="8">
        <f t="shared" si="0"/>
        <v>5693.97</v>
      </c>
      <c r="I18" s="12"/>
    </row>
    <row r="19" ht="18.75" spans="1:9">
      <c r="A19" s="7" t="s">
        <v>28</v>
      </c>
      <c r="B19" s="8" t="s">
        <v>12</v>
      </c>
      <c r="C19" s="8">
        <v>4570</v>
      </c>
      <c r="D19" s="8">
        <v>626.88</v>
      </c>
      <c r="E19" s="8">
        <v>795</v>
      </c>
      <c r="F19" s="8">
        <v>130</v>
      </c>
      <c r="G19" s="8">
        <v>40.5</v>
      </c>
      <c r="H19" s="8">
        <f t="shared" si="0"/>
        <v>5861.88</v>
      </c>
      <c r="I19" s="12"/>
    </row>
    <row r="20" ht="18.75" spans="1:9">
      <c r="A20" s="7" t="s">
        <v>29</v>
      </c>
      <c r="B20" s="8" t="s">
        <v>10</v>
      </c>
      <c r="C20" s="8">
        <v>5808</v>
      </c>
      <c r="D20" s="8">
        <v>397.57</v>
      </c>
      <c r="E20" s="8">
        <v>780</v>
      </c>
      <c r="F20" s="8">
        <v>120</v>
      </c>
      <c r="G20" s="8">
        <v>42</v>
      </c>
      <c r="H20" s="8">
        <f t="shared" si="0"/>
        <v>6865.57</v>
      </c>
      <c r="I20" s="12"/>
    </row>
    <row r="21" ht="18.75" spans="1:9">
      <c r="A21" s="7" t="s">
        <v>30</v>
      </c>
      <c r="B21" s="8" t="s">
        <v>12</v>
      </c>
      <c r="C21" s="8">
        <v>4575</v>
      </c>
      <c r="D21" s="8">
        <v>807.19</v>
      </c>
      <c r="E21" s="8">
        <v>735</v>
      </c>
      <c r="F21" s="8">
        <v>90</v>
      </c>
      <c r="G21" s="8">
        <v>46.5</v>
      </c>
      <c r="H21" s="8">
        <f t="shared" si="0"/>
        <v>6027.19</v>
      </c>
      <c r="I21" s="12"/>
    </row>
    <row r="22" ht="18.75" spans="1:9">
      <c r="A22" s="7" t="s">
        <v>31</v>
      </c>
      <c r="B22" s="8" t="s">
        <v>12</v>
      </c>
      <c r="C22" s="8">
        <v>4570</v>
      </c>
      <c r="D22" s="8">
        <v>267.19</v>
      </c>
      <c r="E22" s="8">
        <v>1005</v>
      </c>
      <c r="F22" s="8">
        <v>270</v>
      </c>
      <c r="G22" s="8">
        <v>50.5</v>
      </c>
      <c r="H22" s="8">
        <f t="shared" si="0"/>
        <v>5572.19</v>
      </c>
      <c r="I22" s="12"/>
    </row>
    <row r="23" ht="18.75" spans="1:9">
      <c r="A23" s="7" t="s">
        <v>32</v>
      </c>
      <c r="B23" s="8" t="s">
        <v>12</v>
      </c>
      <c r="C23" s="8">
        <v>4560</v>
      </c>
      <c r="D23" s="8">
        <v>225.5</v>
      </c>
      <c r="E23" s="8">
        <v>855</v>
      </c>
      <c r="F23" s="8">
        <v>170</v>
      </c>
      <c r="G23" s="8">
        <v>34.5</v>
      </c>
      <c r="H23" s="8">
        <f t="shared" si="0"/>
        <v>5470.5</v>
      </c>
      <c r="I23" s="12"/>
    </row>
    <row r="24" ht="18.75" spans="1:9">
      <c r="A24" s="7" t="s">
        <v>33</v>
      </c>
      <c r="B24" s="8" t="s">
        <v>10</v>
      </c>
      <c r="C24" s="8">
        <v>5808</v>
      </c>
      <c r="D24" s="8">
        <v>419.88</v>
      </c>
      <c r="E24" s="8">
        <v>825</v>
      </c>
      <c r="F24" s="8">
        <v>150</v>
      </c>
      <c r="G24" s="8">
        <v>37.5</v>
      </c>
      <c r="H24" s="8">
        <f t="shared" si="0"/>
        <v>6902.88</v>
      </c>
      <c r="I24" s="12"/>
    </row>
    <row r="25" ht="18.75" spans="1:9">
      <c r="A25" s="7" t="s">
        <v>34</v>
      </c>
      <c r="B25" s="8" t="s">
        <v>16</v>
      </c>
      <c r="C25" s="8">
        <v>6700</v>
      </c>
      <c r="D25" s="8">
        <v>818.5</v>
      </c>
      <c r="E25" s="8">
        <v>945</v>
      </c>
      <c r="F25" s="8">
        <v>230</v>
      </c>
      <c r="G25" s="8">
        <v>50</v>
      </c>
      <c r="H25" s="8">
        <f t="shared" si="0"/>
        <v>8233.5</v>
      </c>
      <c r="I25" s="12"/>
    </row>
    <row r="26" ht="18.75" spans="1:9">
      <c r="A26" s="7" t="s">
        <v>35</v>
      </c>
      <c r="B26" s="8" t="s">
        <v>12</v>
      </c>
      <c r="C26" s="8">
        <v>4670</v>
      </c>
      <c r="D26" s="8">
        <v>390.19</v>
      </c>
      <c r="E26" s="8">
        <v>660</v>
      </c>
      <c r="F26" s="8">
        <v>40</v>
      </c>
      <c r="G26" s="8">
        <v>54</v>
      </c>
      <c r="H26" s="8">
        <f t="shared" si="0"/>
        <v>5680.19</v>
      </c>
      <c r="I26" s="12"/>
    </row>
    <row r="27" ht="18.75" spans="1:9">
      <c r="A27" s="7" t="s">
        <v>36</v>
      </c>
      <c r="B27" s="8" t="s">
        <v>10</v>
      </c>
      <c r="C27" s="8">
        <v>5865</v>
      </c>
      <c r="D27" s="8">
        <v>405.73</v>
      </c>
      <c r="E27" s="8">
        <v>600</v>
      </c>
      <c r="F27" s="8">
        <v>0</v>
      </c>
      <c r="G27" s="8">
        <v>60</v>
      </c>
      <c r="H27" s="8">
        <f t="shared" si="0"/>
        <v>6870.73</v>
      </c>
      <c r="I27" s="12"/>
    </row>
    <row r="28" ht="18.75" spans="1:9">
      <c r="A28" s="7" t="s">
        <v>37</v>
      </c>
      <c r="B28" s="8" t="s">
        <v>12</v>
      </c>
      <c r="C28" s="8">
        <v>4573</v>
      </c>
      <c r="D28" s="8">
        <v>269.59</v>
      </c>
      <c r="E28" s="8">
        <v>735</v>
      </c>
      <c r="F28" s="8">
        <v>90</v>
      </c>
      <c r="G28" s="8">
        <v>46.5</v>
      </c>
      <c r="H28" s="8">
        <f t="shared" si="0"/>
        <v>5487.59</v>
      </c>
      <c r="I28" s="12"/>
    </row>
    <row r="29" ht="18.75" spans="1:9">
      <c r="A29" s="7" t="s">
        <v>38</v>
      </c>
      <c r="B29" s="8" t="s">
        <v>12</v>
      </c>
      <c r="C29" s="8">
        <v>4570</v>
      </c>
      <c r="D29" s="8">
        <v>207.99</v>
      </c>
      <c r="E29" s="8">
        <v>690</v>
      </c>
      <c r="F29" s="8">
        <v>60</v>
      </c>
      <c r="G29" s="8">
        <v>51</v>
      </c>
      <c r="H29" s="8">
        <f t="shared" si="0"/>
        <v>5407.99</v>
      </c>
      <c r="I29" s="12"/>
    </row>
    <row r="30" ht="18.75" spans="1:9">
      <c r="A30" s="7" t="s">
        <v>39</v>
      </c>
      <c r="B30" s="8" t="s">
        <v>10</v>
      </c>
      <c r="C30" s="8">
        <v>5808</v>
      </c>
      <c r="D30" s="8">
        <v>317.88</v>
      </c>
      <c r="E30" s="8">
        <v>600</v>
      </c>
      <c r="F30" s="8">
        <v>0</v>
      </c>
      <c r="G30" s="8">
        <v>60</v>
      </c>
      <c r="H30" s="8">
        <f t="shared" si="0"/>
        <v>6725.88</v>
      </c>
      <c r="I30" s="12"/>
    </row>
    <row r="31" ht="18.75" spans="1:9">
      <c r="A31" s="7" t="s">
        <v>40</v>
      </c>
      <c r="B31" s="8" t="s">
        <v>12</v>
      </c>
      <c r="C31" s="8">
        <v>4570</v>
      </c>
      <c r="D31" s="8">
        <v>336.5</v>
      </c>
      <c r="E31" s="8">
        <v>855</v>
      </c>
      <c r="F31" s="8">
        <v>170</v>
      </c>
      <c r="G31" s="8">
        <v>34.5</v>
      </c>
      <c r="H31" s="8">
        <f t="shared" si="0"/>
        <v>5591.5</v>
      </c>
      <c r="I31" s="12"/>
    </row>
    <row r="32" ht="18.75" spans="1:9">
      <c r="A32" s="7" t="s">
        <v>41</v>
      </c>
      <c r="B32" s="8" t="s">
        <v>12</v>
      </c>
      <c r="C32" s="8">
        <v>4572</v>
      </c>
      <c r="D32" s="8">
        <v>269.59</v>
      </c>
      <c r="E32" s="8">
        <v>600</v>
      </c>
      <c r="F32" s="8">
        <v>0</v>
      </c>
      <c r="G32" s="8">
        <v>30</v>
      </c>
      <c r="H32" s="8">
        <f t="shared" si="0"/>
        <v>5441.59</v>
      </c>
      <c r="I32" s="12"/>
    </row>
    <row r="33" ht="18.75" spans="1:9">
      <c r="A33" s="7" t="s">
        <v>42</v>
      </c>
      <c r="B33" s="8" t="s">
        <v>12</v>
      </c>
      <c r="C33" s="8">
        <v>4570</v>
      </c>
      <c r="D33" s="8">
        <v>207.99</v>
      </c>
      <c r="E33" s="8">
        <v>900</v>
      </c>
      <c r="F33" s="8">
        <v>120</v>
      </c>
      <c r="G33" s="8">
        <v>30</v>
      </c>
      <c r="H33" s="8">
        <f t="shared" si="0"/>
        <v>5557.99</v>
      </c>
      <c r="I33" s="12"/>
    </row>
    <row r="34" ht="18.75" spans="1:9">
      <c r="A34" s="7" t="s">
        <v>43</v>
      </c>
      <c r="B34" s="8" t="s">
        <v>10</v>
      </c>
      <c r="C34" s="8">
        <v>5708</v>
      </c>
      <c r="D34" s="8">
        <v>317.88</v>
      </c>
      <c r="E34" s="8">
        <v>810</v>
      </c>
      <c r="F34" s="8">
        <v>90</v>
      </c>
      <c r="G34" s="8">
        <v>39</v>
      </c>
      <c r="H34" s="8">
        <f t="shared" si="0"/>
        <v>6745.88</v>
      </c>
      <c r="I34" s="12"/>
    </row>
    <row r="35" ht="18.75" spans="1:9">
      <c r="A35" s="7" t="s">
        <v>44</v>
      </c>
      <c r="B35" s="8" t="s">
        <v>12</v>
      </c>
      <c r="C35" s="8">
        <v>4580</v>
      </c>
      <c r="D35" s="8">
        <v>269.59</v>
      </c>
      <c r="E35" s="8">
        <v>780</v>
      </c>
      <c r="F35" s="8">
        <v>270</v>
      </c>
      <c r="G35" s="8">
        <v>42</v>
      </c>
      <c r="H35" s="8">
        <f t="shared" si="0"/>
        <v>5359.59</v>
      </c>
      <c r="I35" s="12"/>
    </row>
    <row r="36" ht="18.75" spans="1:9">
      <c r="A36" s="7" t="s">
        <v>45</v>
      </c>
      <c r="B36" s="8" t="s">
        <v>12</v>
      </c>
      <c r="C36" s="8">
        <v>4570</v>
      </c>
      <c r="D36" s="8">
        <v>207.99</v>
      </c>
      <c r="E36" s="8">
        <v>825</v>
      </c>
      <c r="F36" s="8">
        <v>170</v>
      </c>
      <c r="G36" s="8">
        <v>37.5</v>
      </c>
      <c r="H36" s="8">
        <f t="shared" si="0"/>
        <v>5432.99</v>
      </c>
      <c r="I36" s="12"/>
    </row>
    <row r="37" ht="18.75" spans="1:9">
      <c r="A37" s="7" t="s">
        <v>46</v>
      </c>
      <c r="B37" s="8" t="s">
        <v>10</v>
      </c>
      <c r="C37" s="8">
        <v>5723</v>
      </c>
      <c r="D37" s="8">
        <v>317.88</v>
      </c>
      <c r="E37" s="8">
        <v>915</v>
      </c>
      <c r="F37" s="8">
        <v>150</v>
      </c>
      <c r="G37" s="8">
        <v>41.5</v>
      </c>
      <c r="H37" s="8">
        <f t="shared" si="0"/>
        <v>6805.88</v>
      </c>
      <c r="I37" s="12"/>
    </row>
    <row r="38" ht="18.75" spans="1:9">
      <c r="A38" s="7" t="s">
        <v>47</v>
      </c>
      <c r="B38" s="8" t="s">
        <v>12</v>
      </c>
      <c r="C38" s="8">
        <v>4580</v>
      </c>
      <c r="D38" s="8">
        <v>269.59</v>
      </c>
      <c r="E38" s="8">
        <v>735</v>
      </c>
      <c r="F38" s="8">
        <v>230</v>
      </c>
      <c r="G38" s="8">
        <v>46.5</v>
      </c>
      <c r="H38" s="8">
        <f t="shared" si="0"/>
        <v>5354.59</v>
      </c>
      <c r="I38" s="12"/>
    </row>
    <row r="39" ht="18.75" spans="1:9">
      <c r="A39" s="7" t="s">
        <v>48</v>
      </c>
      <c r="B39" s="8" t="s">
        <v>12</v>
      </c>
      <c r="C39" s="8">
        <v>4570</v>
      </c>
      <c r="D39" s="8">
        <v>207.99</v>
      </c>
      <c r="E39" s="8">
        <v>1005</v>
      </c>
      <c r="F39" s="8">
        <v>40</v>
      </c>
      <c r="G39" s="8">
        <v>50.5</v>
      </c>
      <c r="H39" s="8">
        <f t="shared" si="0"/>
        <v>5742.99</v>
      </c>
      <c r="I39" s="12"/>
    </row>
    <row r="40" ht="18.75" spans="1:9">
      <c r="A40" s="9" t="s">
        <v>49</v>
      </c>
      <c r="B40" s="10" t="s">
        <v>10</v>
      </c>
      <c r="C40" s="10">
        <v>5808</v>
      </c>
      <c r="D40" s="10">
        <v>317.88</v>
      </c>
      <c r="E40" s="10">
        <v>855</v>
      </c>
      <c r="F40" s="10">
        <v>10</v>
      </c>
      <c r="G40" s="10">
        <v>34.5</v>
      </c>
      <c r="H40" s="10">
        <f t="shared" si="0"/>
        <v>6970.88</v>
      </c>
      <c r="I40" s="13"/>
    </row>
    <row r="41" ht="14.25"/>
  </sheetData>
  <mergeCells count="1">
    <mergeCell ref="A1:I1"/>
  </mergeCells>
  <printOptions horizontalCentered="1" verticalCentered="1"/>
  <pageMargins left="0.708661417322835" right="0.708661417322835" top="0.748031496062992" bottom="0.748031496062992" header="0.31496062992126" footer="0.31496062992126"/>
  <pageSetup paperSize="9" firstPageNumber="3" orientation="portrait" useFirstPageNumber="1"/>
  <headerFooter>
    <oddHeader>&amp;C&amp;10&amp;KFF0000教师工资统计表</oddHeader>
    <oddFooter>&amp;R&amp;P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9"/>
  <sheetViews>
    <sheetView zoomScale="70" zoomScaleNormal="70" workbookViewId="0">
      <selection activeCell="N6" sqref="N6"/>
    </sheetView>
  </sheetViews>
  <sheetFormatPr defaultColWidth="9" defaultRowHeight="13.5"/>
  <cols>
    <col min="9" max="9" width="9.5" customWidth="1"/>
  </cols>
  <sheetData>
    <row r="1" spans="1:9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50</v>
      </c>
    </row>
    <row r="2" spans="1:9">
      <c r="A2" t="s">
        <v>9</v>
      </c>
      <c r="B2" t="s">
        <v>10</v>
      </c>
      <c r="C2">
        <v>5748</v>
      </c>
      <c r="D2">
        <v>561.18</v>
      </c>
      <c r="E2">
        <v>825</v>
      </c>
      <c r="F2">
        <v>150</v>
      </c>
      <c r="G2">
        <v>37.5</v>
      </c>
      <c r="H2">
        <v>6984.18</v>
      </c>
      <c r="I2" s="3">
        <f>IF(B2="高级讲师",G2*15,IF(B2="讲师",G2*12,G2*8))+H2</f>
        <v>7434.18</v>
      </c>
    </row>
    <row r="3" spans="1:9">
      <c r="A3" t="s">
        <v>11</v>
      </c>
      <c r="B3" t="s">
        <v>12</v>
      </c>
      <c r="C3">
        <v>4580</v>
      </c>
      <c r="D3">
        <v>405.51</v>
      </c>
      <c r="E3">
        <v>765</v>
      </c>
      <c r="F3">
        <v>110</v>
      </c>
      <c r="G3">
        <v>43.5</v>
      </c>
      <c r="H3">
        <v>5640.51</v>
      </c>
      <c r="I3" s="3">
        <f t="shared" ref="I3:I39" si="0">IF(B3="高级讲师",G3*15,IF(B3="讲师",G3*12,G3*8))+H3</f>
        <v>5988.51</v>
      </c>
    </row>
    <row r="4" spans="1:9">
      <c r="A4" t="s">
        <v>13</v>
      </c>
      <c r="B4" t="s">
        <v>12</v>
      </c>
      <c r="C4">
        <v>4570</v>
      </c>
      <c r="D4">
        <v>285.94</v>
      </c>
      <c r="E4">
        <v>855</v>
      </c>
      <c r="F4">
        <v>170</v>
      </c>
      <c r="G4">
        <v>34.5</v>
      </c>
      <c r="H4">
        <v>5540.94</v>
      </c>
      <c r="I4" s="3">
        <f t="shared" si="0"/>
        <v>5816.94</v>
      </c>
    </row>
    <row r="5" spans="1:9">
      <c r="A5" t="s">
        <v>14</v>
      </c>
      <c r="B5" t="s">
        <v>12</v>
      </c>
      <c r="C5">
        <v>4530</v>
      </c>
      <c r="D5">
        <v>475.61</v>
      </c>
      <c r="E5">
        <v>885</v>
      </c>
      <c r="F5">
        <v>190</v>
      </c>
      <c r="G5">
        <v>31.5</v>
      </c>
      <c r="H5">
        <v>5700.61</v>
      </c>
      <c r="I5" s="3">
        <f t="shared" si="0"/>
        <v>5952.61</v>
      </c>
    </row>
    <row r="6" spans="1:9">
      <c r="A6" t="s">
        <v>15</v>
      </c>
      <c r="B6" t="s">
        <v>16</v>
      </c>
      <c r="C6">
        <v>6700</v>
      </c>
      <c r="D6">
        <v>675.84</v>
      </c>
      <c r="E6">
        <v>840</v>
      </c>
      <c r="F6">
        <v>160</v>
      </c>
      <c r="G6">
        <v>36</v>
      </c>
      <c r="H6">
        <v>8055.84</v>
      </c>
      <c r="I6" s="3">
        <f t="shared" si="0"/>
        <v>8595.84</v>
      </c>
    </row>
    <row r="7" spans="1:9">
      <c r="A7" t="s">
        <v>17</v>
      </c>
      <c r="B7" t="s">
        <v>12</v>
      </c>
      <c r="C7">
        <v>4570</v>
      </c>
      <c r="D7">
        <v>661.15</v>
      </c>
      <c r="E7">
        <v>870</v>
      </c>
      <c r="F7">
        <v>180</v>
      </c>
      <c r="G7">
        <v>33</v>
      </c>
      <c r="H7">
        <v>5921.15</v>
      </c>
      <c r="I7" s="3">
        <f t="shared" si="0"/>
        <v>6185.15</v>
      </c>
    </row>
    <row r="8" spans="1:9">
      <c r="A8" t="s">
        <v>18</v>
      </c>
      <c r="B8" t="s">
        <v>10</v>
      </c>
      <c r="C8">
        <v>5808</v>
      </c>
      <c r="D8">
        <v>754.43</v>
      </c>
      <c r="E8">
        <v>900</v>
      </c>
      <c r="F8">
        <v>200</v>
      </c>
      <c r="G8">
        <v>30</v>
      </c>
      <c r="H8">
        <v>7262.43</v>
      </c>
      <c r="I8" s="3">
        <f t="shared" si="0"/>
        <v>7622.43</v>
      </c>
    </row>
    <row r="9" spans="1:9">
      <c r="A9" t="s">
        <v>19</v>
      </c>
      <c r="B9" t="s">
        <v>12</v>
      </c>
      <c r="C9">
        <v>4570</v>
      </c>
      <c r="D9">
        <v>393.87</v>
      </c>
      <c r="E9">
        <v>810</v>
      </c>
      <c r="F9">
        <v>140</v>
      </c>
      <c r="G9">
        <v>39</v>
      </c>
      <c r="H9">
        <v>5633.87</v>
      </c>
      <c r="I9" s="3">
        <f t="shared" si="0"/>
        <v>5945.87</v>
      </c>
    </row>
    <row r="10" spans="1:9">
      <c r="A10" t="s">
        <v>20</v>
      </c>
      <c r="B10" t="s">
        <v>12</v>
      </c>
      <c r="C10">
        <v>4570</v>
      </c>
      <c r="D10">
        <v>463.33</v>
      </c>
      <c r="E10">
        <v>705</v>
      </c>
      <c r="F10">
        <v>70</v>
      </c>
      <c r="G10">
        <v>49.5</v>
      </c>
      <c r="H10">
        <v>5668.33</v>
      </c>
      <c r="I10" s="3">
        <f t="shared" si="0"/>
        <v>6064.33</v>
      </c>
    </row>
    <row r="11" spans="1:9">
      <c r="A11" t="s">
        <v>21</v>
      </c>
      <c r="B11" t="s">
        <v>10</v>
      </c>
      <c r="C11">
        <v>5808</v>
      </c>
      <c r="D11">
        <v>518.12</v>
      </c>
      <c r="E11">
        <v>765</v>
      </c>
      <c r="F11">
        <v>110</v>
      </c>
      <c r="G11">
        <v>43.5</v>
      </c>
      <c r="H11">
        <v>6981.12</v>
      </c>
      <c r="I11" s="3">
        <f t="shared" si="0"/>
        <v>7503.12</v>
      </c>
    </row>
    <row r="12" spans="1:9">
      <c r="A12" t="s">
        <v>22</v>
      </c>
      <c r="B12" t="s">
        <v>12</v>
      </c>
      <c r="C12">
        <v>4570</v>
      </c>
      <c r="D12">
        <v>318.95</v>
      </c>
      <c r="E12">
        <v>795</v>
      </c>
      <c r="F12">
        <v>130</v>
      </c>
      <c r="G12">
        <v>40.5</v>
      </c>
      <c r="H12">
        <v>5553.95</v>
      </c>
      <c r="I12" s="3">
        <f t="shared" si="0"/>
        <v>5877.95</v>
      </c>
    </row>
    <row r="13" spans="1:9">
      <c r="A13" t="s">
        <v>23</v>
      </c>
      <c r="B13" t="s">
        <v>12</v>
      </c>
      <c r="C13">
        <v>4571</v>
      </c>
      <c r="D13">
        <v>218.72</v>
      </c>
      <c r="E13">
        <v>780</v>
      </c>
      <c r="F13">
        <v>120</v>
      </c>
      <c r="G13">
        <v>42</v>
      </c>
      <c r="H13">
        <v>5449.72</v>
      </c>
      <c r="I13" s="3">
        <f t="shared" si="0"/>
        <v>5785.72</v>
      </c>
    </row>
    <row r="14" spans="1:9">
      <c r="A14" t="s">
        <v>24</v>
      </c>
      <c r="B14" t="s">
        <v>10</v>
      </c>
      <c r="C14">
        <v>5808</v>
      </c>
      <c r="D14">
        <v>413.65</v>
      </c>
      <c r="E14">
        <v>825</v>
      </c>
      <c r="F14">
        <v>150</v>
      </c>
      <c r="G14">
        <v>37.5</v>
      </c>
      <c r="H14">
        <v>6896.65</v>
      </c>
      <c r="I14" s="3">
        <f t="shared" si="0"/>
        <v>7346.65</v>
      </c>
    </row>
    <row r="15" spans="1:9">
      <c r="A15" t="s">
        <v>25</v>
      </c>
      <c r="B15" t="s">
        <v>12</v>
      </c>
      <c r="C15">
        <v>4567</v>
      </c>
      <c r="D15">
        <v>250.49</v>
      </c>
      <c r="E15">
        <v>915</v>
      </c>
      <c r="F15">
        <v>210</v>
      </c>
      <c r="G15">
        <v>41.5</v>
      </c>
      <c r="H15">
        <v>5522.49</v>
      </c>
      <c r="I15" s="3">
        <f t="shared" si="0"/>
        <v>5854.49</v>
      </c>
    </row>
    <row r="16" spans="1:9">
      <c r="A16" t="s">
        <v>26</v>
      </c>
      <c r="B16" t="s">
        <v>12</v>
      </c>
      <c r="C16">
        <v>4577</v>
      </c>
      <c r="D16">
        <v>330.51</v>
      </c>
      <c r="E16">
        <v>840</v>
      </c>
      <c r="F16">
        <v>160</v>
      </c>
      <c r="G16">
        <v>36</v>
      </c>
      <c r="H16">
        <v>5587.51</v>
      </c>
      <c r="I16" s="3">
        <f t="shared" si="0"/>
        <v>5875.51</v>
      </c>
    </row>
    <row r="17" spans="1:9">
      <c r="A17" t="s">
        <v>27</v>
      </c>
      <c r="B17" t="s">
        <v>12</v>
      </c>
      <c r="C17">
        <v>4580</v>
      </c>
      <c r="D17">
        <v>413.97</v>
      </c>
      <c r="E17">
        <v>900</v>
      </c>
      <c r="F17">
        <v>200</v>
      </c>
      <c r="G17">
        <v>30</v>
      </c>
      <c r="H17">
        <v>5693.97</v>
      </c>
      <c r="I17" s="3">
        <f t="shared" si="0"/>
        <v>5933.97</v>
      </c>
    </row>
    <row r="18" spans="1:9">
      <c r="A18" t="s">
        <v>28</v>
      </c>
      <c r="B18" t="s">
        <v>12</v>
      </c>
      <c r="C18">
        <v>4570</v>
      </c>
      <c r="D18">
        <v>626.88</v>
      </c>
      <c r="E18">
        <v>795</v>
      </c>
      <c r="F18">
        <v>130</v>
      </c>
      <c r="G18">
        <v>40.5</v>
      </c>
      <c r="H18">
        <v>5861.88</v>
      </c>
      <c r="I18" s="3">
        <f t="shared" si="0"/>
        <v>6185.88</v>
      </c>
    </row>
    <row r="19" spans="1:9">
      <c r="A19" t="s">
        <v>29</v>
      </c>
      <c r="B19" t="s">
        <v>10</v>
      </c>
      <c r="C19">
        <v>5808</v>
      </c>
      <c r="D19">
        <v>397.57</v>
      </c>
      <c r="E19">
        <v>780</v>
      </c>
      <c r="F19">
        <v>120</v>
      </c>
      <c r="G19">
        <v>42</v>
      </c>
      <c r="H19">
        <v>6865.57</v>
      </c>
      <c r="I19" s="3">
        <f t="shared" si="0"/>
        <v>7369.57</v>
      </c>
    </row>
    <row r="20" spans="1:9">
      <c r="A20" t="s">
        <v>30</v>
      </c>
      <c r="B20" t="s">
        <v>12</v>
      </c>
      <c r="C20">
        <v>4575</v>
      </c>
      <c r="D20">
        <v>807.19</v>
      </c>
      <c r="E20">
        <v>735</v>
      </c>
      <c r="F20">
        <v>90</v>
      </c>
      <c r="G20">
        <v>46.5</v>
      </c>
      <c r="H20">
        <v>6027.19</v>
      </c>
      <c r="I20" s="3">
        <f t="shared" si="0"/>
        <v>6399.19</v>
      </c>
    </row>
    <row r="21" spans="1:9">
      <c r="A21" t="s">
        <v>31</v>
      </c>
      <c r="B21" t="s">
        <v>12</v>
      </c>
      <c r="C21">
        <v>4570</v>
      </c>
      <c r="D21">
        <v>267.19</v>
      </c>
      <c r="E21">
        <v>1005</v>
      </c>
      <c r="F21">
        <v>270</v>
      </c>
      <c r="G21">
        <v>50.5</v>
      </c>
      <c r="H21">
        <v>5572.19</v>
      </c>
      <c r="I21" s="3">
        <f t="shared" si="0"/>
        <v>5976.19</v>
      </c>
    </row>
    <row r="22" spans="1:9">
      <c r="A22" t="s">
        <v>32</v>
      </c>
      <c r="B22" t="s">
        <v>12</v>
      </c>
      <c r="C22">
        <v>4560</v>
      </c>
      <c r="D22">
        <v>225.5</v>
      </c>
      <c r="E22">
        <v>855</v>
      </c>
      <c r="F22">
        <v>170</v>
      </c>
      <c r="G22">
        <v>34.5</v>
      </c>
      <c r="H22">
        <v>5470.5</v>
      </c>
      <c r="I22" s="3">
        <f t="shared" si="0"/>
        <v>5746.5</v>
      </c>
    </row>
    <row r="23" spans="1:9">
      <c r="A23" t="s">
        <v>33</v>
      </c>
      <c r="B23" t="s">
        <v>10</v>
      </c>
      <c r="C23">
        <v>5808</v>
      </c>
      <c r="D23">
        <v>419.88</v>
      </c>
      <c r="E23">
        <v>825</v>
      </c>
      <c r="F23">
        <v>150</v>
      </c>
      <c r="G23">
        <v>37.5</v>
      </c>
      <c r="H23">
        <v>6902.88</v>
      </c>
      <c r="I23" s="3">
        <f t="shared" si="0"/>
        <v>7352.88</v>
      </c>
    </row>
    <row r="24" spans="1:9">
      <c r="A24" t="s">
        <v>34</v>
      </c>
      <c r="B24" t="s">
        <v>16</v>
      </c>
      <c r="C24">
        <v>6700</v>
      </c>
      <c r="D24">
        <v>818.5</v>
      </c>
      <c r="E24">
        <v>945</v>
      </c>
      <c r="F24">
        <v>230</v>
      </c>
      <c r="G24">
        <v>50</v>
      </c>
      <c r="H24">
        <v>8233.5</v>
      </c>
      <c r="I24" s="3">
        <f t="shared" si="0"/>
        <v>8983.5</v>
      </c>
    </row>
    <row r="25" spans="1:9">
      <c r="A25" t="s">
        <v>35</v>
      </c>
      <c r="B25" t="s">
        <v>12</v>
      </c>
      <c r="C25">
        <v>4670</v>
      </c>
      <c r="D25">
        <v>390.19</v>
      </c>
      <c r="E25">
        <v>660</v>
      </c>
      <c r="F25">
        <v>40</v>
      </c>
      <c r="G25">
        <v>54</v>
      </c>
      <c r="H25">
        <v>5680.19</v>
      </c>
      <c r="I25" s="3">
        <f t="shared" si="0"/>
        <v>6112.19</v>
      </c>
    </row>
    <row r="26" spans="1:9">
      <c r="A26" t="s">
        <v>36</v>
      </c>
      <c r="B26" t="s">
        <v>10</v>
      </c>
      <c r="C26">
        <v>5865</v>
      </c>
      <c r="D26">
        <v>405.73</v>
      </c>
      <c r="E26">
        <v>600</v>
      </c>
      <c r="F26">
        <v>0</v>
      </c>
      <c r="G26">
        <v>60</v>
      </c>
      <c r="H26">
        <v>6870.73</v>
      </c>
      <c r="I26" s="3">
        <f t="shared" si="0"/>
        <v>7590.73</v>
      </c>
    </row>
    <row r="27" spans="1:9">
      <c r="A27" t="s">
        <v>37</v>
      </c>
      <c r="B27" t="s">
        <v>12</v>
      </c>
      <c r="C27">
        <v>4573</v>
      </c>
      <c r="D27">
        <v>269.59</v>
      </c>
      <c r="E27">
        <v>735</v>
      </c>
      <c r="F27">
        <v>90</v>
      </c>
      <c r="G27">
        <v>46.5</v>
      </c>
      <c r="H27">
        <v>5487.59</v>
      </c>
      <c r="I27" s="3">
        <f t="shared" si="0"/>
        <v>5859.59</v>
      </c>
    </row>
    <row r="28" spans="1:9">
      <c r="A28" t="s">
        <v>38</v>
      </c>
      <c r="B28" t="s">
        <v>12</v>
      </c>
      <c r="C28">
        <v>4570</v>
      </c>
      <c r="D28">
        <v>207.99</v>
      </c>
      <c r="E28">
        <v>690</v>
      </c>
      <c r="F28">
        <v>60</v>
      </c>
      <c r="G28">
        <v>51</v>
      </c>
      <c r="H28">
        <v>5407.99</v>
      </c>
      <c r="I28" s="3">
        <f t="shared" si="0"/>
        <v>5815.99</v>
      </c>
    </row>
    <row r="29" spans="1:9">
      <c r="A29" t="s">
        <v>39</v>
      </c>
      <c r="B29" t="s">
        <v>10</v>
      </c>
      <c r="C29">
        <v>5808</v>
      </c>
      <c r="D29">
        <v>317.88</v>
      </c>
      <c r="E29">
        <v>600</v>
      </c>
      <c r="F29">
        <v>0</v>
      </c>
      <c r="G29">
        <v>60</v>
      </c>
      <c r="H29">
        <v>6725.88</v>
      </c>
      <c r="I29" s="3">
        <f t="shared" si="0"/>
        <v>7445.88</v>
      </c>
    </row>
    <row r="30" spans="1:9">
      <c r="A30" t="s">
        <v>40</v>
      </c>
      <c r="B30" t="s">
        <v>12</v>
      </c>
      <c r="C30">
        <v>4570</v>
      </c>
      <c r="D30">
        <v>336.5</v>
      </c>
      <c r="E30">
        <v>855</v>
      </c>
      <c r="F30">
        <v>170</v>
      </c>
      <c r="G30">
        <v>34.5</v>
      </c>
      <c r="H30">
        <v>5591.5</v>
      </c>
      <c r="I30" s="3">
        <f t="shared" si="0"/>
        <v>5867.5</v>
      </c>
    </row>
    <row r="31" spans="1:9">
      <c r="A31" t="s">
        <v>41</v>
      </c>
      <c r="B31" t="s">
        <v>12</v>
      </c>
      <c r="C31">
        <v>4572</v>
      </c>
      <c r="D31">
        <v>269.59</v>
      </c>
      <c r="E31">
        <v>600</v>
      </c>
      <c r="F31">
        <v>0</v>
      </c>
      <c r="G31">
        <v>30</v>
      </c>
      <c r="H31">
        <v>5441.59</v>
      </c>
      <c r="I31" s="3">
        <f t="shared" si="0"/>
        <v>5681.59</v>
      </c>
    </row>
    <row r="32" spans="1:9">
      <c r="A32" t="s">
        <v>42</v>
      </c>
      <c r="B32" t="s">
        <v>12</v>
      </c>
      <c r="C32">
        <v>4570</v>
      </c>
      <c r="D32">
        <v>207.99</v>
      </c>
      <c r="E32">
        <v>900</v>
      </c>
      <c r="F32">
        <v>120</v>
      </c>
      <c r="G32">
        <v>30</v>
      </c>
      <c r="H32">
        <v>5557.99</v>
      </c>
      <c r="I32" s="3">
        <f t="shared" si="0"/>
        <v>5797.99</v>
      </c>
    </row>
    <row r="33" spans="1:9">
      <c r="A33" t="s">
        <v>43</v>
      </c>
      <c r="B33" t="s">
        <v>10</v>
      </c>
      <c r="C33">
        <v>5708</v>
      </c>
      <c r="D33">
        <v>317.88</v>
      </c>
      <c r="E33">
        <v>810</v>
      </c>
      <c r="F33">
        <v>90</v>
      </c>
      <c r="G33">
        <v>39</v>
      </c>
      <c r="H33">
        <v>6745.88</v>
      </c>
      <c r="I33" s="3">
        <f t="shared" si="0"/>
        <v>7213.88</v>
      </c>
    </row>
    <row r="34" spans="1:9">
      <c r="A34" t="s">
        <v>44</v>
      </c>
      <c r="B34" t="s">
        <v>12</v>
      </c>
      <c r="C34">
        <v>4580</v>
      </c>
      <c r="D34">
        <v>269.59</v>
      </c>
      <c r="E34">
        <v>780</v>
      </c>
      <c r="F34">
        <v>270</v>
      </c>
      <c r="G34">
        <v>42</v>
      </c>
      <c r="H34">
        <v>5359.59</v>
      </c>
      <c r="I34" s="3">
        <f t="shared" si="0"/>
        <v>5695.59</v>
      </c>
    </row>
    <row r="35" spans="1:9">
      <c r="A35" t="s">
        <v>45</v>
      </c>
      <c r="B35" t="s">
        <v>12</v>
      </c>
      <c r="C35">
        <v>4570</v>
      </c>
      <c r="D35">
        <v>207.99</v>
      </c>
      <c r="E35">
        <v>825</v>
      </c>
      <c r="F35">
        <v>170</v>
      </c>
      <c r="G35">
        <v>37.5</v>
      </c>
      <c r="H35">
        <v>5432.99</v>
      </c>
      <c r="I35" s="3">
        <f t="shared" si="0"/>
        <v>5732.99</v>
      </c>
    </row>
    <row r="36" spans="1:9">
      <c r="A36" t="s">
        <v>46</v>
      </c>
      <c r="B36" t="s">
        <v>10</v>
      </c>
      <c r="C36">
        <v>5723</v>
      </c>
      <c r="D36">
        <v>317.88</v>
      </c>
      <c r="E36">
        <v>915</v>
      </c>
      <c r="F36">
        <v>150</v>
      </c>
      <c r="G36">
        <v>41.5</v>
      </c>
      <c r="H36">
        <v>6805.88</v>
      </c>
      <c r="I36" s="3">
        <f t="shared" si="0"/>
        <v>7303.88</v>
      </c>
    </row>
    <row r="37" spans="1:9">
      <c r="A37" t="s">
        <v>47</v>
      </c>
      <c r="B37" t="s">
        <v>12</v>
      </c>
      <c r="C37">
        <v>4580</v>
      </c>
      <c r="D37">
        <v>269.59</v>
      </c>
      <c r="E37">
        <v>735</v>
      </c>
      <c r="F37">
        <v>230</v>
      </c>
      <c r="G37">
        <v>46.5</v>
      </c>
      <c r="H37">
        <v>5354.59</v>
      </c>
      <c r="I37" s="3">
        <f t="shared" si="0"/>
        <v>5726.59</v>
      </c>
    </row>
    <row r="38" spans="1:9">
      <c r="A38" t="s">
        <v>48</v>
      </c>
      <c r="B38" t="s">
        <v>12</v>
      </c>
      <c r="C38">
        <v>4570</v>
      </c>
      <c r="D38">
        <v>207.99</v>
      </c>
      <c r="E38">
        <v>1005</v>
      </c>
      <c r="F38">
        <v>40</v>
      </c>
      <c r="G38">
        <v>50.5</v>
      </c>
      <c r="H38">
        <v>5742.99</v>
      </c>
      <c r="I38" s="3">
        <f t="shared" si="0"/>
        <v>6146.99</v>
      </c>
    </row>
    <row r="39" spans="1:9">
      <c r="A39" t="s">
        <v>49</v>
      </c>
      <c r="B39" t="s">
        <v>10</v>
      </c>
      <c r="C39">
        <v>5808</v>
      </c>
      <c r="D39">
        <v>317.88</v>
      </c>
      <c r="E39">
        <v>855</v>
      </c>
      <c r="F39">
        <v>10</v>
      </c>
      <c r="G39">
        <v>34.5</v>
      </c>
      <c r="H39">
        <v>6970.88</v>
      </c>
      <c r="I39" s="3">
        <f t="shared" si="0"/>
        <v>7384.88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"/>
  <sheetViews>
    <sheetView zoomScale="85" zoomScaleNormal="85" workbookViewId="0">
      <selection activeCell="B12" sqref="B12"/>
    </sheetView>
  </sheetViews>
  <sheetFormatPr defaultColWidth="9" defaultRowHeight="13.5"/>
  <sheetData>
    <row r="1" spans="1:2">
      <c r="A1" t="s">
        <v>2</v>
      </c>
      <c r="B1" t="s">
        <v>8</v>
      </c>
    </row>
    <row r="2" spans="1:2">
      <c r="A2" t="s">
        <v>16</v>
      </c>
      <c r="B2" t="s">
        <v>51</v>
      </c>
    </row>
    <row r="3" spans="1:2">
      <c r="A3" t="s">
        <v>10</v>
      </c>
      <c r="B3" t="s">
        <v>51</v>
      </c>
    </row>
    <row r="10" spans="1:9">
      <c r="A10" t="s">
        <v>1</v>
      </c>
      <c r="B10" t="s">
        <v>2</v>
      </c>
      <c r="C10" t="s">
        <v>3</v>
      </c>
      <c r="D10" t="s">
        <v>4</v>
      </c>
      <c r="E10" t="s">
        <v>5</v>
      </c>
      <c r="F10" t="s">
        <v>6</v>
      </c>
      <c r="G10" t="s">
        <v>7</v>
      </c>
      <c r="H10" t="s">
        <v>8</v>
      </c>
      <c r="I10" t="s">
        <v>50</v>
      </c>
    </row>
    <row r="11" spans="1:9">
      <c r="A11" t="s">
        <v>15</v>
      </c>
      <c r="B11" t="s">
        <v>16</v>
      </c>
      <c r="C11">
        <v>6700</v>
      </c>
      <c r="D11">
        <v>675.84</v>
      </c>
      <c r="E11">
        <v>840</v>
      </c>
      <c r="F11">
        <v>160</v>
      </c>
      <c r="G11">
        <v>36</v>
      </c>
      <c r="H11">
        <v>8055.84</v>
      </c>
      <c r="I11" s="3">
        <v>8595.84</v>
      </c>
    </row>
    <row r="12" spans="1:9">
      <c r="A12" t="s">
        <v>18</v>
      </c>
      <c r="B12" t="s">
        <v>10</v>
      </c>
      <c r="C12">
        <v>5808</v>
      </c>
      <c r="D12">
        <v>754.43</v>
      </c>
      <c r="E12">
        <v>900</v>
      </c>
      <c r="F12">
        <v>200</v>
      </c>
      <c r="G12">
        <v>30</v>
      </c>
      <c r="H12">
        <v>7262.43</v>
      </c>
      <c r="I12" s="3">
        <v>7622.43</v>
      </c>
    </row>
    <row r="13" spans="1:9">
      <c r="A13" t="s">
        <v>34</v>
      </c>
      <c r="B13" t="s">
        <v>16</v>
      </c>
      <c r="C13">
        <v>6700</v>
      </c>
      <c r="D13">
        <v>818.5</v>
      </c>
      <c r="E13">
        <v>945</v>
      </c>
      <c r="F13">
        <v>230</v>
      </c>
      <c r="G13">
        <v>50</v>
      </c>
      <c r="H13">
        <v>8233.5</v>
      </c>
      <c r="I13" s="3">
        <v>8983.5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3"/>
  <sheetViews>
    <sheetView zoomScale="70" zoomScaleNormal="70" workbookViewId="0">
      <selection activeCell="M46" sqref="M46"/>
    </sheetView>
  </sheetViews>
  <sheetFormatPr defaultColWidth="9" defaultRowHeight="13.5"/>
  <cols>
    <col min="8" max="9" width="9.5" customWidth="1"/>
  </cols>
  <sheetData>
    <row r="1" spans="1:9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50</v>
      </c>
    </row>
    <row r="2" outlineLevel="2" spans="1:9">
      <c r="A2" t="s">
        <v>19</v>
      </c>
      <c r="B2" t="s">
        <v>12</v>
      </c>
      <c r="C2">
        <v>4570</v>
      </c>
      <c r="D2">
        <v>393.87</v>
      </c>
      <c r="E2">
        <v>810</v>
      </c>
      <c r="F2">
        <v>140</v>
      </c>
      <c r="G2">
        <v>39</v>
      </c>
      <c r="H2">
        <v>5633.87</v>
      </c>
      <c r="I2">
        <v>5945.87</v>
      </c>
    </row>
    <row r="3" outlineLevel="2" spans="1:9">
      <c r="A3" t="s">
        <v>47</v>
      </c>
      <c r="B3" t="s">
        <v>12</v>
      </c>
      <c r="C3">
        <v>4580</v>
      </c>
      <c r="D3">
        <v>269.59</v>
      </c>
      <c r="E3">
        <v>735</v>
      </c>
      <c r="F3">
        <v>230</v>
      </c>
      <c r="G3">
        <v>46.5</v>
      </c>
      <c r="H3">
        <v>5354.59</v>
      </c>
      <c r="I3">
        <v>5726.59</v>
      </c>
    </row>
    <row r="4" outlineLevel="2" spans="1:9">
      <c r="A4" t="s">
        <v>13</v>
      </c>
      <c r="B4" t="s">
        <v>12</v>
      </c>
      <c r="C4">
        <v>4570</v>
      </c>
      <c r="D4">
        <v>285.94</v>
      </c>
      <c r="E4">
        <v>855</v>
      </c>
      <c r="F4">
        <v>170</v>
      </c>
      <c r="G4">
        <v>34.5</v>
      </c>
      <c r="H4">
        <v>5540.94</v>
      </c>
      <c r="I4">
        <v>5816.94</v>
      </c>
    </row>
    <row r="5" outlineLevel="2" spans="1:9">
      <c r="A5" t="s">
        <v>27</v>
      </c>
      <c r="B5" t="s">
        <v>12</v>
      </c>
      <c r="C5">
        <v>4580</v>
      </c>
      <c r="D5">
        <v>413.97</v>
      </c>
      <c r="E5">
        <v>900</v>
      </c>
      <c r="F5">
        <v>200</v>
      </c>
      <c r="G5">
        <v>30</v>
      </c>
      <c r="H5">
        <v>5693.97</v>
      </c>
      <c r="I5">
        <v>5933.97</v>
      </c>
    </row>
    <row r="6" outlineLevel="2" spans="1:9">
      <c r="A6" t="s">
        <v>48</v>
      </c>
      <c r="B6" t="s">
        <v>12</v>
      </c>
      <c r="C6">
        <v>4570</v>
      </c>
      <c r="D6">
        <v>207.99</v>
      </c>
      <c r="E6">
        <v>1005</v>
      </c>
      <c r="F6">
        <v>40</v>
      </c>
      <c r="G6">
        <v>50.5</v>
      </c>
      <c r="H6">
        <v>5742.99</v>
      </c>
      <c r="I6">
        <v>6146.99</v>
      </c>
    </row>
    <row r="7" outlineLevel="2" spans="1:9">
      <c r="A7" t="s">
        <v>35</v>
      </c>
      <c r="B7" t="s">
        <v>12</v>
      </c>
      <c r="C7">
        <v>4670</v>
      </c>
      <c r="D7">
        <v>390.19</v>
      </c>
      <c r="E7">
        <v>660</v>
      </c>
      <c r="F7">
        <v>40</v>
      </c>
      <c r="G7">
        <v>54</v>
      </c>
      <c r="H7">
        <v>5680.19</v>
      </c>
      <c r="I7">
        <v>6112.19</v>
      </c>
    </row>
    <row r="8" outlineLevel="2" spans="1:9">
      <c r="A8" t="s">
        <v>37</v>
      </c>
      <c r="B8" t="s">
        <v>12</v>
      </c>
      <c r="C8">
        <v>4573</v>
      </c>
      <c r="D8">
        <v>269.59</v>
      </c>
      <c r="E8">
        <v>735</v>
      </c>
      <c r="F8">
        <v>90</v>
      </c>
      <c r="G8">
        <v>46.5</v>
      </c>
      <c r="H8">
        <v>5487.59</v>
      </c>
      <c r="I8">
        <v>5859.59</v>
      </c>
    </row>
    <row r="9" outlineLevel="2" spans="1:9">
      <c r="A9" t="s">
        <v>32</v>
      </c>
      <c r="B9" t="s">
        <v>12</v>
      </c>
      <c r="C9">
        <v>4560</v>
      </c>
      <c r="D9">
        <v>225.5</v>
      </c>
      <c r="E9">
        <v>855</v>
      </c>
      <c r="F9">
        <v>170</v>
      </c>
      <c r="G9">
        <v>34.5</v>
      </c>
      <c r="H9">
        <v>5470.5</v>
      </c>
      <c r="I9">
        <v>5746.5</v>
      </c>
    </row>
    <row r="10" outlineLevel="2" spans="1:9">
      <c r="A10" t="s">
        <v>44</v>
      </c>
      <c r="B10" t="s">
        <v>12</v>
      </c>
      <c r="C10">
        <v>4580</v>
      </c>
      <c r="D10">
        <v>269.59</v>
      </c>
      <c r="E10">
        <v>780</v>
      </c>
      <c r="F10">
        <v>270</v>
      </c>
      <c r="G10">
        <v>42</v>
      </c>
      <c r="H10">
        <v>5359.59</v>
      </c>
      <c r="I10">
        <v>5695.59</v>
      </c>
    </row>
    <row r="11" outlineLevel="2" spans="1:9">
      <c r="A11" t="s">
        <v>22</v>
      </c>
      <c r="B11" t="s">
        <v>12</v>
      </c>
      <c r="C11">
        <v>4570</v>
      </c>
      <c r="D11">
        <v>318.95</v>
      </c>
      <c r="E11">
        <v>795</v>
      </c>
      <c r="F11">
        <v>130</v>
      </c>
      <c r="G11">
        <v>40.5</v>
      </c>
      <c r="H11">
        <v>5553.95</v>
      </c>
      <c r="I11">
        <v>5877.95</v>
      </c>
    </row>
    <row r="12" outlineLevel="2" spans="1:9">
      <c r="A12" t="s">
        <v>17</v>
      </c>
      <c r="B12" t="s">
        <v>12</v>
      </c>
      <c r="C12">
        <v>4570</v>
      </c>
      <c r="D12">
        <v>661.15</v>
      </c>
      <c r="E12">
        <v>870</v>
      </c>
      <c r="F12">
        <v>180</v>
      </c>
      <c r="G12">
        <v>33</v>
      </c>
      <c r="H12">
        <v>5921.15</v>
      </c>
      <c r="I12">
        <v>6185.15</v>
      </c>
    </row>
    <row r="13" outlineLevel="2" spans="1:9">
      <c r="A13" t="s">
        <v>26</v>
      </c>
      <c r="B13" t="s">
        <v>12</v>
      </c>
      <c r="C13">
        <v>4577</v>
      </c>
      <c r="D13">
        <v>330.51</v>
      </c>
      <c r="E13">
        <v>840</v>
      </c>
      <c r="F13">
        <v>160</v>
      </c>
      <c r="G13">
        <v>36</v>
      </c>
      <c r="H13">
        <v>5587.51</v>
      </c>
      <c r="I13">
        <v>5875.51</v>
      </c>
    </row>
    <row r="14" outlineLevel="2" spans="1:9">
      <c r="A14" t="s">
        <v>38</v>
      </c>
      <c r="B14" t="s">
        <v>12</v>
      </c>
      <c r="C14">
        <v>4570</v>
      </c>
      <c r="D14">
        <v>207.99</v>
      </c>
      <c r="E14">
        <v>690</v>
      </c>
      <c r="F14">
        <v>60</v>
      </c>
      <c r="G14">
        <v>51</v>
      </c>
      <c r="H14">
        <v>5407.99</v>
      </c>
      <c r="I14">
        <v>5815.99</v>
      </c>
    </row>
    <row r="15" outlineLevel="2" spans="1:9">
      <c r="A15" t="s">
        <v>23</v>
      </c>
      <c r="B15" t="s">
        <v>12</v>
      </c>
      <c r="C15">
        <v>4571</v>
      </c>
      <c r="D15">
        <v>218.72</v>
      </c>
      <c r="E15">
        <v>780</v>
      </c>
      <c r="F15">
        <v>120</v>
      </c>
      <c r="G15">
        <v>42</v>
      </c>
      <c r="H15">
        <v>5449.72</v>
      </c>
      <c r="I15">
        <v>5785.72</v>
      </c>
    </row>
    <row r="16" outlineLevel="2" spans="1:9">
      <c r="A16" t="s">
        <v>40</v>
      </c>
      <c r="B16" t="s">
        <v>12</v>
      </c>
      <c r="C16">
        <v>4570</v>
      </c>
      <c r="D16">
        <v>336.5</v>
      </c>
      <c r="E16">
        <v>855</v>
      </c>
      <c r="F16">
        <v>170</v>
      </c>
      <c r="G16">
        <v>34.5</v>
      </c>
      <c r="H16">
        <v>5591.5</v>
      </c>
      <c r="I16">
        <v>5867.5</v>
      </c>
    </row>
    <row r="17" outlineLevel="2" spans="1:9">
      <c r="A17" t="s">
        <v>28</v>
      </c>
      <c r="B17" t="s">
        <v>12</v>
      </c>
      <c r="C17">
        <v>4570</v>
      </c>
      <c r="D17">
        <v>626.88</v>
      </c>
      <c r="E17">
        <v>795</v>
      </c>
      <c r="F17">
        <v>130</v>
      </c>
      <c r="G17">
        <v>40.5</v>
      </c>
      <c r="H17">
        <v>5861.88</v>
      </c>
      <c r="I17">
        <v>6185.88</v>
      </c>
    </row>
    <row r="18" outlineLevel="2" spans="1:9">
      <c r="A18" t="s">
        <v>14</v>
      </c>
      <c r="B18" t="s">
        <v>12</v>
      </c>
      <c r="C18">
        <v>4530</v>
      </c>
      <c r="D18">
        <v>475.61</v>
      </c>
      <c r="E18">
        <v>885</v>
      </c>
      <c r="F18">
        <v>190</v>
      </c>
      <c r="G18">
        <v>31.5</v>
      </c>
      <c r="H18">
        <v>5700.61</v>
      </c>
      <c r="I18">
        <v>5952.61</v>
      </c>
    </row>
    <row r="19" outlineLevel="2" spans="1:9">
      <c r="A19" t="s">
        <v>30</v>
      </c>
      <c r="B19" t="s">
        <v>12</v>
      </c>
      <c r="C19">
        <v>4575</v>
      </c>
      <c r="D19">
        <v>807.19</v>
      </c>
      <c r="E19">
        <v>735</v>
      </c>
      <c r="F19">
        <v>90</v>
      </c>
      <c r="G19">
        <v>46.5</v>
      </c>
      <c r="H19">
        <v>6027.19</v>
      </c>
      <c r="I19">
        <v>6399.19</v>
      </c>
    </row>
    <row r="20" outlineLevel="2" spans="1:9">
      <c r="A20" t="s">
        <v>42</v>
      </c>
      <c r="B20" t="s">
        <v>12</v>
      </c>
      <c r="C20">
        <v>4570</v>
      </c>
      <c r="D20">
        <v>207.99</v>
      </c>
      <c r="E20">
        <v>900</v>
      </c>
      <c r="F20">
        <v>120</v>
      </c>
      <c r="G20">
        <v>30</v>
      </c>
      <c r="H20">
        <v>5557.99</v>
      </c>
      <c r="I20">
        <v>5797.99</v>
      </c>
    </row>
    <row r="21" outlineLevel="2" spans="1:9">
      <c r="A21" t="s">
        <v>45</v>
      </c>
      <c r="B21" t="s">
        <v>12</v>
      </c>
      <c r="C21">
        <v>4570</v>
      </c>
      <c r="D21">
        <v>207.99</v>
      </c>
      <c r="E21">
        <v>825</v>
      </c>
      <c r="F21">
        <v>170</v>
      </c>
      <c r="G21">
        <v>37.5</v>
      </c>
      <c r="H21">
        <v>5432.99</v>
      </c>
      <c r="I21">
        <v>5732.99</v>
      </c>
    </row>
    <row r="22" outlineLevel="2" spans="1:9">
      <c r="A22" t="s">
        <v>31</v>
      </c>
      <c r="B22" t="s">
        <v>12</v>
      </c>
      <c r="C22">
        <v>4570</v>
      </c>
      <c r="D22">
        <v>267.19</v>
      </c>
      <c r="E22">
        <v>1005</v>
      </c>
      <c r="F22">
        <v>270</v>
      </c>
      <c r="G22">
        <v>50.5</v>
      </c>
      <c r="H22">
        <v>5572.19</v>
      </c>
      <c r="I22">
        <v>5976.19</v>
      </c>
    </row>
    <row r="23" outlineLevel="2" spans="1:9">
      <c r="A23" t="s">
        <v>25</v>
      </c>
      <c r="B23" t="s">
        <v>12</v>
      </c>
      <c r="C23">
        <v>4567</v>
      </c>
      <c r="D23">
        <v>250.49</v>
      </c>
      <c r="E23">
        <v>915</v>
      </c>
      <c r="F23">
        <v>210</v>
      </c>
      <c r="G23">
        <v>41.5</v>
      </c>
      <c r="H23">
        <v>5522.49</v>
      </c>
      <c r="I23">
        <v>5854.49</v>
      </c>
    </row>
    <row r="24" outlineLevel="2" spans="1:9">
      <c r="A24" t="s">
        <v>41</v>
      </c>
      <c r="B24" t="s">
        <v>12</v>
      </c>
      <c r="C24">
        <v>4572</v>
      </c>
      <c r="D24">
        <v>269.59</v>
      </c>
      <c r="E24">
        <v>600</v>
      </c>
      <c r="F24">
        <v>0</v>
      </c>
      <c r="G24">
        <v>30</v>
      </c>
      <c r="H24">
        <v>5441.59</v>
      </c>
      <c r="I24">
        <v>5681.59</v>
      </c>
    </row>
    <row r="25" outlineLevel="2" spans="1:9">
      <c r="A25" t="s">
        <v>20</v>
      </c>
      <c r="B25" t="s">
        <v>12</v>
      </c>
      <c r="C25">
        <v>4570</v>
      </c>
      <c r="D25">
        <v>463.33</v>
      </c>
      <c r="E25">
        <v>705</v>
      </c>
      <c r="F25">
        <v>70</v>
      </c>
      <c r="G25">
        <v>49.5</v>
      </c>
      <c r="H25">
        <v>5668.33</v>
      </c>
      <c r="I25">
        <v>6064.33</v>
      </c>
    </row>
    <row r="26" outlineLevel="2" spans="1:9">
      <c r="A26" t="s">
        <v>11</v>
      </c>
      <c r="B26" t="s">
        <v>12</v>
      </c>
      <c r="C26">
        <v>4580</v>
      </c>
      <c r="D26">
        <v>405.51</v>
      </c>
      <c r="E26">
        <v>765</v>
      </c>
      <c r="F26">
        <v>110</v>
      </c>
      <c r="G26">
        <v>43.5</v>
      </c>
      <c r="H26">
        <v>5640.51</v>
      </c>
      <c r="I26">
        <v>5988.51</v>
      </c>
    </row>
    <row r="27" outlineLevel="1" spans="2:9">
      <c r="B27" s="1" t="s">
        <v>52</v>
      </c>
      <c r="H27" s="2">
        <f>SUBTOTAL(1,H2:H26)</f>
        <v>5596.0728</v>
      </c>
      <c r="I27" s="2">
        <f>SUBTOTAL(1,I2:I26)</f>
        <v>5921.0328</v>
      </c>
    </row>
    <row r="28" outlineLevel="2" spans="1:9">
      <c r="A28" t="s">
        <v>24</v>
      </c>
      <c r="B28" t="s">
        <v>10</v>
      </c>
      <c r="C28">
        <v>5808</v>
      </c>
      <c r="D28">
        <v>413.65</v>
      </c>
      <c r="E28">
        <v>825</v>
      </c>
      <c r="F28">
        <v>150</v>
      </c>
      <c r="G28">
        <v>37.5</v>
      </c>
      <c r="H28">
        <v>6896.65</v>
      </c>
      <c r="I28">
        <v>7346.65</v>
      </c>
    </row>
    <row r="29" outlineLevel="2" spans="1:9">
      <c r="A29" t="s">
        <v>33</v>
      </c>
      <c r="B29" t="s">
        <v>10</v>
      </c>
      <c r="C29">
        <v>5808</v>
      </c>
      <c r="D29">
        <v>419.88</v>
      </c>
      <c r="E29">
        <v>825</v>
      </c>
      <c r="F29">
        <v>150</v>
      </c>
      <c r="G29">
        <v>37.5</v>
      </c>
      <c r="H29">
        <v>6902.88</v>
      </c>
      <c r="I29">
        <v>7352.88</v>
      </c>
    </row>
    <row r="30" outlineLevel="2" spans="1:9">
      <c r="A30" t="s">
        <v>49</v>
      </c>
      <c r="B30" t="s">
        <v>10</v>
      </c>
      <c r="C30">
        <v>5808</v>
      </c>
      <c r="D30">
        <v>317.88</v>
      </c>
      <c r="E30">
        <v>855</v>
      </c>
      <c r="F30">
        <v>10</v>
      </c>
      <c r="G30">
        <v>34.5</v>
      </c>
      <c r="H30">
        <v>6970.88</v>
      </c>
      <c r="I30">
        <v>7384.88</v>
      </c>
    </row>
    <row r="31" outlineLevel="2" spans="1:9">
      <c r="A31" t="s">
        <v>46</v>
      </c>
      <c r="B31" t="s">
        <v>10</v>
      </c>
      <c r="C31">
        <v>5723</v>
      </c>
      <c r="D31">
        <v>317.88</v>
      </c>
      <c r="E31">
        <v>915</v>
      </c>
      <c r="F31">
        <v>150</v>
      </c>
      <c r="G31">
        <v>41.5</v>
      </c>
      <c r="H31">
        <v>6805.88</v>
      </c>
      <c r="I31">
        <v>7303.88</v>
      </c>
    </row>
    <row r="32" outlineLevel="2" spans="1:9">
      <c r="A32" t="s">
        <v>36</v>
      </c>
      <c r="B32" t="s">
        <v>10</v>
      </c>
      <c r="C32">
        <v>5865</v>
      </c>
      <c r="D32">
        <v>405.73</v>
      </c>
      <c r="E32">
        <v>600</v>
      </c>
      <c r="F32">
        <v>0</v>
      </c>
      <c r="G32">
        <v>60</v>
      </c>
      <c r="H32">
        <v>6870.73</v>
      </c>
      <c r="I32">
        <v>7590.73</v>
      </c>
    </row>
    <row r="33" outlineLevel="2" spans="1:9">
      <c r="A33" t="s">
        <v>39</v>
      </c>
      <c r="B33" t="s">
        <v>10</v>
      </c>
      <c r="C33">
        <v>5808</v>
      </c>
      <c r="D33">
        <v>317.88</v>
      </c>
      <c r="E33">
        <v>600</v>
      </c>
      <c r="F33">
        <v>0</v>
      </c>
      <c r="G33">
        <v>60</v>
      </c>
      <c r="H33">
        <v>6725.88</v>
      </c>
      <c r="I33">
        <v>7445.88</v>
      </c>
    </row>
    <row r="34" outlineLevel="2" spans="1:9">
      <c r="A34" t="s">
        <v>43</v>
      </c>
      <c r="B34" t="s">
        <v>10</v>
      </c>
      <c r="C34">
        <v>5708</v>
      </c>
      <c r="D34">
        <v>317.88</v>
      </c>
      <c r="E34">
        <v>810</v>
      </c>
      <c r="F34">
        <v>90</v>
      </c>
      <c r="G34">
        <v>39</v>
      </c>
      <c r="H34">
        <v>6745.88</v>
      </c>
      <c r="I34">
        <v>7213.88</v>
      </c>
    </row>
    <row r="35" outlineLevel="2" spans="1:9">
      <c r="A35" t="s">
        <v>9</v>
      </c>
      <c r="B35" t="s">
        <v>10</v>
      </c>
      <c r="C35">
        <v>5748</v>
      </c>
      <c r="D35">
        <v>561.18</v>
      </c>
      <c r="E35">
        <v>825</v>
      </c>
      <c r="F35">
        <v>150</v>
      </c>
      <c r="G35">
        <v>37.5</v>
      </c>
      <c r="H35">
        <v>6984.18</v>
      </c>
      <c r="I35">
        <v>7434.18</v>
      </c>
    </row>
    <row r="36" outlineLevel="2" spans="1:9">
      <c r="A36" t="s">
        <v>18</v>
      </c>
      <c r="B36" t="s">
        <v>10</v>
      </c>
      <c r="C36">
        <v>5808</v>
      </c>
      <c r="D36">
        <v>754.43</v>
      </c>
      <c r="E36">
        <v>900</v>
      </c>
      <c r="F36">
        <v>200</v>
      </c>
      <c r="G36">
        <v>30</v>
      </c>
      <c r="H36">
        <v>7262.43</v>
      </c>
      <c r="I36">
        <v>7622.43</v>
      </c>
    </row>
    <row r="37" outlineLevel="2" spans="1:9">
      <c r="A37" t="s">
        <v>21</v>
      </c>
      <c r="B37" t="s">
        <v>10</v>
      </c>
      <c r="C37">
        <v>5808</v>
      </c>
      <c r="D37">
        <v>518.12</v>
      </c>
      <c r="E37">
        <v>765</v>
      </c>
      <c r="F37">
        <v>110</v>
      </c>
      <c r="G37">
        <v>43.5</v>
      </c>
      <c r="H37">
        <v>6981.12</v>
      </c>
      <c r="I37">
        <v>7503.12</v>
      </c>
    </row>
    <row r="38" outlineLevel="2" spans="1:9">
      <c r="A38" t="s">
        <v>29</v>
      </c>
      <c r="B38" t="s">
        <v>10</v>
      </c>
      <c r="C38">
        <v>5808</v>
      </c>
      <c r="D38">
        <v>397.57</v>
      </c>
      <c r="E38">
        <v>780</v>
      </c>
      <c r="F38">
        <v>120</v>
      </c>
      <c r="G38">
        <v>42</v>
      </c>
      <c r="H38">
        <v>6865.57</v>
      </c>
      <c r="I38">
        <v>7369.57</v>
      </c>
    </row>
    <row r="39" outlineLevel="1" spans="2:9">
      <c r="B39" s="1" t="s">
        <v>53</v>
      </c>
      <c r="H39" s="2">
        <f>SUBTOTAL(1,H28:H38)</f>
        <v>6910.18909090909</v>
      </c>
      <c r="I39" s="2">
        <f>SUBTOTAL(1,I28:I38)</f>
        <v>7415.28</v>
      </c>
    </row>
    <row r="40" outlineLevel="2" spans="1:9">
      <c r="A40" t="s">
        <v>15</v>
      </c>
      <c r="B40" t="s">
        <v>16</v>
      </c>
      <c r="C40">
        <v>6700</v>
      </c>
      <c r="D40">
        <v>675.84</v>
      </c>
      <c r="E40">
        <v>840</v>
      </c>
      <c r="F40">
        <v>160</v>
      </c>
      <c r="G40">
        <v>36</v>
      </c>
      <c r="H40">
        <v>8055.84</v>
      </c>
      <c r="I40">
        <v>8595.84</v>
      </c>
    </row>
    <row r="41" outlineLevel="2" spans="1:9">
      <c r="A41" t="s">
        <v>34</v>
      </c>
      <c r="B41" t="s">
        <v>16</v>
      </c>
      <c r="C41">
        <v>6700</v>
      </c>
      <c r="D41">
        <v>818.5</v>
      </c>
      <c r="E41">
        <v>945</v>
      </c>
      <c r="F41">
        <v>230</v>
      </c>
      <c r="G41">
        <v>50</v>
      </c>
      <c r="H41">
        <v>8233.5</v>
      </c>
      <c r="I41">
        <v>8983.5</v>
      </c>
    </row>
    <row r="42" outlineLevel="1" spans="2:9">
      <c r="B42" s="1" t="s">
        <v>54</v>
      </c>
      <c r="H42" s="2">
        <f>SUBTOTAL(1,H40:H41)</f>
        <v>8144.67</v>
      </c>
      <c r="I42" s="2">
        <f>SUBTOTAL(1,I40:I41)</f>
        <v>8789.67</v>
      </c>
    </row>
    <row r="43" spans="2:9">
      <c r="B43" s="1" t="s">
        <v>55</v>
      </c>
      <c r="H43">
        <f>SUBTOTAL(1,H2:H41)</f>
        <v>6110.61157894737</v>
      </c>
      <c r="I43">
        <f>SUBTOTAL(1,I2:I41)</f>
        <v>6504.55894736842</v>
      </c>
    </row>
  </sheetData>
  <sortState ref="A2:I39">
    <sortCondition ref="B2:B39" descending="1"/>
    <sortCondition ref="A2:A39" descending="1"/>
  </sortState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zoomScale="70" zoomScaleNormal="70" workbookViewId="0">
      <selection activeCell="R25" sqref="R25"/>
    </sheetView>
  </sheetViews>
  <sheetFormatPr defaultColWidth="9" defaultRowHeight="13.5"/>
  <sheetData/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教师工资统计表</vt:lpstr>
      <vt:lpstr>Sheet2</vt:lpstr>
      <vt:lpstr>筛选</vt:lpstr>
      <vt:lpstr>分类汇总</vt:lpstr>
      <vt:lpstr>图表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zy</cp:lastModifiedBy>
  <dcterms:created xsi:type="dcterms:W3CDTF">2006-09-16T00:00:00Z</dcterms:created>
  <dcterms:modified xsi:type="dcterms:W3CDTF">2023-12-02T01:49:23Z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D3A12945464845A2A1B6F2BEBBCB71BE_12</vt:lpwstr>
  </property>
  <property fmtid="{D5CDD505-2E9C-101B-9397-08002B2CF9AE}" pid="3" name="KSOProductBuildVer">
    <vt:lpwstr>2052-12.1.0.15712</vt:lpwstr>
  </property>
</Properties>
</file>
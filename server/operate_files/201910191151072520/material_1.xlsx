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总成绩第一</t>
        </r>
      </text>
    </comment>
  </commentList>
</comments>
</file>

<file path=xl/sharedStrings.xml><?xml version="1.0" encoding="utf-8"?>
<sst xmlns="http://schemas.openxmlformats.org/spreadsheetml/2006/main" count="17" uniqueCount="17">
  <si>
    <t>选手号</t>
    <phoneticPr fontId="1" type="noConversion"/>
  </si>
  <si>
    <t>初赛成绩</t>
  </si>
  <si>
    <t>复赛成绩</t>
  </si>
  <si>
    <t>总成绩</t>
    <phoneticPr fontId="1" type="noConversion"/>
  </si>
  <si>
    <t>成绩排名</t>
  </si>
  <si>
    <t>决赛成绩</t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</si>
  <si>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</si>
  <si>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</si>
  <si>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</si>
  <si>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</si>
  <si>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</si>
  <si>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</si>
  <si>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</si>
  <si>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</si>
  <si>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</si>
  <si>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</si>
  <si>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竞赛成绩统计表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</si>
</sst>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FF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/>
    <xf numFmtId="0" fontId="0" fillId="0" borderId="0" xfId="0" applyBorder="1"/>
    <xf numFmtId="0" fontId="0" fillId="0" borderId="5" xfId="0" applyBorder="1"/>
    <xf numFmtId="49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竞赛总成绩统计图</a:t>
            </a:r>
            <a:endParaRPr lang="en-US" altLang="zh-C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5877296587926505E-2"/>
          <c:y val="0.21059055118110237"/>
          <c:w val="0.54872134733158351"/>
          <c:h val="0.67805920093321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Sheet1!$A$2:$A$12</c:f>
              <c:strCache>
                <c:ptCount val="1"/>
                <c:pt idx="0">
                  <c:v>选手号 001 002 003 004 005 006 007 008 009 010</c:v>
                </c:pt>
              </c:strCache>
            </c:strRef>
          </c:tx>
          <c:invertIfNegative val="0"/>
          <c:val>
            <c:numRef>
              <c:f>Sheet1!$E$2:$E$12</c:f>
              <c:numCache>
                <c:formatCode>General</c:formatCode>
                <c:ptCount val="11"/>
                <c:pt idx="0">
                  <c:v>0</c:v>
                </c:pt>
                <c:pt idx="1">
                  <c:v>76.7</c:v>
                </c:pt>
                <c:pt idx="2">
                  <c:v>85.1</c:v>
                </c:pt>
                <c:pt idx="3">
                  <c:v>85.699999999999989</c:v>
                </c:pt>
                <c:pt idx="4">
                  <c:v>84.699999999999989</c:v>
                </c:pt>
                <c:pt idx="5">
                  <c:v>86.1</c:v>
                </c:pt>
                <c:pt idx="6">
                  <c:v>68.099999999999994</c:v>
                </c:pt>
                <c:pt idx="7">
                  <c:v>88.199999999999989</c:v>
                </c:pt>
                <c:pt idx="8">
                  <c:v>80.5</c:v>
                </c:pt>
                <c:pt idx="9">
                  <c:v>72.8</c:v>
                </c:pt>
                <c:pt idx="10">
                  <c:v>82.699999999999989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7442176"/>
        <c:axId val="241045504"/>
        <c:axId val="0"/>
      </c:bar3DChart>
      <c:catAx>
        <c:axId val="217442176"/>
        <c:scaling>
          <c:orientation val="minMax"/>
        </c:scaling>
        <c:delete val="0"/>
        <c:axPos val="b"/>
        <c:majorTickMark val="none"/>
        <c:minorTickMark val="none"/>
        <c:tickLblPos val="nextTo"/>
        <c:crossAx val="241045504"/>
        <c:crosses val="autoZero"/>
        <c:auto val="1"/>
        <c:lblAlgn val="ctr"/>
        <c:lblOffset val="100"/>
        <c:noMultiLvlLbl val="0"/>
      </c:catAx>
      <c:valAx>
        <c:axId val="2410455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17442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13</xdr:row>
      <xdr:rowOff>19050</xdr:rowOff>
    </xdr:from>
    <xdr:to>
      <xdr:col>7</xdr:col>
      <xdr:colOff>327660</xdr:colOff>
      <xdr:row>28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H2" sqref="H2"/>
    </sheetView>
  </sheetViews>
  <sheetFormatPr defaultRowHeight="13.8" x14ac:dyDescent="0.25"/>
  <sheetData>
    <row r="1" spans="1:6" ht="26.4" thickBot="1" x14ac:dyDescent="0.45">
      <c r="A1" s="10" t="s">
        <v>16</v>
      </c>
      <c r="B1" s="10"/>
      <c r="C1" s="10"/>
      <c r="D1" s="10"/>
      <c r="E1" s="10"/>
      <c r="F1" s="10"/>
    </row>
    <row r="2" spans="1:6" ht="14.4" thickTop="1" x14ac:dyDescent="0.25">
      <c r="A2" s="1" t="s">
        <v>0</v>
      </c>
      <c r="B2" s="2" t="s">
        <v>1</v>
      </c>
      <c r="C2" s="2" t="s">
        <v>2</v>
      </c>
      <c r="D2" s="2" t="s">
        <v>5</v>
      </c>
      <c r="E2" s="2" t="s">
        <v>3</v>
      </c>
      <c r="F2" s="3" t="s">
        <v>4</v>
      </c>
    </row>
    <row r="3" spans="1:6" x14ac:dyDescent="0.25">
      <c r="A3" s="4" t="s">
        <v>6</v>
      </c>
      <c r="B3" s="5">
        <v>90</v>
      </c>
      <c r="C3" s="5">
        <v>76</v>
      </c>
      <c r="D3" s="5">
        <v>75</v>
      </c>
      <c r="E3" s="5">
        <f>B3*10%+C3*20%+D3*70%</f>
        <v>76.7</v>
      </c>
      <c r="F3" s="6">
        <f>RANK(E3,$E$3:$E$12)</f>
        <v>8</v>
      </c>
    </row>
    <row r="4" spans="1:6" x14ac:dyDescent="0.25">
      <c r="A4" s="4" t="s">
        <v>7</v>
      </c>
      <c r="B4" s="5">
        <v>80</v>
      </c>
      <c r="C4" s="5">
        <v>67</v>
      </c>
      <c r="D4" s="5">
        <v>91</v>
      </c>
      <c r="E4" s="5">
        <f t="shared" ref="E4:E12" si="0">B4*10%+C4*20%+D4*70%</f>
        <v>85.1</v>
      </c>
      <c r="F4" s="6">
        <f t="shared" ref="F4:F12" si="1">RANK(E4,$E$3:$E$12)</f>
        <v>4</v>
      </c>
    </row>
    <row r="5" spans="1:6" x14ac:dyDescent="0.25">
      <c r="A5" s="4" t="s">
        <v>8</v>
      </c>
      <c r="B5" s="5">
        <v>75</v>
      </c>
      <c r="C5" s="5">
        <v>83</v>
      </c>
      <c r="D5" s="5">
        <v>88</v>
      </c>
      <c r="E5" s="5">
        <f t="shared" si="0"/>
        <v>85.699999999999989</v>
      </c>
      <c r="F5" s="6">
        <f t="shared" si="1"/>
        <v>3</v>
      </c>
    </row>
    <row r="6" spans="1:6" x14ac:dyDescent="0.25">
      <c r="A6" s="4" t="s">
        <v>9</v>
      </c>
      <c r="B6" s="5">
        <v>91</v>
      </c>
      <c r="C6" s="5">
        <v>70</v>
      </c>
      <c r="D6" s="5">
        <v>88</v>
      </c>
      <c r="E6" s="5">
        <f t="shared" si="0"/>
        <v>84.699999999999989</v>
      </c>
      <c r="F6" s="6">
        <f t="shared" si="1"/>
        <v>5</v>
      </c>
    </row>
    <row r="7" spans="1:6" x14ac:dyDescent="0.25">
      <c r="A7" s="4" t="s">
        <v>10</v>
      </c>
      <c r="B7" s="5">
        <v>88</v>
      </c>
      <c r="C7" s="5">
        <v>75</v>
      </c>
      <c r="D7" s="5">
        <v>89</v>
      </c>
      <c r="E7" s="5">
        <f t="shared" si="0"/>
        <v>86.1</v>
      </c>
      <c r="F7" s="6">
        <f t="shared" si="1"/>
        <v>2</v>
      </c>
    </row>
    <row r="8" spans="1:6" x14ac:dyDescent="0.25">
      <c r="A8" s="4" t="s">
        <v>11</v>
      </c>
      <c r="B8" s="5">
        <v>79</v>
      </c>
      <c r="C8" s="5">
        <v>91</v>
      </c>
      <c r="D8" s="5">
        <v>60</v>
      </c>
      <c r="E8" s="5">
        <f t="shared" si="0"/>
        <v>68.099999999999994</v>
      </c>
      <c r="F8" s="6">
        <f t="shared" si="1"/>
        <v>10</v>
      </c>
    </row>
    <row r="9" spans="1:6" x14ac:dyDescent="0.25">
      <c r="A9" s="4" t="s">
        <v>12</v>
      </c>
      <c r="B9" s="5">
        <v>76</v>
      </c>
      <c r="C9" s="5">
        <v>88</v>
      </c>
      <c r="D9" s="5">
        <v>90</v>
      </c>
      <c r="E9" s="5">
        <f t="shared" si="0"/>
        <v>88.199999999999989</v>
      </c>
      <c r="F9" s="6">
        <f t="shared" si="1"/>
        <v>1</v>
      </c>
    </row>
    <row r="10" spans="1:6" x14ac:dyDescent="0.25">
      <c r="A10" s="4" t="s">
        <v>13</v>
      </c>
      <c r="B10" s="5">
        <v>67</v>
      </c>
      <c r="C10" s="5">
        <v>89</v>
      </c>
      <c r="D10" s="5">
        <v>80</v>
      </c>
      <c r="E10" s="5">
        <f t="shared" si="0"/>
        <v>80.5</v>
      </c>
      <c r="F10" s="6">
        <f t="shared" si="1"/>
        <v>7</v>
      </c>
    </row>
    <row r="11" spans="1:6" x14ac:dyDescent="0.25">
      <c r="A11" s="4" t="s">
        <v>14</v>
      </c>
      <c r="B11" s="5">
        <v>83</v>
      </c>
      <c r="C11" s="5">
        <v>60</v>
      </c>
      <c r="D11" s="5">
        <v>75</v>
      </c>
      <c r="E11" s="5">
        <f t="shared" si="0"/>
        <v>72.8</v>
      </c>
      <c r="F11" s="6">
        <f t="shared" si="1"/>
        <v>9</v>
      </c>
    </row>
    <row r="12" spans="1:6" ht="14.4" thickBot="1" x14ac:dyDescent="0.3">
      <c r="A12" s="7" t="s">
        <v>15</v>
      </c>
      <c r="B12" s="8">
        <v>70</v>
      </c>
      <c r="C12" s="8">
        <v>60</v>
      </c>
      <c r="D12" s="8">
        <v>91</v>
      </c>
      <c r="E12" s="8">
        <f t="shared" si="0"/>
        <v>82.699999999999989</v>
      </c>
      <c r="F12" s="9">
        <f t="shared" si="1"/>
        <v>6</v>
      </c>
    </row>
    <row r="13" spans="1:6" ht="14.4" thickTop="1" x14ac:dyDescent="0.25"/>
  </sheetData>
  <mergeCells count="1">
    <mergeCell ref="A1:F1"/>
  </mergeCells>
  <phoneticPr fontId="1" type="noConversion"/>
  <pageMargins left="0.7" right="0.7" top="0.75" bottom="0.75" header="0.3" footer="0.3"/>
  <pageSetup paperSize="9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2021-04-22T07:54:21Z</dcterms:modified>
</cp:coreProperties>
</file>
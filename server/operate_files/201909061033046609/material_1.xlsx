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3" i="1"/>
  <c r="H4" i="1" l="1"/>
  <c r="H5" i="1"/>
  <c r="H6" i="1"/>
  <c r="H7" i="1"/>
  <c r="H8" i="1"/>
  <c r="H9" i="1"/>
  <c r="H10" i="1"/>
  <c r="H11" i="1"/>
  <c r="H3" i="1"/>
  <c r="G4" i="1"/>
  <c r="G5" i="1"/>
  <c r="G6" i="1"/>
  <c r="G7" i="1"/>
  <c r="G8" i="1"/>
  <c r="G9" i="1"/>
  <c r="G10" i="1"/>
  <c r="G11" i="1"/>
  <c r="G3" i="1"/>
</calcChain>
</file>

<file path=xl/sharedStrings.xml><?xml version="1.0" encoding="utf-8"?>
<sst xmlns="http://schemas.openxmlformats.org/spreadsheetml/2006/main" count="28" uniqueCount="21">
  <si>
    <t>学号</t>
  </si>
  <si>
    <t>姓名</t>
  </si>
  <si>
    <t>性别</t>
  </si>
  <si>
    <t>大学英语</t>
  </si>
  <si>
    <t>普通物理</t>
  </si>
  <si>
    <t>机械制图</t>
  </si>
  <si>
    <t>平均分</t>
  </si>
  <si>
    <t>总分</t>
  </si>
  <si>
    <t>宋大刚</t>
  </si>
  <si>
    <t>男</t>
  </si>
  <si>
    <t>黄惠惠</t>
  </si>
  <si>
    <t>女</t>
  </si>
  <si>
    <t>翁光明</t>
  </si>
  <si>
    <t>钱宝方</t>
  </si>
  <si>
    <t>钱旭亮</t>
  </si>
  <si>
    <t>吴树西</t>
  </si>
  <si>
    <t>周甲红</t>
  </si>
  <si>
    <t>叶秋阳</t>
  </si>
  <si>
    <t>方昌霞</t>
  </si>
  <si>
    <t>等级</t>
    <phoneticPr fontId="1" type="noConversion"/>
  </si>
  <si>
    <t>学生成绩表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</si>
</sst>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黑体"/>
      <family val="3"/>
      <charset val="134"/>
    </font>
    <font>
      <sz val="20"/>
      <color theme="1"/>
      <name val="宋体"/>
      <family val="2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76" fontId="0" fillId="0" borderId="0" xfId="0" applyNumberForma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/>
              <a:t>总分对比图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总分</c:v>
                </c:pt>
              </c:strCache>
            </c:strRef>
          </c:tx>
          <c:marker>
            <c:symbol val="none"/>
          </c:marker>
          <c:cat>
            <c:strRef>
              <c:f>Sheet1!$B$3:$B$11</c:f>
              <c:strCache>
                <c:ptCount val="9"/>
                <c:pt idx="0">
                  <c:v>宋大刚</c:v>
                </c:pt>
                <c:pt idx="1">
                  <c:v>黄惠惠</c:v>
                </c:pt>
                <c:pt idx="2">
                  <c:v>翁光明</c:v>
                </c:pt>
                <c:pt idx="3">
                  <c:v>钱宝方</c:v>
                </c:pt>
                <c:pt idx="4">
                  <c:v>钱旭亮</c:v>
                </c:pt>
                <c:pt idx="5">
                  <c:v>吴树西</c:v>
                </c:pt>
                <c:pt idx="6">
                  <c:v>周甲红</c:v>
                </c:pt>
                <c:pt idx="7">
                  <c:v>叶秋阳</c:v>
                </c:pt>
                <c:pt idx="8">
                  <c:v>方昌霞</c:v>
                </c:pt>
              </c:strCache>
            </c:strRef>
          </c:cat>
          <c:val>
            <c:numRef>
              <c:f>Sheet1!$H$3:$H$11</c:f>
              <c:numCache>
                <c:formatCode>General</c:formatCode>
                <c:ptCount val="9"/>
                <c:pt idx="0">
                  <c:v>191</c:v>
                </c:pt>
                <c:pt idx="1">
                  <c:v>251</c:v>
                </c:pt>
                <c:pt idx="2">
                  <c:v>272</c:v>
                </c:pt>
                <c:pt idx="3">
                  <c:v>194</c:v>
                </c:pt>
                <c:pt idx="4">
                  <c:v>226</c:v>
                </c:pt>
                <c:pt idx="5">
                  <c:v>238</c:v>
                </c:pt>
                <c:pt idx="6">
                  <c:v>170</c:v>
                </c:pt>
                <c:pt idx="7">
                  <c:v>257</c:v>
                </c:pt>
                <c:pt idx="8">
                  <c:v>234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077568"/>
        <c:axId val="220778880"/>
      </c:lineChart>
      <c:catAx>
        <c:axId val="212077568"/>
        <c:scaling>
          <c:orientation val="minMax"/>
        </c:scaling>
        <c:delete val="0"/>
        <c:axPos val="b"/>
        <c:majorTickMark val="none"/>
        <c:minorTickMark val="none"/>
        <c:tickLblPos val="nextTo"/>
        <c:crossAx val="220778880"/>
        <c:crosses val="autoZero"/>
        <c:auto val="1"/>
        <c:lblAlgn val="ctr"/>
        <c:lblOffset val="100"/>
        <c:noMultiLvlLbl val="0"/>
      </c:catAx>
      <c:valAx>
        <c:axId val="220778880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2120775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13</xdr:row>
      <xdr:rowOff>179070</xdr:rowOff>
    </xdr:from>
    <xdr:to>
      <xdr:col>8</xdr:col>
      <xdr:colOff>304800</xdr:colOff>
      <xdr:row>28</xdr:row>
      <xdr:rowOff>179070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I3" sqref="I3:I11"/>
    </sheetView>
  </sheetViews>
  <sheetFormatPr defaultRowHeight="14.4" x14ac:dyDescent="0.25"/>
  <cols>
    <col min="1" max="1" width="8.77734375" customWidth="1"/>
    <col min="2" max="2" width="10.33203125" customWidth="1"/>
    <col min="3" max="3" width="6" customWidth="1"/>
  </cols>
  <sheetData>
    <row r="1" spans="1:9" ht="25.8" x14ac:dyDescent="0.25">
      <c r="A1" s="3" t="s">
        <v>20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19</v>
      </c>
    </row>
    <row r="3" spans="1:9" x14ac:dyDescent="0.25">
      <c r="A3">
        <v>9236001</v>
      </c>
      <c r="B3" t="s">
        <v>8</v>
      </c>
      <c r="C3" t="s">
        <v>9</v>
      </c>
      <c r="D3">
        <v>76</v>
      </c>
      <c r="E3">
        <v>51</v>
      </c>
      <c r="F3">
        <v>64</v>
      </c>
      <c r="G3" s="2">
        <f>AVERAGE(D3:F3)</f>
        <v>63.666666666666664</v>
      </c>
      <c r="H3">
        <f>SUM(D3:F3)</f>
        <v>191</v>
      </c>
      <c r="I3" t="str">
        <f>IF(G3&gt;90,"优秀",IF(G3&lt;60,"不合格",IF(G3&lt;80,"合格",IF(G3&lt;90,"良好"))))</f>
        <v>合格</v>
      </c>
    </row>
    <row r="4" spans="1:9" x14ac:dyDescent="0.25">
      <c r="A4">
        <v>9236002</v>
      </c>
      <c r="B4" t="s">
        <v>10</v>
      </c>
      <c r="C4" t="s">
        <v>11</v>
      </c>
      <c r="D4">
        <v>81</v>
      </c>
      <c r="E4">
        <v>88</v>
      </c>
      <c r="F4">
        <v>82</v>
      </c>
      <c r="G4" s="2">
        <f t="shared" ref="G4:G11" si="0">AVERAGE(D4:F4)</f>
        <v>83.666666666666671</v>
      </c>
      <c r="H4">
        <f t="shared" ref="H4:H11" si="1">SUM(D4:F4)</f>
        <v>251</v>
      </c>
      <c r="I4" t="str">
        <f t="shared" ref="I4:I11" si="2">IF(G4&gt;90,"优秀",IF(G4&lt;60,"不合格",IF(G4&lt;80,"合格",IF(G4&lt;90,"良好"))))</f>
        <v>良好</v>
      </c>
    </row>
    <row r="5" spans="1:9" x14ac:dyDescent="0.25">
      <c r="A5">
        <v>9236003</v>
      </c>
      <c r="B5" t="s">
        <v>12</v>
      </c>
      <c r="C5" t="s">
        <v>9</v>
      </c>
      <c r="D5">
        <v>92</v>
      </c>
      <c r="E5">
        <v>91</v>
      </c>
      <c r="F5">
        <v>89</v>
      </c>
      <c r="G5" s="2">
        <f t="shared" si="0"/>
        <v>90.666666666666671</v>
      </c>
      <c r="H5">
        <f t="shared" si="1"/>
        <v>272</v>
      </c>
      <c r="I5" t="str">
        <f t="shared" si="2"/>
        <v>优秀</v>
      </c>
    </row>
    <row r="6" spans="1:9" x14ac:dyDescent="0.25">
      <c r="A6">
        <v>9236004</v>
      </c>
      <c r="B6" t="s">
        <v>13</v>
      </c>
      <c r="C6" t="s">
        <v>9</v>
      </c>
      <c r="D6">
        <v>65</v>
      </c>
      <c r="E6">
        <v>60</v>
      </c>
      <c r="F6">
        <v>69</v>
      </c>
      <c r="G6" s="2">
        <f t="shared" si="0"/>
        <v>64.666666666666671</v>
      </c>
      <c r="H6">
        <f t="shared" si="1"/>
        <v>194</v>
      </c>
      <c r="I6" t="str">
        <f t="shared" si="2"/>
        <v>合格</v>
      </c>
    </row>
    <row r="7" spans="1:9" x14ac:dyDescent="0.25">
      <c r="A7">
        <v>9236005</v>
      </c>
      <c r="B7" t="s">
        <v>14</v>
      </c>
      <c r="C7" t="s">
        <v>9</v>
      </c>
      <c r="D7">
        <v>77</v>
      </c>
      <c r="E7">
        <v>73</v>
      </c>
      <c r="F7">
        <v>76</v>
      </c>
      <c r="G7" s="2">
        <f t="shared" si="0"/>
        <v>75.333333333333329</v>
      </c>
      <c r="H7">
        <f t="shared" si="1"/>
        <v>226</v>
      </c>
      <c r="I7" t="str">
        <f t="shared" si="2"/>
        <v>合格</v>
      </c>
    </row>
    <row r="8" spans="1:9" x14ac:dyDescent="0.25">
      <c r="A8">
        <v>9236006</v>
      </c>
      <c r="B8" t="s">
        <v>15</v>
      </c>
      <c r="C8" t="s">
        <v>9</v>
      </c>
      <c r="D8">
        <v>83</v>
      </c>
      <c r="E8">
        <v>83</v>
      </c>
      <c r="F8">
        <v>72</v>
      </c>
      <c r="G8" s="2">
        <f t="shared" si="0"/>
        <v>79.333333333333329</v>
      </c>
      <c r="H8">
        <f t="shared" si="1"/>
        <v>238</v>
      </c>
      <c r="I8" t="str">
        <f t="shared" si="2"/>
        <v>合格</v>
      </c>
    </row>
    <row r="9" spans="1:9" x14ac:dyDescent="0.25">
      <c r="A9">
        <v>9236007</v>
      </c>
      <c r="B9" t="s">
        <v>16</v>
      </c>
      <c r="C9" t="s">
        <v>11</v>
      </c>
      <c r="D9">
        <v>54</v>
      </c>
      <c r="E9">
        <v>52</v>
      </c>
      <c r="F9">
        <v>64</v>
      </c>
      <c r="G9" s="2">
        <f t="shared" si="0"/>
        <v>56.666666666666664</v>
      </c>
      <c r="H9">
        <f t="shared" si="1"/>
        <v>170</v>
      </c>
      <c r="I9" t="str">
        <f t="shared" si="2"/>
        <v>不合格</v>
      </c>
    </row>
    <row r="10" spans="1:9" x14ac:dyDescent="0.25">
      <c r="A10">
        <v>9236008</v>
      </c>
      <c r="B10" t="s">
        <v>17</v>
      </c>
      <c r="C10" t="s">
        <v>9</v>
      </c>
      <c r="D10">
        <v>85</v>
      </c>
      <c r="E10">
        <v>90</v>
      </c>
      <c r="F10">
        <v>82</v>
      </c>
      <c r="G10" s="2">
        <f t="shared" si="0"/>
        <v>85.666666666666671</v>
      </c>
      <c r="H10">
        <f t="shared" si="1"/>
        <v>257</v>
      </c>
      <c r="I10" t="str">
        <f t="shared" si="2"/>
        <v>良好</v>
      </c>
    </row>
    <row r="11" spans="1:9" x14ac:dyDescent="0.25">
      <c r="A11">
        <v>9236009</v>
      </c>
      <c r="B11" t="s">
        <v>18</v>
      </c>
      <c r="C11" t="s">
        <v>11</v>
      </c>
      <c r="D11">
        <v>73</v>
      </c>
      <c r="E11">
        <v>81</v>
      </c>
      <c r="F11">
        <v>80</v>
      </c>
      <c r="G11" s="2">
        <f t="shared" si="0"/>
        <v>78</v>
      </c>
      <c r="H11">
        <f t="shared" si="1"/>
        <v>234</v>
      </c>
      <c r="I11" t="str">
        <f t="shared" si="2"/>
        <v>合格</v>
      </c>
    </row>
  </sheetData>
  <mergeCells count="1">
    <mergeCell ref="A1:I1"/>
  </mergeCells>
  <phoneticPr fontId="1" type="noConversion"/>
  <pageMargins left="0.7" right="0.7" top="0.75" bottom="0.75" header="0.3" footer="0.3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2021-04-13T05:08:34Z</dcterms:modified>
</cp:coreProperties>
</file>
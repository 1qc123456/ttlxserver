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等级分析" sheetId="4" r:id="rId1"/>
    <sheet name="成绩" sheetId="1" r:id="rId2"/>
    <sheet name="成绩分析" sheetId="3" r:id="rId3"/>
    <sheet name="等级计算规则" sheetId="2" state="hidden" r:id="rId4"/>
  </sheets>
  <definedNames>
    <definedName name="成绩表">成绩!$B$1:$L$24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<sst xmlns="http://schemas.openxmlformats.org/spreadsheetml/2006/main" count="65" uniqueCount="49">
  <si>
    <t>计数项:学号</t>
  </si>
  <si>
    <t>等级</t>
  </si>
  <si>
    <t>班级</t>
  </si>
  <si>
    <t>A</t>
  </si>
  <si>
    <t>B</t>
  </si>
  <si>
    <t>C</t>
  </si>
  <si>
    <t>D</t>
  </si>
  <si>
    <t>总计</t>
  </si>
  <si>
    <t>八年级1班</t>
  </si>
  <si>
    <t>八年级2班</t>
  </si>
  <si>
    <t>八年级3班</t>
  </si>
  <si>
    <t>长沙市XX学校初二年级期末考试成绩</t>
  </si>
  <si>
    <t>学号</t>
  </si>
  <si>
    <t>姓名</t>
  </si>
  <si>
    <t>语文</t>
  </si>
  <si>
    <t>数学</t>
  </si>
  <si>
    <t>英语</t>
  </si>
  <si>
    <t>政治</t>
  </si>
  <si>
    <t>历史</t>
  </si>
  <si>
    <t>地理</t>
  </si>
  <si>
    <t>生物</t>
  </si>
  <si>
    <t>物理</t>
  </si>
  <si>
    <t>袁琳</t>
  </si>
  <si>
    <t>李道义</t>
  </si>
  <si>
    <t>万余元</t>
  </si>
  <si>
    <t>李晓丽</t>
  </si>
  <si>
    <t>李瑞阳</t>
  </si>
  <si>
    <t>张兆飞</t>
  </si>
  <si>
    <t>温媛婷</t>
  </si>
  <si>
    <t>王千禧</t>
  </si>
  <si>
    <t>唐一菲</t>
  </si>
  <si>
    <t>徐晓琴</t>
  </si>
  <si>
    <t>徐杨桥</t>
  </si>
  <si>
    <t>曾小贤</t>
  </si>
  <si>
    <t>于天宏</t>
  </si>
  <si>
    <t>苏生超</t>
  </si>
  <si>
    <t>李宏宇</t>
  </si>
  <si>
    <t>袁永红</t>
  </si>
  <si>
    <t>陈辉煌</t>
  </si>
  <si>
    <t>平均分</t>
  </si>
  <si>
    <t>最高分</t>
  </si>
  <si>
    <t>最低分</t>
  </si>
  <si>
    <t>及格人数</t>
  </si>
  <si>
    <t>优秀人数</t>
  </si>
  <si>
    <t>总分</t>
  </si>
  <si>
    <t>&gt;=700</t>
  </si>
  <si>
    <t>&gt;=600</t>
  </si>
  <si>
    <t>&gt;=520</t>
  </si>
  <si>
    <t>&lt;520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</si>
</sst>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4"/>
      <color theme="1"/>
      <name val="仿宋"/>
      <charset val="134"/>
    </font>
    <font>
      <sz val="16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theme="5"/>
      </left>
      <right style="thin">
        <color theme="5"/>
      </right>
      <top/>
      <bottom style="double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" fillId="2" borderId="3">
      <alignment horizontal="center"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10" applyAlignment="1">
      <alignment horizontal="center" vertical="center"/>
    </xf>
    <xf numFmtId="0" fontId="4" fillId="0" borderId="2" xfId="13" applyAlignment="1">
      <alignment horizontal="center" vertical="center"/>
    </xf>
    <xf numFmtId="0" fontId="1" fillId="2" borderId="3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数据" xfId="49"/>
  </cellStyles>
  <dxfs count="1">
    <dxf>
      <font>
        <color rgb="FFC00000"/>
      </font>
      <fill>
        <patternFill patternType="solid">
          <bgColor theme="4" tint="0.8"/>
        </patternFill>
      </fill>
    </dxf>
  </dxfs>
  <tableStyles count="0" defaultTableStyle="TableStyleMedium2" defaultPivotStyle="PivotStyleLight16"/>
  <colors>
    <mruColors>
      <color rgb="00FFFD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[结果文档.xlsx]等级分析!数据透视表1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等级分析!$B$3:$B$4</c:f>
              <c:strCache>
                <c:ptCount val="1"/>
                <c:pt idx="0">
                  <c:v>A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等级分析!$A$5:$A$8</c:f>
              <c:strCache>
                <c:ptCount val="3"/>
                <c:pt idx="0">
                  <c:v>八年级1班</c:v>
                </c:pt>
                <c:pt idx="1">
                  <c:v>八年级2班</c:v>
                </c:pt>
                <c:pt idx="2">
                  <c:v>八年级3班</c:v>
                </c:pt>
              </c:strCache>
            </c:strRef>
          </c:cat>
          <c:val>
            <c:numRef>
              <c:f>等级分析!$B$5:$B$8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等级分析!$C$3:$C$4</c:f>
              <c:strCache>
                <c:ptCount val="1"/>
                <c:pt idx="0">
                  <c:v>B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等级分析!$A$5:$A$8</c:f>
              <c:strCache>
                <c:ptCount val="3"/>
                <c:pt idx="0">
                  <c:v>八年级1班</c:v>
                </c:pt>
                <c:pt idx="1">
                  <c:v>八年级2班</c:v>
                </c:pt>
                <c:pt idx="2">
                  <c:v>八年级3班</c:v>
                </c:pt>
              </c:strCache>
            </c:strRef>
          </c:cat>
          <c:val>
            <c:numRef>
              <c:f>等级分析!$C$5:$C$8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</c:ser>
        <c:ser>
          <c:idx val="2"/>
          <c:order val="2"/>
          <c:tx>
            <c:strRef>
              <c:f>等级分析!$D$3:$D$4</c:f>
              <c:strCache>
                <c:ptCount val="1"/>
                <c:pt idx="0">
                  <c:v>C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等级分析!$A$5:$A$8</c:f>
              <c:strCache>
                <c:ptCount val="3"/>
                <c:pt idx="0">
                  <c:v>八年级1班</c:v>
                </c:pt>
                <c:pt idx="1">
                  <c:v>八年级2班</c:v>
                </c:pt>
                <c:pt idx="2">
                  <c:v>八年级3班</c:v>
                </c:pt>
              </c:strCache>
            </c:strRef>
          </c:cat>
          <c:val>
            <c:numRef>
              <c:f>等级分析!$D$5:$D$8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</c:ser>
        <c:ser>
          <c:idx val="3"/>
          <c:order val="3"/>
          <c:tx>
            <c:strRef>
              <c:f>等级分析!$E$3:$E$4</c:f>
              <c:strCache>
                <c:ptCount val="1"/>
                <c:pt idx="0">
                  <c:v>D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等级分析!$A$5:$A$8</c:f>
              <c:strCache>
                <c:ptCount val="3"/>
                <c:pt idx="0">
                  <c:v>八年级1班</c:v>
                </c:pt>
                <c:pt idx="1">
                  <c:v>八年级2班</c:v>
                </c:pt>
                <c:pt idx="2">
                  <c:v>八年级3班</c:v>
                </c:pt>
              </c:strCache>
            </c:strRef>
          </c:cat>
          <c:val>
            <c:numRef>
              <c:f>等级分析!$E$5:$E$8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76504796"/>
        <c:axId val="348990090"/>
      </c:barChart>
      <c:catAx>
        <c:axId val="1765047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8990090"/>
        <c:crosses val="autoZero"/>
        <c:auto val="1"/>
        <c:lblAlgn val="ctr"/>
        <c:lblOffset val="100"/>
        <c:noMultiLvlLbl val="0"/>
      </c:catAx>
      <c:valAx>
        <c:axId val="3489900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5047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146050</xdr:colOff>
      <xdr:row>10</xdr:row>
      <xdr:rowOff>136525</xdr:rowOff>
    </xdr:from>
    <xdr:to>
      <xdr:col>7</xdr:col>
      <xdr:colOff>314325</xdr:colOff>
      <xdr:row>26</xdr:row>
      <xdr:rowOff>136525</xdr:rowOff>
    </xdr:to>
    <xdr:graphicFrame>
      <xdr:nvGraphicFramePr>
        <xdr:cNvPr id="2" name="各等级人数"/>
        <xdr:cNvGraphicFramePr/>
      </xdr:nvGraphicFramePr>
      <xdr:xfrm>
        <a:off x="146050" y="1851025"/>
        <a:ext cx="43878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25.5909953704" refreshedBy="25472" recordCount="17">
  <cacheSource type="worksheet">
    <worksheetSource ref="A2:L19" sheet="成绩"/>
  </cacheSource>
  <cacheFields count="12">
    <cacheField name="学号" numFmtId="0">
      <sharedItems containsSemiMixedTypes="0" containsString="0" containsNumber="1" containsInteger="1" minValue="0" maxValue="20251703" count="17">
        <n v="20250101"/>
        <n v="20250201"/>
        <n v="20250301"/>
        <n v="20250401"/>
        <n v="20250501"/>
        <n v="20250601"/>
        <n v="20250702"/>
        <n v="20250802"/>
        <n v="20250902"/>
        <n v="20251002"/>
        <n v="20251102"/>
        <n v="20251202"/>
        <n v="20251303"/>
        <n v="20251403"/>
        <n v="20251503"/>
        <n v="20251603"/>
        <n v="20251703"/>
      </sharedItems>
    </cacheField>
    <cacheField name="姓名" numFmtId="0">
      <sharedItems count="17">
        <s v="袁琳"/>
        <s v="李道义"/>
        <s v="万余元"/>
        <s v="李晓丽"/>
        <s v="李瑞阳"/>
        <s v="张兆飞"/>
        <s v="温媛婷"/>
        <s v="王千禧"/>
        <s v="唐一菲"/>
        <s v="徐晓琴"/>
        <s v="徐杨桥"/>
        <s v="曾小贤"/>
        <s v="于天宏"/>
        <s v="苏生超"/>
        <s v="李宏宇"/>
        <s v="袁永红"/>
        <s v="陈辉煌"/>
      </sharedItems>
    </cacheField>
    <cacheField name="班级" numFmtId="0">
      <sharedItems count="3">
        <s v="八年级1班"/>
        <s v="八年级2班"/>
        <s v="八年级3班"/>
      </sharedItems>
    </cacheField>
    <cacheField name="语文" numFmtId="0">
      <sharedItems containsSemiMixedTypes="0" containsString="0" containsNumber="1" containsInteger="1" minValue="0" maxValue="85" count="15">
        <n v="81"/>
        <n v="82"/>
        <n v="85"/>
        <n v="69"/>
        <n v="75"/>
        <n v="64"/>
        <n v="74"/>
        <n v="70"/>
        <n v="71"/>
        <n v="63"/>
        <n v="76"/>
        <n v="53"/>
        <n v="72"/>
        <n v="61"/>
        <n v="57"/>
      </sharedItems>
    </cacheField>
    <cacheField name="数学" numFmtId="0">
      <sharedItems containsSemiMixedTypes="0" containsString="0" containsNumber="1" containsInteger="1" minValue="0" maxValue="93" count="14">
        <n v="93"/>
        <n v="87"/>
        <n v="74"/>
        <n v="69"/>
        <n v="79"/>
        <n v="77"/>
        <n v="78"/>
        <n v="48"/>
        <n v="64"/>
        <n v="45"/>
        <n v="57"/>
        <n v="36"/>
        <n v="89"/>
        <n v="72"/>
      </sharedItems>
    </cacheField>
    <cacheField name="英语" numFmtId="0">
      <sharedItems containsSemiMixedTypes="0" containsString="0" containsNumber="1" containsInteger="1" minValue="0" maxValue="85" count="14">
        <n v="83"/>
        <n v="79"/>
        <n v="50"/>
        <n v="40"/>
        <n v="45"/>
        <n v="30"/>
        <n v="57"/>
        <n v="74"/>
        <n v="48"/>
        <n v="52"/>
        <n v="47"/>
        <n v="85"/>
        <n v="39"/>
        <n v="69"/>
      </sharedItems>
    </cacheField>
    <cacheField name="政治" numFmtId="0">
      <sharedItems containsSemiMixedTypes="0" containsString="0" containsNumber="1" containsInteger="1" minValue="0" maxValue="97" count="13">
        <n v="97"/>
        <n v="89"/>
        <n v="81"/>
        <n v="82"/>
        <n v="85"/>
        <n v="74"/>
        <n v="68"/>
        <n v="80"/>
        <n v="69"/>
        <n v="87"/>
        <n v="88"/>
        <n v="67"/>
        <n v="78"/>
      </sharedItems>
    </cacheField>
    <cacheField name="历史" numFmtId="0">
      <sharedItems containsSemiMixedTypes="0" containsString="0" containsNumber="1" containsInteger="1" minValue="0" maxValue="91" count="13">
        <n v="75"/>
        <n v="73"/>
        <n v="68"/>
        <n v="85"/>
        <n v="79"/>
        <n v="70"/>
        <n v="84"/>
        <n v="72"/>
        <n v="67"/>
        <n v="91"/>
        <n v="78"/>
        <n v="86"/>
        <n v="83"/>
      </sharedItems>
    </cacheField>
    <cacheField name="地理" numFmtId="0">
      <sharedItems containsSemiMixedTypes="0" containsString="0" containsNumber="1" containsInteger="1" minValue="0" maxValue="95" count="10">
        <n v="87"/>
        <n v="70"/>
        <n v="92"/>
        <n v="74"/>
        <n v="84"/>
        <n v="66"/>
        <n v="75"/>
        <n v="77"/>
        <n v="95"/>
        <n v="88"/>
      </sharedItems>
    </cacheField>
    <cacheField name="生物" numFmtId="0">
      <sharedItems containsSemiMixedTypes="0" containsString="0" containsNumber="1" containsInteger="1" minValue="0" maxValue="98" count="14">
        <n v="89"/>
        <n v="84"/>
        <n v="92"/>
        <n v="75"/>
        <n v="98"/>
        <n v="80"/>
        <n v="70"/>
        <n v="66"/>
        <n v="74"/>
        <n v="83"/>
        <n v="91"/>
        <n v="65"/>
        <n v="88"/>
        <n v="87"/>
      </sharedItems>
    </cacheField>
    <cacheField name="物理" numFmtId="0">
      <sharedItems containsSemiMixedTypes="0" containsString="0" containsNumber="1" containsInteger="1" minValue="0" maxValue="98" count="11">
        <n v="97"/>
        <n v="71"/>
        <n v="65"/>
        <n v="93"/>
        <n v="81"/>
        <n v="98"/>
        <n v="91"/>
        <n v="96"/>
        <n v="92"/>
        <n v="79"/>
        <n v="32"/>
      </sharedItems>
    </cacheField>
    <cacheField name="等级" numFmtId="0">
      <sharedItems count="4">
        <s v="A"/>
        <s v="B"/>
        <s v="C"/>
        <s v="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  <x v="1"/>
  </r>
  <r>
    <x v="2"/>
    <x v="2"/>
    <x v="0"/>
    <x v="2"/>
    <x v="2"/>
    <x v="1"/>
    <x v="2"/>
    <x v="2"/>
    <x v="2"/>
    <x v="2"/>
    <x v="2"/>
    <x v="1"/>
  </r>
  <r>
    <x v="3"/>
    <x v="3"/>
    <x v="0"/>
    <x v="3"/>
    <x v="3"/>
    <x v="2"/>
    <x v="3"/>
    <x v="3"/>
    <x v="0"/>
    <x v="3"/>
    <x v="3"/>
    <x v="1"/>
  </r>
  <r>
    <x v="4"/>
    <x v="4"/>
    <x v="0"/>
    <x v="4"/>
    <x v="4"/>
    <x v="3"/>
    <x v="4"/>
    <x v="4"/>
    <x v="3"/>
    <x v="1"/>
    <x v="4"/>
    <x v="2"/>
  </r>
  <r>
    <x v="5"/>
    <x v="5"/>
    <x v="0"/>
    <x v="5"/>
    <x v="5"/>
    <x v="4"/>
    <x v="5"/>
    <x v="5"/>
    <x v="4"/>
    <x v="4"/>
    <x v="5"/>
    <x v="1"/>
  </r>
  <r>
    <x v="6"/>
    <x v="6"/>
    <x v="1"/>
    <x v="6"/>
    <x v="6"/>
    <x v="5"/>
    <x v="6"/>
    <x v="6"/>
    <x v="5"/>
    <x v="5"/>
    <x v="0"/>
    <x v="2"/>
  </r>
  <r>
    <x v="7"/>
    <x v="7"/>
    <x v="1"/>
    <x v="7"/>
    <x v="7"/>
    <x v="6"/>
    <x v="7"/>
    <x v="4"/>
    <x v="6"/>
    <x v="6"/>
    <x v="3"/>
    <x v="2"/>
  </r>
  <r>
    <x v="8"/>
    <x v="8"/>
    <x v="1"/>
    <x v="8"/>
    <x v="8"/>
    <x v="2"/>
    <x v="8"/>
    <x v="7"/>
    <x v="6"/>
    <x v="7"/>
    <x v="3"/>
    <x v="2"/>
  </r>
  <r>
    <x v="9"/>
    <x v="9"/>
    <x v="1"/>
    <x v="9"/>
    <x v="1"/>
    <x v="7"/>
    <x v="9"/>
    <x v="8"/>
    <x v="7"/>
    <x v="8"/>
    <x v="1"/>
    <x v="1"/>
  </r>
  <r>
    <x v="10"/>
    <x v="10"/>
    <x v="1"/>
    <x v="10"/>
    <x v="9"/>
    <x v="8"/>
    <x v="10"/>
    <x v="1"/>
    <x v="8"/>
    <x v="6"/>
    <x v="6"/>
    <x v="2"/>
  </r>
  <r>
    <x v="11"/>
    <x v="11"/>
    <x v="1"/>
    <x v="11"/>
    <x v="10"/>
    <x v="9"/>
    <x v="11"/>
    <x v="4"/>
    <x v="9"/>
    <x v="9"/>
    <x v="7"/>
    <x v="2"/>
  </r>
  <r>
    <x v="12"/>
    <x v="12"/>
    <x v="2"/>
    <x v="12"/>
    <x v="11"/>
    <x v="10"/>
    <x v="8"/>
    <x v="9"/>
    <x v="2"/>
    <x v="2"/>
    <x v="5"/>
    <x v="2"/>
  </r>
  <r>
    <x v="13"/>
    <x v="13"/>
    <x v="2"/>
    <x v="2"/>
    <x v="12"/>
    <x v="2"/>
    <x v="11"/>
    <x v="10"/>
    <x v="2"/>
    <x v="10"/>
    <x v="8"/>
    <x v="1"/>
  </r>
  <r>
    <x v="14"/>
    <x v="14"/>
    <x v="2"/>
    <x v="13"/>
    <x v="6"/>
    <x v="11"/>
    <x v="12"/>
    <x v="11"/>
    <x v="9"/>
    <x v="11"/>
    <x v="6"/>
    <x v="1"/>
  </r>
  <r>
    <x v="15"/>
    <x v="15"/>
    <x v="2"/>
    <x v="5"/>
    <x v="13"/>
    <x v="12"/>
    <x v="11"/>
    <x v="2"/>
    <x v="2"/>
    <x v="12"/>
    <x v="9"/>
    <x v="2"/>
  </r>
  <r>
    <x v="16"/>
    <x v="16"/>
    <x v="2"/>
    <x v="14"/>
    <x v="9"/>
    <x v="13"/>
    <x v="6"/>
    <x v="12"/>
    <x v="1"/>
    <x v="13"/>
    <x v="1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F8" firstHeaderRow="1" firstDataRow="2" firstDataCol="1"/>
  <pivotFields count="12">
    <pivotField dataField="1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学号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8"/>
  <sheetViews>
    <sheetView workbookViewId="0">
      <selection activeCell="C5" sqref="C5"/>
    </sheetView>
  </sheetViews>
  <sheetFormatPr defaultColWidth="9" defaultRowHeight="13.5" outlineLevelRow="7" outlineLevelCol="5"/>
  <cols>
    <col min="1" max="1" width="12.75"/>
    <col min="2" max="5" width="7.125"/>
    <col min="6" max="6" width="5.125"/>
  </cols>
  <sheetData>
    <row r="3" spans="1:2">
      <c r="A3" t="s">
        <v>0</v>
      </c>
      <c r="B3" t="s">
        <v>1</v>
      </c>
    </row>
    <row r="4" spans="1: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>
        <v>1</v>
      </c>
      <c r="C5">
        <v>4</v>
      </c>
      <c r="D5">
        <v>1</v>
      </c>
      <c r="F5">
        <v>6</v>
      </c>
    </row>
    <row r="6" spans="1:6">
      <c r="A6" t="s">
        <v>9</v>
      </c>
      <c r="C6">
        <v>1</v>
      </c>
      <c r="D6">
        <v>5</v>
      </c>
      <c r="F6">
        <v>6</v>
      </c>
    </row>
    <row r="7" spans="1:6">
      <c r="A7" t="s">
        <v>10</v>
      </c>
      <c r="C7">
        <v>2</v>
      </c>
      <c r="D7">
        <v>2</v>
      </c>
      <c r="E7">
        <v>1</v>
      </c>
      <c r="F7">
        <v>5</v>
      </c>
    </row>
    <row r="8" spans="1:6">
      <c r="A8" t="s">
        <v>7</v>
      </c>
      <c r="B8">
        <v>1</v>
      </c>
      <c r="C8">
        <v>7</v>
      </c>
      <c r="D8">
        <v>8</v>
      </c>
      <c r="E8">
        <v>1</v>
      </c>
      <c r="F8">
        <v>17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H26" sqref="H26"/>
    </sheetView>
  </sheetViews>
  <sheetFormatPr defaultColWidth="9" defaultRowHeight="13.5"/>
  <cols>
    <col min="1" max="1" width="13.875" customWidth="1"/>
    <col min="2" max="2" width="14.875" customWidth="1"/>
    <col min="3" max="3" width="20" customWidth="1"/>
    <col min="4" max="11" width="15.875"/>
  </cols>
  <sheetData>
    <row r="1" s="3" customFormat="1" ht="30" customHeight="1" spans="1:12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15.75" spans="1:12">
      <c r="A2" s="5" t="s">
        <v>12</v>
      </c>
      <c r="B2" s="5" t="s">
        <v>13</v>
      </c>
      <c r="C2" s="5" t="s">
        <v>2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1</v>
      </c>
    </row>
    <row r="3" ht="19.5" spans="1:12">
      <c r="A3" s="6">
        <v>20250101</v>
      </c>
      <c r="B3" s="6" t="s">
        <v>22</v>
      </c>
      <c r="C3" s="6" t="str">
        <f>"八年级"&amp;RIGHT(A3,1)&amp;"班"</f>
        <v>八年级1班</v>
      </c>
      <c r="D3" s="6">
        <v>81</v>
      </c>
      <c r="E3" s="6">
        <v>93</v>
      </c>
      <c r="F3" s="6">
        <v>83</v>
      </c>
      <c r="G3" s="6">
        <v>97</v>
      </c>
      <c r="H3" s="6">
        <v>75</v>
      </c>
      <c r="I3" s="6">
        <v>87</v>
      </c>
      <c r="J3" s="6">
        <v>89</v>
      </c>
      <c r="K3" s="6">
        <v>97</v>
      </c>
      <c r="L3" s="6" t="str">
        <f>IF(SUM(D3:K3)&gt;=700,"A",IF(SUM(D3:K3)&gt;=600,"B",IF(SUM(D3:K3)&gt;=520,"C","D")))</f>
        <v>A</v>
      </c>
    </row>
    <row r="4" ht="20.25" spans="1:12">
      <c r="A4" s="6">
        <v>20250201</v>
      </c>
      <c r="B4" s="6" t="s">
        <v>23</v>
      </c>
      <c r="C4" s="6" t="str">
        <f t="shared" ref="C4:C19" si="0">"八年级"&amp;RIGHT(A4,1)&amp;"班"</f>
        <v>八年级1班</v>
      </c>
      <c r="D4" s="6">
        <v>82</v>
      </c>
      <c r="E4" s="6">
        <v>87</v>
      </c>
      <c r="F4" s="6">
        <v>79</v>
      </c>
      <c r="G4" s="6">
        <v>89</v>
      </c>
      <c r="H4" s="6">
        <v>73</v>
      </c>
      <c r="I4" s="6">
        <v>70</v>
      </c>
      <c r="J4" s="6">
        <v>84</v>
      </c>
      <c r="K4" s="6">
        <v>71</v>
      </c>
      <c r="L4" s="6" t="str">
        <f t="shared" ref="L4:L19" si="1">IF(SUM(D4:K4)&gt;=700,"A",IF(SUM(D4:K4)&gt;=600,"B",IF(SUM(D4:K4)&gt;=520,"C","D")))</f>
        <v>B</v>
      </c>
    </row>
    <row r="5" ht="20.25" spans="1:12">
      <c r="A5" s="6">
        <v>20250301</v>
      </c>
      <c r="B5" s="6" t="s">
        <v>24</v>
      </c>
      <c r="C5" s="6" t="str">
        <f t="shared" si="0"/>
        <v>八年级1班</v>
      </c>
      <c r="D5" s="6">
        <v>85</v>
      </c>
      <c r="E5" s="6">
        <v>74</v>
      </c>
      <c r="F5" s="6">
        <v>79</v>
      </c>
      <c r="G5" s="6">
        <v>81</v>
      </c>
      <c r="H5" s="6">
        <v>68</v>
      </c>
      <c r="I5" s="6">
        <v>92</v>
      </c>
      <c r="J5" s="6">
        <v>92</v>
      </c>
      <c r="K5" s="6">
        <v>65</v>
      </c>
      <c r="L5" s="6" t="str">
        <f t="shared" si="1"/>
        <v>B</v>
      </c>
    </row>
    <row r="6" ht="20.25" spans="1:12">
      <c r="A6" s="6">
        <v>20250401</v>
      </c>
      <c r="B6" s="6" t="s">
        <v>25</v>
      </c>
      <c r="C6" s="6" t="str">
        <f t="shared" si="0"/>
        <v>八年级1班</v>
      </c>
      <c r="D6" s="6">
        <v>69</v>
      </c>
      <c r="E6" s="6">
        <v>69</v>
      </c>
      <c r="F6" s="6">
        <v>50</v>
      </c>
      <c r="G6" s="6">
        <v>82</v>
      </c>
      <c r="H6" s="6">
        <v>85</v>
      </c>
      <c r="I6" s="6">
        <v>87</v>
      </c>
      <c r="J6" s="6">
        <v>75</v>
      </c>
      <c r="K6" s="6">
        <v>93</v>
      </c>
      <c r="L6" s="6" t="str">
        <f t="shared" si="1"/>
        <v>B</v>
      </c>
    </row>
    <row r="7" ht="20.25" spans="1:12">
      <c r="A7" s="6">
        <v>20250501</v>
      </c>
      <c r="B7" s="6" t="s">
        <v>26</v>
      </c>
      <c r="C7" s="6" t="str">
        <f t="shared" si="0"/>
        <v>八年级1班</v>
      </c>
      <c r="D7" s="6">
        <v>75</v>
      </c>
      <c r="E7" s="6">
        <v>79</v>
      </c>
      <c r="F7" s="6">
        <v>40</v>
      </c>
      <c r="G7" s="6">
        <v>85</v>
      </c>
      <c r="H7" s="6">
        <v>79</v>
      </c>
      <c r="I7" s="6">
        <v>74</v>
      </c>
      <c r="J7" s="6">
        <v>84</v>
      </c>
      <c r="K7" s="6">
        <v>81</v>
      </c>
      <c r="L7" s="6" t="str">
        <f t="shared" si="1"/>
        <v>C</v>
      </c>
    </row>
    <row r="8" ht="20.25" spans="1:12">
      <c r="A8" s="6">
        <v>20250601</v>
      </c>
      <c r="B8" s="6" t="s">
        <v>27</v>
      </c>
      <c r="C8" s="6" t="str">
        <f t="shared" si="0"/>
        <v>八年级1班</v>
      </c>
      <c r="D8" s="6">
        <v>64</v>
      </c>
      <c r="E8" s="6">
        <v>77</v>
      </c>
      <c r="F8" s="6">
        <v>45</v>
      </c>
      <c r="G8" s="6">
        <v>74</v>
      </c>
      <c r="H8" s="6">
        <v>70</v>
      </c>
      <c r="I8" s="6">
        <v>84</v>
      </c>
      <c r="J8" s="6">
        <v>98</v>
      </c>
      <c r="K8" s="6">
        <v>98</v>
      </c>
      <c r="L8" s="6" t="str">
        <f t="shared" si="1"/>
        <v>B</v>
      </c>
    </row>
    <row r="9" ht="20.25" spans="1:12">
      <c r="A9" s="6">
        <v>20250702</v>
      </c>
      <c r="B9" s="6" t="s">
        <v>28</v>
      </c>
      <c r="C9" s="6" t="str">
        <f t="shared" si="0"/>
        <v>八年级2班</v>
      </c>
      <c r="D9" s="6">
        <v>74</v>
      </c>
      <c r="E9" s="6">
        <v>78</v>
      </c>
      <c r="F9" s="6">
        <v>30</v>
      </c>
      <c r="G9" s="6">
        <v>68</v>
      </c>
      <c r="H9" s="6">
        <v>84</v>
      </c>
      <c r="I9" s="6">
        <v>66</v>
      </c>
      <c r="J9" s="6">
        <v>80</v>
      </c>
      <c r="K9" s="6">
        <v>97</v>
      </c>
      <c r="L9" s="6" t="str">
        <f t="shared" si="1"/>
        <v>C</v>
      </c>
    </row>
    <row r="10" ht="20.25" spans="1:12">
      <c r="A10" s="6">
        <v>20250802</v>
      </c>
      <c r="B10" s="6" t="s">
        <v>29</v>
      </c>
      <c r="C10" s="6" t="str">
        <f t="shared" si="0"/>
        <v>八年级2班</v>
      </c>
      <c r="D10" s="6">
        <v>70</v>
      </c>
      <c r="E10" s="6">
        <v>48</v>
      </c>
      <c r="F10" s="6">
        <v>57</v>
      </c>
      <c r="G10" s="6">
        <v>80</v>
      </c>
      <c r="H10" s="6">
        <v>79</v>
      </c>
      <c r="I10" s="6">
        <v>75</v>
      </c>
      <c r="J10" s="6">
        <v>70</v>
      </c>
      <c r="K10" s="6">
        <v>93</v>
      </c>
      <c r="L10" s="6" t="str">
        <f t="shared" si="1"/>
        <v>C</v>
      </c>
    </row>
    <row r="11" ht="20.25" spans="1:12">
      <c r="A11" s="6">
        <v>20250902</v>
      </c>
      <c r="B11" s="6" t="s">
        <v>30</v>
      </c>
      <c r="C11" s="6" t="str">
        <f t="shared" si="0"/>
        <v>八年级2班</v>
      </c>
      <c r="D11" s="6">
        <v>71</v>
      </c>
      <c r="E11" s="6">
        <v>64</v>
      </c>
      <c r="F11" s="6">
        <v>50</v>
      </c>
      <c r="G11" s="6">
        <v>69</v>
      </c>
      <c r="H11" s="6">
        <v>72</v>
      </c>
      <c r="I11" s="6">
        <v>75</v>
      </c>
      <c r="J11" s="6">
        <v>66</v>
      </c>
      <c r="K11" s="6">
        <v>93</v>
      </c>
      <c r="L11" s="6" t="str">
        <f t="shared" si="1"/>
        <v>C</v>
      </c>
    </row>
    <row r="12" ht="20.25" spans="1:12">
      <c r="A12" s="6">
        <v>20251002</v>
      </c>
      <c r="B12" s="6" t="s">
        <v>31</v>
      </c>
      <c r="C12" s="6" t="str">
        <f t="shared" si="0"/>
        <v>八年级2班</v>
      </c>
      <c r="D12" s="6">
        <v>63</v>
      </c>
      <c r="E12" s="6">
        <v>87</v>
      </c>
      <c r="F12" s="6">
        <v>74</v>
      </c>
      <c r="G12" s="6">
        <v>87</v>
      </c>
      <c r="H12" s="6">
        <v>67</v>
      </c>
      <c r="I12" s="6">
        <v>77</v>
      </c>
      <c r="J12" s="6">
        <v>74</v>
      </c>
      <c r="K12" s="6">
        <v>71</v>
      </c>
      <c r="L12" s="6" t="str">
        <f t="shared" si="1"/>
        <v>B</v>
      </c>
    </row>
    <row r="13" ht="20.25" spans="1:12">
      <c r="A13" s="6">
        <v>20251102</v>
      </c>
      <c r="B13" s="6" t="s">
        <v>32</v>
      </c>
      <c r="C13" s="6" t="str">
        <f t="shared" si="0"/>
        <v>八年级2班</v>
      </c>
      <c r="D13" s="6">
        <v>76</v>
      </c>
      <c r="E13" s="6">
        <v>45</v>
      </c>
      <c r="F13" s="6">
        <v>48</v>
      </c>
      <c r="G13" s="6">
        <v>88</v>
      </c>
      <c r="H13" s="6">
        <v>73</v>
      </c>
      <c r="I13" s="6">
        <v>95</v>
      </c>
      <c r="J13" s="6">
        <v>70</v>
      </c>
      <c r="K13" s="6">
        <v>91</v>
      </c>
      <c r="L13" s="6" t="str">
        <f t="shared" si="1"/>
        <v>C</v>
      </c>
    </row>
    <row r="14" ht="20.25" spans="1:12">
      <c r="A14" s="6">
        <v>20251202</v>
      </c>
      <c r="B14" s="6" t="s">
        <v>33</v>
      </c>
      <c r="C14" s="6" t="str">
        <f t="shared" si="0"/>
        <v>八年级2班</v>
      </c>
      <c r="D14" s="6">
        <v>53</v>
      </c>
      <c r="E14" s="6">
        <v>57</v>
      </c>
      <c r="F14" s="6">
        <v>52</v>
      </c>
      <c r="G14" s="6">
        <v>67</v>
      </c>
      <c r="H14" s="6">
        <v>79</v>
      </c>
      <c r="I14" s="6">
        <v>88</v>
      </c>
      <c r="J14" s="6">
        <v>83</v>
      </c>
      <c r="K14" s="6">
        <v>96</v>
      </c>
      <c r="L14" s="6" t="str">
        <f t="shared" si="1"/>
        <v>C</v>
      </c>
    </row>
    <row r="15" ht="20.25" spans="1:12">
      <c r="A15" s="6">
        <v>20251303</v>
      </c>
      <c r="B15" s="6" t="s">
        <v>34</v>
      </c>
      <c r="C15" s="6" t="str">
        <f t="shared" si="0"/>
        <v>八年级3班</v>
      </c>
      <c r="D15" s="6">
        <v>72</v>
      </c>
      <c r="E15" s="6">
        <v>36</v>
      </c>
      <c r="F15" s="6">
        <v>47</v>
      </c>
      <c r="G15" s="6">
        <v>69</v>
      </c>
      <c r="H15" s="6">
        <v>91</v>
      </c>
      <c r="I15" s="6">
        <v>92</v>
      </c>
      <c r="J15" s="6">
        <v>92</v>
      </c>
      <c r="K15" s="6">
        <v>98</v>
      </c>
      <c r="L15" s="6" t="str">
        <f t="shared" si="1"/>
        <v>C</v>
      </c>
    </row>
    <row r="16" ht="20.25" spans="1:12">
      <c r="A16" s="6">
        <v>20251403</v>
      </c>
      <c r="B16" s="6" t="s">
        <v>35</v>
      </c>
      <c r="C16" s="6" t="str">
        <f t="shared" si="0"/>
        <v>八年级3班</v>
      </c>
      <c r="D16" s="6">
        <v>85</v>
      </c>
      <c r="E16" s="6">
        <v>89</v>
      </c>
      <c r="F16" s="6">
        <v>50</v>
      </c>
      <c r="G16" s="6">
        <v>67</v>
      </c>
      <c r="H16" s="6">
        <v>78</v>
      </c>
      <c r="I16" s="6">
        <v>92</v>
      </c>
      <c r="J16" s="6">
        <v>91</v>
      </c>
      <c r="K16" s="6">
        <v>92</v>
      </c>
      <c r="L16" s="6" t="str">
        <f t="shared" si="1"/>
        <v>B</v>
      </c>
    </row>
    <row r="17" ht="20.25" spans="1:12">
      <c r="A17" s="6">
        <v>20251503</v>
      </c>
      <c r="B17" s="6" t="s">
        <v>36</v>
      </c>
      <c r="C17" s="6" t="str">
        <f t="shared" si="0"/>
        <v>八年级3班</v>
      </c>
      <c r="D17" s="6">
        <v>61</v>
      </c>
      <c r="E17" s="6">
        <v>78</v>
      </c>
      <c r="F17" s="6">
        <v>85</v>
      </c>
      <c r="G17" s="6">
        <v>78</v>
      </c>
      <c r="H17" s="6">
        <v>86</v>
      </c>
      <c r="I17" s="6">
        <v>88</v>
      </c>
      <c r="J17" s="6">
        <v>65</v>
      </c>
      <c r="K17" s="6">
        <v>91</v>
      </c>
      <c r="L17" s="6" t="str">
        <f t="shared" si="1"/>
        <v>B</v>
      </c>
    </row>
    <row r="18" ht="20.25" spans="1:12">
      <c r="A18" s="6">
        <v>20251603</v>
      </c>
      <c r="B18" s="6" t="s">
        <v>37</v>
      </c>
      <c r="C18" s="6" t="str">
        <f t="shared" si="0"/>
        <v>八年级3班</v>
      </c>
      <c r="D18" s="6">
        <v>64</v>
      </c>
      <c r="E18" s="6">
        <v>72</v>
      </c>
      <c r="F18" s="6">
        <v>39</v>
      </c>
      <c r="G18" s="6">
        <v>67</v>
      </c>
      <c r="H18" s="6">
        <v>68</v>
      </c>
      <c r="I18" s="6">
        <v>92</v>
      </c>
      <c r="J18" s="6">
        <v>88</v>
      </c>
      <c r="K18" s="6">
        <v>79</v>
      </c>
      <c r="L18" s="6" t="str">
        <f t="shared" si="1"/>
        <v>C</v>
      </c>
    </row>
    <row r="19" ht="20.25" spans="1:12">
      <c r="A19" s="6">
        <v>20251703</v>
      </c>
      <c r="B19" s="6" t="s">
        <v>38</v>
      </c>
      <c r="C19" s="6" t="str">
        <f t="shared" si="0"/>
        <v>八年级3班</v>
      </c>
      <c r="D19" s="6">
        <v>57</v>
      </c>
      <c r="E19" s="6">
        <v>45</v>
      </c>
      <c r="F19" s="6">
        <v>69</v>
      </c>
      <c r="G19" s="6">
        <v>68</v>
      </c>
      <c r="H19" s="6">
        <v>83</v>
      </c>
      <c r="I19" s="6">
        <v>70</v>
      </c>
      <c r="J19" s="6">
        <v>87</v>
      </c>
      <c r="K19" s="6">
        <v>32</v>
      </c>
      <c r="L19" s="6" t="str">
        <f t="shared" si="1"/>
        <v>D</v>
      </c>
    </row>
    <row r="20" ht="14.25"/>
  </sheetData>
  <mergeCells count="1">
    <mergeCell ref="A1:L1"/>
  </mergeCells>
  <conditionalFormatting sqref="D3:D19">
    <cfRule type="aboveAverage" dxfId="0" priority="8"/>
  </conditionalFormatting>
  <conditionalFormatting sqref="E3:E19">
    <cfRule type="aboveAverage" dxfId="0" priority="7"/>
  </conditionalFormatting>
  <conditionalFormatting sqref="F3:F19">
    <cfRule type="aboveAverage" dxfId="0" priority="6"/>
  </conditionalFormatting>
  <conditionalFormatting sqref="G3:G19">
    <cfRule type="aboveAverage" dxfId="0" priority="5"/>
  </conditionalFormatting>
  <conditionalFormatting sqref="H3:H19">
    <cfRule type="aboveAverage" dxfId="0" priority="4"/>
  </conditionalFormatting>
  <conditionalFormatting sqref="I3:I19">
    <cfRule type="aboveAverage" dxfId="0" priority="3"/>
  </conditionalFormatting>
  <conditionalFormatting sqref="J3:J19">
    <cfRule type="aboveAverage" dxfId="0" priority="2"/>
  </conditionalFormatting>
  <conditionalFormatting sqref="K3:K19">
    <cfRule type="aboveAverage" dxfId="0" priority="1"/>
  </conditionalFormatting>
  <pageMargins left="0.751388888888889" right="0.751388888888889" top="1" bottom="1" header="0.5" footer="0.5"/>
  <pageSetup paperSize="8" orientation="landscape" horizontalDpi="600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F30" sqref="F30"/>
    </sheetView>
  </sheetViews>
  <sheetFormatPr defaultColWidth="9" defaultRowHeight="13.5" outlineLevelRow="5"/>
  <cols>
    <col min="1" max="1" width="17.125" customWidth="1"/>
    <col min="2" max="9" width="10.625" customWidth="1"/>
  </cols>
  <sheetData>
    <row r="1" ht="18.75" spans="2: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ht="18.75" spans="1:9">
      <c r="A2" s="1" t="s">
        <v>39</v>
      </c>
      <c r="B2" s="2">
        <f>AVERAGE(成绩!D3:D19)</f>
        <v>70.7058823529412</v>
      </c>
      <c r="C2" s="2">
        <f>AVERAGE(成绩!E3:E19)</f>
        <v>69.2941176470588</v>
      </c>
      <c r="D2" s="2">
        <f>AVERAGE(成绩!F3:F19)</f>
        <v>57.4705882352941</v>
      </c>
      <c r="E2" s="2">
        <f>AVERAGE(成绩!G3:G19)</f>
        <v>77.4117647058823</v>
      </c>
      <c r="F2" s="2">
        <f>AVERAGE(成绩!H3:H19)</f>
        <v>77.0588235294118</v>
      </c>
      <c r="G2" s="2">
        <f>AVERAGE(成绩!I3:I19)</f>
        <v>82.5882352941177</v>
      </c>
      <c r="H2" s="2">
        <f>AVERAGE(成绩!J3:J19)</f>
        <v>81.6470588235294</v>
      </c>
      <c r="I2" s="2">
        <f>AVERAGE(成绩!K3:K19)</f>
        <v>84.5882352941177</v>
      </c>
    </row>
    <row r="3" ht="18.75" spans="1:9">
      <c r="A3" s="1" t="s">
        <v>40</v>
      </c>
      <c r="B3" s="1">
        <f>MAX(成绩!D3:D19)</f>
        <v>85</v>
      </c>
      <c r="C3" s="1">
        <f>MAX(成绩!E3:E19)</f>
        <v>93</v>
      </c>
      <c r="D3" s="1">
        <f>MAX(成绩!F3:F19)</f>
        <v>85</v>
      </c>
      <c r="E3" s="1">
        <f>MAX(成绩!G3:G19)</f>
        <v>97</v>
      </c>
      <c r="F3" s="1">
        <f>MAX(成绩!H3:H19)</f>
        <v>91</v>
      </c>
      <c r="G3" s="1">
        <f>MAX(成绩!I3:I19)</f>
        <v>95</v>
      </c>
      <c r="H3" s="1">
        <f>MAX(成绩!J3:J19)</f>
        <v>98</v>
      </c>
      <c r="I3" s="1">
        <f>MAX(成绩!K3:K19)</f>
        <v>98</v>
      </c>
    </row>
    <row r="4" ht="18.75" spans="1:9">
      <c r="A4" s="1" t="s">
        <v>41</v>
      </c>
      <c r="B4" s="1">
        <f>MIN(成绩!D3:D19)</f>
        <v>53</v>
      </c>
      <c r="C4" s="1">
        <f>MIN(成绩!E3:E19)</f>
        <v>36</v>
      </c>
      <c r="D4" s="1">
        <f>MIN(成绩!F3:F19)</f>
        <v>30</v>
      </c>
      <c r="E4" s="1">
        <f>MIN(成绩!G3:G19)</f>
        <v>67</v>
      </c>
      <c r="F4" s="1">
        <f>MIN(成绩!H3:H19)</f>
        <v>67</v>
      </c>
      <c r="G4" s="1">
        <f>MIN(成绩!I3:I19)</f>
        <v>66</v>
      </c>
      <c r="H4" s="1">
        <f>MIN(成绩!J3:J19)</f>
        <v>65</v>
      </c>
      <c r="I4" s="1">
        <f>MIN(成绩!K3:K19)</f>
        <v>32</v>
      </c>
    </row>
    <row r="5" ht="18.75" spans="1:9">
      <c r="A5" s="1" t="s">
        <v>42</v>
      </c>
      <c r="B5" s="1">
        <f>COUNTIF(成绩!D3:D19,"&gt;=60")</f>
        <v>15</v>
      </c>
      <c r="C5" s="1">
        <f>COUNTIF(成绩!E3:E19,"&gt;=60")</f>
        <v>12</v>
      </c>
      <c r="D5" s="1">
        <f>COUNTIF(成绩!F3:F19,"&gt;=60")</f>
        <v>6</v>
      </c>
      <c r="E5" s="1">
        <f>COUNTIF(成绩!G3:G19,"&gt;=60")</f>
        <v>17</v>
      </c>
      <c r="F5" s="1">
        <f>COUNTIF(成绩!H3:H19,"&gt;=60")</f>
        <v>17</v>
      </c>
      <c r="G5" s="1">
        <f>COUNTIF(成绩!I3:I19,"&gt;=60")</f>
        <v>17</v>
      </c>
      <c r="H5" s="1">
        <f>COUNTIF(成绩!J3:J19,"&gt;=60")</f>
        <v>17</v>
      </c>
      <c r="I5" s="1">
        <f>COUNTIF(成绩!K3:K19,"&gt;=60")</f>
        <v>16</v>
      </c>
    </row>
    <row r="6" ht="18.75" spans="1:9">
      <c r="A6" s="1" t="s">
        <v>43</v>
      </c>
      <c r="B6" s="1">
        <f>COUNTIF(成绩!D3:D19,"&gt;=85")</f>
        <v>2</v>
      </c>
      <c r="C6" s="1">
        <f>COUNTIF(成绩!E3:E19,"&gt;=85")</f>
        <v>4</v>
      </c>
      <c r="D6" s="1">
        <f>COUNTIF(成绩!F3:F19,"&gt;=85")</f>
        <v>1</v>
      </c>
      <c r="E6" s="1">
        <f>COUNTIF(成绩!G3:G19,"&gt;=85")</f>
        <v>5</v>
      </c>
      <c r="F6" s="1">
        <f>COUNTIF(成绩!H3:H19,"&gt;=85")</f>
        <v>3</v>
      </c>
      <c r="G6" s="1">
        <f>COUNTIF(成绩!I3:I19,"&gt;=85")</f>
        <v>9</v>
      </c>
      <c r="H6" s="1">
        <f>COUNTIF(成绩!J3:J19,"&gt;=85")</f>
        <v>7</v>
      </c>
      <c r="I6" s="1">
        <f>COUNTIF(成绩!K3:K19,"&gt;=85")</f>
        <v>11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F25" sqref="F25"/>
    </sheetView>
  </sheetViews>
  <sheetFormatPr defaultColWidth="9" defaultRowHeight="13.5" outlineLevelRow="4" outlineLevelCol="1"/>
  <sheetData>
    <row r="1" spans="1:2">
      <c r="A1" t="s">
        <v>44</v>
      </c>
      <c r="B1" t="s">
        <v>1</v>
      </c>
    </row>
    <row r="2" spans="1:2">
      <c r="A2" t="s">
        <v>45</v>
      </c>
      <c r="B2" t="s">
        <v>3</v>
      </c>
    </row>
    <row r="3" spans="1:2">
      <c r="A3" t="s">
        <v>46</v>
      </c>
      <c r="B3" t="s">
        <v>4</v>
      </c>
    </row>
    <row r="4" spans="1:2">
      <c r="A4" t="s">
        <v>47</v>
      </c>
      <c r="B4" t="s">
        <v>5</v>
      </c>
    </row>
    <row r="5" spans="1:2">
      <c r="A5" t="s">
        <v>48</v>
      </c>
      <c r="B5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等级分析</vt:lpstr>
      <vt:lpstr>成绩</vt:lpstr>
      <vt:lpstr>成绩分析</vt:lpstr>
      <vt:lpstr>等级计算规则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2025-09-29T03:06:04Z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
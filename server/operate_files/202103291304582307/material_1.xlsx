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 activeTab="2"/>
  </bookViews>
  <sheets>
    <sheet name="Sheet1" sheetId="1" r:id="rId1"/>
    <sheet name="筛选" sheetId="2" r:id="rId2"/>
    <sheet name="学生数学均分比较表" sheetId="3" r:id="rId3"/>
  </sheets>
  <definedNames>
    <definedName name="_xlnm._FilterDatabase" localSheetId="1" hidden="1">筛选!#REF!</definedName>
    <definedName name="_xlnm.Criteria" localSheetId="1">筛选!$A$1:$B$2</definedName>
    <definedName name="_xlnm.Extract" localSheetId="1">筛选!$A$5:$K$5</definedName>
  </definedNames>
  <calcPr calcId="145621"/>
</workbook>
</file>

<file path=xl/calcChain.xml><?xml version="1.0" encoding="utf-8"?>
<calcChain xmlns="http://schemas.openxmlformats.org/spreadsheetml/2006/main">
  <c r="N7" i="1" l="1"/>
  <c r="N8" i="1"/>
  <c r="N6" i="1"/>
  <c r="K4" i="1"/>
  <c r="K25" i="1"/>
  <c r="K6" i="1"/>
  <c r="K17" i="1"/>
  <c r="K30" i="1"/>
  <c r="K31" i="1"/>
  <c r="K20" i="1"/>
  <c r="K26" i="1"/>
  <c r="K5" i="1"/>
  <c r="K22" i="1"/>
  <c r="K28" i="1"/>
  <c r="K21" i="1"/>
  <c r="K11" i="1"/>
  <c r="K12" i="1"/>
  <c r="K29" i="1"/>
  <c r="K8" i="1"/>
  <c r="K13" i="1"/>
  <c r="K27" i="1"/>
  <c r="K19" i="1"/>
  <c r="K32" i="1"/>
  <c r="K14" i="1"/>
  <c r="K3" i="1"/>
  <c r="K9" i="1"/>
  <c r="K18" i="1"/>
  <c r="K10" i="1"/>
  <c r="K24" i="1"/>
  <c r="K15" i="1"/>
  <c r="K7" i="1"/>
  <c r="K16" i="1"/>
  <c r="K23" i="1"/>
</calcChain>
</file>

<file path=xl/sharedStrings.xml><?xml version="1.0" encoding="utf-8"?>
<sst xmlns="http://schemas.openxmlformats.org/spreadsheetml/2006/main" count="131" uniqueCount="57">
  <si>
    <t>班级</t>
    <phoneticPr fontId="2" type="noConversion"/>
  </si>
  <si>
    <t>姓名</t>
    <phoneticPr fontId="2" type="noConversion"/>
  </si>
  <si>
    <t>性别</t>
    <phoneticPr fontId="2" type="noConversion"/>
  </si>
  <si>
    <t>语文</t>
    <phoneticPr fontId="2" type="noConversion"/>
  </si>
  <si>
    <t>数学</t>
    <phoneticPr fontId="2" type="noConversion"/>
  </si>
  <si>
    <t>英语</t>
    <phoneticPr fontId="2" type="noConversion"/>
  </si>
  <si>
    <t>物理</t>
    <phoneticPr fontId="2" type="noConversion"/>
  </si>
  <si>
    <t>化学</t>
    <phoneticPr fontId="2" type="noConversion"/>
  </si>
  <si>
    <t>政治</t>
    <phoneticPr fontId="2" type="noConversion"/>
  </si>
  <si>
    <t>历史</t>
    <phoneticPr fontId="2" type="noConversion"/>
  </si>
  <si>
    <t>九三班</t>
    <phoneticPr fontId="2" type="noConversion"/>
  </si>
  <si>
    <t>施怡辰</t>
    <phoneticPr fontId="2" type="noConversion"/>
  </si>
  <si>
    <t>男</t>
    <phoneticPr fontId="2" type="noConversion"/>
  </si>
  <si>
    <t>九二班</t>
    <phoneticPr fontId="2" type="noConversion"/>
  </si>
  <si>
    <t>王博文</t>
    <phoneticPr fontId="2" type="noConversion"/>
  </si>
  <si>
    <t>九一班</t>
    <phoneticPr fontId="2" type="noConversion"/>
  </si>
  <si>
    <t>端正</t>
    <phoneticPr fontId="2" type="noConversion"/>
  </si>
  <si>
    <t>女</t>
  </si>
  <si>
    <t>刘青松</t>
    <phoneticPr fontId="2" type="noConversion"/>
  </si>
  <si>
    <t>黄斌</t>
    <phoneticPr fontId="2" type="noConversion"/>
  </si>
  <si>
    <t>女</t>
    <phoneticPr fontId="2" type="noConversion"/>
  </si>
  <si>
    <t>陆豪松</t>
    <phoneticPr fontId="2" type="noConversion"/>
  </si>
  <si>
    <t>陆菁菁</t>
    <phoneticPr fontId="2" type="noConversion"/>
  </si>
  <si>
    <t>黄成益</t>
    <phoneticPr fontId="2" type="noConversion"/>
  </si>
  <si>
    <t>刘千益</t>
    <phoneticPr fontId="2" type="noConversion"/>
  </si>
  <si>
    <t>刘之涵</t>
    <phoneticPr fontId="2" type="noConversion"/>
  </si>
  <si>
    <t>施雨伶</t>
    <phoneticPr fontId="2" type="noConversion"/>
  </si>
  <si>
    <t>李和蔚</t>
    <phoneticPr fontId="2" type="noConversion"/>
  </si>
  <si>
    <t>施成博</t>
    <phoneticPr fontId="2" type="noConversion"/>
  </si>
  <si>
    <t>邵天一</t>
    <phoneticPr fontId="2" type="noConversion"/>
  </si>
  <si>
    <t>沈灵俐</t>
    <phoneticPr fontId="2" type="noConversion"/>
  </si>
  <si>
    <t>仇天成</t>
    <phoneticPr fontId="2" type="noConversion"/>
  </si>
  <si>
    <t>杨阳</t>
    <phoneticPr fontId="2" type="noConversion"/>
  </si>
  <si>
    <t>施小海</t>
    <phoneticPr fontId="2" type="noConversion"/>
  </si>
  <si>
    <t>崔莺</t>
    <phoneticPr fontId="2" type="noConversion"/>
  </si>
  <si>
    <t>陆海空</t>
    <phoneticPr fontId="2" type="noConversion"/>
  </si>
  <si>
    <t>李正罗</t>
    <phoneticPr fontId="2" type="noConversion"/>
  </si>
  <si>
    <t>朱惠</t>
    <phoneticPr fontId="2" type="noConversion"/>
  </si>
  <si>
    <t>蔡凤凰</t>
    <phoneticPr fontId="2" type="noConversion"/>
  </si>
  <si>
    <t>高靖</t>
  </si>
  <si>
    <t>李江一</t>
  </si>
  <si>
    <t>陈松</t>
  </si>
  <si>
    <t>刘彬彬</t>
  </si>
  <si>
    <t>孙汉臣</t>
  </si>
  <si>
    <t>严和平</t>
  </si>
  <si>
    <t>殷美娟</t>
  </si>
  <si>
    <t>班级</t>
    <phoneticPr fontId="1" type="noConversion"/>
  </si>
  <si>
    <t>九一班</t>
    <phoneticPr fontId="1" type="noConversion"/>
  </si>
  <si>
    <t>九二班</t>
    <phoneticPr fontId="1" type="noConversion"/>
  </si>
  <si>
    <t>九三班</t>
    <phoneticPr fontId="1" type="noConversion"/>
  </si>
  <si>
    <t>某校学生模拟考试成绩统计表</t>
    <phoneticPr fontId="1" type="noConversion"/>
  </si>
  <si>
    <t>总分</t>
    <phoneticPr fontId="1" type="noConversion"/>
  </si>
  <si>
    <t>数学均分</t>
    <phoneticPr fontId="1" type="noConversion"/>
  </si>
  <si>
    <t>总分</t>
    <phoneticPr fontId="1" type="noConversion"/>
  </si>
  <si>
    <t>班级</t>
    <phoneticPr fontId="1" type="noConversion"/>
  </si>
  <si>
    <t>九二班</t>
    <phoneticPr fontId="1" type="noConversion"/>
  </si>
  <si>
    <t>&gt;=550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</si>
</sst>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20"/>
      <color theme="1"/>
      <name val="微软雅黑"/>
      <family val="2"/>
      <charset val="134"/>
    </font>
    <font>
      <sz val="15"/>
      <color theme="1"/>
      <name val="微软雅黑"/>
      <family val="2"/>
      <charset val="134"/>
    </font>
    <font>
      <sz val="15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0070C0"/>
      </left>
      <right style="double">
        <color rgb="FFFFFF00"/>
      </right>
      <top style="thick">
        <color rgb="FF0070C0"/>
      </top>
      <bottom style="double">
        <color rgb="FFFFFF00"/>
      </bottom>
      <diagonal/>
    </border>
    <border>
      <left style="double">
        <color rgb="FFFFFF00"/>
      </left>
      <right style="double">
        <color rgb="FFFFFF00"/>
      </right>
      <top style="thick">
        <color rgb="FF0070C0"/>
      </top>
      <bottom style="double">
        <color rgb="FFFFFF00"/>
      </bottom>
      <diagonal/>
    </border>
    <border>
      <left style="double">
        <color rgb="FFFFFF00"/>
      </left>
      <right style="thick">
        <color rgb="FF0070C0"/>
      </right>
      <top style="thick">
        <color rgb="FF0070C0"/>
      </top>
      <bottom style="double">
        <color rgb="FFFFFF00"/>
      </bottom>
      <diagonal/>
    </border>
    <border>
      <left style="thick">
        <color rgb="FF0070C0"/>
      </left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double">
        <color rgb="FFFFFF00"/>
      </left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double">
        <color rgb="FFFFFF00"/>
      </left>
      <right style="thick">
        <color rgb="FF0070C0"/>
      </right>
      <top style="double">
        <color rgb="FFFFFF00"/>
      </top>
      <bottom style="double">
        <color rgb="FFFFFF00"/>
      </bottom>
      <diagonal/>
    </border>
    <border>
      <left style="thick">
        <color rgb="FF0070C0"/>
      </left>
      <right style="double">
        <color rgb="FFFFFF00"/>
      </right>
      <top style="double">
        <color rgb="FFFFFF00"/>
      </top>
      <bottom style="thick">
        <color rgb="FF0070C0"/>
      </bottom>
      <diagonal/>
    </border>
    <border>
      <left style="double">
        <color rgb="FFFFFF00"/>
      </left>
      <right style="double">
        <color rgb="FFFFFF00"/>
      </right>
      <top style="double">
        <color rgb="FFFFFF00"/>
      </top>
      <bottom style="thick">
        <color rgb="FF0070C0"/>
      </bottom>
      <diagonal/>
    </border>
    <border>
      <left style="double">
        <color rgb="FFFFFF00"/>
      </left>
      <right style="thick">
        <color rgb="FF0070C0"/>
      </right>
      <top style="double">
        <color rgb="FFFFFF00"/>
      </top>
      <bottom style="thick">
        <color rgb="FF0070C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 sz="1800" b="0" i="0" u="none" strike="noStrike" baseline="0" smtClean="0"/>
              <a:t>数学均分比较图</a:t>
            </a:r>
            <a:endParaRPr lang="zh-CN" alt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Sheet1!$N$5</c:f>
              <c:strCache>
                <c:ptCount val="1"/>
                <c:pt idx="0">
                  <c:v>数学均分</c:v>
                </c:pt>
              </c:strCache>
            </c:strRef>
          </c:tx>
          <c:invertIfNegative val="0"/>
          <c:cat>
            <c:strRef>
              <c:f>Sheet1!$M$6:$M$8</c:f>
              <c:strCache>
                <c:ptCount val="3"/>
                <c:pt idx="0">
                  <c:v>九一班</c:v>
                </c:pt>
                <c:pt idx="1">
                  <c:v>九二班</c:v>
                </c:pt>
                <c:pt idx="2">
                  <c:v>九三班</c:v>
                </c:pt>
              </c:strCache>
            </c:strRef>
          </c:cat>
          <c:val>
            <c:numRef>
              <c:f>Sheet1!$N$6:$N$8</c:f>
              <c:numCache>
                <c:formatCode>General</c:formatCode>
                <c:ptCount val="3"/>
                <c:pt idx="0">
                  <c:v>120.6</c:v>
                </c:pt>
                <c:pt idx="1">
                  <c:v>120.2</c:v>
                </c:pt>
                <c:pt idx="2">
                  <c:v>115.6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0476928"/>
        <c:axId val="200478720"/>
        <c:axId val="0"/>
      </c:bar3DChart>
      <c:catAx>
        <c:axId val="200476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00478720"/>
        <c:crosses val="autoZero"/>
        <c:auto val="1"/>
        <c:lblAlgn val="ctr"/>
        <c:lblOffset val="100"/>
        <c:noMultiLvlLbl val="0"/>
      </c:catAx>
      <c:valAx>
        <c:axId val="200478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47692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176212</xdr:colOff>
      <xdr:row>3</xdr:row>
      <xdr:rowOff>76200</xdr:rowOff>
    </xdr:from>
    <xdr:to>
      <xdr:col>6</xdr:col>
      <xdr:colOff>633412</xdr:colOff>
      <xdr:row>19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zoomScale="70" zoomScaleNormal="70" workbookViewId="0">
      <selection activeCell="Q18" sqref="Q18"/>
    </sheetView>
  </sheetViews>
  <sheetFormatPr defaultRowHeight="13.5" x14ac:dyDescent="0.15"/>
  <cols>
    <col min="11" max="11" width="12.5" bestFit="1" customWidth="1"/>
  </cols>
  <sheetData>
    <row r="1" spans="1:17" ht="30" thickBot="1" x14ac:dyDescent="0.2">
      <c r="A1" s="15" t="s">
        <v>50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7" ht="23.1" customHeight="1" thickTop="1" thickBot="1" x14ac:dyDescent="0.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4" t="s">
        <v>51</v>
      </c>
    </row>
    <row r="3" spans="1:17" ht="23.1" customHeight="1" thickTop="1" thickBot="1" x14ac:dyDescent="0.2">
      <c r="A3" s="5" t="s">
        <v>15</v>
      </c>
      <c r="B3" s="6" t="s">
        <v>16</v>
      </c>
      <c r="C3" s="6" t="s">
        <v>17</v>
      </c>
      <c r="D3" s="7">
        <v>115</v>
      </c>
      <c r="E3" s="8">
        <v>120</v>
      </c>
      <c r="F3" s="7">
        <v>125</v>
      </c>
      <c r="G3" s="8">
        <v>89</v>
      </c>
      <c r="H3" s="7">
        <v>57</v>
      </c>
      <c r="I3" s="8">
        <v>43</v>
      </c>
      <c r="J3" s="8">
        <v>45</v>
      </c>
      <c r="K3" s="9">
        <f t="shared" ref="K3:K32" si="0">SUM(D3:J3)</f>
        <v>594</v>
      </c>
    </row>
    <row r="4" spans="1:17" ht="23.1" customHeight="1" thickTop="1" thickBot="1" x14ac:dyDescent="0.2">
      <c r="A4" s="5" t="s">
        <v>15</v>
      </c>
      <c r="B4" s="6" t="s">
        <v>26</v>
      </c>
      <c r="C4" s="6" t="s">
        <v>20</v>
      </c>
      <c r="D4" s="7">
        <v>128</v>
      </c>
      <c r="E4" s="8">
        <v>121</v>
      </c>
      <c r="F4" s="7">
        <v>124</v>
      </c>
      <c r="G4" s="8">
        <v>75</v>
      </c>
      <c r="H4" s="7">
        <v>60</v>
      </c>
      <c r="I4" s="8">
        <v>44</v>
      </c>
      <c r="J4" s="8">
        <v>40</v>
      </c>
      <c r="K4" s="9">
        <f t="shared" si="0"/>
        <v>592</v>
      </c>
    </row>
    <row r="5" spans="1:17" ht="23.1" customHeight="1" thickTop="1" thickBot="1" x14ac:dyDescent="0.2">
      <c r="A5" s="5" t="s">
        <v>15</v>
      </c>
      <c r="B5" s="6" t="s">
        <v>34</v>
      </c>
      <c r="C5" s="6" t="s">
        <v>20</v>
      </c>
      <c r="D5" s="7">
        <v>117</v>
      </c>
      <c r="E5" s="8">
        <v>134</v>
      </c>
      <c r="F5" s="7">
        <v>140</v>
      </c>
      <c r="G5" s="8">
        <v>79</v>
      </c>
      <c r="H5" s="7">
        <v>48</v>
      </c>
      <c r="I5" s="8">
        <v>30</v>
      </c>
      <c r="J5" s="8">
        <v>38</v>
      </c>
      <c r="K5" s="9">
        <f t="shared" si="0"/>
        <v>586</v>
      </c>
      <c r="M5" s="13" t="s">
        <v>46</v>
      </c>
      <c r="N5" s="13" t="s">
        <v>52</v>
      </c>
      <c r="P5" s="1"/>
      <c r="Q5" s="1"/>
    </row>
    <row r="6" spans="1:17" ht="23.1" customHeight="1" thickTop="1" thickBot="1" x14ac:dyDescent="0.2">
      <c r="A6" s="5" t="s">
        <v>15</v>
      </c>
      <c r="B6" s="6" t="s">
        <v>28</v>
      </c>
      <c r="C6" s="6" t="s">
        <v>20</v>
      </c>
      <c r="D6" s="7">
        <v>118</v>
      </c>
      <c r="E6" s="8">
        <v>125</v>
      </c>
      <c r="F6" s="7">
        <v>118</v>
      </c>
      <c r="G6" s="8">
        <v>75</v>
      </c>
      <c r="H6" s="7">
        <v>49</v>
      </c>
      <c r="I6" s="8">
        <v>47</v>
      </c>
      <c r="J6" s="8">
        <v>44</v>
      </c>
      <c r="K6" s="9">
        <f t="shared" si="0"/>
        <v>576</v>
      </c>
      <c r="M6" s="13" t="s">
        <v>47</v>
      </c>
      <c r="N6" s="14">
        <f>AVERAGEIF(A$3:A$32,M6,E$3:E$32)</f>
        <v>120.6</v>
      </c>
    </row>
    <row r="7" spans="1:17" ht="23.1" customHeight="1" thickTop="1" thickBot="1" x14ac:dyDescent="0.2">
      <c r="A7" s="5" t="s">
        <v>15</v>
      </c>
      <c r="B7" s="6" t="s">
        <v>24</v>
      </c>
      <c r="C7" s="6" t="s">
        <v>12</v>
      </c>
      <c r="D7" s="7">
        <v>90</v>
      </c>
      <c r="E7" s="8">
        <v>125</v>
      </c>
      <c r="F7" s="7">
        <v>135</v>
      </c>
      <c r="G7" s="8">
        <v>71</v>
      </c>
      <c r="H7" s="7">
        <v>51</v>
      </c>
      <c r="I7" s="8">
        <v>40</v>
      </c>
      <c r="J7" s="8">
        <v>34</v>
      </c>
      <c r="K7" s="9">
        <f t="shared" si="0"/>
        <v>546</v>
      </c>
      <c r="M7" s="13" t="s">
        <v>48</v>
      </c>
      <c r="N7" s="14">
        <f t="shared" ref="N7:N8" si="1">AVERAGEIF(A$3:A$32,M7,E$3:E$32)</f>
        <v>120.2</v>
      </c>
    </row>
    <row r="8" spans="1:17" ht="23.1" customHeight="1" thickTop="1" thickBot="1" x14ac:dyDescent="0.2">
      <c r="A8" s="5" t="s">
        <v>15</v>
      </c>
      <c r="B8" s="6" t="s">
        <v>41</v>
      </c>
      <c r="C8" s="6" t="s">
        <v>12</v>
      </c>
      <c r="D8" s="6">
        <v>124</v>
      </c>
      <c r="E8" s="6">
        <v>146</v>
      </c>
      <c r="F8" s="6">
        <v>43</v>
      </c>
      <c r="G8" s="6">
        <v>75</v>
      </c>
      <c r="H8" s="6">
        <v>74</v>
      </c>
      <c r="I8" s="6">
        <v>40</v>
      </c>
      <c r="J8" s="6">
        <v>38</v>
      </c>
      <c r="K8" s="9">
        <f t="shared" si="0"/>
        <v>540</v>
      </c>
      <c r="M8" s="13" t="s">
        <v>49</v>
      </c>
      <c r="N8" s="14">
        <f t="shared" si="1"/>
        <v>115.6</v>
      </c>
    </row>
    <row r="9" spans="1:17" ht="23.1" customHeight="1" thickTop="1" thickBot="1" x14ac:dyDescent="0.2">
      <c r="A9" s="5" t="s">
        <v>15</v>
      </c>
      <c r="B9" s="6" t="s">
        <v>18</v>
      </c>
      <c r="C9" s="6" t="s">
        <v>12</v>
      </c>
      <c r="D9" s="7">
        <v>103</v>
      </c>
      <c r="E9" s="8">
        <v>115</v>
      </c>
      <c r="F9" s="7">
        <v>125</v>
      </c>
      <c r="G9" s="8">
        <v>57</v>
      </c>
      <c r="H9" s="7">
        <v>50</v>
      </c>
      <c r="I9" s="8">
        <v>45</v>
      </c>
      <c r="J9" s="8">
        <v>40</v>
      </c>
      <c r="K9" s="9">
        <f t="shared" si="0"/>
        <v>535</v>
      </c>
    </row>
    <row r="10" spans="1:17" ht="23.1" customHeight="1" thickTop="1" thickBot="1" x14ac:dyDescent="0.2">
      <c r="A10" s="5" t="s">
        <v>15</v>
      </c>
      <c r="B10" s="6" t="s">
        <v>21</v>
      </c>
      <c r="C10" s="6" t="s">
        <v>17</v>
      </c>
      <c r="D10" s="7">
        <v>106</v>
      </c>
      <c r="E10" s="8">
        <v>95</v>
      </c>
      <c r="F10" s="7">
        <v>128</v>
      </c>
      <c r="G10" s="8">
        <v>74</v>
      </c>
      <c r="H10" s="7">
        <v>40</v>
      </c>
      <c r="I10" s="8">
        <v>43</v>
      </c>
      <c r="J10" s="8">
        <v>38</v>
      </c>
      <c r="K10" s="9">
        <f t="shared" si="0"/>
        <v>524</v>
      </c>
    </row>
    <row r="11" spans="1:17" ht="23.1" customHeight="1" thickTop="1" thickBot="1" x14ac:dyDescent="0.2">
      <c r="A11" s="5" t="s">
        <v>15</v>
      </c>
      <c r="B11" s="6" t="s">
        <v>38</v>
      </c>
      <c r="C11" s="6" t="s">
        <v>20</v>
      </c>
      <c r="D11" s="7">
        <v>117</v>
      </c>
      <c r="E11" s="8">
        <v>140</v>
      </c>
      <c r="F11" s="7">
        <v>85</v>
      </c>
      <c r="G11" s="8">
        <v>70</v>
      </c>
      <c r="H11" s="7">
        <v>25</v>
      </c>
      <c r="I11" s="8">
        <v>35</v>
      </c>
      <c r="J11" s="8">
        <v>37</v>
      </c>
      <c r="K11" s="9">
        <f t="shared" si="0"/>
        <v>509</v>
      </c>
    </row>
    <row r="12" spans="1:17" ht="23.1" customHeight="1" thickTop="1" thickBot="1" x14ac:dyDescent="0.2">
      <c r="A12" s="5" t="s">
        <v>15</v>
      </c>
      <c r="B12" s="6" t="s">
        <v>39</v>
      </c>
      <c r="C12" s="6" t="s">
        <v>12</v>
      </c>
      <c r="D12" s="6">
        <v>120</v>
      </c>
      <c r="E12" s="6">
        <v>85</v>
      </c>
      <c r="F12" s="6">
        <v>38</v>
      </c>
      <c r="G12" s="6">
        <v>76</v>
      </c>
      <c r="H12" s="6">
        <v>80</v>
      </c>
      <c r="I12" s="6">
        <v>52</v>
      </c>
      <c r="J12" s="6">
        <v>42</v>
      </c>
      <c r="K12" s="9">
        <f t="shared" si="0"/>
        <v>493</v>
      </c>
    </row>
    <row r="13" spans="1:17" ht="23.1" customHeight="1" thickTop="1" thickBot="1" x14ac:dyDescent="0.2">
      <c r="A13" s="5" t="s">
        <v>13</v>
      </c>
      <c r="B13" s="6" t="s">
        <v>42</v>
      </c>
      <c r="C13" s="6" t="s">
        <v>20</v>
      </c>
      <c r="D13" s="6">
        <v>124</v>
      </c>
      <c r="E13" s="6">
        <v>146</v>
      </c>
      <c r="F13" s="6">
        <v>45</v>
      </c>
      <c r="G13" s="6">
        <v>83</v>
      </c>
      <c r="H13" s="6">
        <v>87</v>
      </c>
      <c r="I13" s="6">
        <v>58</v>
      </c>
      <c r="J13" s="6">
        <v>37</v>
      </c>
      <c r="K13" s="9">
        <f t="shared" si="0"/>
        <v>580</v>
      </c>
    </row>
    <row r="14" spans="1:17" ht="23.1" customHeight="1" thickTop="1" thickBot="1" x14ac:dyDescent="0.2">
      <c r="A14" s="5" t="s">
        <v>13</v>
      </c>
      <c r="B14" s="6" t="s">
        <v>14</v>
      </c>
      <c r="C14" s="6" t="s">
        <v>12</v>
      </c>
      <c r="D14" s="7">
        <v>112</v>
      </c>
      <c r="E14" s="8">
        <v>135</v>
      </c>
      <c r="F14" s="7">
        <v>110</v>
      </c>
      <c r="G14" s="8">
        <v>75</v>
      </c>
      <c r="H14" s="7">
        <v>58</v>
      </c>
      <c r="I14" s="8">
        <v>43</v>
      </c>
      <c r="J14" s="8">
        <v>42</v>
      </c>
      <c r="K14" s="9">
        <f t="shared" si="0"/>
        <v>575</v>
      </c>
    </row>
    <row r="15" spans="1:17" ht="23.1" customHeight="1" thickTop="1" thickBot="1" x14ac:dyDescent="0.2">
      <c r="A15" s="5" t="s">
        <v>13</v>
      </c>
      <c r="B15" s="6" t="s">
        <v>23</v>
      </c>
      <c r="C15" s="6" t="s">
        <v>20</v>
      </c>
      <c r="D15" s="7">
        <v>118</v>
      </c>
      <c r="E15" s="8">
        <v>130</v>
      </c>
      <c r="F15" s="7">
        <v>102</v>
      </c>
      <c r="G15" s="8">
        <v>86</v>
      </c>
      <c r="H15" s="7">
        <v>54</v>
      </c>
      <c r="I15" s="8">
        <v>43</v>
      </c>
      <c r="J15" s="8">
        <v>38</v>
      </c>
      <c r="K15" s="9">
        <f t="shared" si="0"/>
        <v>571</v>
      </c>
    </row>
    <row r="16" spans="1:17" ht="23.1" customHeight="1" thickTop="1" thickBot="1" x14ac:dyDescent="0.2">
      <c r="A16" s="5" t="s">
        <v>13</v>
      </c>
      <c r="B16" s="6" t="s">
        <v>25</v>
      </c>
      <c r="C16" s="6" t="s">
        <v>12</v>
      </c>
      <c r="D16" s="7">
        <v>95</v>
      </c>
      <c r="E16" s="8">
        <v>118</v>
      </c>
      <c r="F16" s="7">
        <v>111</v>
      </c>
      <c r="G16" s="8">
        <v>84</v>
      </c>
      <c r="H16" s="7">
        <v>58</v>
      </c>
      <c r="I16" s="8">
        <v>40</v>
      </c>
      <c r="J16" s="8">
        <v>42</v>
      </c>
      <c r="K16" s="9">
        <f t="shared" si="0"/>
        <v>548</v>
      </c>
    </row>
    <row r="17" spans="1:11" ht="23.1" customHeight="1" thickTop="1" thickBot="1" x14ac:dyDescent="0.2">
      <c r="A17" s="5" t="s">
        <v>13</v>
      </c>
      <c r="B17" s="6" t="s">
        <v>29</v>
      </c>
      <c r="C17" s="6" t="s">
        <v>12</v>
      </c>
      <c r="D17" s="7">
        <v>110</v>
      </c>
      <c r="E17" s="8">
        <v>111</v>
      </c>
      <c r="F17" s="7">
        <v>114</v>
      </c>
      <c r="G17" s="8">
        <v>71</v>
      </c>
      <c r="H17" s="7">
        <v>48</v>
      </c>
      <c r="I17" s="8">
        <v>46</v>
      </c>
      <c r="J17" s="8">
        <v>41</v>
      </c>
      <c r="K17" s="9">
        <f t="shared" si="0"/>
        <v>541</v>
      </c>
    </row>
    <row r="18" spans="1:11" ht="23.1" customHeight="1" thickTop="1" thickBot="1" x14ac:dyDescent="0.2">
      <c r="A18" s="5" t="s">
        <v>13</v>
      </c>
      <c r="B18" s="6" t="s">
        <v>19</v>
      </c>
      <c r="C18" s="6" t="s">
        <v>20</v>
      </c>
      <c r="D18" s="7">
        <v>125</v>
      </c>
      <c r="E18" s="8">
        <v>80</v>
      </c>
      <c r="F18" s="7">
        <v>111</v>
      </c>
      <c r="G18" s="8">
        <v>86</v>
      </c>
      <c r="H18" s="7">
        <v>48</v>
      </c>
      <c r="I18" s="8">
        <v>40</v>
      </c>
      <c r="J18" s="8">
        <v>43</v>
      </c>
      <c r="K18" s="9">
        <f t="shared" si="0"/>
        <v>533</v>
      </c>
    </row>
    <row r="19" spans="1:11" ht="23.1" customHeight="1" thickTop="1" thickBot="1" x14ac:dyDescent="0.2">
      <c r="A19" s="5" t="s">
        <v>13</v>
      </c>
      <c r="B19" s="6" t="s">
        <v>44</v>
      </c>
      <c r="C19" s="6" t="s">
        <v>20</v>
      </c>
      <c r="D19" s="6">
        <v>116</v>
      </c>
      <c r="E19" s="6">
        <v>138</v>
      </c>
      <c r="F19" s="6">
        <v>44</v>
      </c>
      <c r="G19" s="6">
        <v>71</v>
      </c>
      <c r="H19" s="6">
        <v>70</v>
      </c>
      <c r="I19" s="6">
        <v>41</v>
      </c>
      <c r="J19" s="6">
        <v>33</v>
      </c>
      <c r="K19" s="9">
        <f t="shared" si="0"/>
        <v>513</v>
      </c>
    </row>
    <row r="20" spans="1:11" ht="23.1" customHeight="1" thickTop="1" thickBot="1" x14ac:dyDescent="0.2">
      <c r="A20" s="5" t="s">
        <v>13</v>
      </c>
      <c r="B20" s="6" t="s">
        <v>32</v>
      </c>
      <c r="C20" s="6" t="s">
        <v>20</v>
      </c>
      <c r="D20" s="8">
        <v>110</v>
      </c>
      <c r="E20" s="8">
        <v>86</v>
      </c>
      <c r="F20" s="7">
        <v>84</v>
      </c>
      <c r="G20" s="8">
        <v>86</v>
      </c>
      <c r="H20" s="7">
        <v>53</v>
      </c>
      <c r="I20" s="8">
        <v>45</v>
      </c>
      <c r="J20" s="8">
        <v>41</v>
      </c>
      <c r="K20" s="9">
        <f t="shared" si="0"/>
        <v>505</v>
      </c>
    </row>
    <row r="21" spans="1:11" ht="23.1" customHeight="1" thickTop="1" thickBot="1" x14ac:dyDescent="0.2">
      <c r="A21" s="5" t="s">
        <v>13</v>
      </c>
      <c r="B21" s="6" t="s">
        <v>37</v>
      </c>
      <c r="C21" s="6" t="s">
        <v>20</v>
      </c>
      <c r="D21" s="7">
        <v>110</v>
      </c>
      <c r="E21" s="8">
        <v>128</v>
      </c>
      <c r="F21" s="7">
        <v>106</v>
      </c>
      <c r="G21" s="8">
        <v>42</v>
      </c>
      <c r="H21" s="7">
        <v>37</v>
      </c>
      <c r="I21" s="8">
        <v>40</v>
      </c>
      <c r="J21" s="8">
        <v>38</v>
      </c>
      <c r="K21" s="9">
        <f t="shared" si="0"/>
        <v>501</v>
      </c>
    </row>
    <row r="22" spans="1:11" ht="23.1" customHeight="1" thickTop="1" thickBot="1" x14ac:dyDescent="0.2">
      <c r="A22" s="5" t="s">
        <v>13</v>
      </c>
      <c r="B22" s="6" t="s">
        <v>35</v>
      </c>
      <c r="C22" s="6" t="s">
        <v>12</v>
      </c>
      <c r="D22" s="7">
        <v>122</v>
      </c>
      <c r="E22" s="8">
        <v>130</v>
      </c>
      <c r="F22" s="7">
        <v>40</v>
      </c>
      <c r="G22" s="8">
        <v>80</v>
      </c>
      <c r="H22" s="7">
        <v>49</v>
      </c>
      <c r="I22" s="8">
        <v>40</v>
      </c>
      <c r="J22" s="8">
        <v>39</v>
      </c>
      <c r="K22" s="9">
        <f t="shared" si="0"/>
        <v>500</v>
      </c>
    </row>
    <row r="23" spans="1:11" ht="23.1" customHeight="1" thickTop="1" thickBot="1" x14ac:dyDescent="0.2">
      <c r="A23" s="5" t="s">
        <v>10</v>
      </c>
      <c r="B23" s="6" t="s">
        <v>11</v>
      </c>
      <c r="C23" s="6" t="s">
        <v>12</v>
      </c>
      <c r="D23" s="7">
        <v>120</v>
      </c>
      <c r="E23" s="8">
        <v>148</v>
      </c>
      <c r="F23" s="7">
        <v>145</v>
      </c>
      <c r="G23" s="8">
        <v>89</v>
      </c>
      <c r="H23" s="7">
        <v>60</v>
      </c>
      <c r="I23" s="8">
        <v>44</v>
      </c>
      <c r="J23" s="8">
        <v>45</v>
      </c>
      <c r="K23" s="9">
        <f t="shared" si="0"/>
        <v>651</v>
      </c>
    </row>
    <row r="24" spans="1:11" ht="23.1" customHeight="1" thickTop="1" thickBot="1" x14ac:dyDescent="0.2">
      <c r="A24" s="5" t="s">
        <v>10</v>
      </c>
      <c r="B24" s="6" t="s">
        <v>22</v>
      </c>
      <c r="C24" s="6" t="s">
        <v>20</v>
      </c>
      <c r="D24" s="7">
        <v>124</v>
      </c>
      <c r="E24" s="8">
        <v>146</v>
      </c>
      <c r="F24" s="7">
        <v>112</v>
      </c>
      <c r="G24" s="8">
        <v>87</v>
      </c>
      <c r="H24" s="7">
        <v>58</v>
      </c>
      <c r="I24" s="8">
        <v>45</v>
      </c>
      <c r="J24" s="8">
        <v>37</v>
      </c>
      <c r="K24" s="9">
        <f t="shared" si="0"/>
        <v>609</v>
      </c>
    </row>
    <row r="25" spans="1:11" ht="23.1" customHeight="1" thickTop="1" thickBot="1" x14ac:dyDescent="0.2">
      <c r="A25" s="5" t="s">
        <v>10</v>
      </c>
      <c r="B25" s="6" t="s">
        <v>27</v>
      </c>
      <c r="C25" s="6" t="s">
        <v>12</v>
      </c>
      <c r="D25" s="7">
        <v>116</v>
      </c>
      <c r="E25" s="8">
        <v>138</v>
      </c>
      <c r="F25" s="7">
        <v>120</v>
      </c>
      <c r="G25" s="8">
        <v>70</v>
      </c>
      <c r="H25" s="7">
        <v>41</v>
      </c>
      <c r="I25" s="8">
        <v>44</v>
      </c>
      <c r="J25" s="8">
        <v>33</v>
      </c>
      <c r="K25" s="9">
        <f t="shared" si="0"/>
        <v>562</v>
      </c>
    </row>
    <row r="26" spans="1:11" ht="23.1" customHeight="1" thickTop="1" thickBot="1" x14ac:dyDescent="0.2">
      <c r="A26" s="5" t="s">
        <v>10</v>
      </c>
      <c r="B26" s="6" t="s">
        <v>33</v>
      </c>
      <c r="C26" s="6" t="s">
        <v>12</v>
      </c>
      <c r="D26" s="7">
        <v>130</v>
      </c>
      <c r="E26" s="8">
        <v>85</v>
      </c>
      <c r="F26" s="7">
        <v>119</v>
      </c>
      <c r="G26" s="8">
        <v>80</v>
      </c>
      <c r="H26" s="7">
        <v>52</v>
      </c>
      <c r="I26" s="8">
        <v>38</v>
      </c>
      <c r="J26" s="8">
        <v>42</v>
      </c>
      <c r="K26" s="9">
        <f t="shared" si="0"/>
        <v>546</v>
      </c>
    </row>
    <row r="27" spans="1:11" ht="23.1" customHeight="1" thickTop="1" thickBot="1" x14ac:dyDescent="0.2">
      <c r="A27" s="5" t="s">
        <v>10</v>
      </c>
      <c r="B27" s="6" t="s">
        <v>43</v>
      </c>
      <c r="C27" s="6" t="s">
        <v>12</v>
      </c>
      <c r="D27" s="6">
        <v>112</v>
      </c>
      <c r="E27" s="6">
        <v>121</v>
      </c>
      <c r="F27" s="6">
        <v>44</v>
      </c>
      <c r="G27" s="6">
        <v>74</v>
      </c>
      <c r="H27" s="6">
        <v>75</v>
      </c>
      <c r="I27" s="6">
        <v>60</v>
      </c>
      <c r="J27" s="6">
        <v>40</v>
      </c>
      <c r="K27" s="9">
        <f t="shared" si="0"/>
        <v>526</v>
      </c>
    </row>
    <row r="28" spans="1:11" ht="23.1" customHeight="1" thickTop="1" thickBot="1" x14ac:dyDescent="0.2">
      <c r="A28" s="5" t="s">
        <v>10</v>
      </c>
      <c r="B28" s="6" t="s">
        <v>36</v>
      </c>
      <c r="C28" s="6" t="s">
        <v>12</v>
      </c>
      <c r="D28" s="7">
        <v>103</v>
      </c>
      <c r="E28" s="8">
        <v>125</v>
      </c>
      <c r="F28" s="7">
        <v>141</v>
      </c>
      <c r="G28" s="8">
        <v>25</v>
      </c>
      <c r="H28" s="7">
        <v>30</v>
      </c>
      <c r="I28" s="8">
        <v>45</v>
      </c>
      <c r="J28" s="8">
        <v>40</v>
      </c>
      <c r="K28" s="9">
        <f t="shared" si="0"/>
        <v>509</v>
      </c>
    </row>
    <row r="29" spans="1:11" ht="23.1" customHeight="1" thickTop="1" thickBot="1" x14ac:dyDescent="0.2">
      <c r="A29" s="5" t="s">
        <v>10</v>
      </c>
      <c r="B29" s="6" t="s">
        <v>40</v>
      </c>
      <c r="C29" s="6" t="s">
        <v>20</v>
      </c>
      <c r="D29" s="6">
        <v>106</v>
      </c>
      <c r="E29" s="6">
        <v>95</v>
      </c>
      <c r="F29" s="6">
        <v>40</v>
      </c>
      <c r="G29" s="6">
        <v>89</v>
      </c>
      <c r="H29" s="6">
        <v>86</v>
      </c>
      <c r="I29" s="6">
        <v>48</v>
      </c>
      <c r="J29" s="6">
        <v>43</v>
      </c>
      <c r="K29" s="9">
        <f t="shared" si="0"/>
        <v>507</v>
      </c>
    </row>
    <row r="30" spans="1:11" ht="23.1" customHeight="1" thickTop="1" thickBot="1" x14ac:dyDescent="0.2">
      <c r="A30" s="5" t="s">
        <v>10</v>
      </c>
      <c r="B30" s="6" t="s">
        <v>30</v>
      </c>
      <c r="C30" s="6" t="s">
        <v>20</v>
      </c>
      <c r="D30" s="7">
        <v>93</v>
      </c>
      <c r="E30" s="8">
        <v>103</v>
      </c>
      <c r="F30" s="7">
        <v>90</v>
      </c>
      <c r="G30" s="8">
        <v>73</v>
      </c>
      <c r="H30" s="7">
        <v>60</v>
      </c>
      <c r="I30" s="8">
        <v>41</v>
      </c>
      <c r="J30" s="8">
        <v>43</v>
      </c>
      <c r="K30" s="9">
        <f t="shared" si="0"/>
        <v>503</v>
      </c>
    </row>
    <row r="31" spans="1:11" ht="23.1" customHeight="1" thickTop="1" thickBot="1" x14ac:dyDescent="0.2">
      <c r="A31" s="5" t="s">
        <v>10</v>
      </c>
      <c r="B31" s="6" t="s">
        <v>31</v>
      </c>
      <c r="C31" s="6" t="s">
        <v>12</v>
      </c>
      <c r="D31" s="7">
        <v>84</v>
      </c>
      <c r="E31" s="8">
        <v>92</v>
      </c>
      <c r="F31" s="7">
        <v>127</v>
      </c>
      <c r="G31" s="8">
        <v>59</v>
      </c>
      <c r="H31" s="7">
        <v>49</v>
      </c>
      <c r="I31" s="8">
        <v>45</v>
      </c>
      <c r="J31" s="8">
        <v>44</v>
      </c>
      <c r="K31" s="9">
        <f t="shared" si="0"/>
        <v>500</v>
      </c>
    </row>
    <row r="32" spans="1:11" ht="23.1" customHeight="1" thickTop="1" thickBot="1" x14ac:dyDescent="0.2">
      <c r="A32" s="10" t="s">
        <v>10</v>
      </c>
      <c r="B32" s="11" t="s">
        <v>45</v>
      </c>
      <c r="C32" s="11" t="s">
        <v>20</v>
      </c>
      <c r="D32" s="11">
        <v>93</v>
      </c>
      <c r="E32" s="11">
        <v>103</v>
      </c>
      <c r="F32" s="11">
        <v>41</v>
      </c>
      <c r="G32" s="11">
        <v>80</v>
      </c>
      <c r="H32" s="11">
        <v>73</v>
      </c>
      <c r="I32" s="11">
        <v>60</v>
      </c>
      <c r="J32" s="11">
        <v>43</v>
      </c>
      <c r="K32" s="12">
        <f t="shared" si="0"/>
        <v>493</v>
      </c>
    </row>
    <row r="33" ht="14.25" thickTop="1" x14ac:dyDescent="0.15"/>
  </sheetData>
  <sortState ref="A3:K32">
    <sortCondition ref="A3:A32" customList="九一班,九二班,九三班"/>
    <sortCondition descending="1" ref="K3:K3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Q24" sqref="Q24"/>
    </sheetView>
  </sheetViews>
  <sheetFormatPr defaultRowHeight="13.5" x14ac:dyDescent="0.15"/>
  <sheetData>
    <row r="1" spans="1:11" x14ac:dyDescent="0.15">
      <c r="A1" t="s">
        <v>53</v>
      </c>
      <c r="B1" t="s">
        <v>54</v>
      </c>
    </row>
    <row r="2" spans="1:11" x14ac:dyDescent="0.15">
      <c r="A2" t="s">
        <v>56</v>
      </c>
      <c r="B2" t="s">
        <v>55</v>
      </c>
    </row>
    <row r="4" spans="1:11" ht="14.25" thickBot="1" x14ac:dyDescent="0.2"/>
    <row r="5" spans="1:11" ht="23.25" thickTop="1" thickBot="1" x14ac:dyDescent="0.2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4" t="s">
        <v>51</v>
      </c>
    </row>
    <row r="6" spans="1:11" ht="23.25" thickTop="1" thickBot="1" x14ac:dyDescent="0.2">
      <c r="A6" s="5" t="s">
        <v>13</v>
      </c>
      <c r="B6" s="6" t="s">
        <v>42</v>
      </c>
      <c r="C6" s="6" t="s">
        <v>20</v>
      </c>
      <c r="D6" s="6">
        <v>124</v>
      </c>
      <c r="E6" s="6">
        <v>146</v>
      </c>
      <c r="F6" s="6">
        <v>45</v>
      </c>
      <c r="G6" s="6">
        <v>83</v>
      </c>
      <c r="H6" s="6">
        <v>87</v>
      </c>
      <c r="I6" s="6">
        <v>58</v>
      </c>
      <c r="J6" s="6">
        <v>37</v>
      </c>
      <c r="K6" s="9">
        <v>580</v>
      </c>
    </row>
    <row r="7" spans="1:11" ht="23.25" thickTop="1" thickBot="1" x14ac:dyDescent="0.2">
      <c r="A7" s="5" t="s">
        <v>13</v>
      </c>
      <c r="B7" s="6" t="s">
        <v>14</v>
      </c>
      <c r="C7" s="6" t="s">
        <v>12</v>
      </c>
      <c r="D7" s="7">
        <v>112</v>
      </c>
      <c r="E7" s="8">
        <v>135</v>
      </c>
      <c r="F7" s="7">
        <v>110</v>
      </c>
      <c r="G7" s="8">
        <v>75</v>
      </c>
      <c r="H7" s="7">
        <v>58</v>
      </c>
      <c r="I7" s="8">
        <v>43</v>
      </c>
      <c r="J7" s="8">
        <v>42</v>
      </c>
      <c r="K7" s="9">
        <v>575</v>
      </c>
    </row>
    <row r="8" spans="1:11" ht="23.25" thickTop="1" thickBot="1" x14ac:dyDescent="0.2">
      <c r="A8" s="5" t="s">
        <v>13</v>
      </c>
      <c r="B8" s="6" t="s">
        <v>23</v>
      </c>
      <c r="C8" s="6" t="s">
        <v>20</v>
      </c>
      <c r="D8" s="7">
        <v>118</v>
      </c>
      <c r="E8" s="8">
        <v>130</v>
      </c>
      <c r="F8" s="7">
        <v>102</v>
      </c>
      <c r="G8" s="8">
        <v>86</v>
      </c>
      <c r="H8" s="7">
        <v>54</v>
      </c>
      <c r="I8" s="8">
        <v>43</v>
      </c>
      <c r="J8" s="8">
        <v>38</v>
      </c>
      <c r="K8" s="9">
        <v>571</v>
      </c>
    </row>
    <row r="9" spans="1:11" ht="14.25" thickTop="1" x14ac:dyDescent="0.1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O20" sqref="O20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筛选</vt:lpstr>
      <vt:lpstr>学生数学均分比较表</vt:lpstr>
      <vt:lpstr>筛选!Criteria</vt:lpstr>
      <vt:lpstr>筛选!提取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2021-03-29T05:26:31Z</dcterms:modified>
</cp:coreProperties>
</file>
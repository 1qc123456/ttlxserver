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员工工资表" sheetId="2" r:id="rId1"/>
    <sheet name="Sheet2" sheetId="5" r:id="rId2"/>
    <sheet name="Sheet3" sheetId="4" r:id="rId3"/>
  </sheets>
  <calcPr calcId="144525"/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3" i="2"/>
</calcChain>
</file>

<file path=xl/sharedStrings.xml><?xml version="1.0" encoding="utf-8"?>
<sst xmlns="http://schemas.openxmlformats.org/spreadsheetml/2006/main" count="104" uniqueCount="71">
  <si>
    <t>性别</t>
  </si>
  <si>
    <t>工资</t>
  </si>
  <si>
    <t>男</t>
  </si>
  <si>
    <t>女</t>
  </si>
  <si>
    <t>序号</t>
  </si>
  <si>
    <t>部门</t>
  </si>
  <si>
    <t>员工编号</t>
  </si>
  <si>
    <t>年龄</t>
  </si>
  <si>
    <t>籍贯</t>
  </si>
  <si>
    <t>工龄</t>
  </si>
  <si>
    <t>开发部</t>
  </si>
  <si>
    <t>K12</t>
  </si>
  <si>
    <t>陕西</t>
  </si>
  <si>
    <t>测试部</t>
  </si>
  <si>
    <t>C24</t>
  </si>
  <si>
    <t>江西</t>
  </si>
  <si>
    <t>文档部</t>
  </si>
  <si>
    <t>W24</t>
  </si>
  <si>
    <t>河北</t>
  </si>
  <si>
    <t>市场部</t>
  </si>
  <si>
    <t>S21</t>
  </si>
  <si>
    <t>山东</t>
  </si>
  <si>
    <t>S20</t>
  </si>
  <si>
    <t>K01</t>
  </si>
  <si>
    <t>W08</t>
  </si>
  <si>
    <t>广东</t>
  </si>
  <si>
    <t>C04</t>
  </si>
  <si>
    <t>上海</t>
  </si>
  <si>
    <t>S14</t>
  </si>
  <si>
    <t>S22</t>
  </si>
  <si>
    <t>北京</t>
  </si>
  <si>
    <t>C16</t>
  </si>
  <si>
    <t>湖北</t>
  </si>
  <si>
    <t>W04</t>
  </si>
  <si>
    <t>山西</t>
  </si>
  <si>
    <t>K02</t>
  </si>
  <si>
    <t>C29</t>
  </si>
  <si>
    <t>K11</t>
  </si>
  <si>
    <t>辽宁</t>
  </si>
  <si>
    <t>S17</t>
  </si>
  <si>
    <t>四川</t>
  </si>
  <si>
    <t>W18</t>
  </si>
  <si>
    <t>江苏</t>
  </si>
  <si>
    <t>基础工资</t>
    <phoneticPr fontId="1" type="noConversion"/>
  </si>
  <si>
    <t>工龄工资</t>
    <phoneticPr fontId="1" type="noConversion"/>
  </si>
  <si>
    <t>工资等级</t>
    <phoneticPr fontId="1" type="noConversion"/>
  </si>
  <si>
    <t>3000以下</t>
    <phoneticPr fontId="1" type="noConversion"/>
  </si>
  <si>
    <t>3000-4000</t>
    <phoneticPr fontId="1" type="noConversion"/>
  </si>
  <si>
    <t>4000及以上</t>
    <phoneticPr fontId="1" type="noConversion"/>
  </si>
  <si>
    <t>低</t>
    <phoneticPr fontId="1" type="noConversion"/>
  </si>
  <si>
    <t>中</t>
    <phoneticPr fontId="1" type="noConversion"/>
  </si>
  <si>
    <t>员工工资表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</si>
  <si>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</si>
  <si>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</si>
  <si>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</si>
  <si>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</si>
  <si>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</si>
  <si>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</si>
  <si>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</si>
  <si>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</si>
  <si>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</si>
  <si>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</si>
  <si>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</si>
  <si>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</si>
  <si>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</si>
  <si>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</si>
  <si>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</si>
  <si>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</si>
  <si>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</si>
  <si>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工资等级</t>
    <phoneticPr fontId="1" type="noConversion"/>
  </si>
  <si>
    <t>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</si>
</sst>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B28" sqref="B28"/>
    </sheetView>
  </sheetViews>
  <sheetFormatPr defaultRowHeight="14.4" x14ac:dyDescent="0.25"/>
  <cols>
    <col min="2" max="2" width="9.21875" bestFit="1" customWidth="1"/>
    <col min="3" max="3" width="10.44140625" bestFit="1" customWidth="1"/>
    <col min="4" max="4" width="11.21875" bestFit="1" customWidth="1"/>
  </cols>
  <sheetData>
    <row r="1" spans="1:9" x14ac:dyDescent="0.25">
      <c r="A1" s="4" t="s">
        <v>51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1" t="s">
        <v>4</v>
      </c>
      <c r="B2" s="1" t="s">
        <v>5</v>
      </c>
      <c r="C2" s="1" t="s">
        <v>6</v>
      </c>
      <c r="D2" s="1" t="s">
        <v>0</v>
      </c>
      <c r="E2" s="1" t="s">
        <v>7</v>
      </c>
      <c r="F2" s="1" t="s">
        <v>8</v>
      </c>
      <c r="G2" s="1" t="s">
        <v>9</v>
      </c>
      <c r="H2" s="1" t="s">
        <v>1</v>
      </c>
      <c r="I2" s="1" t="s">
        <v>69</v>
      </c>
    </row>
    <row r="3" spans="1:9" x14ac:dyDescent="0.25">
      <c r="A3" s="5" t="s">
        <v>52</v>
      </c>
      <c r="B3" s="1" t="s">
        <v>10</v>
      </c>
      <c r="C3" s="2" t="s">
        <v>11</v>
      </c>
      <c r="D3" s="1" t="s">
        <v>2</v>
      </c>
      <c r="E3" s="2">
        <v>30</v>
      </c>
      <c r="F3" s="1" t="s">
        <v>12</v>
      </c>
      <c r="G3" s="2">
        <v>5</v>
      </c>
      <c r="H3">
        <f>$B$22+$B$23*G3</f>
        <v>4800</v>
      </c>
      <c r="I3" t="str">
        <f>IF(H3&gt;=4000,"高",IF(H3&lt;3000,"低",IF(H3&lt;4000,"中")))</f>
        <v>高</v>
      </c>
    </row>
    <row r="4" spans="1:9" x14ac:dyDescent="0.25">
      <c r="A4" s="5" t="s">
        <v>53</v>
      </c>
      <c r="B4" s="1" t="s">
        <v>13</v>
      </c>
      <c r="C4" s="2" t="s">
        <v>14</v>
      </c>
      <c r="D4" s="1" t="s">
        <v>2</v>
      </c>
      <c r="E4" s="2">
        <v>32</v>
      </c>
      <c r="F4" s="1" t="s">
        <v>15</v>
      </c>
      <c r="G4" s="2">
        <v>4</v>
      </c>
      <c r="H4">
        <f t="shared" ref="H4:H19" si="0">$B$22+$B$23*G4</f>
        <v>4200</v>
      </c>
      <c r="I4" t="str">
        <f t="shared" ref="I4:I19" si="1">IF(H4&gt;=4000,"高",IF(H4&lt;3000,"低",IF(H4&lt;4000,"中")))</f>
        <v>高</v>
      </c>
    </row>
    <row r="5" spans="1:9" x14ac:dyDescent="0.25">
      <c r="A5" s="5" t="s">
        <v>54</v>
      </c>
      <c r="B5" s="1" t="s">
        <v>16</v>
      </c>
      <c r="C5" s="2" t="s">
        <v>17</v>
      </c>
      <c r="D5" s="1" t="s">
        <v>3</v>
      </c>
      <c r="E5" s="2">
        <v>24</v>
      </c>
      <c r="F5" s="1" t="s">
        <v>18</v>
      </c>
      <c r="G5" s="2">
        <v>2</v>
      </c>
      <c r="H5">
        <f t="shared" si="0"/>
        <v>3000</v>
      </c>
      <c r="I5" t="str">
        <f t="shared" si="1"/>
        <v>中</v>
      </c>
    </row>
    <row r="6" spans="1:9" x14ac:dyDescent="0.25">
      <c r="A6" s="5" t="s">
        <v>55</v>
      </c>
      <c r="B6" s="1" t="s">
        <v>19</v>
      </c>
      <c r="C6" s="2" t="s">
        <v>20</v>
      </c>
      <c r="D6" s="1" t="s">
        <v>2</v>
      </c>
      <c r="E6" s="2">
        <v>26</v>
      </c>
      <c r="F6" s="1" t="s">
        <v>21</v>
      </c>
      <c r="G6" s="2">
        <v>4</v>
      </c>
      <c r="H6">
        <f t="shared" si="0"/>
        <v>4200</v>
      </c>
      <c r="I6" t="str">
        <f t="shared" si="1"/>
        <v>高</v>
      </c>
    </row>
    <row r="7" spans="1:9" x14ac:dyDescent="0.25">
      <c r="A7" s="5" t="s">
        <v>56</v>
      </c>
      <c r="B7" s="1" t="s">
        <v>19</v>
      </c>
      <c r="C7" s="2" t="s">
        <v>22</v>
      </c>
      <c r="D7" s="1" t="s">
        <v>3</v>
      </c>
      <c r="E7" s="2">
        <v>25</v>
      </c>
      <c r="F7" s="1" t="s">
        <v>15</v>
      </c>
      <c r="G7" s="2">
        <v>2</v>
      </c>
      <c r="H7">
        <f t="shared" si="0"/>
        <v>3000</v>
      </c>
      <c r="I7" t="str">
        <f t="shared" si="1"/>
        <v>中</v>
      </c>
    </row>
    <row r="8" spans="1:9" x14ac:dyDescent="0.25">
      <c r="A8" s="5" t="s">
        <v>57</v>
      </c>
      <c r="B8" s="1" t="s">
        <v>10</v>
      </c>
      <c r="C8" s="2" t="s">
        <v>23</v>
      </c>
      <c r="D8" s="1" t="s">
        <v>3</v>
      </c>
      <c r="E8" s="2">
        <v>26</v>
      </c>
      <c r="F8" s="1" t="s">
        <v>12</v>
      </c>
      <c r="G8" s="2">
        <v>2</v>
      </c>
      <c r="H8">
        <f t="shared" si="0"/>
        <v>3000</v>
      </c>
      <c r="I8" t="str">
        <f t="shared" si="1"/>
        <v>中</v>
      </c>
    </row>
    <row r="9" spans="1:9" x14ac:dyDescent="0.25">
      <c r="A9" s="5" t="s">
        <v>58</v>
      </c>
      <c r="B9" s="1" t="s">
        <v>16</v>
      </c>
      <c r="C9" s="2" t="s">
        <v>24</v>
      </c>
      <c r="D9" s="1" t="s">
        <v>2</v>
      </c>
      <c r="E9" s="2">
        <v>24</v>
      </c>
      <c r="F9" s="1" t="s">
        <v>25</v>
      </c>
      <c r="G9" s="2">
        <v>1</v>
      </c>
      <c r="H9">
        <f t="shared" si="0"/>
        <v>2400</v>
      </c>
      <c r="I9" t="str">
        <f t="shared" si="1"/>
        <v>低</v>
      </c>
    </row>
    <row r="10" spans="1:9" x14ac:dyDescent="0.25">
      <c r="A10" s="5" t="s">
        <v>59</v>
      </c>
      <c r="B10" s="1" t="s">
        <v>13</v>
      </c>
      <c r="C10" s="2" t="s">
        <v>26</v>
      </c>
      <c r="D10" s="1" t="s">
        <v>2</v>
      </c>
      <c r="E10" s="2">
        <v>22</v>
      </c>
      <c r="F10" s="1" t="s">
        <v>27</v>
      </c>
      <c r="G10" s="2">
        <v>5</v>
      </c>
      <c r="H10">
        <f t="shared" si="0"/>
        <v>4800</v>
      </c>
      <c r="I10" t="str">
        <f t="shared" si="1"/>
        <v>高</v>
      </c>
    </row>
    <row r="11" spans="1:9" x14ac:dyDescent="0.25">
      <c r="A11" s="5" t="s">
        <v>60</v>
      </c>
      <c r="B11" s="1" t="s">
        <v>19</v>
      </c>
      <c r="C11" s="2" t="s">
        <v>28</v>
      </c>
      <c r="D11" s="1" t="s">
        <v>3</v>
      </c>
      <c r="E11" s="2">
        <v>24</v>
      </c>
      <c r="F11" s="1" t="s">
        <v>21</v>
      </c>
      <c r="G11" s="2">
        <v>4</v>
      </c>
      <c r="H11">
        <f t="shared" si="0"/>
        <v>4200</v>
      </c>
      <c r="I11" t="str">
        <f t="shared" si="1"/>
        <v>高</v>
      </c>
    </row>
    <row r="12" spans="1:9" x14ac:dyDescent="0.25">
      <c r="A12" s="5" t="s">
        <v>61</v>
      </c>
      <c r="B12" s="1" t="s">
        <v>19</v>
      </c>
      <c r="C12" s="2" t="s">
        <v>29</v>
      </c>
      <c r="D12" s="1" t="s">
        <v>3</v>
      </c>
      <c r="E12" s="2">
        <v>25</v>
      </c>
      <c r="F12" s="1" t="s">
        <v>30</v>
      </c>
      <c r="G12" s="2">
        <v>2</v>
      </c>
      <c r="H12">
        <f t="shared" si="0"/>
        <v>3000</v>
      </c>
      <c r="I12" t="str">
        <f t="shared" si="1"/>
        <v>中</v>
      </c>
    </row>
    <row r="13" spans="1:9" x14ac:dyDescent="0.25">
      <c r="A13" s="5" t="s">
        <v>62</v>
      </c>
      <c r="B13" s="1" t="s">
        <v>13</v>
      </c>
      <c r="C13" s="2" t="s">
        <v>31</v>
      </c>
      <c r="D13" s="1" t="s">
        <v>2</v>
      </c>
      <c r="E13" s="2">
        <v>28</v>
      </c>
      <c r="F13" s="1" t="s">
        <v>32</v>
      </c>
      <c r="G13" s="2">
        <v>4</v>
      </c>
      <c r="H13">
        <f t="shared" si="0"/>
        <v>4200</v>
      </c>
      <c r="I13" t="str">
        <f t="shared" si="1"/>
        <v>高</v>
      </c>
    </row>
    <row r="14" spans="1:9" x14ac:dyDescent="0.25">
      <c r="A14" s="5" t="s">
        <v>63</v>
      </c>
      <c r="B14" s="1" t="s">
        <v>16</v>
      </c>
      <c r="C14" s="2" t="s">
        <v>33</v>
      </c>
      <c r="D14" s="1" t="s">
        <v>2</v>
      </c>
      <c r="E14" s="2">
        <v>32</v>
      </c>
      <c r="F14" s="1" t="s">
        <v>34</v>
      </c>
      <c r="G14" s="2">
        <v>3</v>
      </c>
      <c r="H14">
        <f t="shared" si="0"/>
        <v>3600</v>
      </c>
      <c r="I14" t="str">
        <f t="shared" si="1"/>
        <v>中</v>
      </c>
    </row>
    <row r="15" spans="1:9" x14ac:dyDescent="0.25">
      <c r="A15" s="5" t="s">
        <v>64</v>
      </c>
      <c r="B15" s="1" t="s">
        <v>10</v>
      </c>
      <c r="C15" s="2" t="s">
        <v>35</v>
      </c>
      <c r="D15" s="1" t="s">
        <v>2</v>
      </c>
      <c r="E15" s="2">
        <v>36</v>
      </c>
      <c r="F15" s="1" t="s">
        <v>12</v>
      </c>
      <c r="G15" s="2">
        <v>6</v>
      </c>
      <c r="H15">
        <f t="shared" si="0"/>
        <v>5400</v>
      </c>
      <c r="I15" t="str">
        <f t="shared" si="1"/>
        <v>高</v>
      </c>
    </row>
    <row r="16" spans="1:9" x14ac:dyDescent="0.25">
      <c r="A16" s="5" t="s">
        <v>65</v>
      </c>
      <c r="B16" s="1" t="s">
        <v>13</v>
      </c>
      <c r="C16" s="2" t="s">
        <v>36</v>
      </c>
      <c r="D16" s="1" t="s">
        <v>3</v>
      </c>
      <c r="E16" s="2">
        <v>25</v>
      </c>
      <c r="F16" s="1" t="s">
        <v>15</v>
      </c>
      <c r="G16" s="2">
        <v>5</v>
      </c>
      <c r="H16">
        <f t="shared" si="0"/>
        <v>4800</v>
      </c>
      <c r="I16" t="str">
        <f t="shared" si="1"/>
        <v>高</v>
      </c>
    </row>
    <row r="17" spans="1:9" x14ac:dyDescent="0.25">
      <c r="A17" s="5" t="s">
        <v>66</v>
      </c>
      <c r="B17" s="1" t="s">
        <v>10</v>
      </c>
      <c r="C17" s="2" t="s">
        <v>37</v>
      </c>
      <c r="D17" s="1" t="s">
        <v>3</v>
      </c>
      <c r="E17" s="2">
        <v>25</v>
      </c>
      <c r="F17" s="1" t="s">
        <v>38</v>
      </c>
      <c r="G17" s="2">
        <v>3</v>
      </c>
      <c r="H17">
        <f t="shared" si="0"/>
        <v>3600</v>
      </c>
      <c r="I17" t="str">
        <f t="shared" si="1"/>
        <v>中</v>
      </c>
    </row>
    <row r="18" spans="1:9" x14ac:dyDescent="0.25">
      <c r="A18" s="5" t="s">
        <v>67</v>
      </c>
      <c r="B18" s="1" t="s">
        <v>19</v>
      </c>
      <c r="C18" s="2" t="s">
        <v>39</v>
      </c>
      <c r="D18" s="1" t="s">
        <v>2</v>
      </c>
      <c r="E18" s="2">
        <v>26</v>
      </c>
      <c r="F18" s="1" t="s">
        <v>40</v>
      </c>
      <c r="G18" s="2">
        <v>5</v>
      </c>
      <c r="H18">
        <f t="shared" si="0"/>
        <v>4800</v>
      </c>
      <c r="I18" t="str">
        <f t="shared" si="1"/>
        <v>高</v>
      </c>
    </row>
    <row r="19" spans="1:9" x14ac:dyDescent="0.25">
      <c r="A19" s="5" t="s">
        <v>68</v>
      </c>
      <c r="B19" s="1" t="s">
        <v>16</v>
      </c>
      <c r="C19" s="2" t="s">
        <v>41</v>
      </c>
      <c r="D19" s="1" t="s">
        <v>3</v>
      </c>
      <c r="E19" s="2">
        <v>24</v>
      </c>
      <c r="F19" s="1" t="s">
        <v>42</v>
      </c>
      <c r="G19" s="2">
        <v>2</v>
      </c>
      <c r="H19">
        <f t="shared" si="0"/>
        <v>3000</v>
      </c>
      <c r="I19" t="str">
        <f t="shared" si="1"/>
        <v>中</v>
      </c>
    </row>
    <row r="22" spans="1:9" x14ac:dyDescent="0.25">
      <c r="A22" t="s">
        <v>43</v>
      </c>
      <c r="B22">
        <v>1800</v>
      </c>
    </row>
    <row r="23" spans="1:9" x14ac:dyDescent="0.25">
      <c r="A23" t="s">
        <v>44</v>
      </c>
      <c r="B23">
        <v>600</v>
      </c>
    </row>
    <row r="25" spans="1:9" x14ac:dyDescent="0.25">
      <c r="A25" t="s">
        <v>45</v>
      </c>
      <c r="B25" s="3" t="s">
        <v>46</v>
      </c>
      <c r="C25" s="3" t="s">
        <v>47</v>
      </c>
      <c r="D25" s="3" t="s">
        <v>48</v>
      </c>
    </row>
    <row r="26" spans="1:9" x14ac:dyDescent="0.25">
      <c r="B26" s="3" t="s">
        <v>49</v>
      </c>
      <c r="C26" s="3" t="s">
        <v>50</v>
      </c>
      <c r="D26" s="3" t="s">
        <v>70</v>
      </c>
    </row>
  </sheetData>
  <mergeCells count="1">
    <mergeCell ref="A1:I1"/>
  </mergeCells>
  <phoneticPr fontId="1" type="noConversion"/>
  <pageMargins left="0.7" right="0.7" top="0.75" bottom="0.75" header="0.3" footer="0.3"/>
  <pageSetup paperSize="11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员工工资表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2021-04-20T06:17:00Z</dcterms:modified>
</cp:coreProperties>
</file>
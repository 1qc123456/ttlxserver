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数据透视图" sheetId="6" r:id="rId1"/>
    <sheet name="课时费统计表" sheetId="5" r:id="rId2"/>
    <sheet name="授课信息表" sheetId="1" r:id="rId3"/>
    <sheet name="课程基本信息" sheetId="2" r:id="rId4"/>
    <sheet name="课时费标准" sheetId="3" r:id="rId5"/>
    <sheet name="教师基本信息" sheetId="4" r:id="rId6"/>
  </sheets>
  <calcPr calcId="145621"/>
  <pivotCaches>
    <pivotCache cacheId="4" r:id="rId7"/>
  </pivotCaches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G3" i="1"/>
  <c r="H10" i="5" s="1"/>
  <c r="F3" i="1"/>
  <c r="H3" i="5"/>
  <c r="H4" i="5"/>
  <c r="H5" i="5"/>
  <c r="H6" i="5"/>
  <c r="H7" i="5"/>
  <c r="H8" i="5"/>
  <c r="H9" i="5"/>
  <c r="H11" i="5"/>
  <c r="H12" i="5"/>
  <c r="H13" i="5"/>
  <c r="H14" i="5"/>
  <c r="H15" i="5"/>
  <c r="H16" i="5"/>
  <c r="H17" i="5"/>
  <c r="H18" i="5"/>
  <c r="H19" i="5"/>
  <c r="H20" i="5"/>
  <c r="H21" i="5"/>
  <c r="H2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</calcChain>
</file>

<file path=xl/sharedStrings.xml><?xml version="1.0" encoding="utf-8"?>
<sst xmlns="http://schemas.openxmlformats.org/spreadsheetml/2006/main" count="411" uniqueCount="114">
  <si>
    <t>计算机硬件基础</t>
  </si>
  <si>
    <t>课程名称</t>
    <phoneticPr fontId="3" type="noConversion"/>
  </si>
  <si>
    <t>学时数</t>
    <phoneticPr fontId="3" type="noConversion"/>
  </si>
  <si>
    <t>课程编号</t>
    <phoneticPr fontId="1" type="noConversion"/>
  </si>
  <si>
    <t>单片机技术</t>
    <phoneticPr fontId="3" type="noConversion"/>
  </si>
  <si>
    <r>
      <rPr>
        <sz val="10"/>
        <rFont val="宋体"/>
        <family val="3"/>
        <charset val="134"/>
      </rPr>
      <t>计算机文化基础</t>
    </r>
    <phoneticPr fontId="3" type="noConversion"/>
  </si>
  <si>
    <r>
      <rPr>
        <sz val="10"/>
        <rFont val="宋体"/>
        <family val="3"/>
        <charset val="134"/>
      </rPr>
      <t>计算机软件基础</t>
    </r>
    <phoneticPr fontId="3" type="noConversion"/>
  </si>
  <si>
    <r>
      <rPr>
        <sz val="10"/>
        <rFont val="宋体"/>
        <family val="3"/>
        <charset val="134"/>
      </rPr>
      <t>计算机硬件基础</t>
    </r>
    <phoneticPr fontId="3" type="noConversion"/>
  </si>
  <si>
    <r>
      <t>C</t>
    </r>
    <r>
      <rPr>
        <sz val="10"/>
        <rFont val="宋体"/>
        <family val="3"/>
        <charset val="134"/>
      </rPr>
      <t>语言程序设计</t>
    </r>
    <phoneticPr fontId="3" type="noConversion"/>
  </si>
  <si>
    <r>
      <rPr>
        <sz val="10"/>
        <rFont val="Courier New"/>
        <family val="3"/>
      </rPr>
      <t>数据结构</t>
    </r>
    <phoneticPr fontId="3" type="noConversion"/>
  </si>
  <si>
    <r>
      <rPr>
        <sz val="10"/>
        <rFont val="宋体"/>
        <family val="3"/>
        <charset val="134"/>
      </rPr>
      <t>微机原理与接口技术</t>
    </r>
    <phoneticPr fontId="3" type="noConversion"/>
  </si>
  <si>
    <r>
      <rPr>
        <sz val="10"/>
        <rFont val="宋体"/>
        <family val="3"/>
        <charset val="134"/>
      </rPr>
      <t>计算机组成原理</t>
    </r>
    <phoneticPr fontId="3" type="noConversion"/>
  </si>
  <si>
    <r>
      <rPr>
        <sz val="10"/>
        <rFont val="Courier New"/>
        <family val="3"/>
      </rPr>
      <t>编译方法</t>
    </r>
    <phoneticPr fontId="3" type="noConversion"/>
  </si>
  <si>
    <r>
      <rPr>
        <sz val="10"/>
        <rFont val="宋体"/>
        <family val="3"/>
        <charset val="134"/>
      </rPr>
      <t>操作系统</t>
    </r>
    <phoneticPr fontId="1" type="noConversion"/>
  </si>
  <si>
    <r>
      <rPr>
        <sz val="10"/>
        <rFont val="宋体"/>
        <family val="3"/>
        <charset val="134"/>
      </rPr>
      <t>单片机技术</t>
    </r>
    <phoneticPr fontId="3" type="noConversion"/>
  </si>
  <si>
    <r>
      <rPr>
        <sz val="10"/>
        <rFont val="Courier New"/>
        <family val="3"/>
      </rPr>
      <t>微机接口实验</t>
    </r>
    <phoneticPr fontId="3" type="noConversion"/>
  </si>
  <si>
    <r>
      <rPr>
        <sz val="10"/>
        <rFont val="Courier New"/>
        <family val="3"/>
      </rPr>
      <t>单片机实验</t>
    </r>
    <phoneticPr fontId="3" type="noConversion"/>
  </si>
  <si>
    <r>
      <rPr>
        <sz val="10"/>
        <rFont val="宋体"/>
        <family val="3"/>
        <charset val="134"/>
      </rPr>
      <t>计算机检测与维修</t>
    </r>
    <phoneticPr fontId="3" type="noConversion"/>
  </si>
  <si>
    <t>职称</t>
    <phoneticPr fontId="1" type="noConversion"/>
  </si>
  <si>
    <t>课时标准（元）</t>
    <phoneticPr fontId="1" type="noConversion"/>
  </si>
  <si>
    <r>
      <rPr>
        <sz val="10"/>
        <color theme="1"/>
        <rFont val="宋体"/>
        <family val="2"/>
      </rPr>
      <t>教授</t>
    </r>
    <phoneticPr fontId="1" type="noConversion"/>
  </si>
  <si>
    <r>
      <rPr>
        <sz val="10"/>
        <color theme="1"/>
        <rFont val="宋体"/>
        <family val="3"/>
        <charset val="134"/>
      </rPr>
      <t>副教授</t>
    </r>
    <phoneticPr fontId="1" type="noConversion"/>
  </si>
  <si>
    <r>
      <rPr>
        <sz val="10"/>
        <color theme="1"/>
        <rFont val="宋体"/>
        <family val="3"/>
        <charset val="134"/>
      </rPr>
      <t>讲师</t>
    </r>
    <phoneticPr fontId="1" type="noConversion"/>
  </si>
  <si>
    <r>
      <rPr>
        <sz val="10"/>
        <color theme="1"/>
        <rFont val="宋体"/>
        <family val="3"/>
        <charset val="134"/>
      </rPr>
      <t>助教</t>
    </r>
    <phoneticPr fontId="1" type="noConversion"/>
  </si>
  <si>
    <t>课时标准费对照表</t>
    <phoneticPr fontId="1" type="noConversion"/>
  </si>
  <si>
    <t>计算机基础教研室承担课程基本信息表</t>
    <phoneticPr fontId="1" type="noConversion"/>
  </si>
  <si>
    <t>龚自飞</t>
    <phoneticPr fontId="3" type="noConversion"/>
  </si>
  <si>
    <t>苏玉叶</t>
    <phoneticPr fontId="3" type="noConversion"/>
  </si>
  <si>
    <t>陈清河</t>
    <phoneticPr fontId="3" type="noConversion"/>
  </si>
  <si>
    <t>崔咏絮</t>
    <phoneticPr fontId="3" type="noConversion"/>
  </si>
  <si>
    <t>蒋山农</t>
    <phoneticPr fontId="3" type="noConversion"/>
  </si>
  <si>
    <t>金洪山</t>
    <phoneticPr fontId="3" type="noConversion"/>
  </si>
  <si>
    <t>李云雨</t>
    <phoneticPr fontId="3" type="noConversion"/>
  </si>
  <si>
    <t>李浩然</t>
    <phoneticPr fontId="3" type="noConversion"/>
  </si>
  <si>
    <t>陈国庆</t>
    <phoneticPr fontId="3" type="noConversion"/>
  </si>
  <si>
    <t>教授</t>
    <phoneticPr fontId="3" type="noConversion"/>
  </si>
  <si>
    <t>李传东</t>
    <phoneticPr fontId="3" type="noConversion"/>
  </si>
  <si>
    <t>李建州</t>
    <phoneticPr fontId="3" type="noConversion"/>
  </si>
  <si>
    <t>王伟峰</t>
    <phoneticPr fontId="3" type="noConversion"/>
  </si>
  <si>
    <t>王兴发</t>
    <phoneticPr fontId="3" type="noConversion"/>
  </si>
  <si>
    <t>王一斌</t>
    <phoneticPr fontId="3" type="noConversion"/>
  </si>
  <si>
    <t>夏小萍</t>
    <phoneticPr fontId="3" type="noConversion"/>
  </si>
  <si>
    <t>向玉瑶</t>
    <phoneticPr fontId="3" type="noConversion"/>
  </si>
  <si>
    <t>许五多</t>
    <phoneticPr fontId="3" type="noConversion"/>
  </si>
  <si>
    <t>薛馨子</t>
    <phoneticPr fontId="3" type="noConversion"/>
  </si>
  <si>
    <t>张慧龙</t>
    <phoneticPr fontId="3" type="noConversion"/>
  </si>
  <si>
    <t>张定海</t>
    <phoneticPr fontId="3" type="noConversion"/>
  </si>
  <si>
    <t>序号</t>
    <phoneticPr fontId="3" type="noConversion"/>
  </si>
  <si>
    <t>姓名</t>
    <phoneticPr fontId="3" type="noConversion"/>
  </si>
  <si>
    <t>职称</t>
    <phoneticPr fontId="3" type="noConversion"/>
  </si>
  <si>
    <t>教授</t>
    <phoneticPr fontId="3" type="noConversion"/>
  </si>
  <si>
    <t>副教授</t>
    <phoneticPr fontId="3" type="noConversion"/>
  </si>
  <si>
    <t>助教</t>
    <phoneticPr fontId="3" type="noConversion"/>
  </si>
  <si>
    <t>助教</t>
    <phoneticPr fontId="3" type="noConversion"/>
  </si>
  <si>
    <t>讲师</t>
    <phoneticPr fontId="3" type="noConversion"/>
  </si>
  <si>
    <t>讲师</t>
    <phoneticPr fontId="3" type="noConversion"/>
  </si>
  <si>
    <t>系</t>
    <phoneticPr fontId="3" type="noConversion"/>
  </si>
  <si>
    <t>教研室</t>
    <phoneticPr fontId="3" type="noConversion"/>
  </si>
  <si>
    <t>计算机系</t>
    <phoneticPr fontId="3" type="noConversion"/>
  </si>
  <si>
    <t>计算机基础室</t>
    <phoneticPr fontId="3" type="noConversion"/>
  </si>
  <si>
    <t>教师基本信息表</t>
    <phoneticPr fontId="1" type="noConversion"/>
  </si>
  <si>
    <t>学期</t>
    <phoneticPr fontId="3" type="noConversion"/>
  </si>
  <si>
    <t>课程名称</t>
    <phoneticPr fontId="3" type="noConversion"/>
  </si>
  <si>
    <t>春季</t>
    <phoneticPr fontId="3" type="noConversion"/>
  </si>
  <si>
    <t>计算机软件基础</t>
    <phoneticPr fontId="3" type="noConversion"/>
  </si>
  <si>
    <t>秋季</t>
    <phoneticPr fontId="3" type="noConversion"/>
  </si>
  <si>
    <t>微机接口实验</t>
    <phoneticPr fontId="3" type="noConversion"/>
  </si>
  <si>
    <t>微机原理与接口技术</t>
    <phoneticPr fontId="3" type="noConversion"/>
  </si>
  <si>
    <t>数据结构</t>
    <phoneticPr fontId="3" type="noConversion"/>
  </si>
  <si>
    <t>计算机组成原理</t>
    <phoneticPr fontId="3" type="noConversion"/>
  </si>
  <si>
    <t>计算机检测与维修</t>
    <phoneticPr fontId="3" type="noConversion"/>
  </si>
  <si>
    <t>单片机实验</t>
    <phoneticPr fontId="3" type="noConversion"/>
  </si>
  <si>
    <t>计算机文化基础</t>
    <phoneticPr fontId="3" type="noConversion"/>
  </si>
  <si>
    <t>计算机硬件基础</t>
    <phoneticPr fontId="3" type="noConversion"/>
  </si>
  <si>
    <t>编译方法</t>
    <phoneticPr fontId="3" type="noConversion"/>
  </si>
  <si>
    <t>姓名</t>
    <phoneticPr fontId="3" type="noConversion"/>
  </si>
  <si>
    <t>年度</t>
    <phoneticPr fontId="1" type="noConversion"/>
  </si>
  <si>
    <t>编号</t>
    <phoneticPr fontId="3" type="noConversion"/>
  </si>
  <si>
    <t>计算机软件基础</t>
    <phoneticPr fontId="3" type="noConversion"/>
  </si>
  <si>
    <t>计算机检测与维修</t>
    <phoneticPr fontId="3" type="noConversion"/>
  </si>
  <si>
    <r>
      <t>C</t>
    </r>
    <r>
      <rPr>
        <sz val="10"/>
        <rFont val="宋体"/>
        <family val="3"/>
        <charset val="134"/>
      </rPr>
      <t>语言程序设计</t>
    </r>
    <phoneticPr fontId="3" type="noConversion"/>
  </si>
  <si>
    <t>操作系统</t>
    <phoneticPr fontId="3" type="noConversion"/>
  </si>
  <si>
    <t>单片机技术</t>
    <phoneticPr fontId="3" type="noConversion"/>
  </si>
  <si>
    <t>嵌入式系统原理及应用</t>
  </si>
  <si>
    <t>嵌入式系统原理及应用</t>
    <phoneticPr fontId="3" type="noConversion"/>
  </si>
  <si>
    <t>春季</t>
    <phoneticPr fontId="3" type="noConversion"/>
  </si>
  <si>
    <t>李浩然</t>
    <phoneticPr fontId="3" type="noConversion"/>
  </si>
  <si>
    <t>序号</t>
    <phoneticPr fontId="1" type="noConversion"/>
  </si>
  <si>
    <t>系</t>
    <phoneticPr fontId="1" type="noConversion"/>
  </si>
  <si>
    <t>教研室</t>
    <phoneticPr fontId="1" type="noConversion"/>
  </si>
  <si>
    <t>姓名</t>
    <phoneticPr fontId="1" type="noConversion"/>
  </si>
  <si>
    <t>年度</t>
    <phoneticPr fontId="1" type="noConversion"/>
  </si>
  <si>
    <t>计算机系</t>
    <phoneticPr fontId="1" type="noConversion"/>
  </si>
  <si>
    <t>计算机基础室</t>
    <phoneticPr fontId="1" type="noConversion"/>
  </si>
  <si>
    <t>职称</t>
    <phoneticPr fontId="1" type="noConversion"/>
  </si>
  <si>
    <t>课时标准</t>
    <phoneticPr fontId="1" type="noConversion"/>
  </si>
  <si>
    <t>学时数</t>
    <phoneticPr fontId="1" type="noConversion"/>
  </si>
  <si>
    <t>课时费</t>
    <phoneticPr fontId="1" type="noConversion"/>
  </si>
  <si>
    <t>计算机基础室2020年度课时费统计表</t>
    <phoneticPr fontId="1" type="noConversion"/>
  </si>
  <si>
    <t>计算机基础室2020年度课程承担情况表</t>
    <phoneticPr fontId="1" type="noConversion"/>
  </si>
  <si>
    <t>单片机实验</t>
    <phoneticPr fontId="3" type="noConversion"/>
  </si>
  <si>
    <t>学时数</t>
  </si>
  <si>
    <t>和</t>
  </si>
  <si>
    <t>行标签</t>
  </si>
  <si>
    <t>副教授</t>
  </si>
  <si>
    <t>讲师</t>
  </si>
  <si>
    <t>教授</t>
  </si>
  <si>
    <t>助教</t>
  </si>
  <si>
    <t>总计</t>
  </si>
  <si>
    <t>计算机基础室</t>
  </si>
  <si>
    <t>列标签</t>
  </si>
  <si>
    <t>求和项:课时费</t>
  </si>
  <si>
    <t>年度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</si>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</sst>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¥&quot;#,##0.00;&quot;¥&quot;\-#,##0.00"/>
    <numFmt numFmtId="176" formatCode="0.0_);[Red]\(0.0\)"/>
    <numFmt numFmtId="177" formatCode="0_);[Red]\(0\)"/>
  </numFmts>
  <fonts count="1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黑体"/>
      <family val="3"/>
      <charset val="134"/>
    </font>
    <font>
      <sz val="9"/>
      <name val="宋体"/>
      <family val="3"/>
      <charset val="134"/>
    </font>
    <font>
      <sz val="10"/>
      <name val="仿宋_GB2312"/>
      <family val="3"/>
      <charset val="134"/>
    </font>
    <font>
      <sz val="10"/>
      <name val="Courier New"/>
      <family val="3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theme="1"/>
      <name val="黑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2"/>
    </font>
    <font>
      <sz val="10"/>
      <color theme="1"/>
      <name val="宋体"/>
      <family val="3"/>
      <charset val="134"/>
    </font>
    <font>
      <sz val="12"/>
      <color theme="1"/>
      <name val="华文中宋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8" fillId="0" borderId="1" xfId="0" applyFont="1" applyBorder="1"/>
    <xf numFmtId="7" fontId="9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0" fillId="0" borderId="0" xfId="0"/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 applyBorder="1" applyAlignment="1">
      <alignment horizontal="center" vertical="center"/>
    </xf>
    <xf numFmtId="7" fontId="13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7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3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常规" xfId="0" builtinId="0"/>
  </cellStyles>
  <dxfs count="10">
    <dxf>
      <numFmt numFmtId="11" formatCode="&quot;¥&quot;#,##0.00;&quot;¥&quot;\-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numFmt numFmtId="11" formatCode="&quot;¥&quot;#,##0.00;&quot;¥&quot;\-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[2021年3月调考_Exce.xlsx]数据透视图!数据透视表1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数据透视图!$B$3:$B$4</c:f>
              <c:strCache>
                <c:ptCount val="1"/>
                <c:pt idx="0">
                  <c:v>计算机基础室</c:v>
                </c:pt>
              </c:strCache>
            </c:strRef>
          </c:tx>
          <c:cat>
            <c:strRef>
              <c:f>数据透视图!$A$5:$A$9</c:f>
              <c:strCache>
                <c:ptCount val="4"/>
                <c:pt idx="0">
                  <c:v>副教授</c:v>
                </c:pt>
                <c:pt idx="1">
                  <c:v>讲师</c:v>
                </c:pt>
                <c:pt idx="2">
                  <c:v>教授</c:v>
                </c:pt>
                <c:pt idx="3">
                  <c:v>助教</c:v>
                </c:pt>
              </c:strCache>
            </c:strRef>
          </c:cat>
          <c:val>
            <c:numRef>
              <c:f>数据透视图!$B$5:$B$9</c:f>
              <c:numCache>
                <c:formatCode>General</c:formatCode>
                <c:ptCount val="4"/>
                <c:pt idx="0">
                  <c:v>81600</c:v>
                </c:pt>
                <c:pt idx="1">
                  <c:v>140160</c:v>
                </c:pt>
                <c:pt idx="2">
                  <c:v>42240</c:v>
                </c:pt>
                <c:pt idx="3">
                  <c:v>11520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</xdr:colOff>
      <xdr:row>11</xdr:row>
      <xdr:rowOff>28575</xdr:rowOff>
    </xdr:from>
    <xdr:to>
      <xdr:col>5</xdr:col>
      <xdr:colOff>33337</xdr:colOff>
      <xdr:row>23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4294.42350798611" createdVersion="4" refreshedVersion="4" minRefreshableVersion="3" recordCount="20">
  <cacheSource type="worksheet">
    <worksheetSource name="表2"/>
  </cacheSource>
  <cacheFields count="9">
    <cacheField name="序号" numFmtId="0">
      <sharedItems containsSemiMixedTypes="0" containsString="0" containsNumber="1" containsInteger="1" minValue="1" maxValue="20"/>
    </cacheField>
    <cacheField name="年度" numFmtId="0">
      <sharedItems containsSemiMixedTypes="0" containsString="0" containsNumber="1" containsInteger="1" minValue="2020" maxValue="2020" count="1">
        <n v="2020"/>
      </sharedItems>
    </cacheField>
    <cacheField name="系" numFmtId="0">
      <sharedItems/>
    </cacheField>
    <cacheField name="教研室" numFmtId="0">
      <sharedItems count="1">
        <s v="计算机基础室"/>
      </sharedItems>
    </cacheField>
    <cacheField name="姓名" numFmtId="0">
      <sharedItems/>
    </cacheField>
    <cacheField name="职称" numFmtId="0">
      <sharedItems count="4">
        <s v="教授"/>
        <s v="副教授"/>
        <s v="讲师"/>
        <s v="助教"/>
      </sharedItems>
    </cacheField>
    <cacheField name="课时标准" numFmtId="7">
      <sharedItems containsSemiMixedTypes="0" containsString="0" containsNumber="1" containsInteger="1" minValue="60" maxValue="120"/>
    </cacheField>
    <cacheField name="学时数" numFmtId="0">
      <sharedItems containsSemiMixedTypes="0" containsString="0" containsNumber="1" containsInteger="1" minValue="80" maxValue="208"/>
    </cacheField>
    <cacheField name="课时费" numFmtId="7">
      <sharedItems containsSemiMixedTypes="0" containsString="0" containsNumber="1" containsInteger="1" minValue="5760" maxValue="23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"/>
    <x v="0"/>
    <s v="计算机系"/>
    <x v="0"/>
    <s v="陈国庆"/>
    <x v="0"/>
    <n v="120"/>
    <n v="160"/>
    <n v="19200"/>
  </r>
  <r>
    <n v="2"/>
    <x v="0"/>
    <s v="计算机系"/>
    <x v="0"/>
    <s v="张慧龙"/>
    <x v="0"/>
    <n v="120"/>
    <n v="192"/>
    <n v="23040"/>
  </r>
  <r>
    <n v="3"/>
    <x v="0"/>
    <s v="计算机系"/>
    <x v="0"/>
    <s v="崔咏絮"/>
    <x v="1"/>
    <n v="100"/>
    <n v="208"/>
    <n v="20800"/>
  </r>
  <r>
    <n v="4"/>
    <x v="0"/>
    <s v="计算机系"/>
    <x v="0"/>
    <s v="龚自飞"/>
    <x v="1"/>
    <n v="100"/>
    <n v="208"/>
    <n v="20800"/>
  </r>
  <r>
    <n v="5"/>
    <x v="0"/>
    <s v="计算机系"/>
    <x v="0"/>
    <s v="李浩然"/>
    <x v="1"/>
    <n v="100"/>
    <n v="152"/>
    <n v="15200"/>
  </r>
  <r>
    <n v="6"/>
    <x v="0"/>
    <s v="计算机系"/>
    <x v="0"/>
    <s v="王一斌"/>
    <x v="1"/>
    <n v="100"/>
    <n v="168"/>
    <n v="16800"/>
  </r>
  <r>
    <n v="7"/>
    <x v="0"/>
    <s v="计算机系"/>
    <x v="0"/>
    <s v="向玉瑶"/>
    <x v="1"/>
    <n v="100"/>
    <n v="80"/>
    <n v="8000"/>
  </r>
  <r>
    <n v="8"/>
    <x v="0"/>
    <s v="计算机系"/>
    <x v="0"/>
    <s v="陈清河"/>
    <x v="2"/>
    <n v="80"/>
    <n v="208"/>
    <n v="16640"/>
  </r>
  <r>
    <n v="9"/>
    <x v="0"/>
    <s v="计算机系"/>
    <x v="0"/>
    <s v="金洪山"/>
    <x v="2"/>
    <n v="80"/>
    <n v="208"/>
    <n v="16640"/>
  </r>
  <r>
    <n v="10"/>
    <x v="0"/>
    <s v="计算机系"/>
    <x v="0"/>
    <s v="李传东"/>
    <x v="2"/>
    <n v="80"/>
    <n v="192"/>
    <n v="15360"/>
  </r>
  <r>
    <n v="11"/>
    <x v="0"/>
    <s v="计算机系"/>
    <x v="0"/>
    <s v="李建州"/>
    <x v="2"/>
    <n v="80"/>
    <n v="176"/>
    <n v="14080"/>
  </r>
  <r>
    <n v="12"/>
    <x v="0"/>
    <s v="计算机系"/>
    <x v="0"/>
    <s v="李云雨"/>
    <x v="2"/>
    <n v="80"/>
    <n v="128"/>
    <n v="10240"/>
  </r>
  <r>
    <n v="13"/>
    <x v="0"/>
    <s v="计算机系"/>
    <x v="0"/>
    <s v="苏玉叶"/>
    <x v="2"/>
    <n v="80"/>
    <n v="160"/>
    <n v="12800"/>
  </r>
  <r>
    <n v="14"/>
    <x v="0"/>
    <s v="计算机系"/>
    <x v="0"/>
    <s v="王伟峰"/>
    <x v="2"/>
    <n v="80"/>
    <n v="160"/>
    <n v="12800"/>
  </r>
  <r>
    <n v="15"/>
    <x v="0"/>
    <s v="计算机系"/>
    <x v="0"/>
    <s v="王兴发"/>
    <x v="2"/>
    <n v="80"/>
    <n v="160"/>
    <n v="12800"/>
  </r>
  <r>
    <n v="16"/>
    <x v="0"/>
    <s v="计算机系"/>
    <x v="0"/>
    <s v="夏小萍"/>
    <x v="2"/>
    <n v="80"/>
    <n v="120"/>
    <n v="9600"/>
  </r>
  <r>
    <n v="17"/>
    <x v="0"/>
    <s v="计算机系"/>
    <x v="0"/>
    <s v="许五多"/>
    <x v="2"/>
    <n v="80"/>
    <n v="120"/>
    <n v="9600"/>
  </r>
  <r>
    <n v="18"/>
    <x v="0"/>
    <s v="计算机系"/>
    <x v="0"/>
    <s v="张定海"/>
    <x v="2"/>
    <n v="80"/>
    <n v="120"/>
    <n v="9600"/>
  </r>
  <r>
    <n v="19"/>
    <x v="0"/>
    <s v="计算机系"/>
    <x v="0"/>
    <s v="蒋山农"/>
    <x v="3"/>
    <n v="60"/>
    <n v="96"/>
    <n v="5760"/>
  </r>
  <r>
    <n v="20"/>
    <x v="0"/>
    <s v="计算机系"/>
    <x v="0"/>
    <s v="薛馨子"/>
    <x v="3"/>
    <n v="60"/>
    <n v="96"/>
    <n v="57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 chartFormat="1">
  <location ref="A3:C9" firstHeaderRow="1" firstDataRow="2" firstDataCol="1" rowPageCount="1" colPageCount="1"/>
  <pivotFields count="9">
    <pivotField showAll="0"/>
    <pivotField axis="axisPage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numFmtId="7" showAll="0"/>
    <pivotField showAll="0"/>
    <pivotField dataField="1" numFmtId="7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 t="grand">
      <x/>
    </i>
  </colItems>
  <pageFields count="1">
    <pageField fld="1" hier="-1"/>
  </pageFields>
  <dataFields count="1">
    <dataField name="求和项:课时费" fld="8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2:I22" totalsRowShown="0" headerRowDxfId="9">
  <autoFilter ref="A2:I22"/>
  <tableColumns count="9">
    <tableColumn id="1" name="序号" dataDxfId="8"/>
    <tableColumn id="2" name="年度" dataDxfId="7"/>
    <tableColumn id="3" name="系" dataDxfId="6"/>
    <tableColumn id="4" name="教研室" dataDxfId="5"/>
    <tableColumn id="5" name="姓名" dataDxfId="4"/>
    <tableColumn id="6" name="职称" dataDxfId="3">
      <calculatedColumnFormula>VLOOKUP(表2[[#This Row],[姓名]],教师基本信息!D$2:E$22,2,FALSE)</calculatedColumnFormula>
    </tableColumn>
    <tableColumn id="7" name="课时标准" dataDxfId="2">
      <calculatedColumnFormula>VLOOKUP(F3,课时费标准!A$3:B$6,2,1)</calculatedColumnFormula>
    </tableColumn>
    <tableColumn id="8" name="学时数" dataDxfId="1">
      <calculatedColumnFormula>VLOOKUP(E3,授课信息表!D$3:G$72,4,0)</calculatedColumnFormula>
    </tableColumn>
    <tableColumn id="9" name="课时费" dataDxfId="0">
      <calculatedColumnFormula>表2[[#This Row],[课时标准]]*表2[[#This Row],[学时数]]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9"/>
  <sheetViews>
    <sheetView tabSelected="1" workbookViewId="0">
      <selection activeCell="F9" sqref="F9"/>
    </sheetView>
  </sheetViews>
  <sheetFormatPr defaultRowHeight="14.4"/>
  <cols>
    <col min="1" max="1" width="15.88671875" bestFit="1" customWidth="1"/>
    <col min="2" max="2" width="14.6640625" bestFit="1" customWidth="1"/>
    <col min="3" max="3" width="8.21875" bestFit="1" customWidth="1"/>
    <col min="4" max="4" width="17.6640625" customWidth="1"/>
    <col min="5" max="5" width="19.77734375" bestFit="1" customWidth="1"/>
  </cols>
  <sheetData>
    <row r="1" spans="1:3">
      <c r="A1" s="24" t="s">
        <v>112</v>
      </c>
      <c r="B1" s="20" t="s">
        <v>113</v>
      </c>
    </row>
    <row r="3" spans="1:3">
      <c r="A3" s="24" t="s">
        <v>111</v>
      </c>
      <c r="B3" s="24" t="s">
        <v>110</v>
      </c>
    </row>
    <row r="4" spans="1:3">
      <c r="A4" s="24" t="s">
        <v>103</v>
      </c>
      <c r="B4" s="20" t="s">
        <v>109</v>
      </c>
      <c r="C4" s="20" t="s">
        <v>108</v>
      </c>
    </row>
    <row r="5" spans="1:3">
      <c r="A5" s="25" t="s">
        <v>104</v>
      </c>
      <c r="B5" s="23">
        <v>81600</v>
      </c>
      <c r="C5" s="23">
        <v>81600</v>
      </c>
    </row>
    <row r="6" spans="1:3">
      <c r="A6" s="25" t="s">
        <v>105</v>
      </c>
      <c r="B6" s="23">
        <v>140160</v>
      </c>
      <c r="C6" s="23">
        <v>140160</v>
      </c>
    </row>
    <row r="7" spans="1:3">
      <c r="A7" s="25" t="s">
        <v>106</v>
      </c>
      <c r="B7" s="23">
        <v>42240</v>
      </c>
      <c r="C7" s="23">
        <v>42240</v>
      </c>
    </row>
    <row r="8" spans="1:3">
      <c r="A8" s="25" t="s">
        <v>107</v>
      </c>
      <c r="B8" s="23">
        <v>11520</v>
      </c>
      <c r="C8" s="23">
        <v>11520</v>
      </c>
    </row>
    <row r="9" spans="1:3">
      <c r="A9" s="25" t="s">
        <v>108</v>
      </c>
      <c r="B9" s="23">
        <v>275520</v>
      </c>
      <c r="C9" s="23">
        <v>275520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opLeftCell="A10" workbookViewId="0">
      <selection activeCell="B6" sqref="B6"/>
    </sheetView>
  </sheetViews>
  <sheetFormatPr defaultRowHeight="14.4"/>
  <cols>
    <col min="1" max="3" width="9" style="30"/>
    <col min="4" max="4" width="13" style="30" bestFit="1" customWidth="1"/>
    <col min="5" max="6" width="9" style="30"/>
    <col min="7" max="7" width="13.77734375" style="31" bestFit="1" customWidth="1"/>
    <col min="8" max="9" width="11.77734375" style="31" bestFit="1" customWidth="1"/>
  </cols>
  <sheetData>
    <row r="1" spans="1:9" ht="25.8">
      <c r="A1" s="34" t="s">
        <v>98</v>
      </c>
      <c r="B1" s="34"/>
      <c r="C1" s="34"/>
      <c r="D1" s="34"/>
      <c r="E1" s="34"/>
      <c r="F1" s="34"/>
      <c r="G1" s="34"/>
      <c r="H1" s="34"/>
      <c r="I1" s="34"/>
    </row>
    <row r="2" spans="1:9">
      <c r="A2" s="26" t="s">
        <v>87</v>
      </c>
      <c r="B2" s="26" t="s">
        <v>91</v>
      </c>
      <c r="C2" s="26" t="s">
        <v>88</v>
      </c>
      <c r="D2" s="26" t="s">
        <v>89</v>
      </c>
      <c r="E2" s="26" t="s">
        <v>90</v>
      </c>
      <c r="F2" s="26" t="s">
        <v>94</v>
      </c>
      <c r="G2" s="32" t="s">
        <v>95</v>
      </c>
      <c r="H2" s="32" t="s">
        <v>96</v>
      </c>
      <c r="I2" s="33" t="s">
        <v>97</v>
      </c>
    </row>
    <row r="3" spans="1:9" s="12" customFormat="1">
      <c r="A3" s="26">
        <v>1</v>
      </c>
      <c r="B3" s="26">
        <v>2020</v>
      </c>
      <c r="C3" s="26" t="s">
        <v>92</v>
      </c>
      <c r="D3" s="26" t="s">
        <v>93</v>
      </c>
      <c r="E3" s="19" t="s">
        <v>34</v>
      </c>
      <c r="F3" s="19" t="str">
        <f>VLOOKUP(表2[[#This Row],[姓名]],教师基本信息!D$2:E$22,2,FALSE)</f>
        <v>教授</v>
      </c>
      <c r="G3" s="27">
        <f>VLOOKUP(F3,课时费标准!A$3:B$6,2,1)</f>
        <v>120</v>
      </c>
      <c r="H3" s="28">
        <f>VLOOKUP(E3,授课信息表!D$3:G$72,4,0)</f>
        <v>160</v>
      </c>
      <c r="I3" s="29">
        <f>表2[[#This Row],[课时标准]]*表2[[#This Row],[学时数]]</f>
        <v>19200</v>
      </c>
    </row>
    <row r="4" spans="1:9" s="12" customFormat="1">
      <c r="A4" s="26">
        <v>2</v>
      </c>
      <c r="B4" s="26">
        <v>2020</v>
      </c>
      <c r="C4" s="26" t="s">
        <v>92</v>
      </c>
      <c r="D4" s="26" t="s">
        <v>93</v>
      </c>
      <c r="E4" s="19" t="s">
        <v>45</v>
      </c>
      <c r="F4" s="19" t="str">
        <f>VLOOKUP(表2[[#This Row],[姓名]],教师基本信息!D$2:E$22,2,FALSE)</f>
        <v>教授</v>
      </c>
      <c r="G4" s="27">
        <f>VLOOKUP(F4,课时费标准!A$3:B$6,2,1)</f>
        <v>120</v>
      </c>
      <c r="H4" s="28">
        <f>VLOOKUP(E4,授课信息表!D$3:G$72,4,0)</f>
        <v>192</v>
      </c>
      <c r="I4" s="29">
        <f>表2[[#This Row],[课时标准]]*表2[[#This Row],[学时数]]</f>
        <v>23040</v>
      </c>
    </row>
    <row r="5" spans="1:9" s="12" customFormat="1">
      <c r="A5" s="26">
        <v>3</v>
      </c>
      <c r="B5" s="26">
        <v>2020</v>
      </c>
      <c r="C5" s="26" t="s">
        <v>92</v>
      </c>
      <c r="D5" s="26" t="s">
        <v>93</v>
      </c>
      <c r="E5" s="19" t="s">
        <v>29</v>
      </c>
      <c r="F5" s="19" t="str">
        <f>VLOOKUP(表2[[#This Row],[姓名]],教师基本信息!D$2:E$22,2,FALSE)</f>
        <v>副教授</v>
      </c>
      <c r="G5" s="27">
        <f>VLOOKUP(F5,课时费标准!A$3:B$6,2,1)</f>
        <v>100</v>
      </c>
      <c r="H5" s="28">
        <f>VLOOKUP(E5,授课信息表!D$3:G$72,4,0)</f>
        <v>208</v>
      </c>
      <c r="I5" s="29">
        <f>表2[[#This Row],[课时标准]]*表2[[#This Row],[学时数]]</f>
        <v>20800</v>
      </c>
    </row>
    <row r="6" spans="1:9" s="12" customFormat="1">
      <c r="A6" s="26">
        <v>4</v>
      </c>
      <c r="B6" s="26">
        <v>2020</v>
      </c>
      <c r="C6" s="26" t="s">
        <v>92</v>
      </c>
      <c r="D6" s="26" t="s">
        <v>93</v>
      </c>
      <c r="E6" s="19" t="s">
        <v>26</v>
      </c>
      <c r="F6" s="19" t="str">
        <f>VLOOKUP(表2[[#This Row],[姓名]],教师基本信息!D$2:E$22,2,FALSE)</f>
        <v>副教授</v>
      </c>
      <c r="G6" s="27">
        <f>VLOOKUP(F6,课时费标准!A$3:B$6,2,1)</f>
        <v>100</v>
      </c>
      <c r="H6" s="28">
        <f>VLOOKUP(E6,授课信息表!D$3:G$72,4,0)</f>
        <v>208</v>
      </c>
      <c r="I6" s="29">
        <f>表2[[#This Row],[课时标准]]*表2[[#This Row],[学时数]]</f>
        <v>20800</v>
      </c>
    </row>
    <row r="7" spans="1:9" s="12" customFormat="1">
      <c r="A7" s="26">
        <v>5</v>
      </c>
      <c r="B7" s="26">
        <v>2020</v>
      </c>
      <c r="C7" s="26" t="s">
        <v>92</v>
      </c>
      <c r="D7" s="26" t="s">
        <v>93</v>
      </c>
      <c r="E7" s="19" t="s">
        <v>33</v>
      </c>
      <c r="F7" s="19" t="str">
        <f>VLOOKUP(表2[[#This Row],[姓名]],教师基本信息!D$2:E$22,2,FALSE)</f>
        <v>副教授</v>
      </c>
      <c r="G7" s="27">
        <f>VLOOKUP(F7,课时费标准!A$3:B$6,2,1)</f>
        <v>100</v>
      </c>
      <c r="H7" s="28">
        <f>VLOOKUP(E7,授课信息表!D$3:G$72,4,0)</f>
        <v>152</v>
      </c>
      <c r="I7" s="29">
        <f>表2[[#This Row],[课时标准]]*表2[[#This Row],[学时数]]</f>
        <v>15200</v>
      </c>
    </row>
    <row r="8" spans="1:9" s="12" customFormat="1">
      <c r="A8" s="26">
        <v>6</v>
      </c>
      <c r="B8" s="26">
        <v>2020</v>
      </c>
      <c r="C8" s="26" t="s">
        <v>92</v>
      </c>
      <c r="D8" s="26" t="s">
        <v>93</v>
      </c>
      <c r="E8" s="19" t="s">
        <v>40</v>
      </c>
      <c r="F8" s="19" t="str">
        <f>VLOOKUP(表2[[#This Row],[姓名]],教师基本信息!D$2:E$22,2,FALSE)</f>
        <v>副教授</v>
      </c>
      <c r="G8" s="27">
        <f>VLOOKUP(F8,课时费标准!A$3:B$6,2,1)</f>
        <v>100</v>
      </c>
      <c r="H8" s="28">
        <f>VLOOKUP(E8,授课信息表!D$3:G$72,4,0)</f>
        <v>168</v>
      </c>
      <c r="I8" s="29">
        <f>表2[[#This Row],[课时标准]]*表2[[#This Row],[学时数]]</f>
        <v>16800</v>
      </c>
    </row>
    <row r="9" spans="1:9">
      <c r="A9" s="26">
        <v>7</v>
      </c>
      <c r="B9" s="26">
        <v>2020</v>
      </c>
      <c r="C9" s="26" t="s">
        <v>92</v>
      </c>
      <c r="D9" s="26" t="s">
        <v>93</v>
      </c>
      <c r="E9" s="19" t="s">
        <v>42</v>
      </c>
      <c r="F9" s="19" t="str">
        <f>VLOOKUP(表2[[#This Row],[姓名]],教师基本信息!D$2:E$22,2,FALSE)</f>
        <v>副教授</v>
      </c>
      <c r="G9" s="27">
        <f>VLOOKUP(F9,课时费标准!A$3:B$6,2,1)</f>
        <v>100</v>
      </c>
      <c r="H9" s="28">
        <f>VLOOKUP(E9,授课信息表!D$3:G$72,4,0)</f>
        <v>80</v>
      </c>
      <c r="I9" s="29">
        <f>表2[[#This Row],[课时标准]]*表2[[#This Row],[学时数]]</f>
        <v>8000</v>
      </c>
    </row>
    <row r="10" spans="1:9">
      <c r="A10" s="26">
        <v>8</v>
      </c>
      <c r="B10" s="26">
        <v>2020</v>
      </c>
      <c r="C10" s="26" t="s">
        <v>92</v>
      </c>
      <c r="D10" s="26" t="s">
        <v>93</v>
      </c>
      <c r="E10" s="19" t="s">
        <v>28</v>
      </c>
      <c r="F10" s="19" t="str">
        <f>VLOOKUP(表2[[#This Row],[姓名]],教师基本信息!D$2:E$22,2,FALSE)</f>
        <v>讲师</v>
      </c>
      <c r="G10" s="27">
        <f>VLOOKUP(F10,课时费标准!A$3:B$6,2,1)</f>
        <v>80</v>
      </c>
      <c r="H10" s="28">
        <f>VLOOKUP(E10,授课信息表!D$3:G$72,4,0)</f>
        <v>208</v>
      </c>
      <c r="I10" s="29">
        <f>表2[[#This Row],[课时标准]]*表2[[#This Row],[学时数]]</f>
        <v>16640</v>
      </c>
    </row>
    <row r="11" spans="1:9">
      <c r="A11" s="26">
        <v>9</v>
      </c>
      <c r="B11" s="26">
        <v>2020</v>
      </c>
      <c r="C11" s="26" t="s">
        <v>92</v>
      </c>
      <c r="D11" s="26" t="s">
        <v>93</v>
      </c>
      <c r="E11" s="19" t="s">
        <v>31</v>
      </c>
      <c r="F11" s="19" t="str">
        <f>VLOOKUP(表2[[#This Row],[姓名]],教师基本信息!D$2:E$22,2,FALSE)</f>
        <v>讲师</v>
      </c>
      <c r="G11" s="27">
        <f>VLOOKUP(F11,课时费标准!A$3:B$6,2,1)</f>
        <v>80</v>
      </c>
      <c r="H11" s="28">
        <f>VLOOKUP(E11,授课信息表!D$3:G$72,4,0)</f>
        <v>208</v>
      </c>
      <c r="I11" s="29">
        <f>表2[[#This Row],[课时标准]]*表2[[#This Row],[学时数]]</f>
        <v>16640</v>
      </c>
    </row>
    <row r="12" spans="1:9">
      <c r="A12" s="26">
        <v>10</v>
      </c>
      <c r="B12" s="26">
        <v>2020</v>
      </c>
      <c r="C12" s="26" t="s">
        <v>92</v>
      </c>
      <c r="D12" s="26" t="s">
        <v>93</v>
      </c>
      <c r="E12" s="19" t="s">
        <v>36</v>
      </c>
      <c r="F12" s="19" t="str">
        <f>VLOOKUP(表2[[#This Row],[姓名]],教师基本信息!D$2:E$22,2,FALSE)</f>
        <v>讲师</v>
      </c>
      <c r="G12" s="27">
        <f>VLOOKUP(F12,课时费标准!A$3:B$6,2,1)</f>
        <v>80</v>
      </c>
      <c r="H12" s="28">
        <f>VLOOKUP(E12,授课信息表!D$3:G$72,4,0)</f>
        <v>192</v>
      </c>
      <c r="I12" s="29">
        <f>表2[[#This Row],[课时标准]]*表2[[#This Row],[学时数]]</f>
        <v>15360</v>
      </c>
    </row>
    <row r="13" spans="1:9">
      <c r="A13" s="26">
        <v>11</v>
      </c>
      <c r="B13" s="26">
        <v>2020</v>
      </c>
      <c r="C13" s="26" t="s">
        <v>92</v>
      </c>
      <c r="D13" s="26" t="s">
        <v>93</v>
      </c>
      <c r="E13" s="19" t="s">
        <v>37</v>
      </c>
      <c r="F13" s="19" t="str">
        <f>VLOOKUP(表2[[#This Row],[姓名]],教师基本信息!D$2:E$22,2,FALSE)</f>
        <v>讲师</v>
      </c>
      <c r="G13" s="27">
        <f>VLOOKUP(F13,课时费标准!A$3:B$6,2,1)</f>
        <v>80</v>
      </c>
      <c r="H13" s="28">
        <f>VLOOKUP(E13,授课信息表!D$3:G$72,4,0)</f>
        <v>176</v>
      </c>
      <c r="I13" s="29">
        <f>表2[[#This Row],[课时标准]]*表2[[#This Row],[学时数]]</f>
        <v>14080</v>
      </c>
    </row>
    <row r="14" spans="1:9">
      <c r="A14" s="26">
        <v>12</v>
      </c>
      <c r="B14" s="26">
        <v>2020</v>
      </c>
      <c r="C14" s="26" t="s">
        <v>92</v>
      </c>
      <c r="D14" s="26" t="s">
        <v>93</v>
      </c>
      <c r="E14" s="19" t="s">
        <v>32</v>
      </c>
      <c r="F14" s="19" t="str">
        <f>VLOOKUP(表2[[#This Row],[姓名]],教师基本信息!D$2:E$22,2,FALSE)</f>
        <v>讲师</v>
      </c>
      <c r="G14" s="27">
        <f>VLOOKUP(F14,课时费标准!A$3:B$6,2,1)</f>
        <v>80</v>
      </c>
      <c r="H14" s="28">
        <f>VLOOKUP(E14,授课信息表!D$3:G$72,4,0)</f>
        <v>128</v>
      </c>
      <c r="I14" s="29">
        <f>表2[[#This Row],[课时标准]]*表2[[#This Row],[学时数]]</f>
        <v>10240</v>
      </c>
    </row>
    <row r="15" spans="1:9">
      <c r="A15" s="26">
        <v>13</v>
      </c>
      <c r="B15" s="26">
        <v>2020</v>
      </c>
      <c r="C15" s="26" t="s">
        <v>92</v>
      </c>
      <c r="D15" s="26" t="s">
        <v>93</v>
      </c>
      <c r="E15" s="19" t="s">
        <v>27</v>
      </c>
      <c r="F15" s="19" t="str">
        <f>VLOOKUP(表2[[#This Row],[姓名]],教师基本信息!D$2:E$22,2,FALSE)</f>
        <v>讲师</v>
      </c>
      <c r="G15" s="27">
        <f>VLOOKUP(F15,课时费标准!A$3:B$6,2,1)</f>
        <v>80</v>
      </c>
      <c r="H15" s="28">
        <f>VLOOKUP(E15,授课信息表!D$3:G$72,4,0)</f>
        <v>160</v>
      </c>
      <c r="I15" s="29">
        <f>表2[[#This Row],[课时标准]]*表2[[#This Row],[学时数]]</f>
        <v>12800</v>
      </c>
    </row>
    <row r="16" spans="1:9">
      <c r="A16" s="26">
        <v>14</v>
      </c>
      <c r="B16" s="26">
        <v>2020</v>
      </c>
      <c r="C16" s="26" t="s">
        <v>92</v>
      </c>
      <c r="D16" s="26" t="s">
        <v>93</v>
      </c>
      <c r="E16" s="19" t="s">
        <v>38</v>
      </c>
      <c r="F16" s="19" t="str">
        <f>VLOOKUP(表2[[#This Row],[姓名]],教师基本信息!D$2:E$22,2,FALSE)</f>
        <v>讲师</v>
      </c>
      <c r="G16" s="27">
        <f>VLOOKUP(F16,课时费标准!A$3:B$6,2,1)</f>
        <v>80</v>
      </c>
      <c r="H16" s="28">
        <f>VLOOKUP(E16,授课信息表!D$3:G$72,4,0)</f>
        <v>160</v>
      </c>
      <c r="I16" s="29">
        <f>表2[[#This Row],[课时标准]]*表2[[#This Row],[学时数]]</f>
        <v>12800</v>
      </c>
    </row>
    <row r="17" spans="1:9">
      <c r="A17" s="26">
        <v>15</v>
      </c>
      <c r="B17" s="26">
        <v>2020</v>
      </c>
      <c r="C17" s="26" t="s">
        <v>92</v>
      </c>
      <c r="D17" s="26" t="s">
        <v>93</v>
      </c>
      <c r="E17" s="19" t="s">
        <v>39</v>
      </c>
      <c r="F17" s="19" t="str">
        <f>VLOOKUP(表2[[#This Row],[姓名]],教师基本信息!D$2:E$22,2,FALSE)</f>
        <v>讲师</v>
      </c>
      <c r="G17" s="27">
        <f>VLOOKUP(F17,课时费标准!A$3:B$6,2,1)</f>
        <v>80</v>
      </c>
      <c r="H17" s="28">
        <f>VLOOKUP(E17,授课信息表!D$3:G$72,4,0)</f>
        <v>160</v>
      </c>
      <c r="I17" s="29">
        <f>表2[[#This Row],[课时标准]]*表2[[#This Row],[学时数]]</f>
        <v>12800</v>
      </c>
    </row>
    <row r="18" spans="1:9">
      <c r="A18" s="26">
        <v>16</v>
      </c>
      <c r="B18" s="26">
        <v>2020</v>
      </c>
      <c r="C18" s="26" t="s">
        <v>92</v>
      </c>
      <c r="D18" s="26" t="s">
        <v>93</v>
      </c>
      <c r="E18" s="19" t="s">
        <v>41</v>
      </c>
      <c r="F18" s="19" t="str">
        <f>VLOOKUP(表2[[#This Row],[姓名]],教师基本信息!D$2:E$22,2,FALSE)</f>
        <v>讲师</v>
      </c>
      <c r="G18" s="27">
        <f>VLOOKUP(F18,课时费标准!A$3:B$6,2,1)</f>
        <v>80</v>
      </c>
      <c r="H18" s="28">
        <f>VLOOKUP(E18,授课信息表!D$3:G$72,4,0)</f>
        <v>120</v>
      </c>
      <c r="I18" s="29">
        <f>表2[[#This Row],[课时标准]]*表2[[#This Row],[学时数]]</f>
        <v>9600</v>
      </c>
    </row>
    <row r="19" spans="1:9">
      <c r="A19" s="26">
        <v>17</v>
      </c>
      <c r="B19" s="26">
        <v>2020</v>
      </c>
      <c r="C19" s="26" t="s">
        <v>92</v>
      </c>
      <c r="D19" s="26" t="s">
        <v>93</v>
      </c>
      <c r="E19" s="19" t="s">
        <v>43</v>
      </c>
      <c r="F19" s="19" t="str">
        <f>VLOOKUP(表2[[#This Row],[姓名]],教师基本信息!D$2:E$22,2,FALSE)</f>
        <v>讲师</v>
      </c>
      <c r="G19" s="27">
        <f>VLOOKUP(F19,课时费标准!A$3:B$6,2,1)</f>
        <v>80</v>
      </c>
      <c r="H19" s="28">
        <f>VLOOKUP(E19,授课信息表!D$3:G$72,4,0)</f>
        <v>120</v>
      </c>
      <c r="I19" s="29">
        <f>表2[[#This Row],[课时标准]]*表2[[#This Row],[学时数]]</f>
        <v>9600</v>
      </c>
    </row>
    <row r="20" spans="1:9">
      <c r="A20" s="26">
        <v>18</v>
      </c>
      <c r="B20" s="26">
        <v>2020</v>
      </c>
      <c r="C20" s="26" t="s">
        <v>92</v>
      </c>
      <c r="D20" s="26" t="s">
        <v>93</v>
      </c>
      <c r="E20" s="19" t="s">
        <v>46</v>
      </c>
      <c r="F20" s="19" t="str">
        <f>VLOOKUP(表2[[#This Row],[姓名]],教师基本信息!D$2:E$22,2,FALSE)</f>
        <v>讲师</v>
      </c>
      <c r="G20" s="27">
        <f>VLOOKUP(F20,课时费标准!A$3:B$6,2,1)</f>
        <v>80</v>
      </c>
      <c r="H20" s="28">
        <f>VLOOKUP(E20,授课信息表!D$3:G$72,4,0)</f>
        <v>120</v>
      </c>
      <c r="I20" s="29">
        <f>表2[[#This Row],[课时标准]]*表2[[#This Row],[学时数]]</f>
        <v>9600</v>
      </c>
    </row>
    <row r="21" spans="1:9">
      <c r="A21" s="26">
        <v>19</v>
      </c>
      <c r="B21" s="26">
        <v>2020</v>
      </c>
      <c r="C21" s="26" t="s">
        <v>92</v>
      </c>
      <c r="D21" s="26" t="s">
        <v>93</v>
      </c>
      <c r="E21" s="19" t="s">
        <v>30</v>
      </c>
      <c r="F21" s="19" t="str">
        <f>VLOOKUP(表2[[#This Row],[姓名]],教师基本信息!D$2:E$22,2,FALSE)</f>
        <v>助教</v>
      </c>
      <c r="G21" s="27">
        <f>VLOOKUP(F21,课时费标准!A$3:B$6,2,1)</f>
        <v>60</v>
      </c>
      <c r="H21" s="28">
        <f>VLOOKUP(E21,授课信息表!D$3:G$72,4,0)</f>
        <v>96</v>
      </c>
      <c r="I21" s="29">
        <f>表2[[#This Row],[课时标准]]*表2[[#This Row],[学时数]]</f>
        <v>5760</v>
      </c>
    </row>
    <row r="22" spans="1:9">
      <c r="A22" s="26">
        <v>20</v>
      </c>
      <c r="B22" s="26">
        <v>2020</v>
      </c>
      <c r="C22" s="26" t="s">
        <v>92</v>
      </c>
      <c r="D22" s="26" t="s">
        <v>93</v>
      </c>
      <c r="E22" s="19" t="s">
        <v>44</v>
      </c>
      <c r="F22" s="19" t="str">
        <f>VLOOKUP(表2[[#This Row],[姓名]],教师基本信息!D$2:E$22,2,FALSE)</f>
        <v>助教</v>
      </c>
      <c r="G22" s="27">
        <f>VLOOKUP(F22,课时费标准!A$3:B$6,2,1)</f>
        <v>60</v>
      </c>
      <c r="H22" s="28">
        <f>VLOOKUP(E22,授课信息表!D$3:G$72,4,0)</f>
        <v>96</v>
      </c>
      <c r="I22" s="29">
        <f>表2[[#This Row],[课时标准]]*表2[[#This Row],[学时数]]</f>
        <v>5760</v>
      </c>
    </row>
  </sheetData>
  <mergeCells count="1">
    <mergeCell ref="A1:I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72"/>
  <sheetViews>
    <sheetView workbookViewId="0">
      <selection activeCell="G3" sqref="G3:G72"/>
    </sheetView>
  </sheetViews>
  <sheetFormatPr defaultRowHeight="14.4"/>
  <cols>
    <col min="1" max="1" width="6.77734375" bestFit="1" customWidth="1"/>
    <col min="2" max="3" width="5" bestFit="1" customWidth="1"/>
    <col min="4" max="4" width="6.77734375" bestFit="1" customWidth="1"/>
    <col min="5" max="5" width="22.109375" customWidth="1"/>
    <col min="6" max="6" width="15.77734375" customWidth="1"/>
  </cols>
  <sheetData>
    <row r="1" spans="1:7" ht="16.8">
      <c r="A1" s="35" t="s">
        <v>99</v>
      </c>
      <c r="B1" s="35"/>
      <c r="C1" s="35"/>
      <c r="D1" s="35"/>
      <c r="E1" s="35"/>
    </row>
    <row r="2" spans="1:7">
      <c r="A2" s="11" t="s">
        <v>77</v>
      </c>
      <c r="B2" s="11" t="s">
        <v>76</v>
      </c>
      <c r="C2" s="11" t="s">
        <v>61</v>
      </c>
      <c r="D2" s="11" t="s">
        <v>75</v>
      </c>
      <c r="E2" s="11" t="s">
        <v>62</v>
      </c>
      <c r="F2" s="21" t="s">
        <v>101</v>
      </c>
      <c r="G2" s="22" t="s">
        <v>102</v>
      </c>
    </row>
    <row r="3" spans="1:7">
      <c r="A3" s="18">
        <v>1</v>
      </c>
      <c r="B3" s="18">
        <v>2020</v>
      </c>
      <c r="C3" s="18" t="s">
        <v>63</v>
      </c>
      <c r="D3" s="18" t="s">
        <v>28</v>
      </c>
      <c r="E3" s="4" t="s">
        <v>8</v>
      </c>
      <c r="F3" s="20">
        <f>VLOOKUP(E3,课程基本信息!B$3:C$16,2,1)</f>
        <v>40</v>
      </c>
      <c r="G3" s="20">
        <f>SUMIF(D$3:D$72,D3,F$3:F$72)</f>
        <v>208</v>
      </c>
    </row>
    <row r="4" spans="1:7">
      <c r="A4" s="18">
        <v>2</v>
      </c>
      <c r="B4" s="18">
        <v>2020</v>
      </c>
      <c r="C4" s="18" t="s">
        <v>63</v>
      </c>
      <c r="D4" s="18" t="s">
        <v>28</v>
      </c>
      <c r="E4" s="4" t="s">
        <v>8</v>
      </c>
      <c r="F4" s="20">
        <f>VLOOKUP(E4,课程基本信息!B$3:C$16,2,1)</f>
        <v>40</v>
      </c>
      <c r="G4" s="20">
        <f t="shared" ref="G4:G67" si="0">SUMIF(D$3:D$72,D4,F$3:F$72)</f>
        <v>208</v>
      </c>
    </row>
    <row r="5" spans="1:7">
      <c r="A5" s="18">
        <v>3</v>
      </c>
      <c r="B5" s="18">
        <v>2020</v>
      </c>
      <c r="C5" s="18" t="s">
        <v>63</v>
      </c>
      <c r="D5" s="18" t="s">
        <v>31</v>
      </c>
      <c r="E5" s="4" t="s">
        <v>8</v>
      </c>
      <c r="F5" s="20">
        <f>VLOOKUP(E5,课程基本信息!B$3:C$16,2,1)</f>
        <v>40</v>
      </c>
      <c r="G5" s="20">
        <f t="shared" si="0"/>
        <v>208</v>
      </c>
    </row>
    <row r="6" spans="1:7">
      <c r="A6" s="18">
        <v>4</v>
      </c>
      <c r="B6" s="18">
        <v>2020</v>
      </c>
      <c r="C6" s="18" t="s">
        <v>63</v>
      </c>
      <c r="D6" s="18" t="s">
        <v>31</v>
      </c>
      <c r="E6" s="4" t="s">
        <v>8</v>
      </c>
      <c r="F6" s="20">
        <f>VLOOKUP(E6,课程基本信息!B$3:C$16,2,1)</f>
        <v>40</v>
      </c>
      <c r="G6" s="20">
        <f t="shared" si="0"/>
        <v>208</v>
      </c>
    </row>
    <row r="7" spans="1:7">
      <c r="A7" s="18">
        <v>5</v>
      </c>
      <c r="B7" s="18">
        <v>2020</v>
      </c>
      <c r="C7" s="18" t="s">
        <v>63</v>
      </c>
      <c r="D7" s="18" t="s">
        <v>36</v>
      </c>
      <c r="E7" s="4" t="s">
        <v>8</v>
      </c>
      <c r="F7" s="20">
        <f>VLOOKUP(E7,课程基本信息!B$3:C$16,2,1)</f>
        <v>40</v>
      </c>
      <c r="G7" s="20">
        <f t="shared" si="0"/>
        <v>192</v>
      </c>
    </row>
    <row r="8" spans="1:7">
      <c r="A8" s="18">
        <v>6</v>
      </c>
      <c r="B8" s="18">
        <v>2020</v>
      </c>
      <c r="C8" s="18" t="s">
        <v>63</v>
      </c>
      <c r="D8" s="18" t="s">
        <v>36</v>
      </c>
      <c r="E8" s="4" t="s">
        <v>8</v>
      </c>
      <c r="F8" s="20">
        <f>VLOOKUP(E8,课程基本信息!B$3:C$16,2,1)</f>
        <v>40</v>
      </c>
      <c r="G8" s="20">
        <f t="shared" si="0"/>
        <v>192</v>
      </c>
    </row>
    <row r="9" spans="1:7">
      <c r="A9" s="18">
        <v>7</v>
      </c>
      <c r="B9" s="18">
        <v>2020</v>
      </c>
      <c r="C9" s="18" t="s">
        <v>63</v>
      </c>
      <c r="D9" s="18" t="s">
        <v>86</v>
      </c>
      <c r="E9" s="4" t="s">
        <v>8</v>
      </c>
      <c r="F9" s="20">
        <f>VLOOKUP(E9,课程基本信息!B$3:C$16,2,1)</f>
        <v>40</v>
      </c>
      <c r="G9" s="20">
        <f t="shared" si="0"/>
        <v>152</v>
      </c>
    </row>
    <row r="10" spans="1:7">
      <c r="A10" s="18">
        <v>8</v>
      </c>
      <c r="B10" s="18">
        <v>2020</v>
      </c>
      <c r="C10" s="18" t="s">
        <v>63</v>
      </c>
      <c r="D10" s="18" t="s">
        <v>86</v>
      </c>
      <c r="E10" s="2" t="s">
        <v>80</v>
      </c>
      <c r="F10" s="20">
        <f>VLOOKUP(E10,课程基本信息!B$3:C$16,2,1)</f>
        <v>40</v>
      </c>
      <c r="G10" s="20">
        <f t="shared" si="0"/>
        <v>152</v>
      </c>
    </row>
    <row r="11" spans="1:7">
      <c r="A11" s="18">
        <v>9</v>
      </c>
      <c r="B11" s="18">
        <v>2020</v>
      </c>
      <c r="C11" s="18" t="s">
        <v>63</v>
      </c>
      <c r="D11" s="18" t="s">
        <v>45</v>
      </c>
      <c r="E11" s="2" t="s">
        <v>74</v>
      </c>
      <c r="F11" s="20">
        <f>VLOOKUP(E11,课程基本信息!B$3:C$16,2,1)</f>
        <v>48</v>
      </c>
      <c r="G11" s="20">
        <f t="shared" si="0"/>
        <v>192</v>
      </c>
    </row>
    <row r="12" spans="1:7">
      <c r="A12" s="18">
        <v>10</v>
      </c>
      <c r="B12" s="18">
        <v>2020</v>
      </c>
      <c r="C12" s="18" t="s">
        <v>63</v>
      </c>
      <c r="D12" s="18" t="s">
        <v>45</v>
      </c>
      <c r="E12" s="2" t="s">
        <v>74</v>
      </c>
      <c r="F12" s="20">
        <f>VLOOKUP(E12,课程基本信息!B$3:C$16,2,1)</f>
        <v>48</v>
      </c>
      <c r="G12" s="20">
        <f t="shared" si="0"/>
        <v>192</v>
      </c>
    </row>
    <row r="13" spans="1:7">
      <c r="A13" s="18">
        <v>11</v>
      </c>
      <c r="B13" s="18">
        <v>2020</v>
      </c>
      <c r="C13" s="18" t="s">
        <v>63</v>
      </c>
      <c r="D13" s="18" t="s">
        <v>29</v>
      </c>
      <c r="E13" s="3" t="s">
        <v>81</v>
      </c>
      <c r="F13" s="20">
        <f>VLOOKUP(E13,课程基本信息!B$3:C$16,2,1)</f>
        <v>56</v>
      </c>
      <c r="G13" s="20">
        <f t="shared" si="0"/>
        <v>208</v>
      </c>
    </row>
    <row r="14" spans="1:7">
      <c r="A14" s="18">
        <v>12</v>
      </c>
      <c r="B14" s="18">
        <v>2020</v>
      </c>
      <c r="C14" s="18" t="s">
        <v>63</v>
      </c>
      <c r="D14" s="18" t="s">
        <v>29</v>
      </c>
      <c r="E14" s="3" t="s">
        <v>81</v>
      </c>
      <c r="F14" s="20">
        <f>VLOOKUP(E14,课程基本信息!B$3:C$16,2,1)</f>
        <v>56</v>
      </c>
      <c r="G14" s="20">
        <f t="shared" si="0"/>
        <v>208</v>
      </c>
    </row>
    <row r="15" spans="1:7">
      <c r="A15" s="18">
        <v>13</v>
      </c>
      <c r="B15" s="18">
        <v>2020</v>
      </c>
      <c r="C15" s="18" t="s">
        <v>63</v>
      </c>
      <c r="D15" s="18" t="s">
        <v>26</v>
      </c>
      <c r="E15" s="3" t="s">
        <v>4</v>
      </c>
      <c r="F15" s="20">
        <f>VLOOKUP(E15,课程基本信息!B$3:C$16,2,1)</f>
        <v>56</v>
      </c>
      <c r="G15" s="20">
        <f t="shared" si="0"/>
        <v>208</v>
      </c>
    </row>
    <row r="16" spans="1:7">
      <c r="A16" s="18">
        <v>14</v>
      </c>
      <c r="B16" s="18">
        <v>2020</v>
      </c>
      <c r="C16" s="18" t="s">
        <v>63</v>
      </c>
      <c r="D16" s="18" t="s">
        <v>26</v>
      </c>
      <c r="E16" s="3" t="s">
        <v>82</v>
      </c>
      <c r="F16" s="20">
        <f>VLOOKUP(E16,课程基本信息!B$3:C$16,2,1)</f>
        <v>56</v>
      </c>
      <c r="G16" s="20">
        <f t="shared" si="0"/>
        <v>208</v>
      </c>
    </row>
    <row r="17" spans="1:7">
      <c r="A17" s="18">
        <v>15</v>
      </c>
      <c r="B17" s="18">
        <v>2020</v>
      </c>
      <c r="C17" s="18" t="s">
        <v>63</v>
      </c>
      <c r="D17" s="18" t="s">
        <v>30</v>
      </c>
      <c r="E17" s="3" t="s">
        <v>64</v>
      </c>
      <c r="F17" s="20">
        <f>VLOOKUP(E17,课程基本信息!B$3:C$16,2,1)</f>
        <v>48</v>
      </c>
      <c r="G17" s="20">
        <f t="shared" si="0"/>
        <v>96</v>
      </c>
    </row>
    <row r="18" spans="1:7">
      <c r="A18" s="18">
        <v>16</v>
      </c>
      <c r="B18" s="18">
        <v>2020</v>
      </c>
      <c r="C18" s="18" t="s">
        <v>63</v>
      </c>
      <c r="D18" s="18" t="s">
        <v>37</v>
      </c>
      <c r="E18" s="3" t="s">
        <v>64</v>
      </c>
      <c r="F18" s="20">
        <f>VLOOKUP(E18,课程基本信息!B$3:C$16,2,1)</f>
        <v>48</v>
      </c>
      <c r="G18" s="20">
        <f t="shared" si="0"/>
        <v>176</v>
      </c>
    </row>
    <row r="19" spans="1:7">
      <c r="A19" s="18">
        <v>17</v>
      </c>
      <c r="B19" s="18">
        <v>2020</v>
      </c>
      <c r="C19" s="18" t="s">
        <v>63</v>
      </c>
      <c r="D19" s="18" t="s">
        <v>37</v>
      </c>
      <c r="E19" s="3" t="s">
        <v>64</v>
      </c>
      <c r="F19" s="20">
        <f>VLOOKUP(E19,课程基本信息!B$3:C$16,2,1)</f>
        <v>48</v>
      </c>
      <c r="G19" s="20">
        <f t="shared" si="0"/>
        <v>176</v>
      </c>
    </row>
    <row r="20" spans="1:7">
      <c r="A20" s="18">
        <v>18</v>
      </c>
      <c r="B20" s="18">
        <v>2020</v>
      </c>
      <c r="C20" s="18" t="s">
        <v>63</v>
      </c>
      <c r="D20" s="18" t="s">
        <v>32</v>
      </c>
      <c r="E20" s="3" t="s">
        <v>64</v>
      </c>
      <c r="F20" s="20">
        <f>VLOOKUP(E20,课程基本信息!B$3:C$16,2,1)</f>
        <v>48</v>
      </c>
      <c r="G20" s="20">
        <f t="shared" si="0"/>
        <v>128</v>
      </c>
    </row>
    <row r="21" spans="1:7">
      <c r="A21" s="18">
        <v>19</v>
      </c>
      <c r="B21" s="18">
        <v>2020</v>
      </c>
      <c r="C21" s="18" t="s">
        <v>63</v>
      </c>
      <c r="D21" s="18" t="s">
        <v>27</v>
      </c>
      <c r="E21" s="3" t="s">
        <v>64</v>
      </c>
      <c r="F21" s="20">
        <f>VLOOKUP(E21,课程基本信息!B$3:C$16,2,1)</f>
        <v>48</v>
      </c>
      <c r="G21" s="20">
        <f t="shared" si="0"/>
        <v>160</v>
      </c>
    </row>
    <row r="22" spans="1:7">
      <c r="A22" s="18">
        <v>20</v>
      </c>
      <c r="B22" s="18">
        <v>2020</v>
      </c>
      <c r="C22" s="18" t="s">
        <v>63</v>
      </c>
      <c r="D22" s="18" t="s">
        <v>38</v>
      </c>
      <c r="E22" s="2" t="s">
        <v>64</v>
      </c>
      <c r="F22" s="20">
        <f>VLOOKUP(E22,课程基本信息!B$3:C$16,2,1)</f>
        <v>48</v>
      </c>
      <c r="G22" s="20">
        <f t="shared" si="0"/>
        <v>160</v>
      </c>
    </row>
    <row r="23" spans="1:7">
      <c r="A23" s="18">
        <v>21</v>
      </c>
      <c r="B23" s="18">
        <v>2020</v>
      </c>
      <c r="C23" s="18" t="s">
        <v>63</v>
      </c>
      <c r="D23" s="18" t="s">
        <v>39</v>
      </c>
      <c r="E23" s="3" t="s">
        <v>64</v>
      </c>
      <c r="F23" s="20">
        <f>VLOOKUP(E23,课程基本信息!B$3:C$16,2,1)</f>
        <v>48</v>
      </c>
      <c r="G23" s="20">
        <f t="shared" si="0"/>
        <v>160</v>
      </c>
    </row>
    <row r="24" spans="1:7">
      <c r="A24" s="18">
        <v>22</v>
      </c>
      <c r="B24" s="18">
        <v>2020</v>
      </c>
      <c r="C24" s="18" t="s">
        <v>63</v>
      </c>
      <c r="D24" s="18" t="s">
        <v>40</v>
      </c>
      <c r="E24" s="4" t="s">
        <v>78</v>
      </c>
      <c r="F24" s="20">
        <f>VLOOKUP(E24,课程基本信息!B$3:C$16,2,1)</f>
        <v>48</v>
      </c>
      <c r="G24" s="20">
        <f t="shared" si="0"/>
        <v>168</v>
      </c>
    </row>
    <row r="25" spans="1:7">
      <c r="A25" s="18">
        <v>23</v>
      </c>
      <c r="B25" s="18">
        <v>2020</v>
      </c>
      <c r="C25" s="18" t="s">
        <v>63</v>
      </c>
      <c r="D25" s="18" t="s">
        <v>40</v>
      </c>
      <c r="E25" s="3" t="s">
        <v>64</v>
      </c>
      <c r="F25" s="20">
        <f>VLOOKUP(E25,课程基本信息!B$3:C$16,2,1)</f>
        <v>48</v>
      </c>
      <c r="G25" s="20">
        <f t="shared" si="0"/>
        <v>168</v>
      </c>
    </row>
    <row r="26" spans="1:7">
      <c r="A26" s="18">
        <v>24</v>
      </c>
      <c r="B26" s="18">
        <v>2020</v>
      </c>
      <c r="C26" s="18" t="s">
        <v>63</v>
      </c>
      <c r="D26" s="18" t="s">
        <v>41</v>
      </c>
      <c r="E26" s="2" t="s">
        <v>64</v>
      </c>
      <c r="F26" s="20">
        <f>VLOOKUP(E26,课程基本信息!B$3:C$16,2,1)</f>
        <v>48</v>
      </c>
      <c r="G26" s="20">
        <f t="shared" si="0"/>
        <v>120</v>
      </c>
    </row>
    <row r="27" spans="1:7">
      <c r="A27" s="18">
        <v>25</v>
      </c>
      <c r="B27" s="18">
        <v>2020</v>
      </c>
      <c r="C27" s="18" t="s">
        <v>63</v>
      </c>
      <c r="D27" s="18" t="s">
        <v>43</v>
      </c>
      <c r="E27" s="2" t="s">
        <v>64</v>
      </c>
      <c r="F27" s="20">
        <f>VLOOKUP(E27,课程基本信息!B$3:C$16,2,1)</f>
        <v>48</v>
      </c>
      <c r="G27" s="20">
        <f t="shared" si="0"/>
        <v>120</v>
      </c>
    </row>
    <row r="28" spans="1:7">
      <c r="A28" s="18">
        <v>26</v>
      </c>
      <c r="B28" s="18">
        <v>2020</v>
      </c>
      <c r="C28" s="18" t="s">
        <v>63</v>
      </c>
      <c r="D28" s="18" t="s">
        <v>44</v>
      </c>
      <c r="E28" s="3" t="s">
        <v>64</v>
      </c>
      <c r="F28" s="20">
        <f>VLOOKUP(E28,课程基本信息!B$3:C$16,2,1)</f>
        <v>48</v>
      </c>
      <c r="G28" s="20">
        <f t="shared" si="0"/>
        <v>96</v>
      </c>
    </row>
    <row r="29" spans="1:7">
      <c r="A29" s="18">
        <v>27</v>
      </c>
      <c r="B29" s="18">
        <v>2020</v>
      </c>
      <c r="C29" s="18" t="s">
        <v>63</v>
      </c>
      <c r="D29" s="18" t="s">
        <v>46</v>
      </c>
      <c r="E29" s="2" t="s">
        <v>64</v>
      </c>
      <c r="F29" s="20">
        <f>VLOOKUP(E29,课程基本信息!B$3:C$16,2,1)</f>
        <v>48</v>
      </c>
      <c r="G29" s="20">
        <f t="shared" si="0"/>
        <v>120</v>
      </c>
    </row>
    <row r="30" spans="1:7">
      <c r="A30" s="18">
        <v>28</v>
      </c>
      <c r="B30" s="18">
        <v>2020</v>
      </c>
      <c r="C30" s="18" t="s">
        <v>63</v>
      </c>
      <c r="D30" s="18" t="s">
        <v>34</v>
      </c>
      <c r="E30" s="3" t="s">
        <v>83</v>
      </c>
      <c r="F30" s="20">
        <f>VLOOKUP(E30,课程基本信息!B$3:C$16,2,1)</f>
        <v>40</v>
      </c>
      <c r="G30" s="20">
        <f t="shared" si="0"/>
        <v>160</v>
      </c>
    </row>
    <row r="31" spans="1:7">
      <c r="A31" s="18">
        <v>29</v>
      </c>
      <c r="B31" s="18">
        <v>2020</v>
      </c>
      <c r="C31" s="18" t="s">
        <v>63</v>
      </c>
      <c r="D31" s="18" t="s">
        <v>34</v>
      </c>
      <c r="E31" s="3" t="s">
        <v>83</v>
      </c>
      <c r="F31" s="20">
        <f>VLOOKUP(E31,课程基本信息!B$3:C$16,2,1)</f>
        <v>40</v>
      </c>
      <c r="G31" s="20">
        <f t="shared" si="0"/>
        <v>160</v>
      </c>
    </row>
    <row r="32" spans="1:7">
      <c r="A32" s="18">
        <v>30</v>
      </c>
      <c r="B32" s="18">
        <v>2020</v>
      </c>
      <c r="C32" s="18" t="s">
        <v>85</v>
      </c>
      <c r="D32" s="18" t="s">
        <v>42</v>
      </c>
      <c r="E32" s="2" t="s">
        <v>66</v>
      </c>
      <c r="F32" s="20">
        <f>VLOOKUP(E32,课程基本信息!B$3:C$16,2,1)</f>
        <v>40</v>
      </c>
      <c r="G32" s="20">
        <f t="shared" si="0"/>
        <v>80</v>
      </c>
    </row>
    <row r="33" spans="1:7">
      <c r="A33" s="18">
        <v>31</v>
      </c>
      <c r="B33" s="18">
        <v>2020</v>
      </c>
      <c r="C33" s="18" t="s">
        <v>85</v>
      </c>
      <c r="D33" s="18" t="s">
        <v>42</v>
      </c>
      <c r="E33" s="2" t="s">
        <v>66</v>
      </c>
      <c r="F33" s="20">
        <f>VLOOKUP(E33,课程基本信息!B$3:C$16,2,1)</f>
        <v>40</v>
      </c>
      <c r="G33" s="20">
        <f t="shared" si="0"/>
        <v>80</v>
      </c>
    </row>
    <row r="34" spans="1:7">
      <c r="A34" s="18">
        <v>32</v>
      </c>
      <c r="B34" s="18">
        <v>2020</v>
      </c>
      <c r="C34" s="18" t="s">
        <v>65</v>
      </c>
      <c r="D34" s="18" t="s">
        <v>37</v>
      </c>
      <c r="E34" s="2" t="s">
        <v>71</v>
      </c>
      <c r="F34" s="20">
        <f>VLOOKUP(E34,课程基本信息!B$3:C$16,2,1)</f>
        <v>80</v>
      </c>
      <c r="G34" s="20">
        <f t="shared" si="0"/>
        <v>176</v>
      </c>
    </row>
    <row r="35" spans="1:7">
      <c r="A35" s="18">
        <v>33</v>
      </c>
      <c r="B35" s="18">
        <v>2020</v>
      </c>
      <c r="C35" s="18" t="s">
        <v>65</v>
      </c>
      <c r="D35" s="18" t="s">
        <v>32</v>
      </c>
      <c r="E35" s="3" t="s">
        <v>100</v>
      </c>
      <c r="F35" s="20">
        <f>VLOOKUP(E35,课程基本信息!B$3:C$16,2,1)</f>
        <v>80</v>
      </c>
      <c r="G35" s="20">
        <f t="shared" si="0"/>
        <v>128</v>
      </c>
    </row>
    <row r="36" spans="1:7">
      <c r="A36" s="18">
        <v>34</v>
      </c>
      <c r="B36" s="18">
        <v>2020</v>
      </c>
      <c r="C36" s="18" t="s">
        <v>65</v>
      </c>
      <c r="D36" s="18" t="s">
        <v>33</v>
      </c>
      <c r="E36" s="3" t="s">
        <v>79</v>
      </c>
      <c r="F36" s="20">
        <f>VLOOKUP(E36,课程基本信息!B$3:C$16,2,1)</f>
        <v>36</v>
      </c>
      <c r="G36" s="20">
        <f t="shared" si="0"/>
        <v>152</v>
      </c>
    </row>
    <row r="37" spans="1:7">
      <c r="A37" s="18">
        <v>35</v>
      </c>
      <c r="B37" s="18">
        <v>2020</v>
      </c>
      <c r="C37" s="18" t="s">
        <v>65</v>
      </c>
      <c r="D37" s="18" t="s">
        <v>33</v>
      </c>
      <c r="E37" s="3" t="s">
        <v>70</v>
      </c>
      <c r="F37" s="20">
        <f>VLOOKUP(E37,课程基本信息!B$3:C$16,2,1)</f>
        <v>36</v>
      </c>
      <c r="G37" s="20">
        <f t="shared" si="0"/>
        <v>152</v>
      </c>
    </row>
    <row r="38" spans="1:7">
      <c r="A38" s="18">
        <v>36</v>
      </c>
      <c r="B38" s="18">
        <v>2020</v>
      </c>
      <c r="C38" s="18" t="s">
        <v>65</v>
      </c>
      <c r="D38" s="18" t="s">
        <v>40</v>
      </c>
      <c r="E38" s="2" t="s">
        <v>70</v>
      </c>
      <c r="F38" s="20">
        <f>VLOOKUP(E38,课程基本信息!B$3:C$16,2,1)</f>
        <v>36</v>
      </c>
      <c r="G38" s="20">
        <f t="shared" si="0"/>
        <v>168</v>
      </c>
    </row>
    <row r="39" spans="1:7">
      <c r="A39" s="18">
        <v>37</v>
      </c>
      <c r="B39" s="18">
        <v>2020</v>
      </c>
      <c r="C39" s="18" t="s">
        <v>65</v>
      </c>
      <c r="D39" s="18" t="s">
        <v>40</v>
      </c>
      <c r="E39" s="2" t="s">
        <v>70</v>
      </c>
      <c r="F39" s="20">
        <f>VLOOKUP(E39,课程基本信息!B$3:C$16,2,1)</f>
        <v>36</v>
      </c>
      <c r="G39" s="20">
        <f t="shared" si="0"/>
        <v>168</v>
      </c>
    </row>
    <row r="40" spans="1:7">
      <c r="A40" s="18">
        <v>38</v>
      </c>
      <c r="B40" s="18">
        <v>2020</v>
      </c>
      <c r="C40" s="18" t="s">
        <v>65</v>
      </c>
      <c r="D40" s="18" t="s">
        <v>30</v>
      </c>
      <c r="E40" s="3" t="s">
        <v>72</v>
      </c>
      <c r="F40" s="20">
        <f>VLOOKUP(E40,课程基本信息!B$3:C$16,2,1)</f>
        <v>24</v>
      </c>
      <c r="G40" s="20">
        <f t="shared" si="0"/>
        <v>96</v>
      </c>
    </row>
    <row r="41" spans="1:7">
      <c r="A41" s="18">
        <v>39</v>
      </c>
      <c r="B41" s="18">
        <v>2020</v>
      </c>
      <c r="C41" s="18" t="s">
        <v>65</v>
      </c>
      <c r="D41" s="18" t="s">
        <v>30</v>
      </c>
      <c r="E41" s="3" t="s">
        <v>72</v>
      </c>
      <c r="F41" s="20">
        <f>VLOOKUP(E41,课程基本信息!B$3:C$16,2,1)</f>
        <v>24</v>
      </c>
      <c r="G41" s="20">
        <f t="shared" si="0"/>
        <v>96</v>
      </c>
    </row>
    <row r="42" spans="1:7">
      <c r="A42" s="18">
        <v>40</v>
      </c>
      <c r="B42" s="18">
        <v>2020</v>
      </c>
      <c r="C42" s="18" t="s">
        <v>65</v>
      </c>
      <c r="D42" s="18" t="s">
        <v>41</v>
      </c>
      <c r="E42" s="3" t="s">
        <v>72</v>
      </c>
      <c r="F42" s="20">
        <f>VLOOKUP(E42,课程基本信息!B$3:C$16,2,1)</f>
        <v>24</v>
      </c>
      <c r="G42" s="20">
        <f t="shared" si="0"/>
        <v>120</v>
      </c>
    </row>
    <row r="43" spans="1:7">
      <c r="A43" s="18">
        <v>41</v>
      </c>
      <c r="B43" s="18">
        <v>2020</v>
      </c>
      <c r="C43" s="18" t="s">
        <v>65</v>
      </c>
      <c r="D43" s="18" t="s">
        <v>41</v>
      </c>
      <c r="E43" s="2" t="s">
        <v>72</v>
      </c>
      <c r="F43" s="20">
        <f>VLOOKUP(E43,课程基本信息!B$3:C$16,2,1)</f>
        <v>24</v>
      </c>
      <c r="G43" s="20">
        <f t="shared" si="0"/>
        <v>120</v>
      </c>
    </row>
    <row r="44" spans="1:7">
      <c r="A44" s="18">
        <v>42</v>
      </c>
      <c r="B44" s="18">
        <v>2020</v>
      </c>
      <c r="C44" s="18" t="s">
        <v>65</v>
      </c>
      <c r="D44" s="18" t="s">
        <v>41</v>
      </c>
      <c r="E44" s="2" t="s">
        <v>72</v>
      </c>
      <c r="F44" s="20">
        <f>VLOOKUP(E44,课程基本信息!B$3:C$16,2,1)</f>
        <v>24</v>
      </c>
      <c r="G44" s="20">
        <f t="shared" si="0"/>
        <v>120</v>
      </c>
    </row>
    <row r="45" spans="1:7">
      <c r="A45" s="18">
        <v>43</v>
      </c>
      <c r="B45" s="18">
        <v>2020</v>
      </c>
      <c r="C45" s="18" t="s">
        <v>65</v>
      </c>
      <c r="D45" s="18" t="s">
        <v>43</v>
      </c>
      <c r="E45" s="3" t="s">
        <v>72</v>
      </c>
      <c r="F45" s="20">
        <f>VLOOKUP(E45,课程基本信息!B$3:C$16,2,1)</f>
        <v>24</v>
      </c>
      <c r="G45" s="20">
        <f t="shared" si="0"/>
        <v>120</v>
      </c>
    </row>
    <row r="46" spans="1:7">
      <c r="A46" s="18">
        <v>44</v>
      </c>
      <c r="B46" s="18">
        <v>2020</v>
      </c>
      <c r="C46" s="18" t="s">
        <v>65</v>
      </c>
      <c r="D46" s="18" t="s">
        <v>43</v>
      </c>
      <c r="E46" s="2" t="s">
        <v>72</v>
      </c>
      <c r="F46" s="20">
        <f>VLOOKUP(E46,课程基本信息!B$3:C$16,2,1)</f>
        <v>24</v>
      </c>
      <c r="G46" s="20">
        <f t="shared" si="0"/>
        <v>120</v>
      </c>
    </row>
    <row r="47" spans="1:7">
      <c r="A47" s="18">
        <v>45</v>
      </c>
      <c r="B47" s="18">
        <v>2020</v>
      </c>
      <c r="C47" s="18" t="s">
        <v>65</v>
      </c>
      <c r="D47" s="18" t="s">
        <v>43</v>
      </c>
      <c r="E47" s="2" t="s">
        <v>72</v>
      </c>
      <c r="F47" s="20">
        <f>VLOOKUP(E47,课程基本信息!B$3:C$16,2,1)</f>
        <v>24</v>
      </c>
      <c r="G47" s="20">
        <f t="shared" si="0"/>
        <v>120</v>
      </c>
    </row>
    <row r="48" spans="1:7">
      <c r="A48" s="18">
        <v>46</v>
      </c>
      <c r="B48" s="18">
        <v>2020</v>
      </c>
      <c r="C48" s="18" t="s">
        <v>65</v>
      </c>
      <c r="D48" s="18" t="s">
        <v>44</v>
      </c>
      <c r="E48" s="3" t="s">
        <v>72</v>
      </c>
      <c r="F48" s="20">
        <f>VLOOKUP(E48,课程基本信息!B$3:C$16,2,1)</f>
        <v>24</v>
      </c>
      <c r="G48" s="20">
        <f t="shared" si="0"/>
        <v>96</v>
      </c>
    </row>
    <row r="49" spans="1:7">
      <c r="A49" s="18">
        <v>47</v>
      </c>
      <c r="B49" s="18">
        <v>2020</v>
      </c>
      <c r="C49" s="18" t="s">
        <v>65</v>
      </c>
      <c r="D49" s="18" t="s">
        <v>44</v>
      </c>
      <c r="E49" s="3" t="s">
        <v>72</v>
      </c>
      <c r="F49" s="20">
        <f>VLOOKUP(E49,课程基本信息!B$3:C$16,2,1)</f>
        <v>24</v>
      </c>
      <c r="G49" s="20">
        <f t="shared" si="0"/>
        <v>96</v>
      </c>
    </row>
    <row r="50" spans="1:7">
      <c r="A50" s="18">
        <v>48</v>
      </c>
      <c r="B50" s="18">
        <v>2020</v>
      </c>
      <c r="C50" s="18" t="s">
        <v>65</v>
      </c>
      <c r="D50" s="18" t="s">
        <v>46</v>
      </c>
      <c r="E50" s="2" t="s">
        <v>72</v>
      </c>
      <c r="F50" s="20">
        <f>VLOOKUP(E50,课程基本信息!B$3:C$16,2,1)</f>
        <v>24</v>
      </c>
      <c r="G50" s="20">
        <f t="shared" si="0"/>
        <v>120</v>
      </c>
    </row>
    <row r="51" spans="1:7">
      <c r="A51" s="18">
        <v>49</v>
      </c>
      <c r="B51" s="18">
        <v>2020</v>
      </c>
      <c r="C51" s="18" t="s">
        <v>65</v>
      </c>
      <c r="D51" s="18" t="s">
        <v>46</v>
      </c>
      <c r="E51" s="2" t="s">
        <v>72</v>
      </c>
      <c r="F51" s="20">
        <f>VLOOKUP(E51,课程基本信息!B$3:C$16,2,1)</f>
        <v>24</v>
      </c>
      <c r="G51" s="20">
        <f t="shared" si="0"/>
        <v>120</v>
      </c>
    </row>
    <row r="52" spans="1:7">
      <c r="A52" s="18">
        <v>50</v>
      </c>
      <c r="B52" s="18">
        <v>2020</v>
      </c>
      <c r="C52" s="18" t="s">
        <v>65</v>
      </c>
      <c r="D52" s="18" t="s">
        <v>46</v>
      </c>
      <c r="E52" s="3" t="s">
        <v>72</v>
      </c>
      <c r="F52" s="20">
        <f>VLOOKUP(E52,课程基本信息!B$3:C$16,2,1)</f>
        <v>24</v>
      </c>
      <c r="G52" s="20">
        <f t="shared" si="0"/>
        <v>120</v>
      </c>
    </row>
    <row r="53" spans="1:7">
      <c r="A53" s="18">
        <v>51</v>
      </c>
      <c r="B53" s="18">
        <v>2020</v>
      </c>
      <c r="C53" s="18" t="s">
        <v>65</v>
      </c>
      <c r="D53" s="18" t="s">
        <v>36</v>
      </c>
      <c r="E53" s="3" t="s">
        <v>73</v>
      </c>
      <c r="F53" s="20">
        <f>VLOOKUP(E53,课程基本信息!B$3:C$16,2,1)</f>
        <v>56</v>
      </c>
      <c r="G53" s="20">
        <f t="shared" si="0"/>
        <v>192</v>
      </c>
    </row>
    <row r="54" spans="1:7">
      <c r="A54" s="18">
        <v>52</v>
      </c>
      <c r="B54" s="18">
        <v>2020</v>
      </c>
      <c r="C54" s="18" t="s">
        <v>65</v>
      </c>
      <c r="D54" s="18" t="s">
        <v>36</v>
      </c>
      <c r="E54" s="3" t="s">
        <v>73</v>
      </c>
      <c r="F54" s="20">
        <f>VLOOKUP(E54,课程基本信息!B$3:C$16,2,1)</f>
        <v>56</v>
      </c>
      <c r="G54" s="20">
        <f t="shared" si="0"/>
        <v>192</v>
      </c>
    </row>
    <row r="55" spans="1:7">
      <c r="A55" s="18">
        <v>53</v>
      </c>
      <c r="B55" s="18">
        <v>2020</v>
      </c>
      <c r="C55" s="18" t="s">
        <v>65</v>
      </c>
      <c r="D55" s="18" t="s">
        <v>27</v>
      </c>
      <c r="E55" s="2" t="s">
        <v>0</v>
      </c>
      <c r="F55" s="20">
        <f>VLOOKUP(E55,课程基本信息!B$3:C$16,2,1)</f>
        <v>56</v>
      </c>
      <c r="G55" s="20">
        <f t="shared" si="0"/>
        <v>160</v>
      </c>
    </row>
    <row r="56" spans="1:7">
      <c r="A56" s="18">
        <v>54</v>
      </c>
      <c r="B56" s="18">
        <v>2020</v>
      </c>
      <c r="C56" s="18" t="s">
        <v>65</v>
      </c>
      <c r="D56" s="18" t="s">
        <v>27</v>
      </c>
      <c r="E56" s="3" t="s">
        <v>73</v>
      </c>
      <c r="F56" s="20">
        <f>VLOOKUP(E56,课程基本信息!B$3:C$16,2,1)</f>
        <v>56</v>
      </c>
      <c r="G56" s="20">
        <f t="shared" si="0"/>
        <v>160</v>
      </c>
    </row>
    <row r="57" spans="1:7">
      <c r="A57" s="18">
        <v>55</v>
      </c>
      <c r="B57" s="18">
        <v>2020</v>
      </c>
      <c r="C57" s="18" t="s">
        <v>65</v>
      </c>
      <c r="D57" s="18" t="s">
        <v>38</v>
      </c>
      <c r="E57" s="2" t="s">
        <v>73</v>
      </c>
      <c r="F57" s="20">
        <f>VLOOKUP(E57,课程基本信息!B$3:C$16,2,1)</f>
        <v>56</v>
      </c>
      <c r="G57" s="20">
        <f t="shared" si="0"/>
        <v>160</v>
      </c>
    </row>
    <row r="58" spans="1:7">
      <c r="A58" s="18">
        <v>56</v>
      </c>
      <c r="B58" s="18">
        <v>2020</v>
      </c>
      <c r="C58" s="18" t="s">
        <v>65</v>
      </c>
      <c r="D58" s="18" t="s">
        <v>38</v>
      </c>
      <c r="E58" s="3" t="s">
        <v>73</v>
      </c>
      <c r="F58" s="20">
        <f>VLOOKUP(E58,课程基本信息!B$3:C$16,2,1)</f>
        <v>56</v>
      </c>
      <c r="G58" s="20">
        <f t="shared" si="0"/>
        <v>160</v>
      </c>
    </row>
    <row r="59" spans="1:7">
      <c r="A59" s="18">
        <v>57</v>
      </c>
      <c r="B59" s="18">
        <v>2020</v>
      </c>
      <c r="C59" s="18" t="s">
        <v>65</v>
      </c>
      <c r="D59" s="18" t="s">
        <v>39</v>
      </c>
      <c r="E59" s="2" t="s">
        <v>73</v>
      </c>
      <c r="F59" s="20">
        <f>VLOOKUP(E59,课程基本信息!B$3:C$16,2,1)</f>
        <v>56</v>
      </c>
      <c r="G59" s="20">
        <f t="shared" si="0"/>
        <v>160</v>
      </c>
    </row>
    <row r="60" spans="1:7">
      <c r="A60" s="18">
        <v>58</v>
      </c>
      <c r="B60" s="18">
        <v>2020</v>
      </c>
      <c r="C60" s="18" t="s">
        <v>65</v>
      </c>
      <c r="D60" s="18" t="s">
        <v>39</v>
      </c>
      <c r="E60" s="3" t="s">
        <v>73</v>
      </c>
      <c r="F60" s="20">
        <f>VLOOKUP(E60,课程基本信息!B$3:C$16,2,1)</f>
        <v>56</v>
      </c>
      <c r="G60" s="20">
        <f t="shared" si="0"/>
        <v>160</v>
      </c>
    </row>
    <row r="61" spans="1:7">
      <c r="A61" s="18">
        <v>59</v>
      </c>
      <c r="B61" s="18">
        <v>2020</v>
      </c>
      <c r="C61" s="18" t="s">
        <v>65</v>
      </c>
      <c r="D61" s="18" t="s">
        <v>34</v>
      </c>
      <c r="E61" s="6" t="s">
        <v>69</v>
      </c>
      <c r="F61" s="20">
        <f>VLOOKUP(E61,课程基本信息!B$3:C$16,2,1)</f>
        <v>40</v>
      </c>
      <c r="G61" s="20">
        <f t="shared" si="0"/>
        <v>160</v>
      </c>
    </row>
    <row r="62" spans="1:7">
      <c r="A62" s="18">
        <v>60</v>
      </c>
      <c r="B62" s="18">
        <v>2020</v>
      </c>
      <c r="C62" s="18" t="s">
        <v>65</v>
      </c>
      <c r="D62" s="18" t="s">
        <v>34</v>
      </c>
      <c r="E62" s="3" t="s">
        <v>69</v>
      </c>
      <c r="F62" s="20">
        <f>VLOOKUP(E62,课程基本信息!B$3:C$16,2,1)</f>
        <v>40</v>
      </c>
      <c r="G62" s="20">
        <f t="shared" si="0"/>
        <v>160</v>
      </c>
    </row>
    <row r="63" spans="1:7">
      <c r="A63" s="18">
        <v>61</v>
      </c>
      <c r="B63" s="18">
        <v>2020</v>
      </c>
      <c r="C63" s="18" t="s">
        <v>65</v>
      </c>
      <c r="D63" s="18" t="s">
        <v>29</v>
      </c>
      <c r="E63" s="2" t="s">
        <v>68</v>
      </c>
      <c r="F63" s="20">
        <f>VLOOKUP(E63,课程基本信息!B$3:C$16,2,1)</f>
        <v>48</v>
      </c>
      <c r="G63" s="20">
        <f t="shared" si="0"/>
        <v>208</v>
      </c>
    </row>
    <row r="64" spans="1:7">
      <c r="A64" s="18">
        <v>62</v>
      </c>
      <c r="B64" s="18">
        <v>2020</v>
      </c>
      <c r="C64" s="18" t="s">
        <v>65</v>
      </c>
      <c r="D64" s="18" t="s">
        <v>29</v>
      </c>
      <c r="E64" s="3" t="s">
        <v>68</v>
      </c>
      <c r="F64" s="20">
        <f>VLOOKUP(E64,课程基本信息!B$3:C$16,2,1)</f>
        <v>48</v>
      </c>
      <c r="G64" s="20">
        <f t="shared" si="0"/>
        <v>208</v>
      </c>
    </row>
    <row r="65" spans="1:7">
      <c r="A65" s="18">
        <v>63</v>
      </c>
      <c r="B65" s="18">
        <v>2020</v>
      </c>
      <c r="C65" s="18" t="s">
        <v>65</v>
      </c>
      <c r="D65" s="18" t="s">
        <v>26</v>
      </c>
      <c r="E65" s="2" t="s">
        <v>68</v>
      </c>
      <c r="F65" s="20">
        <f>VLOOKUP(E65,课程基本信息!B$3:C$16,2,1)</f>
        <v>48</v>
      </c>
      <c r="G65" s="20">
        <f t="shared" si="0"/>
        <v>208</v>
      </c>
    </row>
    <row r="66" spans="1:7">
      <c r="A66" s="18">
        <v>64</v>
      </c>
      <c r="B66" s="18">
        <v>2020</v>
      </c>
      <c r="C66" s="18" t="s">
        <v>65</v>
      </c>
      <c r="D66" s="18" t="s">
        <v>26</v>
      </c>
      <c r="E66" s="3" t="s">
        <v>68</v>
      </c>
      <c r="F66" s="20">
        <f>VLOOKUP(E66,课程基本信息!B$3:C$16,2,1)</f>
        <v>48</v>
      </c>
      <c r="G66" s="20">
        <f t="shared" si="0"/>
        <v>208</v>
      </c>
    </row>
    <row r="67" spans="1:7">
      <c r="A67" s="18">
        <v>65</v>
      </c>
      <c r="B67" s="18">
        <v>2020</v>
      </c>
      <c r="C67" s="18" t="s">
        <v>65</v>
      </c>
      <c r="D67" s="18" t="s">
        <v>45</v>
      </c>
      <c r="E67" s="2" t="s">
        <v>68</v>
      </c>
      <c r="F67" s="20">
        <f>VLOOKUP(E67,课程基本信息!B$3:C$16,2,1)</f>
        <v>48</v>
      </c>
      <c r="G67" s="20">
        <f t="shared" si="0"/>
        <v>192</v>
      </c>
    </row>
    <row r="68" spans="1:7">
      <c r="A68" s="18">
        <v>66</v>
      </c>
      <c r="B68" s="18">
        <v>2020</v>
      </c>
      <c r="C68" s="18" t="s">
        <v>65</v>
      </c>
      <c r="D68" s="18" t="s">
        <v>45</v>
      </c>
      <c r="E68" s="2" t="s">
        <v>68</v>
      </c>
      <c r="F68" s="20">
        <f>VLOOKUP(E68,课程基本信息!B$3:C$16,2,1)</f>
        <v>48</v>
      </c>
      <c r="G68" s="20">
        <f t="shared" ref="G68:G72" si="1">SUMIF(D$3:D$72,D68,F$3:F$72)</f>
        <v>192</v>
      </c>
    </row>
    <row r="69" spans="1:7">
      <c r="A69" s="18">
        <v>67</v>
      </c>
      <c r="B69" s="18">
        <v>2020</v>
      </c>
      <c r="C69" s="18" t="s">
        <v>65</v>
      </c>
      <c r="D69" s="18" t="s">
        <v>28</v>
      </c>
      <c r="E69" s="2" t="s">
        <v>67</v>
      </c>
      <c r="F69" s="20">
        <f>VLOOKUP(E69,课程基本信息!B$3:C$16,2,1)</f>
        <v>64</v>
      </c>
      <c r="G69" s="20">
        <f t="shared" si="1"/>
        <v>208</v>
      </c>
    </row>
    <row r="70" spans="1:7">
      <c r="A70" s="18">
        <v>68</v>
      </c>
      <c r="B70" s="18">
        <v>2020</v>
      </c>
      <c r="C70" s="18" t="s">
        <v>65</v>
      </c>
      <c r="D70" s="18" t="s">
        <v>28</v>
      </c>
      <c r="E70" s="3" t="s">
        <v>67</v>
      </c>
      <c r="F70" s="20">
        <f>VLOOKUP(E70,课程基本信息!B$3:C$16,2,1)</f>
        <v>64</v>
      </c>
      <c r="G70" s="20">
        <f t="shared" si="1"/>
        <v>208</v>
      </c>
    </row>
    <row r="71" spans="1:7">
      <c r="A71" s="18">
        <v>69</v>
      </c>
      <c r="B71" s="18">
        <v>2020</v>
      </c>
      <c r="C71" s="18" t="s">
        <v>65</v>
      </c>
      <c r="D71" s="18" t="s">
        <v>31</v>
      </c>
      <c r="E71" s="2" t="s">
        <v>67</v>
      </c>
      <c r="F71" s="20">
        <f>VLOOKUP(E71,课程基本信息!B$3:C$16,2,1)</f>
        <v>64</v>
      </c>
      <c r="G71" s="20">
        <f t="shared" si="1"/>
        <v>208</v>
      </c>
    </row>
    <row r="72" spans="1:7">
      <c r="A72" s="18">
        <v>70</v>
      </c>
      <c r="B72" s="18">
        <v>2020</v>
      </c>
      <c r="C72" s="18" t="s">
        <v>65</v>
      </c>
      <c r="D72" s="18" t="s">
        <v>31</v>
      </c>
      <c r="E72" s="3" t="s">
        <v>67</v>
      </c>
      <c r="F72" s="20">
        <f>VLOOKUP(E72,课程基本信息!B$3:C$16,2,1)</f>
        <v>64</v>
      </c>
      <c r="G72" s="20">
        <f t="shared" si="1"/>
        <v>208</v>
      </c>
    </row>
  </sheetData>
  <sortState ref="A3:F72">
    <sortCondition ref="C3:C72"/>
    <sortCondition ref="E3:E72"/>
  </sortState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"/>
  <sheetViews>
    <sheetView workbookViewId="0">
      <selection activeCell="A2" sqref="A2:C16"/>
    </sheetView>
  </sheetViews>
  <sheetFormatPr defaultRowHeight="14.4"/>
  <cols>
    <col min="1" max="1" width="11.77734375" style="12" customWidth="1"/>
    <col min="2" max="2" width="19.6640625" customWidth="1"/>
    <col min="3" max="3" width="12.88671875" style="12" customWidth="1"/>
  </cols>
  <sheetData>
    <row r="1" spans="1:3" ht="20.25" customHeight="1">
      <c r="A1" s="35" t="s">
        <v>25</v>
      </c>
      <c r="B1" s="35"/>
      <c r="C1" s="35"/>
    </row>
    <row r="2" spans="1:3" ht="13.5" customHeight="1">
      <c r="A2" s="1" t="s">
        <v>3</v>
      </c>
      <c r="B2" s="5" t="s">
        <v>1</v>
      </c>
      <c r="C2" s="13" t="s">
        <v>2</v>
      </c>
    </row>
    <row r="3" spans="1:3">
      <c r="A3" s="7">
        <v>604004</v>
      </c>
      <c r="B3" s="4" t="s">
        <v>8</v>
      </c>
      <c r="C3" s="7">
        <v>40</v>
      </c>
    </row>
    <row r="4" spans="1:3">
      <c r="A4" s="7">
        <v>604008</v>
      </c>
      <c r="B4" s="4" t="s">
        <v>12</v>
      </c>
      <c r="C4" s="7">
        <v>48</v>
      </c>
    </row>
    <row r="5" spans="1:3">
      <c r="A5" s="7">
        <v>604009</v>
      </c>
      <c r="B5" s="4" t="s">
        <v>13</v>
      </c>
      <c r="C5" s="7">
        <v>56</v>
      </c>
    </row>
    <row r="6" spans="1:3">
      <c r="A6" s="7">
        <v>604010</v>
      </c>
      <c r="B6" s="4" t="s">
        <v>14</v>
      </c>
      <c r="C6" s="7">
        <v>56</v>
      </c>
    </row>
    <row r="7" spans="1:3">
      <c r="A7" s="7">
        <v>604013</v>
      </c>
      <c r="B7" s="4" t="s">
        <v>16</v>
      </c>
      <c r="C7" s="7">
        <v>80</v>
      </c>
    </row>
    <row r="8" spans="1:3">
      <c r="A8" s="7">
        <v>604014</v>
      </c>
      <c r="B8" s="4" t="s">
        <v>17</v>
      </c>
      <c r="C8" s="10">
        <v>36</v>
      </c>
    </row>
    <row r="9" spans="1:3">
      <c r="A9" s="7">
        <v>604002</v>
      </c>
      <c r="B9" s="4" t="s">
        <v>6</v>
      </c>
      <c r="C9" s="7">
        <v>48</v>
      </c>
    </row>
    <row r="10" spans="1:3">
      <c r="A10" s="7">
        <v>604001</v>
      </c>
      <c r="B10" s="4" t="s">
        <v>5</v>
      </c>
      <c r="C10" s="7">
        <v>24</v>
      </c>
    </row>
    <row r="11" spans="1:3">
      <c r="A11" s="7">
        <v>604003</v>
      </c>
      <c r="B11" s="4" t="s">
        <v>7</v>
      </c>
      <c r="C11" s="7">
        <v>56</v>
      </c>
    </row>
    <row r="12" spans="1:3">
      <c r="A12" s="7">
        <v>604007</v>
      </c>
      <c r="B12" s="8" t="s">
        <v>11</v>
      </c>
      <c r="C12" s="9">
        <v>40</v>
      </c>
    </row>
    <row r="13" spans="1:3">
      <c r="A13" s="7">
        <v>604011</v>
      </c>
      <c r="B13" s="3" t="s">
        <v>84</v>
      </c>
      <c r="C13" s="10">
        <v>40</v>
      </c>
    </row>
    <row r="14" spans="1:3">
      <c r="A14" s="7">
        <v>604005</v>
      </c>
      <c r="B14" s="4" t="s">
        <v>9</v>
      </c>
      <c r="C14" s="7">
        <v>48</v>
      </c>
    </row>
    <row r="15" spans="1:3">
      <c r="A15" s="7">
        <v>604012</v>
      </c>
      <c r="B15" s="4" t="s">
        <v>15</v>
      </c>
      <c r="C15" s="7">
        <v>40</v>
      </c>
    </row>
    <row r="16" spans="1:3">
      <c r="A16" s="7">
        <v>604006</v>
      </c>
      <c r="B16" s="4" t="s">
        <v>10</v>
      </c>
      <c r="C16" s="7">
        <v>64</v>
      </c>
    </row>
  </sheetData>
  <sortState ref="A3:C16">
    <sortCondition ref="B3:B16"/>
  </sortState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6"/>
  <sheetViews>
    <sheetView workbookViewId="0">
      <selection activeCell="A2" sqref="A2:B6"/>
    </sheetView>
  </sheetViews>
  <sheetFormatPr defaultRowHeight="14.4"/>
  <cols>
    <col min="1" max="1" width="9" style="12"/>
    <col min="2" max="2" width="13" customWidth="1"/>
  </cols>
  <sheetData>
    <row r="1" spans="1:2" ht="16.8">
      <c r="A1" s="36" t="s">
        <v>24</v>
      </c>
      <c r="B1" s="36"/>
    </row>
    <row r="2" spans="1:2">
      <c r="A2" s="16" t="s">
        <v>18</v>
      </c>
      <c r="B2" s="14" t="s">
        <v>19</v>
      </c>
    </row>
    <row r="3" spans="1:2">
      <c r="A3" s="17" t="s">
        <v>21</v>
      </c>
      <c r="B3" s="15">
        <v>100</v>
      </c>
    </row>
    <row r="4" spans="1:2">
      <c r="A4" s="17" t="s">
        <v>22</v>
      </c>
      <c r="B4" s="15">
        <v>80</v>
      </c>
    </row>
    <row r="5" spans="1:2">
      <c r="A5" s="17" t="s">
        <v>20</v>
      </c>
      <c r="B5" s="15">
        <v>120</v>
      </c>
    </row>
    <row r="6" spans="1:2">
      <c r="A6" s="17" t="s">
        <v>23</v>
      </c>
      <c r="B6" s="15">
        <v>60</v>
      </c>
    </row>
  </sheetData>
  <sortState ref="A3:B6">
    <sortCondition ref="A3:A6"/>
  </sortState>
  <mergeCells count="1">
    <mergeCell ref="A1:B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F21" sqref="F21"/>
    </sheetView>
  </sheetViews>
  <sheetFormatPr defaultRowHeight="14.4"/>
  <cols>
    <col min="3" max="3" width="12.109375" customWidth="1"/>
  </cols>
  <sheetData>
    <row r="1" spans="1:5" ht="16.8">
      <c r="A1" s="35" t="s">
        <v>60</v>
      </c>
      <c r="B1" s="35"/>
      <c r="C1" s="35"/>
      <c r="D1" s="35"/>
      <c r="E1" s="35"/>
    </row>
    <row r="2" spans="1:5">
      <c r="A2" s="1" t="s">
        <v>47</v>
      </c>
      <c r="B2" s="1" t="s">
        <v>56</v>
      </c>
      <c r="C2" s="1" t="s">
        <v>57</v>
      </c>
      <c r="D2" s="1" t="s">
        <v>48</v>
      </c>
      <c r="E2" s="1" t="s">
        <v>49</v>
      </c>
    </row>
    <row r="3" spans="1:5" ht="24">
      <c r="A3" s="18">
        <v>1</v>
      </c>
      <c r="B3" s="18" t="s">
        <v>58</v>
      </c>
      <c r="C3" s="18" t="s">
        <v>59</v>
      </c>
      <c r="D3" s="18" t="s">
        <v>34</v>
      </c>
      <c r="E3" s="18" t="s">
        <v>35</v>
      </c>
    </row>
    <row r="4" spans="1:5" ht="24">
      <c r="A4" s="18">
        <v>2</v>
      </c>
      <c r="B4" s="18" t="s">
        <v>58</v>
      </c>
      <c r="C4" s="18" t="s">
        <v>59</v>
      </c>
      <c r="D4" s="18" t="s">
        <v>28</v>
      </c>
      <c r="E4" s="18" t="s">
        <v>54</v>
      </c>
    </row>
    <row r="5" spans="1:5" ht="24">
      <c r="A5" s="18">
        <v>3</v>
      </c>
      <c r="B5" s="18" t="s">
        <v>58</v>
      </c>
      <c r="C5" s="18" t="s">
        <v>59</v>
      </c>
      <c r="D5" s="18" t="s">
        <v>29</v>
      </c>
      <c r="E5" s="18" t="s">
        <v>51</v>
      </c>
    </row>
    <row r="6" spans="1:5" ht="24">
      <c r="A6" s="18">
        <v>4</v>
      </c>
      <c r="B6" s="18" t="s">
        <v>58</v>
      </c>
      <c r="C6" s="18" t="s">
        <v>59</v>
      </c>
      <c r="D6" s="18" t="s">
        <v>26</v>
      </c>
      <c r="E6" s="18" t="s">
        <v>51</v>
      </c>
    </row>
    <row r="7" spans="1:5" ht="24">
      <c r="A7" s="18">
        <v>5</v>
      </c>
      <c r="B7" s="18" t="s">
        <v>58</v>
      </c>
      <c r="C7" s="18" t="s">
        <v>59</v>
      </c>
      <c r="D7" s="18" t="s">
        <v>30</v>
      </c>
      <c r="E7" s="18" t="s">
        <v>52</v>
      </c>
    </row>
    <row r="8" spans="1:5" ht="24">
      <c r="A8" s="18">
        <v>6</v>
      </c>
      <c r="B8" s="18" t="s">
        <v>58</v>
      </c>
      <c r="C8" s="18" t="s">
        <v>59</v>
      </c>
      <c r="D8" s="18" t="s">
        <v>31</v>
      </c>
      <c r="E8" s="18" t="s">
        <v>54</v>
      </c>
    </row>
    <row r="9" spans="1:5" ht="24">
      <c r="A9" s="18">
        <v>7</v>
      </c>
      <c r="B9" s="18" t="s">
        <v>58</v>
      </c>
      <c r="C9" s="18" t="s">
        <v>59</v>
      </c>
      <c r="D9" s="18" t="s">
        <v>36</v>
      </c>
      <c r="E9" s="18" t="s">
        <v>55</v>
      </c>
    </row>
    <row r="10" spans="1:5" ht="24">
      <c r="A10" s="18">
        <v>8</v>
      </c>
      <c r="B10" s="18" t="s">
        <v>58</v>
      </c>
      <c r="C10" s="18" t="s">
        <v>59</v>
      </c>
      <c r="D10" s="18" t="s">
        <v>33</v>
      </c>
      <c r="E10" s="18" t="s">
        <v>51</v>
      </c>
    </row>
    <row r="11" spans="1:5" ht="24">
      <c r="A11" s="18">
        <v>9</v>
      </c>
      <c r="B11" s="18" t="s">
        <v>58</v>
      </c>
      <c r="C11" s="18" t="s">
        <v>59</v>
      </c>
      <c r="D11" s="18" t="s">
        <v>37</v>
      </c>
      <c r="E11" s="18" t="s">
        <v>55</v>
      </c>
    </row>
    <row r="12" spans="1:5" ht="24">
      <c r="A12" s="18">
        <v>10</v>
      </c>
      <c r="B12" s="18" t="s">
        <v>58</v>
      </c>
      <c r="C12" s="18" t="s">
        <v>59</v>
      </c>
      <c r="D12" s="18" t="s">
        <v>32</v>
      </c>
      <c r="E12" s="18" t="s">
        <v>55</v>
      </c>
    </row>
    <row r="13" spans="1:5" ht="24">
      <c r="A13" s="18">
        <v>11</v>
      </c>
      <c r="B13" s="18" t="s">
        <v>58</v>
      </c>
      <c r="C13" s="18" t="s">
        <v>59</v>
      </c>
      <c r="D13" s="18" t="s">
        <v>27</v>
      </c>
      <c r="E13" s="18" t="s">
        <v>55</v>
      </c>
    </row>
    <row r="14" spans="1:5" ht="24">
      <c r="A14" s="18">
        <v>12</v>
      </c>
      <c r="B14" s="18" t="s">
        <v>58</v>
      </c>
      <c r="C14" s="18" t="s">
        <v>59</v>
      </c>
      <c r="D14" s="18" t="s">
        <v>38</v>
      </c>
      <c r="E14" s="18" t="s">
        <v>55</v>
      </c>
    </row>
    <row r="15" spans="1:5" ht="24">
      <c r="A15" s="18">
        <v>13</v>
      </c>
      <c r="B15" s="18" t="s">
        <v>58</v>
      </c>
      <c r="C15" s="18" t="s">
        <v>59</v>
      </c>
      <c r="D15" s="18" t="s">
        <v>39</v>
      </c>
      <c r="E15" s="18" t="s">
        <v>55</v>
      </c>
    </row>
    <row r="16" spans="1:5" ht="24">
      <c r="A16" s="18">
        <v>14</v>
      </c>
      <c r="B16" s="18" t="s">
        <v>58</v>
      </c>
      <c r="C16" s="18" t="s">
        <v>59</v>
      </c>
      <c r="D16" s="18" t="s">
        <v>40</v>
      </c>
      <c r="E16" s="18" t="s">
        <v>51</v>
      </c>
    </row>
    <row r="17" spans="1:5" ht="24">
      <c r="A17" s="18">
        <v>15</v>
      </c>
      <c r="B17" s="18" t="s">
        <v>58</v>
      </c>
      <c r="C17" s="18" t="s">
        <v>59</v>
      </c>
      <c r="D17" s="18" t="s">
        <v>41</v>
      </c>
      <c r="E17" s="18" t="s">
        <v>55</v>
      </c>
    </row>
    <row r="18" spans="1:5" ht="24">
      <c r="A18" s="18">
        <v>16</v>
      </c>
      <c r="B18" s="18" t="s">
        <v>58</v>
      </c>
      <c r="C18" s="18" t="s">
        <v>59</v>
      </c>
      <c r="D18" s="18" t="s">
        <v>42</v>
      </c>
      <c r="E18" s="18" t="s">
        <v>51</v>
      </c>
    </row>
    <row r="19" spans="1:5" ht="24">
      <c r="A19" s="18">
        <v>17</v>
      </c>
      <c r="B19" s="18" t="s">
        <v>58</v>
      </c>
      <c r="C19" s="18" t="s">
        <v>59</v>
      </c>
      <c r="D19" s="18" t="s">
        <v>43</v>
      </c>
      <c r="E19" s="18" t="s">
        <v>55</v>
      </c>
    </row>
    <row r="20" spans="1:5" ht="24">
      <c r="A20" s="18">
        <v>18</v>
      </c>
      <c r="B20" s="18" t="s">
        <v>58</v>
      </c>
      <c r="C20" s="18" t="s">
        <v>59</v>
      </c>
      <c r="D20" s="18" t="s">
        <v>44</v>
      </c>
      <c r="E20" s="18" t="s">
        <v>53</v>
      </c>
    </row>
    <row r="21" spans="1:5" ht="24">
      <c r="A21" s="18">
        <v>19</v>
      </c>
      <c r="B21" s="18" t="s">
        <v>58</v>
      </c>
      <c r="C21" s="18" t="s">
        <v>59</v>
      </c>
      <c r="D21" s="18" t="s">
        <v>46</v>
      </c>
      <c r="E21" s="18" t="s">
        <v>54</v>
      </c>
    </row>
    <row r="22" spans="1:5" ht="24">
      <c r="A22" s="18">
        <v>20</v>
      </c>
      <c r="B22" s="18" t="s">
        <v>58</v>
      </c>
      <c r="C22" s="18" t="s">
        <v>59</v>
      </c>
      <c r="D22" s="18" t="s">
        <v>45</v>
      </c>
      <c r="E22" s="18" t="s">
        <v>50</v>
      </c>
    </row>
  </sheetData>
  <sortState ref="A3:E22">
    <sortCondition ref="D3:D22"/>
    <sortCondition ref="E3:E22"/>
  </sortState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数据透视图</vt:lpstr>
      <vt:lpstr>课时费统计表</vt:lpstr>
      <vt:lpstr>授课信息表</vt:lpstr>
      <vt:lpstr>课程基本信息</vt:lpstr>
      <vt:lpstr>课时费标准</vt:lpstr>
      <vt:lpstr>教师基本信息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2021-04-08T02:09:55Z</dcterms:modified>
</cp:coreProperties>
</file>
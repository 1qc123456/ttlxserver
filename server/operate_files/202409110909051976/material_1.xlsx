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库存表" sheetId="2" r:id="rId2"/>
    <sheet name="Sheet3" sheetId="3" r:id="rId3"/>
    <sheet name="Sheet4" sheetId="4" r:id="rId4"/>
  </sheets>
  <definedNames>
    <definedName name="_xlnm._FilterDatabase" localSheetId="2" hidden="1">Sheet3!$A$1:$C$1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<sst xmlns="http://schemas.openxmlformats.org/spreadsheetml/2006/main" count="482" uniqueCount="87">
  <si>
    <t>销售编号</t>
  </si>
  <si>
    <t>产品编号</t>
  </si>
  <si>
    <t>产品名称</t>
  </si>
  <si>
    <t>销售日期</t>
  </si>
  <si>
    <t>销售数量</t>
  </si>
  <si>
    <t>单价</t>
  </si>
  <si>
    <t>总金额</t>
  </si>
  <si>
    <t>销售门店</t>
  </si>
  <si>
    <t>产品类别</t>
  </si>
  <si>
    <t>付款方式</t>
  </si>
  <si>
    <t>P001</t>
  </si>
  <si>
    <t>华为P60 Pro</t>
  </si>
  <si>
    <t>门店A</t>
  </si>
  <si>
    <t>信用卡</t>
  </si>
  <si>
    <t>P002</t>
  </si>
  <si>
    <t>华为Mate 60</t>
  </si>
  <si>
    <t>门店B</t>
  </si>
  <si>
    <t>现金</t>
  </si>
  <si>
    <t>P003</t>
  </si>
  <si>
    <t>华为MatePad 11</t>
  </si>
  <si>
    <t>门店C</t>
  </si>
  <si>
    <t>微信支付</t>
  </si>
  <si>
    <t>P004</t>
  </si>
  <si>
    <t>华为Watch GT3</t>
  </si>
  <si>
    <t>P005</t>
  </si>
  <si>
    <t>华为FreeBuds Pro</t>
  </si>
  <si>
    <t>支付宝</t>
  </si>
  <si>
    <t>P006</t>
  </si>
  <si>
    <t>华为MateBook 14</t>
  </si>
  <si>
    <t>P007</t>
  </si>
  <si>
    <t>华为P60</t>
  </si>
  <si>
    <t>P008</t>
  </si>
  <si>
    <t>华为Mate X2</t>
  </si>
  <si>
    <t>P009</t>
  </si>
  <si>
    <t>华为Watch Fit</t>
  </si>
  <si>
    <t>P010</t>
  </si>
  <si>
    <t>华为MatePad Pro</t>
  </si>
  <si>
    <t>P011</t>
  </si>
  <si>
    <t>华为P40</t>
  </si>
  <si>
    <t>P012</t>
  </si>
  <si>
    <t>华为FreeBuds 4</t>
  </si>
  <si>
    <t>P013</t>
  </si>
  <si>
    <t>华为MateBook X</t>
  </si>
  <si>
    <t>P014</t>
  </si>
  <si>
    <t>华为P50 Pro</t>
  </si>
  <si>
    <t>P015</t>
  </si>
  <si>
    <t>华为Watch GT 2</t>
  </si>
  <si>
    <t>P016</t>
  </si>
  <si>
    <t>华为Mate 40</t>
  </si>
  <si>
    <t>P017</t>
  </si>
  <si>
    <t>华为P30</t>
  </si>
  <si>
    <t>P018</t>
  </si>
  <si>
    <t>华为MatePad 10</t>
  </si>
  <si>
    <t>P019</t>
  </si>
  <si>
    <t>华为Watch GT 2 Pro</t>
  </si>
  <si>
    <t>P020</t>
  </si>
  <si>
    <t>华为FreeBuds 4i</t>
  </si>
  <si>
    <t>P021</t>
  </si>
  <si>
    <t>华为MateBook D</t>
  </si>
  <si>
    <t>P022</t>
  </si>
  <si>
    <t>华为P20</t>
  </si>
  <si>
    <t>P023</t>
  </si>
  <si>
    <t>华为Watch GT 3 Pro</t>
  </si>
  <si>
    <t>P024</t>
  </si>
  <si>
    <t>华为Mate 20</t>
  </si>
  <si>
    <t>P025</t>
  </si>
  <si>
    <t>华为P40 Lite</t>
  </si>
  <si>
    <t>P026</t>
  </si>
  <si>
    <t>华为MatePad T10</t>
  </si>
  <si>
    <t>P027</t>
  </si>
  <si>
    <t>华为Watch Fit 2</t>
  </si>
  <si>
    <t>P028</t>
  </si>
  <si>
    <t>华为MateBook 16</t>
  </si>
  <si>
    <t>P029</t>
  </si>
  <si>
    <t>华为P50 Lite</t>
  </si>
  <si>
    <t>P030</t>
  </si>
  <si>
    <t>华为FreeBuds 3</t>
  </si>
  <si>
    <t>026仓库华为产品统计情况</t>
  </si>
  <si>
    <t>库存</t>
  </si>
  <si>
    <t>是否缺货</t>
  </si>
  <si>
    <t>智能手机</t>
  </si>
  <si>
    <t>平板电脑</t>
  </si>
  <si>
    <t>智能手表</t>
  </si>
  <si>
    <t>耳机</t>
  </si>
  <si>
    <t>笔记本电脑</t>
  </si>
  <si>
    <t>平均值项:单价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</si>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</sst>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\/dd\/yy"/>
    <numFmt numFmtId="177" formatCode="mm/dd/yy"/>
  </numFmts>
  <fonts count="21">
    <font>
      <sz val="11"/>
      <color theme="1"/>
      <name val="宋体"/>
      <charset val="134"/>
      <scheme val="minor"/>
    </font>
    <font>
      <b/>
      <sz val="1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</dxfs>
  <tableStyles count="1" defaultTableStyle="TableStyleMedium2" defaultPivotStyle="PivotStyleLight16">
    <tableStyle name="PivotStylePreset3_Accent1" table="0" count="10" xr9:uid="{596B0756-EA77-4524-A990-578CE70DFEA9}">
      <tableStyleElement type="wholeTable" dxfId="10"/>
      <tableStyleElement type="headerRow" dxfId="9"/>
      <tableStyleElement type="totalRow" dxfId="8"/>
      <tableStyleElement type="secondRowStripe" dxfId="7"/>
      <tableStyleElement type="secondColumnStripe" dxfId="6"/>
      <tableStyleElement type="first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产品销售总金额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总金额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5"/>
                <c:pt idx="0">
                  <c:v>华为P60 Pro</c:v>
                </c:pt>
                <c:pt idx="1">
                  <c:v>华为Watch GT3</c:v>
                </c:pt>
                <c:pt idx="2">
                  <c:v>华为P60</c:v>
                </c:pt>
                <c:pt idx="3">
                  <c:v>华为MatePad Pro</c:v>
                </c:pt>
                <c:pt idx="4">
                  <c:v>华为MateBook X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9998</c:v>
                </c:pt>
                <c:pt idx="1">
                  <c:v>6995</c:v>
                </c:pt>
                <c:pt idx="2">
                  <c:v>4999</c:v>
                </c:pt>
                <c:pt idx="3">
                  <c:v>3999</c:v>
                </c:pt>
                <c:pt idx="4">
                  <c:v>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49685593"/>
        <c:axId val="518919140"/>
      </c:barChart>
      <c:catAx>
        <c:axId val="2496855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919140"/>
        <c:crosses val="autoZero"/>
        <c:auto val="1"/>
        <c:lblAlgn val="ctr"/>
        <c:lblOffset val="100"/>
        <c:noMultiLvlLbl val="0"/>
      </c:catAx>
      <c:valAx>
        <c:axId val="5189191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96855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[标准文件.xlsx]Sheet4!数据透视表1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单价对比</a:t>
            </a:r>
          </a:p>
        </c:rich>
      </c:tx>
      <c:layout>
        <c:manualLayout>
          <c:xMode val="edge"/>
          <c:yMode val="edge"/>
          <c:x val="0.474230094143929"/>
          <c:y val="0.11363935175811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华为FreeBuds 4i</c:v>
                </c:pt>
                <c:pt idx="1">
                  <c:v>华为Mate 20</c:v>
                </c:pt>
                <c:pt idx="2">
                  <c:v>华为Mate 60</c:v>
                </c:pt>
                <c:pt idx="3">
                  <c:v>华为MateBook 14</c:v>
                </c:pt>
                <c:pt idx="4">
                  <c:v>华为MateBook 16</c:v>
                </c:pt>
                <c:pt idx="5">
                  <c:v>华为P40</c:v>
                </c:pt>
                <c:pt idx="6">
                  <c:v>华为Watch GT 2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399</c:v>
                </c:pt>
                <c:pt idx="1">
                  <c:v>3499</c:v>
                </c:pt>
                <c:pt idx="2">
                  <c:v>6999</c:v>
                </c:pt>
                <c:pt idx="3">
                  <c:v>7499</c:v>
                </c:pt>
                <c:pt idx="4">
                  <c:v>8499</c:v>
                </c:pt>
                <c:pt idx="5">
                  <c:v>3999</c:v>
                </c:pt>
                <c:pt idx="6">
                  <c:v>1299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06197812"/>
        <c:axId val="360502649"/>
      </c:barChart>
      <c:catAx>
        <c:axId val="6061978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502649"/>
        <c:crosses val="autoZero"/>
        <c:auto val="1"/>
        <c:lblAlgn val="ctr"/>
        <c:lblOffset val="100"/>
        <c:noMultiLvlLbl val="0"/>
      </c:catAx>
      <c:valAx>
        <c:axId val="360502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1978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457200</xdr:colOff>
      <xdr:row>3</xdr:row>
      <xdr:rowOff>28575</xdr:rowOff>
    </xdr:from>
    <xdr:to>
      <xdr:col>10</xdr:col>
      <xdr:colOff>482600</xdr:colOff>
      <xdr:row>19</xdr:row>
      <xdr:rowOff>28575</xdr:rowOff>
    </xdr:to>
    <xdr:graphicFrame>
      <xdr:nvGraphicFramePr>
        <xdr:cNvPr id="2" name="门店A部分产品汇总"/>
        <xdr:cNvGraphicFramePr/>
      </xdr:nvGraphicFramePr>
      <xdr:xfrm>
        <a:off x="3362325" y="542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228600</xdr:colOff>
      <xdr:row>2</xdr:row>
      <xdr:rowOff>38100</xdr:rowOff>
    </xdr:from>
    <xdr:to>
      <xdr:col>14</xdr:col>
      <xdr:colOff>643890</xdr:colOff>
      <xdr:row>30</xdr:row>
      <xdr:rowOff>65405</xdr:rowOff>
    </xdr:to>
    <xdr:graphicFrame>
      <xdr:nvGraphicFramePr>
        <xdr:cNvPr id="2" name="图表 1"/>
        <xdr:cNvGraphicFramePr/>
      </xdr:nvGraphicFramePr>
      <xdr:xfrm>
        <a:off x="3629025" y="381000"/>
        <a:ext cx="7959090" cy="4827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45.5739699074" refreshedBy="mm" recordCount="60">
  <cacheSource type="worksheet">
    <worksheetSource ref="A1:J61" sheet="Sheet1"/>
  </cacheSource>
  <cacheFields count="10">
    <cacheField name="销售编号" numFmtId="0">
      <sharedItems containsSemiMixedTypes="0" containsString="0" containsNumber="1" containsInteger="1" minValue="0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产品编号" numFmtId="0">
      <sharedItems count="3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</sharedItems>
    </cacheField>
    <cacheField name="产品名称" numFmtId="0">
      <sharedItems count="30">
        <s v="华为P60 Pro"/>
        <s v="华为Mate 60"/>
        <s v="华为MatePad 11"/>
        <s v="华为Watch GT3"/>
        <s v="华为FreeBuds Pro"/>
        <s v="华为MateBook 14"/>
        <s v="华为P60"/>
        <s v="华为Mate X2"/>
        <s v="华为Watch Fit"/>
        <s v="华为MatePad Pro"/>
        <s v="华为P40"/>
        <s v="华为FreeBuds 4"/>
        <s v="华为MateBook X"/>
        <s v="华为P50 Pro"/>
        <s v="华为Watch GT 2"/>
        <s v="华为Mate 40"/>
        <s v="华为P30"/>
        <s v="华为MatePad 10"/>
        <s v="华为Watch GT 2 Pro"/>
        <s v="华为FreeBuds 4i"/>
        <s v="华为MateBook D"/>
        <s v="华为P20"/>
        <s v="华为Watch GT 3 Pro"/>
        <s v="华为Mate 20"/>
        <s v="华为P40 Lite"/>
        <s v="华为MatePad T10"/>
        <s v="华为Watch Fit 2"/>
        <s v="华为MateBook 16"/>
        <s v="华为P50 Lite"/>
        <s v="华为FreeBuds 3"/>
      </sharedItems>
    </cacheField>
    <cacheField name="销售日期" numFmtId="177">
      <sharedItems containsSemiMixedTypes="0" containsString="0" containsNonDate="0" containsDate="1" minDate="2024-08-01T00:00:00" maxDate="2024-08-25T00:00:00" count="24"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7T00:00:00"/>
        <d v="2024-08-22T00:00:00"/>
        <d v="2024-08-23T00:00:00"/>
        <d v="2024-08-24T00:00:00"/>
        <d v="2024-08-25T00:00:00"/>
        <d v="2024-08-21T00:00:00"/>
        <d v="2024-08-19T00:00:00"/>
        <d v="2024-08-20T00:00:00"/>
        <d v="2024-08-13T00:00:00"/>
        <d v="2024-08-14T00:00:00"/>
        <d v="2024-08-15T00:00:00"/>
        <d v="2024-08-16T00:00:00"/>
      </sharedItems>
    </cacheField>
    <cacheField name="销售数量" numFmtId="0">
      <sharedItems containsSemiMixedTypes="0" containsString="0" containsNumber="1" containsInteger="1" minValue="0" maxValue="6" count="6">
        <n v="2"/>
        <n v="1"/>
        <n v="3"/>
        <n v="5"/>
        <n v="4"/>
        <n v="6"/>
      </sharedItems>
    </cacheField>
    <cacheField name="单价" numFmtId="0">
      <sharedItems containsSemiMixedTypes="0" containsString="0" containsNumber="1" containsInteger="1" minValue="0" maxValue="16999" count="22">
        <n v="4999"/>
        <n v="6999"/>
        <n v="2999"/>
        <n v="1399"/>
        <n v="1199"/>
        <n v="7499"/>
        <n v="16999"/>
        <n v="699"/>
        <n v="3999"/>
        <n v="799"/>
        <n v="9999"/>
        <n v="1299"/>
        <n v="6499"/>
        <n v="2499"/>
        <n v="1699"/>
        <n v="399"/>
        <n v="1899"/>
        <n v="3499"/>
        <n v="1999"/>
        <n v="899"/>
        <n v="8499"/>
        <n v="3599"/>
      </sharedItems>
    </cacheField>
    <cacheField name="总金额" numFmtId="0">
      <sharedItems containsSemiMixedTypes="0" containsString="0" containsNumber="1" containsInteger="1" minValue="0" maxValue="16999" count="27">
        <n v="9998"/>
        <n v="6999"/>
        <n v="8997"/>
        <n v="6995"/>
        <n v="4796"/>
        <n v="14998"/>
        <n v="4999"/>
        <n v="16999"/>
        <n v="4194"/>
        <n v="3999"/>
        <n v="11997"/>
        <n v="1598"/>
        <n v="9999"/>
        <n v="3897"/>
        <n v="12998"/>
        <n v="11996"/>
        <n v="4998"/>
        <n v="1699"/>
        <n v="1197"/>
        <n v="3798"/>
        <n v="3499"/>
        <n v="12495"/>
        <n v="7996"/>
        <n v="5394"/>
        <n v="8499"/>
        <n v="7198"/>
        <n v="2397"/>
      </sharedItems>
    </cacheField>
    <cacheField name="销售门店" numFmtId="0">
      <sharedItems count="3">
        <s v="门店A"/>
        <s v="门店B"/>
        <s v="门店C"/>
      </sharedItems>
    </cacheField>
    <cacheField name="产品类别" numFmtId="0">
      <sharedItems count="5">
        <s v="智能手机"/>
        <s v="平板电脑"/>
        <s v="智能手表"/>
        <s v="耳机"/>
        <s v="笔记本电脑"/>
      </sharedItems>
    </cacheField>
    <cacheField name="付款方式" numFmtId="0">
      <sharedItems count="4">
        <s v="信用卡"/>
        <s v="现金"/>
        <s v="微信支付"/>
        <s v="支付宝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</r>
  <r>
    <x v="2"/>
    <x v="2"/>
    <x v="2"/>
    <x v="2"/>
    <x v="2"/>
    <x v="2"/>
    <x v="2"/>
    <x v="2"/>
    <x v="1"/>
    <x v="2"/>
  </r>
  <r>
    <x v="3"/>
    <x v="3"/>
    <x v="3"/>
    <x v="3"/>
    <x v="3"/>
    <x v="3"/>
    <x v="3"/>
    <x v="0"/>
    <x v="2"/>
    <x v="0"/>
  </r>
  <r>
    <x v="4"/>
    <x v="4"/>
    <x v="4"/>
    <x v="4"/>
    <x v="4"/>
    <x v="4"/>
    <x v="4"/>
    <x v="1"/>
    <x v="3"/>
    <x v="3"/>
  </r>
  <r>
    <x v="5"/>
    <x v="5"/>
    <x v="5"/>
    <x v="5"/>
    <x v="0"/>
    <x v="5"/>
    <x v="5"/>
    <x v="2"/>
    <x v="4"/>
    <x v="1"/>
  </r>
  <r>
    <x v="6"/>
    <x v="6"/>
    <x v="6"/>
    <x v="6"/>
    <x v="1"/>
    <x v="0"/>
    <x v="6"/>
    <x v="0"/>
    <x v="0"/>
    <x v="2"/>
  </r>
  <r>
    <x v="7"/>
    <x v="7"/>
    <x v="7"/>
    <x v="7"/>
    <x v="1"/>
    <x v="6"/>
    <x v="7"/>
    <x v="1"/>
    <x v="0"/>
    <x v="0"/>
  </r>
  <r>
    <x v="8"/>
    <x v="8"/>
    <x v="8"/>
    <x v="8"/>
    <x v="5"/>
    <x v="7"/>
    <x v="8"/>
    <x v="2"/>
    <x v="2"/>
    <x v="3"/>
  </r>
  <r>
    <x v="9"/>
    <x v="9"/>
    <x v="9"/>
    <x v="9"/>
    <x v="1"/>
    <x v="8"/>
    <x v="9"/>
    <x v="0"/>
    <x v="1"/>
    <x v="0"/>
  </r>
  <r>
    <x v="10"/>
    <x v="10"/>
    <x v="10"/>
    <x v="10"/>
    <x v="2"/>
    <x v="8"/>
    <x v="10"/>
    <x v="1"/>
    <x v="0"/>
    <x v="1"/>
  </r>
  <r>
    <x v="11"/>
    <x v="11"/>
    <x v="11"/>
    <x v="11"/>
    <x v="0"/>
    <x v="9"/>
    <x v="11"/>
    <x v="2"/>
    <x v="3"/>
    <x v="2"/>
  </r>
  <r>
    <x v="12"/>
    <x v="12"/>
    <x v="12"/>
    <x v="0"/>
    <x v="1"/>
    <x v="10"/>
    <x v="12"/>
    <x v="0"/>
    <x v="4"/>
    <x v="0"/>
  </r>
  <r>
    <x v="13"/>
    <x v="13"/>
    <x v="13"/>
    <x v="1"/>
    <x v="1"/>
    <x v="0"/>
    <x v="6"/>
    <x v="1"/>
    <x v="0"/>
    <x v="3"/>
  </r>
  <r>
    <x v="14"/>
    <x v="14"/>
    <x v="14"/>
    <x v="2"/>
    <x v="2"/>
    <x v="11"/>
    <x v="13"/>
    <x v="2"/>
    <x v="2"/>
    <x v="1"/>
  </r>
  <r>
    <x v="15"/>
    <x v="15"/>
    <x v="15"/>
    <x v="3"/>
    <x v="0"/>
    <x v="12"/>
    <x v="14"/>
    <x v="0"/>
    <x v="0"/>
    <x v="2"/>
  </r>
  <r>
    <x v="16"/>
    <x v="16"/>
    <x v="16"/>
    <x v="12"/>
    <x v="4"/>
    <x v="2"/>
    <x v="15"/>
    <x v="1"/>
    <x v="0"/>
    <x v="0"/>
  </r>
  <r>
    <x v="17"/>
    <x v="17"/>
    <x v="17"/>
    <x v="0"/>
    <x v="0"/>
    <x v="13"/>
    <x v="16"/>
    <x v="2"/>
    <x v="1"/>
    <x v="3"/>
  </r>
  <r>
    <x v="18"/>
    <x v="18"/>
    <x v="18"/>
    <x v="1"/>
    <x v="1"/>
    <x v="14"/>
    <x v="17"/>
    <x v="0"/>
    <x v="2"/>
    <x v="0"/>
  </r>
  <r>
    <x v="19"/>
    <x v="19"/>
    <x v="19"/>
    <x v="2"/>
    <x v="2"/>
    <x v="15"/>
    <x v="18"/>
    <x v="1"/>
    <x v="3"/>
    <x v="1"/>
  </r>
  <r>
    <x v="20"/>
    <x v="20"/>
    <x v="20"/>
    <x v="3"/>
    <x v="0"/>
    <x v="0"/>
    <x v="0"/>
    <x v="2"/>
    <x v="4"/>
    <x v="2"/>
  </r>
  <r>
    <x v="21"/>
    <x v="21"/>
    <x v="21"/>
    <x v="13"/>
    <x v="2"/>
    <x v="2"/>
    <x v="2"/>
    <x v="0"/>
    <x v="0"/>
    <x v="3"/>
  </r>
  <r>
    <x v="22"/>
    <x v="22"/>
    <x v="22"/>
    <x v="14"/>
    <x v="0"/>
    <x v="16"/>
    <x v="19"/>
    <x v="1"/>
    <x v="2"/>
    <x v="0"/>
  </r>
  <r>
    <x v="23"/>
    <x v="23"/>
    <x v="23"/>
    <x v="15"/>
    <x v="1"/>
    <x v="17"/>
    <x v="20"/>
    <x v="2"/>
    <x v="0"/>
    <x v="1"/>
  </r>
  <r>
    <x v="24"/>
    <x v="24"/>
    <x v="24"/>
    <x v="16"/>
    <x v="3"/>
    <x v="13"/>
    <x v="21"/>
    <x v="0"/>
    <x v="0"/>
    <x v="2"/>
  </r>
  <r>
    <x v="25"/>
    <x v="25"/>
    <x v="25"/>
    <x v="0"/>
    <x v="4"/>
    <x v="18"/>
    <x v="22"/>
    <x v="1"/>
    <x v="1"/>
    <x v="0"/>
  </r>
  <r>
    <x v="26"/>
    <x v="26"/>
    <x v="26"/>
    <x v="1"/>
    <x v="5"/>
    <x v="19"/>
    <x v="23"/>
    <x v="2"/>
    <x v="2"/>
    <x v="3"/>
  </r>
  <r>
    <x v="27"/>
    <x v="27"/>
    <x v="27"/>
    <x v="2"/>
    <x v="1"/>
    <x v="20"/>
    <x v="24"/>
    <x v="0"/>
    <x v="4"/>
    <x v="1"/>
  </r>
  <r>
    <x v="28"/>
    <x v="28"/>
    <x v="28"/>
    <x v="3"/>
    <x v="0"/>
    <x v="21"/>
    <x v="25"/>
    <x v="1"/>
    <x v="0"/>
    <x v="2"/>
  </r>
  <r>
    <x v="29"/>
    <x v="29"/>
    <x v="29"/>
    <x v="0"/>
    <x v="2"/>
    <x v="9"/>
    <x v="26"/>
    <x v="2"/>
    <x v="3"/>
    <x v="0"/>
  </r>
  <r>
    <x v="30"/>
    <x v="17"/>
    <x v="17"/>
    <x v="1"/>
    <x v="0"/>
    <x v="13"/>
    <x v="16"/>
    <x v="2"/>
    <x v="1"/>
    <x v="3"/>
  </r>
  <r>
    <x v="31"/>
    <x v="18"/>
    <x v="18"/>
    <x v="2"/>
    <x v="1"/>
    <x v="14"/>
    <x v="17"/>
    <x v="0"/>
    <x v="2"/>
    <x v="0"/>
  </r>
  <r>
    <x v="32"/>
    <x v="19"/>
    <x v="19"/>
    <x v="3"/>
    <x v="2"/>
    <x v="15"/>
    <x v="18"/>
    <x v="1"/>
    <x v="3"/>
    <x v="1"/>
  </r>
  <r>
    <x v="33"/>
    <x v="20"/>
    <x v="20"/>
    <x v="17"/>
    <x v="0"/>
    <x v="0"/>
    <x v="0"/>
    <x v="2"/>
    <x v="4"/>
    <x v="2"/>
  </r>
  <r>
    <x v="34"/>
    <x v="21"/>
    <x v="21"/>
    <x v="13"/>
    <x v="2"/>
    <x v="2"/>
    <x v="2"/>
    <x v="0"/>
    <x v="0"/>
    <x v="3"/>
  </r>
  <r>
    <x v="35"/>
    <x v="22"/>
    <x v="22"/>
    <x v="0"/>
    <x v="0"/>
    <x v="16"/>
    <x v="19"/>
    <x v="1"/>
    <x v="2"/>
    <x v="0"/>
  </r>
  <r>
    <x v="36"/>
    <x v="23"/>
    <x v="23"/>
    <x v="1"/>
    <x v="1"/>
    <x v="17"/>
    <x v="20"/>
    <x v="2"/>
    <x v="0"/>
    <x v="1"/>
  </r>
  <r>
    <x v="37"/>
    <x v="25"/>
    <x v="25"/>
    <x v="2"/>
    <x v="4"/>
    <x v="18"/>
    <x v="22"/>
    <x v="1"/>
    <x v="1"/>
    <x v="0"/>
  </r>
  <r>
    <x v="38"/>
    <x v="26"/>
    <x v="26"/>
    <x v="3"/>
    <x v="5"/>
    <x v="19"/>
    <x v="23"/>
    <x v="2"/>
    <x v="2"/>
    <x v="3"/>
  </r>
  <r>
    <x v="39"/>
    <x v="27"/>
    <x v="27"/>
    <x v="0"/>
    <x v="1"/>
    <x v="20"/>
    <x v="24"/>
    <x v="0"/>
    <x v="4"/>
    <x v="1"/>
  </r>
  <r>
    <x v="40"/>
    <x v="28"/>
    <x v="28"/>
    <x v="1"/>
    <x v="0"/>
    <x v="21"/>
    <x v="25"/>
    <x v="1"/>
    <x v="0"/>
    <x v="2"/>
  </r>
  <r>
    <x v="41"/>
    <x v="29"/>
    <x v="29"/>
    <x v="2"/>
    <x v="2"/>
    <x v="9"/>
    <x v="26"/>
    <x v="2"/>
    <x v="3"/>
    <x v="0"/>
  </r>
  <r>
    <x v="42"/>
    <x v="17"/>
    <x v="17"/>
    <x v="3"/>
    <x v="0"/>
    <x v="13"/>
    <x v="16"/>
    <x v="2"/>
    <x v="1"/>
    <x v="3"/>
  </r>
  <r>
    <x v="43"/>
    <x v="18"/>
    <x v="18"/>
    <x v="18"/>
    <x v="1"/>
    <x v="14"/>
    <x v="17"/>
    <x v="0"/>
    <x v="2"/>
    <x v="0"/>
  </r>
  <r>
    <x v="44"/>
    <x v="19"/>
    <x v="19"/>
    <x v="19"/>
    <x v="2"/>
    <x v="15"/>
    <x v="18"/>
    <x v="1"/>
    <x v="3"/>
    <x v="1"/>
  </r>
  <r>
    <x v="45"/>
    <x v="12"/>
    <x v="12"/>
    <x v="20"/>
    <x v="1"/>
    <x v="10"/>
    <x v="12"/>
    <x v="0"/>
    <x v="4"/>
    <x v="0"/>
  </r>
  <r>
    <x v="46"/>
    <x v="13"/>
    <x v="13"/>
    <x v="21"/>
    <x v="1"/>
    <x v="0"/>
    <x v="6"/>
    <x v="1"/>
    <x v="0"/>
    <x v="3"/>
  </r>
  <r>
    <x v="47"/>
    <x v="14"/>
    <x v="14"/>
    <x v="22"/>
    <x v="2"/>
    <x v="11"/>
    <x v="13"/>
    <x v="2"/>
    <x v="2"/>
    <x v="1"/>
  </r>
  <r>
    <x v="48"/>
    <x v="15"/>
    <x v="15"/>
    <x v="23"/>
    <x v="0"/>
    <x v="12"/>
    <x v="14"/>
    <x v="0"/>
    <x v="0"/>
    <x v="2"/>
  </r>
  <r>
    <x v="49"/>
    <x v="16"/>
    <x v="16"/>
    <x v="12"/>
    <x v="4"/>
    <x v="2"/>
    <x v="15"/>
    <x v="1"/>
    <x v="0"/>
    <x v="0"/>
  </r>
  <r>
    <x v="50"/>
    <x v="17"/>
    <x v="17"/>
    <x v="0"/>
    <x v="0"/>
    <x v="13"/>
    <x v="16"/>
    <x v="2"/>
    <x v="1"/>
    <x v="3"/>
  </r>
  <r>
    <x v="51"/>
    <x v="18"/>
    <x v="18"/>
    <x v="1"/>
    <x v="1"/>
    <x v="14"/>
    <x v="17"/>
    <x v="0"/>
    <x v="2"/>
    <x v="0"/>
  </r>
  <r>
    <x v="52"/>
    <x v="1"/>
    <x v="1"/>
    <x v="2"/>
    <x v="1"/>
    <x v="1"/>
    <x v="1"/>
    <x v="1"/>
    <x v="0"/>
    <x v="1"/>
  </r>
  <r>
    <x v="53"/>
    <x v="2"/>
    <x v="2"/>
    <x v="3"/>
    <x v="2"/>
    <x v="2"/>
    <x v="2"/>
    <x v="2"/>
    <x v="1"/>
    <x v="2"/>
  </r>
  <r>
    <x v="54"/>
    <x v="3"/>
    <x v="3"/>
    <x v="3"/>
    <x v="3"/>
    <x v="3"/>
    <x v="3"/>
    <x v="0"/>
    <x v="2"/>
    <x v="0"/>
  </r>
  <r>
    <x v="55"/>
    <x v="4"/>
    <x v="4"/>
    <x v="4"/>
    <x v="4"/>
    <x v="4"/>
    <x v="4"/>
    <x v="1"/>
    <x v="3"/>
    <x v="3"/>
  </r>
  <r>
    <x v="56"/>
    <x v="5"/>
    <x v="5"/>
    <x v="0"/>
    <x v="0"/>
    <x v="5"/>
    <x v="5"/>
    <x v="2"/>
    <x v="4"/>
    <x v="1"/>
  </r>
  <r>
    <x v="57"/>
    <x v="6"/>
    <x v="6"/>
    <x v="1"/>
    <x v="1"/>
    <x v="0"/>
    <x v="6"/>
    <x v="0"/>
    <x v="0"/>
    <x v="2"/>
  </r>
  <r>
    <x v="58"/>
    <x v="3"/>
    <x v="3"/>
    <x v="2"/>
    <x v="3"/>
    <x v="3"/>
    <x v="3"/>
    <x v="0"/>
    <x v="2"/>
    <x v="0"/>
  </r>
  <r>
    <x v="59"/>
    <x v="4"/>
    <x v="4"/>
    <x v="3"/>
    <x v="4"/>
    <x v="4"/>
    <x v="4"/>
    <x v="1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 rowPageCount="1" colPageCount="1"/>
  <pivotFields count="10"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/>
    <pivotField axis="axisRow" compact="0" showAll="0">
      <items count="31">
        <item x="29"/>
        <item x="11"/>
        <item x="19"/>
        <item x="4"/>
        <item x="23"/>
        <item x="15"/>
        <item x="1"/>
        <item x="7"/>
        <item x="5"/>
        <item x="27"/>
        <item x="20"/>
        <item x="12"/>
        <item x="17"/>
        <item x="2"/>
        <item x="9"/>
        <item x="25"/>
        <item x="21"/>
        <item x="16"/>
        <item x="10"/>
        <item x="24"/>
        <item x="28"/>
        <item x="13"/>
        <item x="6"/>
        <item x="0"/>
        <item x="8"/>
        <item x="26"/>
        <item x="14"/>
        <item x="18"/>
        <item x="22"/>
        <item x="3"/>
        <item t="default"/>
      </items>
    </pivotField>
    <pivotField compact="0" numFmtId="177" showAll="0"/>
    <pivotField compact="0" showAll="0"/>
    <pivotField dataField="1" compact="0" showAll="0">
      <items count="23">
        <item x="15"/>
        <item x="7"/>
        <item x="9"/>
        <item x="19"/>
        <item x="4"/>
        <item x="11"/>
        <item x="3"/>
        <item x="14"/>
        <item x="16"/>
        <item x="18"/>
        <item x="13"/>
        <item x="2"/>
        <item x="17"/>
        <item x="21"/>
        <item x="8"/>
        <item x="0"/>
        <item x="12"/>
        <item x="1"/>
        <item x="5"/>
        <item x="20"/>
        <item x="10"/>
        <item x="6"/>
        <item t="default"/>
      </items>
    </pivotField>
    <pivotField compact="0" showAll="0"/>
    <pivotField compact="0" showAll="0"/>
    <pivotField compact="0" showAll="0"/>
    <pivotField axis="axisPage" compact="0" showAll="0">
      <items count="5">
        <item x="2"/>
        <item x="1"/>
        <item x="0"/>
        <item x="3"/>
        <item t="default"/>
      </items>
    </pivotField>
  </pivotFields>
  <rowFields count="1">
    <field x="2"/>
  </rowFields>
  <rowItems count="8">
    <i>
      <x v="2"/>
    </i>
    <i>
      <x v="4"/>
    </i>
    <i>
      <x v="6"/>
    </i>
    <i>
      <x v="8"/>
    </i>
    <i>
      <x v="9"/>
    </i>
    <i>
      <x v="18"/>
    </i>
    <i>
      <x v="26"/>
    </i>
    <i t="grand">
      <x/>
    </i>
  </rowItems>
  <colItems count="1">
    <i/>
  </colItems>
  <pageFields count="1">
    <pageField fld="9" item="1"/>
  </pageFields>
  <dataFields count="1">
    <dataField name="平均值项:单价" fld="5" subtotal="average" baseField="0" baseItem="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D1" sqref="D$1:D$1048576"/>
    </sheetView>
  </sheetViews>
  <sheetFormatPr defaultColWidth="9" defaultRowHeight="13.5"/>
  <cols>
    <col min="3" max="3" width="20.125" customWidth="1"/>
    <col min="4" max="4" width="10.375" style="4" customWidth="1"/>
  </cols>
  <sheetData>
    <row r="1" spans="1:10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s="4">
        <v>45505</v>
      </c>
      <c r="E2">
        <v>2</v>
      </c>
      <c r="F2">
        <v>4999</v>
      </c>
      <c r="G2">
        <f>E2*F2</f>
        <v>9998</v>
      </c>
      <c r="H2" t="s">
        <v>12</v>
      </c>
      <c r="I2" t="str">
        <f>VLOOKUP(C2,库存表!$B$3:$C$33,2,FALSE)</f>
        <v>智能手机</v>
      </c>
      <c r="J2" t="s">
        <v>13</v>
      </c>
    </row>
    <row r="3" spans="1:10">
      <c r="A3">
        <v>2</v>
      </c>
      <c r="B3" t="s">
        <v>14</v>
      </c>
      <c r="C3" t="s">
        <v>15</v>
      </c>
      <c r="D3" s="4">
        <v>45506</v>
      </c>
      <c r="E3">
        <v>1</v>
      </c>
      <c r="F3">
        <v>6999</v>
      </c>
      <c r="G3">
        <f t="shared" ref="G3:G34" si="0">E3*F3</f>
        <v>6999</v>
      </c>
      <c r="H3" t="s">
        <v>16</v>
      </c>
      <c r="I3" t="str">
        <f>VLOOKUP(C3,库存表!$B$3:$C$33,2,FALSE)</f>
        <v>智能手机</v>
      </c>
      <c r="J3" t="s">
        <v>17</v>
      </c>
    </row>
    <row r="4" spans="1:10">
      <c r="A4">
        <v>3</v>
      </c>
      <c r="B4" t="s">
        <v>18</v>
      </c>
      <c r="C4" t="s">
        <v>19</v>
      </c>
      <c r="D4" s="4">
        <v>45507</v>
      </c>
      <c r="E4">
        <v>3</v>
      </c>
      <c r="F4">
        <v>2999</v>
      </c>
      <c r="G4">
        <f t="shared" si="0"/>
        <v>8997</v>
      </c>
      <c r="H4" t="s">
        <v>20</v>
      </c>
      <c r="I4" t="str">
        <f>VLOOKUP(C4,库存表!$B$3:$C$33,2,FALSE)</f>
        <v>平板电脑</v>
      </c>
      <c r="J4" t="s">
        <v>21</v>
      </c>
    </row>
    <row r="5" spans="1:10">
      <c r="A5">
        <v>4</v>
      </c>
      <c r="B5" t="s">
        <v>22</v>
      </c>
      <c r="C5" t="s">
        <v>23</v>
      </c>
      <c r="D5" s="4">
        <v>45508</v>
      </c>
      <c r="E5">
        <v>5</v>
      </c>
      <c r="F5">
        <v>1399</v>
      </c>
      <c r="G5">
        <f t="shared" si="0"/>
        <v>6995</v>
      </c>
      <c r="H5" t="s">
        <v>12</v>
      </c>
      <c r="I5" t="str">
        <f>VLOOKUP(C5,库存表!$B$3:$C$33,2,FALSE)</f>
        <v>智能手表</v>
      </c>
      <c r="J5" t="s">
        <v>13</v>
      </c>
    </row>
    <row r="6" spans="1:10">
      <c r="A6">
        <v>5</v>
      </c>
      <c r="B6" t="s">
        <v>24</v>
      </c>
      <c r="C6" t="s">
        <v>25</v>
      </c>
      <c r="D6" s="4">
        <v>45509</v>
      </c>
      <c r="E6">
        <v>4</v>
      </c>
      <c r="F6">
        <v>1199</v>
      </c>
      <c r="G6">
        <f t="shared" si="0"/>
        <v>4796</v>
      </c>
      <c r="H6" t="s">
        <v>16</v>
      </c>
      <c r="I6" t="str">
        <f>VLOOKUP(C6,库存表!$B$3:$C$33,2,FALSE)</f>
        <v>耳机</v>
      </c>
      <c r="J6" t="s">
        <v>26</v>
      </c>
    </row>
    <row r="7" spans="1:10">
      <c r="A7">
        <v>6</v>
      </c>
      <c r="B7" t="s">
        <v>27</v>
      </c>
      <c r="C7" t="s">
        <v>28</v>
      </c>
      <c r="D7" s="4">
        <v>45510</v>
      </c>
      <c r="E7">
        <v>2</v>
      </c>
      <c r="F7">
        <v>7499</v>
      </c>
      <c r="G7">
        <f t="shared" si="0"/>
        <v>14998</v>
      </c>
      <c r="H7" t="s">
        <v>20</v>
      </c>
      <c r="I7" t="str">
        <f>VLOOKUP(C7,库存表!$B$3:$C$33,2,FALSE)</f>
        <v>笔记本电脑</v>
      </c>
      <c r="J7" t="s">
        <v>17</v>
      </c>
    </row>
    <row r="8" spans="1:10">
      <c r="A8">
        <v>7</v>
      </c>
      <c r="B8" t="s">
        <v>29</v>
      </c>
      <c r="C8" t="s">
        <v>30</v>
      </c>
      <c r="D8" s="4">
        <v>45511</v>
      </c>
      <c r="E8">
        <v>1</v>
      </c>
      <c r="F8">
        <v>4999</v>
      </c>
      <c r="G8">
        <f t="shared" si="0"/>
        <v>4999</v>
      </c>
      <c r="H8" t="s">
        <v>12</v>
      </c>
      <c r="I8" t="str">
        <f>VLOOKUP(C8,库存表!$B$3:$C$33,2,FALSE)</f>
        <v>智能手机</v>
      </c>
      <c r="J8" t="s">
        <v>21</v>
      </c>
    </row>
    <row r="9" spans="1:10">
      <c r="A9">
        <v>8</v>
      </c>
      <c r="B9" t="s">
        <v>31</v>
      </c>
      <c r="C9" t="s">
        <v>32</v>
      </c>
      <c r="D9" s="4">
        <v>45512</v>
      </c>
      <c r="E9">
        <v>1</v>
      </c>
      <c r="F9">
        <v>16999</v>
      </c>
      <c r="G9">
        <f t="shared" si="0"/>
        <v>16999</v>
      </c>
      <c r="H9" t="s">
        <v>16</v>
      </c>
      <c r="I9" t="str">
        <f>VLOOKUP(C9,库存表!$B$3:$C$33,2,FALSE)</f>
        <v>智能手机</v>
      </c>
      <c r="J9" t="s">
        <v>13</v>
      </c>
    </row>
    <row r="10" spans="1:10">
      <c r="A10">
        <v>9</v>
      </c>
      <c r="B10" t="s">
        <v>33</v>
      </c>
      <c r="C10" t="s">
        <v>34</v>
      </c>
      <c r="D10" s="4">
        <v>45513</v>
      </c>
      <c r="E10">
        <v>6</v>
      </c>
      <c r="F10">
        <v>699</v>
      </c>
      <c r="G10">
        <f t="shared" si="0"/>
        <v>4194</v>
      </c>
      <c r="H10" t="s">
        <v>20</v>
      </c>
      <c r="I10" t="str">
        <f>VLOOKUP(C10,库存表!$B$3:$C$33,2,FALSE)</f>
        <v>智能手表</v>
      </c>
      <c r="J10" t="s">
        <v>26</v>
      </c>
    </row>
    <row r="11" spans="1:10">
      <c r="A11">
        <v>10</v>
      </c>
      <c r="B11" t="s">
        <v>35</v>
      </c>
      <c r="C11" t="s">
        <v>36</v>
      </c>
      <c r="D11" s="4">
        <v>45514</v>
      </c>
      <c r="E11">
        <v>1</v>
      </c>
      <c r="F11">
        <v>3999</v>
      </c>
      <c r="G11">
        <f t="shared" si="0"/>
        <v>3999</v>
      </c>
      <c r="H11" t="s">
        <v>12</v>
      </c>
      <c r="I11" t="str">
        <f>VLOOKUP(C11,库存表!$B$3:$C$33,2,FALSE)</f>
        <v>平板电脑</v>
      </c>
      <c r="J11" t="s">
        <v>13</v>
      </c>
    </row>
    <row r="12" spans="1:10">
      <c r="A12">
        <v>11</v>
      </c>
      <c r="B12" t="s">
        <v>37</v>
      </c>
      <c r="C12" t="s">
        <v>38</v>
      </c>
      <c r="D12" s="4">
        <v>45515</v>
      </c>
      <c r="E12">
        <v>3</v>
      </c>
      <c r="F12">
        <v>3999</v>
      </c>
      <c r="G12">
        <f t="shared" si="0"/>
        <v>11997</v>
      </c>
      <c r="H12" t="s">
        <v>16</v>
      </c>
      <c r="I12" t="str">
        <f>VLOOKUP(C12,库存表!$B$3:$C$33,2,FALSE)</f>
        <v>智能手机</v>
      </c>
      <c r="J12" t="s">
        <v>17</v>
      </c>
    </row>
    <row r="13" spans="1:10">
      <c r="A13">
        <v>12</v>
      </c>
      <c r="B13" t="s">
        <v>39</v>
      </c>
      <c r="C13" t="s">
        <v>40</v>
      </c>
      <c r="D13" s="4">
        <v>45516</v>
      </c>
      <c r="E13">
        <v>2</v>
      </c>
      <c r="F13">
        <v>799</v>
      </c>
      <c r="G13">
        <f t="shared" si="0"/>
        <v>1598</v>
      </c>
      <c r="H13" t="s">
        <v>20</v>
      </c>
      <c r="I13" t="str">
        <f>VLOOKUP(C13,库存表!$B$3:$C$33,2,FALSE)</f>
        <v>耳机</v>
      </c>
      <c r="J13" t="s">
        <v>21</v>
      </c>
    </row>
    <row r="14" spans="1:10">
      <c r="A14">
        <v>13</v>
      </c>
      <c r="B14" t="s">
        <v>41</v>
      </c>
      <c r="C14" t="s">
        <v>42</v>
      </c>
      <c r="D14" s="4">
        <v>45505</v>
      </c>
      <c r="E14">
        <v>1</v>
      </c>
      <c r="F14">
        <v>9999</v>
      </c>
      <c r="G14">
        <f t="shared" si="0"/>
        <v>9999</v>
      </c>
      <c r="H14" t="s">
        <v>12</v>
      </c>
      <c r="I14" t="str">
        <f>VLOOKUP(C14,库存表!$B$3:$C$33,2,FALSE)</f>
        <v>笔记本电脑</v>
      </c>
      <c r="J14" t="s">
        <v>13</v>
      </c>
    </row>
    <row r="15" spans="1:10">
      <c r="A15">
        <v>14</v>
      </c>
      <c r="B15" t="s">
        <v>43</v>
      </c>
      <c r="C15" t="s">
        <v>44</v>
      </c>
      <c r="D15" s="4">
        <v>45506</v>
      </c>
      <c r="E15">
        <v>1</v>
      </c>
      <c r="F15">
        <v>4999</v>
      </c>
      <c r="G15">
        <f t="shared" si="0"/>
        <v>4999</v>
      </c>
      <c r="H15" t="s">
        <v>16</v>
      </c>
      <c r="I15" t="str">
        <f>VLOOKUP(C15,库存表!$B$3:$C$33,2,FALSE)</f>
        <v>智能手机</v>
      </c>
      <c r="J15" t="s">
        <v>26</v>
      </c>
    </row>
    <row r="16" spans="1:10">
      <c r="A16">
        <v>15</v>
      </c>
      <c r="B16" t="s">
        <v>45</v>
      </c>
      <c r="C16" t="s">
        <v>46</v>
      </c>
      <c r="D16" s="4">
        <v>45507</v>
      </c>
      <c r="E16">
        <v>3</v>
      </c>
      <c r="F16">
        <v>1299</v>
      </c>
      <c r="G16">
        <f t="shared" si="0"/>
        <v>3897</v>
      </c>
      <c r="H16" t="s">
        <v>20</v>
      </c>
      <c r="I16" t="str">
        <f>VLOOKUP(C16,库存表!$B$3:$C$33,2,FALSE)</f>
        <v>智能手表</v>
      </c>
      <c r="J16" t="s">
        <v>17</v>
      </c>
    </row>
    <row r="17" spans="1:10">
      <c r="A17">
        <v>16</v>
      </c>
      <c r="B17" t="s">
        <v>47</v>
      </c>
      <c r="C17" t="s">
        <v>48</v>
      </c>
      <c r="D17" s="4">
        <v>45508</v>
      </c>
      <c r="E17">
        <v>2</v>
      </c>
      <c r="F17">
        <v>6499</v>
      </c>
      <c r="G17">
        <f t="shared" si="0"/>
        <v>12998</v>
      </c>
      <c r="H17" t="s">
        <v>12</v>
      </c>
      <c r="I17" t="str">
        <f>VLOOKUP(C17,库存表!$B$3:$C$33,2,FALSE)</f>
        <v>智能手机</v>
      </c>
      <c r="J17" t="s">
        <v>21</v>
      </c>
    </row>
    <row r="18" spans="1:10">
      <c r="A18">
        <v>17</v>
      </c>
      <c r="B18" t="s">
        <v>49</v>
      </c>
      <c r="C18" t="s">
        <v>50</v>
      </c>
      <c r="D18" s="4">
        <v>45521</v>
      </c>
      <c r="E18">
        <v>4</v>
      </c>
      <c r="F18">
        <v>2999</v>
      </c>
      <c r="G18">
        <f t="shared" si="0"/>
        <v>11996</v>
      </c>
      <c r="H18" t="s">
        <v>16</v>
      </c>
      <c r="I18" t="str">
        <f>VLOOKUP(C18,库存表!$B$3:$C$33,2,FALSE)</f>
        <v>智能手机</v>
      </c>
      <c r="J18" t="s">
        <v>13</v>
      </c>
    </row>
    <row r="19" spans="1:10">
      <c r="A19">
        <v>18</v>
      </c>
      <c r="B19" t="s">
        <v>51</v>
      </c>
      <c r="C19" t="s">
        <v>52</v>
      </c>
      <c r="D19" s="4">
        <v>45505</v>
      </c>
      <c r="E19">
        <v>2</v>
      </c>
      <c r="F19">
        <v>2499</v>
      </c>
      <c r="G19">
        <f t="shared" si="0"/>
        <v>4998</v>
      </c>
      <c r="H19" t="s">
        <v>20</v>
      </c>
      <c r="I19" t="str">
        <f>VLOOKUP(C19,库存表!$B$3:$C$33,2,FALSE)</f>
        <v>平板电脑</v>
      </c>
      <c r="J19" t="s">
        <v>26</v>
      </c>
    </row>
    <row r="20" spans="1:10">
      <c r="A20">
        <v>19</v>
      </c>
      <c r="B20" t="s">
        <v>53</v>
      </c>
      <c r="C20" t="s">
        <v>54</v>
      </c>
      <c r="D20" s="4">
        <v>45506</v>
      </c>
      <c r="E20">
        <v>1</v>
      </c>
      <c r="F20">
        <v>1699</v>
      </c>
      <c r="G20">
        <f t="shared" si="0"/>
        <v>1699</v>
      </c>
      <c r="H20" t="s">
        <v>12</v>
      </c>
      <c r="I20" t="str">
        <f>VLOOKUP(C20,库存表!$B$3:$C$33,2,FALSE)</f>
        <v>智能手表</v>
      </c>
      <c r="J20" t="s">
        <v>13</v>
      </c>
    </row>
    <row r="21" spans="1:10">
      <c r="A21">
        <v>20</v>
      </c>
      <c r="B21" t="s">
        <v>55</v>
      </c>
      <c r="C21" t="s">
        <v>56</v>
      </c>
      <c r="D21" s="4">
        <v>45507</v>
      </c>
      <c r="E21">
        <v>3</v>
      </c>
      <c r="F21">
        <v>399</v>
      </c>
      <c r="G21">
        <f t="shared" si="0"/>
        <v>1197</v>
      </c>
      <c r="H21" t="s">
        <v>16</v>
      </c>
      <c r="I21" t="str">
        <f>VLOOKUP(C21,库存表!$B$3:$C$33,2,FALSE)</f>
        <v>耳机</v>
      </c>
      <c r="J21" t="s">
        <v>17</v>
      </c>
    </row>
    <row r="22" spans="1:10">
      <c r="A22">
        <v>21</v>
      </c>
      <c r="B22" t="s">
        <v>57</v>
      </c>
      <c r="C22" t="s">
        <v>58</v>
      </c>
      <c r="D22" s="4">
        <v>45508</v>
      </c>
      <c r="E22">
        <v>2</v>
      </c>
      <c r="F22">
        <v>4999</v>
      </c>
      <c r="G22">
        <f t="shared" si="0"/>
        <v>9998</v>
      </c>
      <c r="H22" t="s">
        <v>20</v>
      </c>
      <c r="I22" t="str">
        <f>VLOOKUP(C22,库存表!$B$3:$C$33,2,FALSE)</f>
        <v>笔记本电脑</v>
      </c>
      <c r="J22" t="s">
        <v>21</v>
      </c>
    </row>
    <row r="23" spans="1:10">
      <c r="A23">
        <v>22</v>
      </c>
      <c r="B23" t="s">
        <v>59</v>
      </c>
      <c r="C23" t="s">
        <v>60</v>
      </c>
      <c r="D23" s="4">
        <v>45526</v>
      </c>
      <c r="E23">
        <v>3</v>
      </c>
      <c r="F23">
        <v>2999</v>
      </c>
      <c r="G23">
        <f t="shared" si="0"/>
        <v>8997</v>
      </c>
      <c r="H23" t="s">
        <v>12</v>
      </c>
      <c r="I23" t="str">
        <f>VLOOKUP(C23,库存表!$B$3:$C$33,2,FALSE)</f>
        <v>智能手机</v>
      </c>
      <c r="J23" t="s">
        <v>26</v>
      </c>
    </row>
    <row r="24" spans="1:10">
      <c r="A24">
        <v>23</v>
      </c>
      <c r="B24" t="s">
        <v>61</v>
      </c>
      <c r="C24" t="s">
        <v>62</v>
      </c>
      <c r="D24" s="4">
        <v>45527</v>
      </c>
      <c r="E24">
        <v>2</v>
      </c>
      <c r="F24">
        <v>1899</v>
      </c>
      <c r="G24">
        <f t="shared" si="0"/>
        <v>3798</v>
      </c>
      <c r="H24" t="s">
        <v>16</v>
      </c>
      <c r="I24" t="str">
        <f>VLOOKUP(C24,库存表!$B$3:$C$33,2,FALSE)</f>
        <v>智能手表</v>
      </c>
      <c r="J24" t="s">
        <v>13</v>
      </c>
    </row>
    <row r="25" spans="1:10">
      <c r="A25">
        <v>24</v>
      </c>
      <c r="B25" t="s">
        <v>63</v>
      </c>
      <c r="C25" t="s">
        <v>64</v>
      </c>
      <c r="D25" s="4">
        <v>45528</v>
      </c>
      <c r="E25">
        <v>1</v>
      </c>
      <c r="F25">
        <v>3499</v>
      </c>
      <c r="G25">
        <f t="shared" si="0"/>
        <v>3499</v>
      </c>
      <c r="H25" t="s">
        <v>20</v>
      </c>
      <c r="I25" t="str">
        <f>VLOOKUP(C25,库存表!$B$3:$C$33,2,FALSE)</f>
        <v>智能手机</v>
      </c>
      <c r="J25" t="s">
        <v>17</v>
      </c>
    </row>
    <row r="26" spans="1:10">
      <c r="A26">
        <v>25</v>
      </c>
      <c r="B26" t="s">
        <v>65</v>
      </c>
      <c r="C26" t="s">
        <v>66</v>
      </c>
      <c r="D26" s="4">
        <v>45529</v>
      </c>
      <c r="E26">
        <v>5</v>
      </c>
      <c r="F26">
        <v>2499</v>
      </c>
      <c r="G26">
        <f t="shared" si="0"/>
        <v>12495</v>
      </c>
      <c r="H26" t="s">
        <v>12</v>
      </c>
      <c r="I26" t="str">
        <f>VLOOKUP(C26,库存表!$B$3:$C$33,2,FALSE)</f>
        <v>智能手机</v>
      </c>
      <c r="J26" t="s">
        <v>21</v>
      </c>
    </row>
    <row r="27" spans="1:10">
      <c r="A27">
        <v>26</v>
      </c>
      <c r="B27" t="s">
        <v>67</v>
      </c>
      <c r="C27" t="s">
        <v>68</v>
      </c>
      <c r="D27" s="4">
        <v>45505</v>
      </c>
      <c r="E27">
        <v>4</v>
      </c>
      <c r="F27">
        <v>1999</v>
      </c>
      <c r="G27">
        <f t="shared" si="0"/>
        <v>7996</v>
      </c>
      <c r="H27" t="s">
        <v>16</v>
      </c>
      <c r="I27" t="str">
        <f>VLOOKUP(C27,库存表!$B$3:$C$33,2,FALSE)</f>
        <v>平板电脑</v>
      </c>
      <c r="J27" t="s">
        <v>13</v>
      </c>
    </row>
    <row r="28" spans="1:10">
      <c r="A28">
        <v>27</v>
      </c>
      <c r="B28" t="s">
        <v>69</v>
      </c>
      <c r="C28" t="s">
        <v>70</v>
      </c>
      <c r="D28" s="4">
        <v>45506</v>
      </c>
      <c r="E28">
        <v>6</v>
      </c>
      <c r="F28">
        <v>899</v>
      </c>
      <c r="G28">
        <f t="shared" si="0"/>
        <v>5394</v>
      </c>
      <c r="H28" t="s">
        <v>20</v>
      </c>
      <c r="I28" t="str">
        <f>VLOOKUP(C28,库存表!$B$3:$C$33,2,FALSE)</f>
        <v>智能手表</v>
      </c>
      <c r="J28" t="s">
        <v>26</v>
      </c>
    </row>
    <row r="29" spans="1:10">
      <c r="A29">
        <v>28</v>
      </c>
      <c r="B29" t="s">
        <v>71</v>
      </c>
      <c r="C29" t="s">
        <v>72</v>
      </c>
      <c r="D29" s="4">
        <v>45507</v>
      </c>
      <c r="E29">
        <v>1</v>
      </c>
      <c r="F29">
        <v>8499</v>
      </c>
      <c r="G29">
        <f t="shared" si="0"/>
        <v>8499</v>
      </c>
      <c r="H29" t="s">
        <v>12</v>
      </c>
      <c r="I29" t="str">
        <f>VLOOKUP(C29,库存表!$B$3:$C$33,2,FALSE)</f>
        <v>笔记本电脑</v>
      </c>
      <c r="J29" t="s">
        <v>17</v>
      </c>
    </row>
    <row r="30" spans="1:10">
      <c r="A30">
        <v>29</v>
      </c>
      <c r="B30" t="s">
        <v>73</v>
      </c>
      <c r="C30" t="s">
        <v>74</v>
      </c>
      <c r="D30" s="4">
        <v>45508</v>
      </c>
      <c r="E30">
        <v>2</v>
      </c>
      <c r="F30">
        <v>3599</v>
      </c>
      <c r="G30">
        <f t="shared" si="0"/>
        <v>7198</v>
      </c>
      <c r="H30" t="s">
        <v>16</v>
      </c>
      <c r="I30" t="str">
        <f>VLOOKUP(C30,库存表!$B$3:$C$33,2,FALSE)</f>
        <v>智能手机</v>
      </c>
      <c r="J30" t="s">
        <v>21</v>
      </c>
    </row>
    <row r="31" spans="1:10">
      <c r="A31">
        <v>30</v>
      </c>
      <c r="B31" t="s">
        <v>75</v>
      </c>
      <c r="C31" t="s">
        <v>76</v>
      </c>
      <c r="D31" s="4">
        <v>45505</v>
      </c>
      <c r="E31">
        <v>3</v>
      </c>
      <c r="F31">
        <v>799</v>
      </c>
      <c r="G31">
        <f t="shared" si="0"/>
        <v>2397</v>
      </c>
      <c r="H31" t="s">
        <v>20</v>
      </c>
      <c r="I31" t="str">
        <f>VLOOKUP(C31,库存表!$B$3:$C$33,2,FALSE)</f>
        <v>耳机</v>
      </c>
      <c r="J31" t="s">
        <v>13</v>
      </c>
    </row>
    <row r="32" spans="1:10">
      <c r="A32">
        <v>31</v>
      </c>
      <c r="B32" t="s">
        <v>51</v>
      </c>
      <c r="C32" t="s">
        <v>52</v>
      </c>
      <c r="D32" s="4">
        <v>45506</v>
      </c>
      <c r="E32">
        <v>2</v>
      </c>
      <c r="F32">
        <v>2499</v>
      </c>
      <c r="G32">
        <f t="shared" si="0"/>
        <v>4998</v>
      </c>
      <c r="H32" t="s">
        <v>20</v>
      </c>
      <c r="I32" t="str">
        <f>VLOOKUP(C32,库存表!$B$3:$C$33,2,FALSE)</f>
        <v>平板电脑</v>
      </c>
      <c r="J32" t="s">
        <v>26</v>
      </c>
    </row>
    <row r="33" spans="1:10">
      <c r="A33">
        <v>32</v>
      </c>
      <c r="B33" t="s">
        <v>53</v>
      </c>
      <c r="C33" t="s">
        <v>54</v>
      </c>
      <c r="D33" s="4">
        <v>45507</v>
      </c>
      <c r="E33">
        <v>1</v>
      </c>
      <c r="F33">
        <v>1699</v>
      </c>
      <c r="G33">
        <f t="shared" si="0"/>
        <v>1699</v>
      </c>
      <c r="H33" t="s">
        <v>12</v>
      </c>
      <c r="I33" t="str">
        <f>VLOOKUP(C33,库存表!$B$3:$C$33,2,FALSE)</f>
        <v>智能手表</v>
      </c>
      <c r="J33" t="s">
        <v>13</v>
      </c>
    </row>
    <row r="34" spans="1:10">
      <c r="A34">
        <v>33</v>
      </c>
      <c r="B34" t="s">
        <v>55</v>
      </c>
      <c r="C34" t="s">
        <v>56</v>
      </c>
      <c r="D34" s="4">
        <v>45508</v>
      </c>
      <c r="E34">
        <v>3</v>
      </c>
      <c r="F34">
        <v>399</v>
      </c>
      <c r="G34">
        <f t="shared" si="0"/>
        <v>1197</v>
      </c>
      <c r="H34" t="s">
        <v>16</v>
      </c>
      <c r="I34" t="str">
        <f>VLOOKUP(C34,库存表!$B$3:$C$33,2,FALSE)</f>
        <v>耳机</v>
      </c>
      <c r="J34" t="s">
        <v>17</v>
      </c>
    </row>
    <row r="35" spans="1:10">
      <c r="A35">
        <v>34</v>
      </c>
      <c r="B35" t="s">
        <v>57</v>
      </c>
      <c r="C35" t="s">
        <v>58</v>
      </c>
      <c r="D35" s="4">
        <v>45525</v>
      </c>
      <c r="E35">
        <v>2</v>
      </c>
      <c r="F35">
        <v>4999</v>
      </c>
      <c r="G35">
        <f t="shared" ref="G35:G61" si="1">E35*F35</f>
        <v>9998</v>
      </c>
      <c r="H35" t="s">
        <v>20</v>
      </c>
      <c r="I35" t="str">
        <f>VLOOKUP(C35,库存表!$B$3:$C$33,2,FALSE)</f>
        <v>笔记本电脑</v>
      </c>
      <c r="J35" t="s">
        <v>21</v>
      </c>
    </row>
    <row r="36" spans="1:10">
      <c r="A36">
        <v>35</v>
      </c>
      <c r="B36" t="s">
        <v>59</v>
      </c>
      <c r="C36" t="s">
        <v>60</v>
      </c>
      <c r="D36" s="4">
        <v>45526</v>
      </c>
      <c r="E36">
        <v>3</v>
      </c>
      <c r="F36">
        <v>2999</v>
      </c>
      <c r="G36">
        <f t="shared" si="1"/>
        <v>8997</v>
      </c>
      <c r="H36" t="s">
        <v>12</v>
      </c>
      <c r="I36" t="str">
        <f>VLOOKUP(C36,库存表!$B$3:$C$33,2,FALSE)</f>
        <v>智能手机</v>
      </c>
      <c r="J36" t="s">
        <v>26</v>
      </c>
    </row>
    <row r="37" spans="1:10">
      <c r="A37">
        <v>36</v>
      </c>
      <c r="B37" t="s">
        <v>61</v>
      </c>
      <c r="C37" t="s">
        <v>62</v>
      </c>
      <c r="D37" s="4">
        <v>45505</v>
      </c>
      <c r="E37">
        <v>2</v>
      </c>
      <c r="F37">
        <v>1899</v>
      </c>
      <c r="G37">
        <f t="shared" si="1"/>
        <v>3798</v>
      </c>
      <c r="H37" t="s">
        <v>16</v>
      </c>
      <c r="I37" t="str">
        <f>VLOOKUP(C37,库存表!$B$3:$C$33,2,FALSE)</f>
        <v>智能手表</v>
      </c>
      <c r="J37" t="s">
        <v>13</v>
      </c>
    </row>
    <row r="38" spans="1:10">
      <c r="A38">
        <v>37</v>
      </c>
      <c r="B38" t="s">
        <v>63</v>
      </c>
      <c r="C38" t="s">
        <v>64</v>
      </c>
      <c r="D38" s="4">
        <v>45506</v>
      </c>
      <c r="E38">
        <v>1</v>
      </c>
      <c r="F38">
        <v>3499</v>
      </c>
      <c r="G38">
        <f t="shared" si="1"/>
        <v>3499</v>
      </c>
      <c r="H38" t="s">
        <v>20</v>
      </c>
      <c r="I38" t="str">
        <f>VLOOKUP(C38,库存表!$B$3:$C$33,2,FALSE)</f>
        <v>智能手机</v>
      </c>
      <c r="J38" t="s">
        <v>17</v>
      </c>
    </row>
    <row r="39" spans="1:10">
      <c r="A39">
        <v>38</v>
      </c>
      <c r="B39" t="s">
        <v>67</v>
      </c>
      <c r="C39" t="s">
        <v>68</v>
      </c>
      <c r="D39" s="4">
        <v>45507</v>
      </c>
      <c r="E39">
        <v>4</v>
      </c>
      <c r="F39">
        <v>1999</v>
      </c>
      <c r="G39">
        <f t="shared" si="1"/>
        <v>7996</v>
      </c>
      <c r="H39" t="s">
        <v>16</v>
      </c>
      <c r="I39" t="str">
        <f>VLOOKUP(C39,库存表!$B$3:$C$33,2,FALSE)</f>
        <v>平板电脑</v>
      </c>
      <c r="J39" t="s">
        <v>13</v>
      </c>
    </row>
    <row r="40" spans="1:10">
      <c r="A40">
        <v>39</v>
      </c>
      <c r="B40" t="s">
        <v>69</v>
      </c>
      <c r="C40" t="s">
        <v>70</v>
      </c>
      <c r="D40" s="4">
        <v>45508</v>
      </c>
      <c r="E40">
        <v>6</v>
      </c>
      <c r="F40">
        <v>899</v>
      </c>
      <c r="G40">
        <f t="shared" si="1"/>
        <v>5394</v>
      </c>
      <c r="H40" t="s">
        <v>20</v>
      </c>
      <c r="I40" t="str">
        <f>VLOOKUP(C40,库存表!$B$3:$C$33,2,FALSE)</f>
        <v>智能手表</v>
      </c>
      <c r="J40" t="s">
        <v>26</v>
      </c>
    </row>
    <row r="41" spans="1:10">
      <c r="A41">
        <v>40</v>
      </c>
      <c r="B41" t="s">
        <v>71</v>
      </c>
      <c r="C41" t="s">
        <v>72</v>
      </c>
      <c r="D41" s="4">
        <v>45505</v>
      </c>
      <c r="E41">
        <v>1</v>
      </c>
      <c r="F41">
        <v>8499</v>
      </c>
      <c r="G41">
        <f t="shared" si="1"/>
        <v>8499</v>
      </c>
      <c r="H41" t="s">
        <v>12</v>
      </c>
      <c r="I41" t="str">
        <f>VLOOKUP(C41,库存表!$B$3:$C$33,2,FALSE)</f>
        <v>笔记本电脑</v>
      </c>
      <c r="J41" t="s">
        <v>17</v>
      </c>
    </row>
    <row r="42" spans="1:10">
      <c r="A42">
        <v>41</v>
      </c>
      <c r="B42" t="s">
        <v>73</v>
      </c>
      <c r="C42" t="s">
        <v>74</v>
      </c>
      <c r="D42" s="4">
        <v>45506</v>
      </c>
      <c r="E42">
        <v>2</v>
      </c>
      <c r="F42">
        <v>3599</v>
      </c>
      <c r="G42">
        <f t="shared" si="1"/>
        <v>7198</v>
      </c>
      <c r="H42" t="s">
        <v>16</v>
      </c>
      <c r="I42" t="str">
        <f>VLOOKUP(C42,库存表!$B$3:$C$33,2,FALSE)</f>
        <v>智能手机</v>
      </c>
      <c r="J42" t="s">
        <v>21</v>
      </c>
    </row>
    <row r="43" spans="1:10">
      <c r="A43">
        <v>42</v>
      </c>
      <c r="B43" t="s">
        <v>75</v>
      </c>
      <c r="C43" t="s">
        <v>76</v>
      </c>
      <c r="D43" s="4">
        <v>45507</v>
      </c>
      <c r="E43">
        <v>3</v>
      </c>
      <c r="F43">
        <v>799</v>
      </c>
      <c r="G43">
        <f t="shared" si="1"/>
        <v>2397</v>
      </c>
      <c r="H43" t="s">
        <v>20</v>
      </c>
      <c r="I43" t="str">
        <f>VLOOKUP(C43,库存表!$B$3:$C$33,2,FALSE)</f>
        <v>耳机</v>
      </c>
      <c r="J43" t="s">
        <v>13</v>
      </c>
    </row>
    <row r="44" spans="1:10">
      <c r="A44">
        <v>43</v>
      </c>
      <c r="B44" t="s">
        <v>51</v>
      </c>
      <c r="C44" t="s">
        <v>52</v>
      </c>
      <c r="D44" s="4">
        <v>45508</v>
      </c>
      <c r="E44">
        <v>2</v>
      </c>
      <c r="F44">
        <v>2499</v>
      </c>
      <c r="G44">
        <f t="shared" si="1"/>
        <v>4998</v>
      </c>
      <c r="H44" t="s">
        <v>20</v>
      </c>
      <c r="I44" t="str">
        <f>VLOOKUP(C44,库存表!$B$3:$C$33,2,FALSE)</f>
        <v>平板电脑</v>
      </c>
      <c r="J44" t="s">
        <v>26</v>
      </c>
    </row>
    <row r="45" spans="1:10">
      <c r="A45">
        <v>44</v>
      </c>
      <c r="B45" t="s">
        <v>53</v>
      </c>
      <c r="C45" t="s">
        <v>54</v>
      </c>
      <c r="D45" s="4">
        <v>45523</v>
      </c>
      <c r="E45">
        <v>1</v>
      </c>
      <c r="F45">
        <v>1699</v>
      </c>
      <c r="G45">
        <f t="shared" si="1"/>
        <v>1699</v>
      </c>
      <c r="H45" t="s">
        <v>12</v>
      </c>
      <c r="I45" t="str">
        <f>VLOOKUP(C45,库存表!$B$3:$C$33,2,FALSE)</f>
        <v>智能手表</v>
      </c>
      <c r="J45" t="s">
        <v>13</v>
      </c>
    </row>
    <row r="46" spans="1:10">
      <c r="A46">
        <v>45</v>
      </c>
      <c r="B46" t="s">
        <v>55</v>
      </c>
      <c r="C46" t="s">
        <v>56</v>
      </c>
      <c r="D46" s="4">
        <v>45524</v>
      </c>
      <c r="E46">
        <v>3</v>
      </c>
      <c r="F46">
        <v>399</v>
      </c>
      <c r="G46">
        <f t="shared" si="1"/>
        <v>1197</v>
      </c>
      <c r="H46" t="s">
        <v>16</v>
      </c>
      <c r="I46" t="str">
        <f>VLOOKUP(C46,库存表!$B$3:$C$33,2,FALSE)</f>
        <v>耳机</v>
      </c>
      <c r="J46" t="s">
        <v>17</v>
      </c>
    </row>
    <row r="47" spans="1:10">
      <c r="A47">
        <v>46</v>
      </c>
      <c r="B47" t="s">
        <v>41</v>
      </c>
      <c r="C47" t="s">
        <v>42</v>
      </c>
      <c r="D47" s="4">
        <v>45517</v>
      </c>
      <c r="E47">
        <v>1</v>
      </c>
      <c r="F47">
        <v>9999</v>
      </c>
      <c r="G47">
        <f t="shared" si="1"/>
        <v>9999</v>
      </c>
      <c r="H47" t="s">
        <v>12</v>
      </c>
      <c r="I47" t="str">
        <f>VLOOKUP(C47,库存表!$B$3:$C$33,2,FALSE)</f>
        <v>笔记本电脑</v>
      </c>
      <c r="J47" t="s">
        <v>13</v>
      </c>
    </row>
    <row r="48" spans="1:10">
      <c r="A48">
        <v>47</v>
      </c>
      <c r="B48" t="s">
        <v>43</v>
      </c>
      <c r="C48" t="s">
        <v>44</v>
      </c>
      <c r="D48" s="4">
        <v>45518</v>
      </c>
      <c r="E48">
        <v>1</v>
      </c>
      <c r="F48">
        <v>4999</v>
      </c>
      <c r="G48">
        <f t="shared" si="1"/>
        <v>4999</v>
      </c>
      <c r="H48" t="s">
        <v>16</v>
      </c>
      <c r="I48" t="str">
        <f>VLOOKUP(C48,库存表!$B$3:$C$33,2,FALSE)</f>
        <v>智能手机</v>
      </c>
      <c r="J48" t="s">
        <v>26</v>
      </c>
    </row>
    <row r="49" spans="1:10">
      <c r="A49">
        <v>48</v>
      </c>
      <c r="B49" t="s">
        <v>45</v>
      </c>
      <c r="C49" t="s">
        <v>46</v>
      </c>
      <c r="D49" s="4">
        <v>45519</v>
      </c>
      <c r="E49">
        <v>3</v>
      </c>
      <c r="F49">
        <v>1299</v>
      </c>
      <c r="G49">
        <f t="shared" si="1"/>
        <v>3897</v>
      </c>
      <c r="H49" t="s">
        <v>20</v>
      </c>
      <c r="I49" t="str">
        <f>VLOOKUP(C49,库存表!$B$3:$C$33,2,FALSE)</f>
        <v>智能手表</v>
      </c>
      <c r="J49" t="s">
        <v>17</v>
      </c>
    </row>
    <row r="50" spans="1:10">
      <c r="A50">
        <v>49</v>
      </c>
      <c r="B50" t="s">
        <v>47</v>
      </c>
      <c r="C50" t="s">
        <v>48</v>
      </c>
      <c r="D50" s="4">
        <v>45520</v>
      </c>
      <c r="E50">
        <v>2</v>
      </c>
      <c r="F50">
        <v>6499</v>
      </c>
      <c r="G50">
        <f t="shared" si="1"/>
        <v>12998</v>
      </c>
      <c r="H50" t="s">
        <v>12</v>
      </c>
      <c r="I50" t="str">
        <f>VLOOKUP(C50,库存表!$B$3:$C$33,2,FALSE)</f>
        <v>智能手机</v>
      </c>
      <c r="J50" t="s">
        <v>21</v>
      </c>
    </row>
    <row r="51" spans="1:10">
      <c r="A51">
        <v>50</v>
      </c>
      <c r="B51" t="s">
        <v>49</v>
      </c>
      <c r="C51" t="s">
        <v>50</v>
      </c>
      <c r="D51" s="4">
        <v>45521</v>
      </c>
      <c r="E51">
        <v>4</v>
      </c>
      <c r="F51">
        <v>2999</v>
      </c>
      <c r="G51">
        <f t="shared" si="1"/>
        <v>11996</v>
      </c>
      <c r="H51" t="s">
        <v>16</v>
      </c>
      <c r="I51" t="str">
        <f>VLOOKUP(C51,库存表!$B$3:$C$33,2,FALSE)</f>
        <v>智能手机</v>
      </c>
      <c r="J51" t="s">
        <v>13</v>
      </c>
    </row>
    <row r="52" spans="1:10">
      <c r="A52">
        <v>51</v>
      </c>
      <c r="B52" t="s">
        <v>51</v>
      </c>
      <c r="C52" t="s">
        <v>52</v>
      </c>
      <c r="D52" s="4">
        <v>45505</v>
      </c>
      <c r="E52">
        <v>2</v>
      </c>
      <c r="F52">
        <v>2499</v>
      </c>
      <c r="G52">
        <f t="shared" si="1"/>
        <v>4998</v>
      </c>
      <c r="H52" t="s">
        <v>20</v>
      </c>
      <c r="I52" t="str">
        <f>VLOOKUP(C52,库存表!$B$3:$C$33,2,FALSE)</f>
        <v>平板电脑</v>
      </c>
      <c r="J52" t="s">
        <v>26</v>
      </c>
    </row>
    <row r="53" spans="1:10">
      <c r="A53">
        <v>52</v>
      </c>
      <c r="B53" t="s">
        <v>53</v>
      </c>
      <c r="C53" t="s">
        <v>54</v>
      </c>
      <c r="D53" s="4">
        <v>45506</v>
      </c>
      <c r="E53">
        <v>1</v>
      </c>
      <c r="F53">
        <v>1699</v>
      </c>
      <c r="G53">
        <f t="shared" si="1"/>
        <v>1699</v>
      </c>
      <c r="H53" t="s">
        <v>12</v>
      </c>
      <c r="I53" t="str">
        <f>VLOOKUP(C53,库存表!$B$3:$C$33,2,FALSE)</f>
        <v>智能手表</v>
      </c>
      <c r="J53" t="s">
        <v>13</v>
      </c>
    </row>
    <row r="54" spans="1:10">
      <c r="A54">
        <v>53</v>
      </c>
      <c r="B54" t="s">
        <v>14</v>
      </c>
      <c r="C54" t="s">
        <v>15</v>
      </c>
      <c r="D54" s="4">
        <v>45507</v>
      </c>
      <c r="E54">
        <v>1</v>
      </c>
      <c r="F54">
        <v>6999</v>
      </c>
      <c r="G54">
        <f t="shared" si="1"/>
        <v>6999</v>
      </c>
      <c r="H54" t="s">
        <v>16</v>
      </c>
      <c r="I54" t="str">
        <f>VLOOKUP(C54,库存表!$B$3:$C$33,2,FALSE)</f>
        <v>智能手机</v>
      </c>
      <c r="J54" t="s">
        <v>17</v>
      </c>
    </row>
    <row r="55" spans="1:10">
      <c r="A55">
        <v>54</v>
      </c>
      <c r="B55" t="s">
        <v>18</v>
      </c>
      <c r="C55" t="s">
        <v>19</v>
      </c>
      <c r="D55" s="4">
        <v>45508</v>
      </c>
      <c r="E55">
        <v>3</v>
      </c>
      <c r="F55">
        <v>2999</v>
      </c>
      <c r="G55">
        <f t="shared" si="1"/>
        <v>8997</v>
      </c>
      <c r="H55" t="s">
        <v>20</v>
      </c>
      <c r="I55" t="str">
        <f>VLOOKUP(C55,库存表!$B$3:$C$33,2,FALSE)</f>
        <v>平板电脑</v>
      </c>
      <c r="J55" t="s">
        <v>21</v>
      </c>
    </row>
    <row r="56" spans="1:10">
      <c r="A56">
        <v>55</v>
      </c>
      <c r="B56" t="s">
        <v>22</v>
      </c>
      <c r="C56" t="s">
        <v>23</v>
      </c>
      <c r="D56" s="4">
        <v>45508</v>
      </c>
      <c r="E56">
        <v>5</v>
      </c>
      <c r="F56">
        <v>1399</v>
      </c>
      <c r="G56">
        <f t="shared" si="1"/>
        <v>6995</v>
      </c>
      <c r="H56" t="s">
        <v>12</v>
      </c>
      <c r="I56" t="str">
        <f>VLOOKUP(C56,库存表!$B$3:$C$33,2,FALSE)</f>
        <v>智能手表</v>
      </c>
      <c r="J56" t="s">
        <v>13</v>
      </c>
    </row>
    <row r="57" spans="1:10">
      <c r="A57">
        <v>56</v>
      </c>
      <c r="B57" t="s">
        <v>24</v>
      </c>
      <c r="C57" t="s">
        <v>25</v>
      </c>
      <c r="D57" s="4">
        <v>45509</v>
      </c>
      <c r="E57">
        <v>4</v>
      </c>
      <c r="F57">
        <v>1199</v>
      </c>
      <c r="G57">
        <f t="shared" si="1"/>
        <v>4796</v>
      </c>
      <c r="H57" t="s">
        <v>16</v>
      </c>
      <c r="I57" t="str">
        <f>VLOOKUP(C57,库存表!$B$3:$C$33,2,FALSE)</f>
        <v>耳机</v>
      </c>
      <c r="J57" t="s">
        <v>26</v>
      </c>
    </row>
    <row r="58" spans="1:10">
      <c r="A58">
        <v>57</v>
      </c>
      <c r="B58" t="s">
        <v>27</v>
      </c>
      <c r="C58" t="s">
        <v>28</v>
      </c>
      <c r="D58" s="4">
        <v>45505</v>
      </c>
      <c r="E58">
        <v>2</v>
      </c>
      <c r="F58">
        <v>7499</v>
      </c>
      <c r="G58">
        <f t="shared" si="1"/>
        <v>14998</v>
      </c>
      <c r="H58" t="s">
        <v>20</v>
      </c>
      <c r="I58" t="str">
        <f>VLOOKUP(C58,库存表!$B$3:$C$33,2,FALSE)</f>
        <v>笔记本电脑</v>
      </c>
      <c r="J58" t="s">
        <v>17</v>
      </c>
    </row>
    <row r="59" spans="1:10">
      <c r="A59">
        <v>58</v>
      </c>
      <c r="B59" t="s">
        <v>29</v>
      </c>
      <c r="C59" t="s">
        <v>30</v>
      </c>
      <c r="D59" s="4">
        <v>45506</v>
      </c>
      <c r="E59">
        <v>1</v>
      </c>
      <c r="F59">
        <v>4999</v>
      </c>
      <c r="G59">
        <f t="shared" si="1"/>
        <v>4999</v>
      </c>
      <c r="H59" t="s">
        <v>12</v>
      </c>
      <c r="I59" t="str">
        <f>VLOOKUP(C59,库存表!$B$3:$C$33,2,FALSE)</f>
        <v>智能手机</v>
      </c>
      <c r="J59" t="s">
        <v>21</v>
      </c>
    </row>
    <row r="60" spans="1:10">
      <c r="A60">
        <v>59</v>
      </c>
      <c r="B60" t="s">
        <v>22</v>
      </c>
      <c r="C60" t="s">
        <v>23</v>
      </c>
      <c r="D60" s="4">
        <v>45507</v>
      </c>
      <c r="E60">
        <v>5</v>
      </c>
      <c r="F60">
        <v>1399</v>
      </c>
      <c r="G60">
        <f t="shared" si="1"/>
        <v>6995</v>
      </c>
      <c r="H60" t="s">
        <v>12</v>
      </c>
      <c r="I60" t="str">
        <f>VLOOKUP(C60,库存表!$B$3:$C$33,2,FALSE)</f>
        <v>智能手表</v>
      </c>
      <c r="J60" t="s">
        <v>13</v>
      </c>
    </row>
    <row r="61" spans="1:10">
      <c r="A61">
        <v>60</v>
      </c>
      <c r="B61" t="s">
        <v>24</v>
      </c>
      <c r="C61" t="s">
        <v>25</v>
      </c>
      <c r="D61" s="4">
        <v>45508</v>
      </c>
      <c r="E61">
        <v>4</v>
      </c>
      <c r="F61">
        <v>1199</v>
      </c>
      <c r="G61">
        <f t="shared" si="1"/>
        <v>4796</v>
      </c>
      <c r="H61" t="s">
        <v>16</v>
      </c>
      <c r="I61" t="str">
        <f>VLOOKUP(C61,库存表!$B$3:$C$33,2,FALSE)</f>
        <v>耳机</v>
      </c>
      <c r="J61" t="s">
        <v>26</v>
      </c>
    </row>
  </sheetData>
  <conditionalFormatting sqref="F2:F61">
    <cfRule type="cellIs" dxfId="0" priority="1" operator="notBetween">
      <formula>1000</formula>
      <formula>7000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33"/>
  <sheetViews>
    <sheetView workbookViewId="0">
      <selection activeCell="M12" sqref="M12"/>
    </sheetView>
  </sheetViews>
  <sheetFormatPr defaultColWidth="9" defaultRowHeight="13.5" outlineLevelCol="5"/>
  <cols>
    <col min="1" max="1" width="9" style="1"/>
    <col min="2" max="2" width="20.125" style="1" customWidth="1"/>
    <col min="3" max="3" width="10.875" style="1" customWidth="1"/>
    <col min="4" max="6" width="9" style="1"/>
  </cols>
  <sheetData>
    <row r="1" spans="1:6">
      <c r="A1" s="2" t="s">
        <v>77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 t="s">
        <v>8</v>
      </c>
      <c r="D3" s="3" t="s">
        <v>5</v>
      </c>
      <c r="E3" s="3" t="s">
        <v>78</v>
      </c>
      <c r="F3" s="3" t="s">
        <v>79</v>
      </c>
    </row>
    <row r="4" spans="1:6">
      <c r="A4" s="3" t="s">
        <v>10</v>
      </c>
      <c r="B4" s="3" t="s">
        <v>11</v>
      </c>
      <c r="C4" s="3" t="s">
        <v>80</v>
      </c>
      <c r="D4" s="3">
        <v>4999</v>
      </c>
      <c r="E4" s="3">
        <v>50</v>
      </c>
      <c r="F4" s="3" t="str">
        <f>IF(E4&lt;50,"缺货","不缺货")</f>
        <v>不缺货</v>
      </c>
    </row>
    <row r="5" spans="1:6">
      <c r="A5" s="3" t="s">
        <v>14</v>
      </c>
      <c r="B5" s="3" t="s">
        <v>15</v>
      </c>
      <c r="C5" s="3" t="s">
        <v>80</v>
      </c>
      <c r="D5" s="3">
        <v>6999</v>
      </c>
      <c r="E5" s="3">
        <v>30</v>
      </c>
      <c r="F5" s="3" t="str">
        <f t="shared" ref="F5:F33" si="0">IF(E5&lt;50,"缺货","不缺货")</f>
        <v>缺货</v>
      </c>
    </row>
    <row r="6" spans="1:6">
      <c r="A6" s="3" t="s">
        <v>18</v>
      </c>
      <c r="B6" s="3" t="s">
        <v>19</v>
      </c>
      <c r="C6" s="3" t="s">
        <v>81</v>
      </c>
      <c r="D6" s="3">
        <v>2999</v>
      </c>
      <c r="E6" s="3">
        <v>70</v>
      </c>
      <c r="F6" s="3" t="str">
        <f t="shared" si="0"/>
        <v>不缺货</v>
      </c>
    </row>
    <row r="7" spans="1:6">
      <c r="A7" s="3" t="s">
        <v>22</v>
      </c>
      <c r="B7" s="3" t="s">
        <v>23</v>
      </c>
      <c r="C7" s="3" t="s">
        <v>82</v>
      </c>
      <c r="D7" s="3">
        <v>1399</v>
      </c>
      <c r="E7" s="3">
        <v>60</v>
      </c>
      <c r="F7" s="3" t="str">
        <f t="shared" si="0"/>
        <v>不缺货</v>
      </c>
    </row>
    <row r="8" spans="1:6">
      <c r="A8" s="3" t="s">
        <v>24</v>
      </c>
      <c r="B8" s="3" t="s">
        <v>25</v>
      </c>
      <c r="C8" s="3" t="s">
        <v>83</v>
      </c>
      <c r="D8" s="3">
        <v>1199</v>
      </c>
      <c r="E8" s="3">
        <v>80</v>
      </c>
      <c r="F8" s="3" t="str">
        <f t="shared" si="0"/>
        <v>不缺货</v>
      </c>
    </row>
    <row r="9" spans="1:6">
      <c r="A9" s="3" t="s">
        <v>27</v>
      </c>
      <c r="B9" s="3" t="s">
        <v>28</v>
      </c>
      <c r="C9" s="3" t="s">
        <v>84</v>
      </c>
      <c r="D9" s="3">
        <v>7499</v>
      </c>
      <c r="E9" s="3">
        <v>40</v>
      </c>
      <c r="F9" s="3" t="str">
        <f t="shared" si="0"/>
        <v>缺货</v>
      </c>
    </row>
    <row r="10" spans="1:6">
      <c r="A10" s="3" t="s">
        <v>29</v>
      </c>
      <c r="B10" s="3" t="s">
        <v>30</v>
      </c>
      <c r="C10" s="3" t="s">
        <v>80</v>
      </c>
      <c r="D10" s="3">
        <v>4999</v>
      </c>
      <c r="E10" s="3">
        <v>50</v>
      </c>
      <c r="F10" s="3" t="str">
        <f t="shared" si="0"/>
        <v>不缺货</v>
      </c>
    </row>
    <row r="11" spans="1:6">
      <c r="A11" s="3" t="s">
        <v>31</v>
      </c>
      <c r="B11" s="3" t="s">
        <v>32</v>
      </c>
      <c r="C11" s="3" t="s">
        <v>80</v>
      </c>
      <c r="D11" s="3">
        <v>16999</v>
      </c>
      <c r="E11" s="3">
        <v>20</v>
      </c>
      <c r="F11" s="3" t="str">
        <f t="shared" si="0"/>
        <v>缺货</v>
      </c>
    </row>
    <row r="12" spans="1:6">
      <c r="A12" s="3" t="s">
        <v>33</v>
      </c>
      <c r="B12" s="3" t="s">
        <v>34</v>
      </c>
      <c r="C12" s="3" t="s">
        <v>82</v>
      </c>
      <c r="D12" s="3">
        <v>699</v>
      </c>
      <c r="E12" s="3">
        <v>90</v>
      </c>
      <c r="F12" s="3" t="str">
        <f t="shared" si="0"/>
        <v>不缺货</v>
      </c>
    </row>
    <row r="13" spans="1:6">
      <c r="A13" s="3" t="s">
        <v>35</v>
      </c>
      <c r="B13" s="3" t="s">
        <v>36</v>
      </c>
      <c r="C13" s="3" t="s">
        <v>81</v>
      </c>
      <c r="D13" s="3">
        <v>3999</v>
      </c>
      <c r="E13" s="3">
        <v>50</v>
      </c>
      <c r="F13" s="3" t="str">
        <f t="shared" si="0"/>
        <v>不缺货</v>
      </c>
    </row>
    <row r="14" spans="1:6">
      <c r="A14" s="3" t="s">
        <v>37</v>
      </c>
      <c r="B14" s="3" t="s">
        <v>38</v>
      </c>
      <c r="C14" s="3" t="s">
        <v>80</v>
      </c>
      <c r="D14" s="3">
        <v>3999</v>
      </c>
      <c r="E14" s="3">
        <v>40</v>
      </c>
      <c r="F14" s="3" t="str">
        <f t="shared" si="0"/>
        <v>缺货</v>
      </c>
    </row>
    <row r="15" spans="1:6">
      <c r="A15" s="3" t="s">
        <v>39</v>
      </c>
      <c r="B15" s="3" t="s">
        <v>40</v>
      </c>
      <c r="C15" s="3" t="s">
        <v>83</v>
      </c>
      <c r="D15" s="3">
        <v>799</v>
      </c>
      <c r="E15" s="3">
        <v>60</v>
      </c>
      <c r="F15" s="3" t="str">
        <f t="shared" si="0"/>
        <v>不缺货</v>
      </c>
    </row>
    <row r="16" spans="1:6">
      <c r="A16" s="3" t="s">
        <v>41</v>
      </c>
      <c r="B16" s="3" t="s">
        <v>42</v>
      </c>
      <c r="C16" s="3" t="s">
        <v>84</v>
      </c>
      <c r="D16" s="3">
        <v>9999</v>
      </c>
      <c r="E16" s="3">
        <v>25</v>
      </c>
      <c r="F16" s="3" t="str">
        <f t="shared" si="0"/>
        <v>缺货</v>
      </c>
    </row>
    <row r="17" spans="1:6">
      <c r="A17" s="3" t="s">
        <v>43</v>
      </c>
      <c r="B17" s="3" t="s">
        <v>44</v>
      </c>
      <c r="C17" s="3" t="s">
        <v>80</v>
      </c>
      <c r="D17" s="3">
        <v>4999</v>
      </c>
      <c r="E17" s="3">
        <v>35</v>
      </c>
      <c r="F17" s="3" t="str">
        <f t="shared" si="0"/>
        <v>缺货</v>
      </c>
    </row>
    <row r="18" spans="1:6">
      <c r="A18" s="3" t="s">
        <v>45</v>
      </c>
      <c r="B18" s="3" t="s">
        <v>46</v>
      </c>
      <c r="C18" s="3" t="s">
        <v>82</v>
      </c>
      <c r="D18" s="3">
        <v>1299</v>
      </c>
      <c r="E18" s="3">
        <v>75</v>
      </c>
      <c r="F18" s="3" t="str">
        <f t="shared" si="0"/>
        <v>不缺货</v>
      </c>
    </row>
    <row r="19" spans="1:6">
      <c r="A19" s="3" t="s">
        <v>47</v>
      </c>
      <c r="B19" s="3" t="s">
        <v>48</v>
      </c>
      <c r="C19" s="3" t="s">
        <v>80</v>
      </c>
      <c r="D19" s="3">
        <v>6499</v>
      </c>
      <c r="E19" s="3">
        <v>30</v>
      </c>
      <c r="F19" s="3" t="str">
        <f t="shared" si="0"/>
        <v>缺货</v>
      </c>
    </row>
    <row r="20" spans="1:6">
      <c r="A20" s="3" t="s">
        <v>49</v>
      </c>
      <c r="B20" s="3" t="s">
        <v>50</v>
      </c>
      <c r="C20" s="3" t="s">
        <v>80</v>
      </c>
      <c r="D20" s="3">
        <v>2999</v>
      </c>
      <c r="E20" s="3">
        <v>50</v>
      </c>
      <c r="F20" s="3" t="str">
        <f t="shared" si="0"/>
        <v>不缺货</v>
      </c>
    </row>
    <row r="21" spans="1:6">
      <c r="A21" s="3" t="s">
        <v>51</v>
      </c>
      <c r="B21" s="3" t="s">
        <v>52</v>
      </c>
      <c r="C21" s="3" t="s">
        <v>81</v>
      </c>
      <c r="D21" s="3">
        <v>2499</v>
      </c>
      <c r="E21" s="3">
        <v>60</v>
      </c>
      <c r="F21" s="3" t="str">
        <f t="shared" si="0"/>
        <v>不缺货</v>
      </c>
    </row>
    <row r="22" spans="1:6">
      <c r="A22" s="3" t="s">
        <v>53</v>
      </c>
      <c r="B22" s="3" t="s">
        <v>54</v>
      </c>
      <c r="C22" s="3" t="s">
        <v>82</v>
      </c>
      <c r="D22" s="3">
        <v>1699</v>
      </c>
      <c r="E22" s="3">
        <v>40</v>
      </c>
      <c r="F22" s="3" t="str">
        <f t="shared" si="0"/>
        <v>缺货</v>
      </c>
    </row>
    <row r="23" spans="1:6">
      <c r="A23" s="3" t="s">
        <v>55</v>
      </c>
      <c r="B23" s="3" t="s">
        <v>56</v>
      </c>
      <c r="C23" s="3" t="s">
        <v>83</v>
      </c>
      <c r="D23" s="3">
        <v>399</v>
      </c>
      <c r="E23" s="3">
        <v>70</v>
      </c>
      <c r="F23" s="3" t="str">
        <f t="shared" si="0"/>
        <v>不缺货</v>
      </c>
    </row>
    <row r="24" spans="1:6">
      <c r="A24" s="3" t="s">
        <v>57</v>
      </c>
      <c r="B24" s="3" t="s">
        <v>58</v>
      </c>
      <c r="C24" s="3" t="s">
        <v>84</v>
      </c>
      <c r="D24" s="3">
        <v>4999</v>
      </c>
      <c r="E24" s="3">
        <v>35</v>
      </c>
      <c r="F24" s="3" t="str">
        <f t="shared" si="0"/>
        <v>缺货</v>
      </c>
    </row>
    <row r="25" spans="1:6">
      <c r="A25" s="3" t="s">
        <v>59</v>
      </c>
      <c r="B25" s="3" t="s">
        <v>60</v>
      </c>
      <c r="C25" s="3" t="s">
        <v>80</v>
      </c>
      <c r="D25" s="3">
        <v>2999</v>
      </c>
      <c r="E25" s="3">
        <v>55</v>
      </c>
      <c r="F25" s="3" t="str">
        <f t="shared" si="0"/>
        <v>不缺货</v>
      </c>
    </row>
    <row r="26" spans="1:6">
      <c r="A26" s="3" t="s">
        <v>61</v>
      </c>
      <c r="B26" s="3" t="s">
        <v>62</v>
      </c>
      <c r="C26" s="3" t="s">
        <v>82</v>
      </c>
      <c r="D26" s="3">
        <v>1899</v>
      </c>
      <c r="E26" s="3">
        <v>30</v>
      </c>
      <c r="F26" s="3" t="str">
        <f t="shared" si="0"/>
        <v>缺货</v>
      </c>
    </row>
    <row r="27" spans="1:6">
      <c r="A27" s="3" t="s">
        <v>63</v>
      </c>
      <c r="B27" s="3" t="s">
        <v>64</v>
      </c>
      <c r="C27" s="3" t="s">
        <v>80</v>
      </c>
      <c r="D27" s="3">
        <v>3499</v>
      </c>
      <c r="E27" s="3">
        <v>20</v>
      </c>
      <c r="F27" s="3" t="str">
        <f t="shared" si="0"/>
        <v>缺货</v>
      </c>
    </row>
    <row r="28" spans="1:6">
      <c r="A28" s="3" t="s">
        <v>65</v>
      </c>
      <c r="B28" s="3" t="s">
        <v>66</v>
      </c>
      <c r="C28" s="3" t="s">
        <v>80</v>
      </c>
      <c r="D28" s="3">
        <v>2499</v>
      </c>
      <c r="E28" s="3">
        <v>60</v>
      </c>
      <c r="F28" s="3" t="str">
        <f t="shared" si="0"/>
        <v>不缺货</v>
      </c>
    </row>
    <row r="29" spans="1:6">
      <c r="A29" s="3" t="s">
        <v>67</v>
      </c>
      <c r="B29" s="3" t="s">
        <v>68</v>
      </c>
      <c r="C29" s="3" t="s">
        <v>81</v>
      </c>
      <c r="D29" s="3">
        <v>1999</v>
      </c>
      <c r="E29" s="3">
        <v>50</v>
      </c>
      <c r="F29" s="3" t="str">
        <f t="shared" si="0"/>
        <v>不缺货</v>
      </c>
    </row>
    <row r="30" spans="1:6">
      <c r="A30" s="3" t="s">
        <v>69</v>
      </c>
      <c r="B30" s="3" t="s">
        <v>70</v>
      </c>
      <c r="C30" s="3" t="s">
        <v>82</v>
      </c>
      <c r="D30" s="3">
        <v>899</v>
      </c>
      <c r="E30" s="3">
        <v>70</v>
      </c>
      <c r="F30" s="3" t="str">
        <f t="shared" si="0"/>
        <v>不缺货</v>
      </c>
    </row>
    <row r="31" spans="1:6">
      <c r="A31" s="3" t="s">
        <v>71</v>
      </c>
      <c r="B31" s="3" t="s">
        <v>72</v>
      </c>
      <c r="C31" s="3" t="s">
        <v>84</v>
      </c>
      <c r="D31" s="3">
        <v>8499</v>
      </c>
      <c r="E31" s="3">
        <v>20</v>
      </c>
      <c r="F31" s="3" t="str">
        <f t="shared" si="0"/>
        <v>缺货</v>
      </c>
    </row>
    <row r="32" spans="1:6">
      <c r="A32" s="3" t="s">
        <v>73</v>
      </c>
      <c r="B32" s="3" t="s">
        <v>74</v>
      </c>
      <c r="C32" s="3" t="s">
        <v>80</v>
      </c>
      <c r="D32" s="3">
        <v>3599</v>
      </c>
      <c r="E32" s="3">
        <v>30</v>
      </c>
      <c r="F32" s="3" t="str">
        <f t="shared" si="0"/>
        <v>缺货</v>
      </c>
    </row>
    <row r="33" spans="1:6">
      <c r="A33" s="3" t="s">
        <v>75</v>
      </c>
      <c r="B33" s="3" t="s">
        <v>76</v>
      </c>
      <c r="C33" s="3" t="s">
        <v>83</v>
      </c>
      <c r="D33" s="3">
        <v>799</v>
      </c>
      <c r="E33" s="3">
        <v>50</v>
      </c>
      <c r="F33" s="3" t="str">
        <f t="shared" si="0"/>
        <v>不缺货</v>
      </c>
    </row>
  </sheetData>
  <mergeCells count="1">
    <mergeCell ref="A1:F2"/>
  </mergeCells>
  <pageMargins left="0.786805555555556" right="0.786805555555556" top="0.751388888888889" bottom="0.751388888888889" header="0.298611111111111" footer="0.298611111111111"/>
  <pageSetup paperSize="9" scale="130" firstPageNumber="2" orientation="portrait" useFirstPageNumber="1" horizontalDpi="600"/>
  <headerFooter>
    <oddHeader>&amp;C库存记录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E34" sqref="E34"/>
    </sheetView>
  </sheetViews>
  <sheetFormatPr defaultColWidth="9" defaultRowHeight="13.5" outlineLevelCol="2"/>
  <cols>
    <col min="1" max="1" width="20.125" customWidth="1"/>
  </cols>
  <sheetData>
    <row r="1" spans="1:3">
      <c r="A1" t="s">
        <v>2</v>
      </c>
      <c r="B1" t="s">
        <v>6</v>
      </c>
      <c r="C1" t="s">
        <v>7</v>
      </c>
    </row>
    <row r="2" spans="1:3">
      <c r="A2" t="s">
        <v>11</v>
      </c>
      <c r="B2">
        <v>9998</v>
      </c>
      <c r="C2" t="s">
        <v>12</v>
      </c>
    </row>
    <row r="3" spans="1:3">
      <c r="A3" t="s">
        <v>23</v>
      </c>
      <c r="B3">
        <v>6995</v>
      </c>
      <c r="C3" t="s">
        <v>12</v>
      </c>
    </row>
    <row r="4" spans="1:3">
      <c r="A4" t="s">
        <v>30</v>
      </c>
      <c r="B4">
        <v>4999</v>
      </c>
      <c r="C4" t="s">
        <v>12</v>
      </c>
    </row>
    <row r="5" spans="1:3">
      <c r="A5" t="s">
        <v>36</v>
      </c>
      <c r="B5">
        <v>3999</v>
      </c>
      <c r="C5" t="s">
        <v>12</v>
      </c>
    </row>
    <row r="6" spans="1:3">
      <c r="A6" t="s">
        <v>42</v>
      </c>
      <c r="B6">
        <v>9999</v>
      </c>
      <c r="C6" t="s">
        <v>12</v>
      </c>
    </row>
    <row r="7" spans="1:3">
      <c r="A7" t="s">
        <v>48</v>
      </c>
      <c r="B7">
        <v>12998</v>
      </c>
      <c r="C7" t="s">
        <v>12</v>
      </c>
    </row>
    <row r="8" spans="1:3">
      <c r="A8" t="s">
        <v>54</v>
      </c>
      <c r="B8">
        <v>1699</v>
      </c>
      <c r="C8" t="s">
        <v>12</v>
      </c>
    </row>
    <row r="9" spans="1:3">
      <c r="A9" t="s">
        <v>60</v>
      </c>
      <c r="B9">
        <v>8997</v>
      </c>
      <c r="C9" t="s">
        <v>12</v>
      </c>
    </row>
    <row r="10" spans="1:3">
      <c r="A10" t="s">
        <v>66</v>
      </c>
      <c r="B10">
        <v>12495</v>
      </c>
      <c r="C10" t="s">
        <v>12</v>
      </c>
    </row>
    <row r="11" spans="1:3">
      <c r="A11" t="s">
        <v>72</v>
      </c>
      <c r="B11">
        <v>8499</v>
      </c>
      <c r="C11" t="s">
        <v>12</v>
      </c>
    </row>
    <row r="12" spans="1:3">
      <c r="A12" t="s">
        <v>54</v>
      </c>
      <c r="B12">
        <v>1699</v>
      </c>
      <c r="C12" t="s">
        <v>12</v>
      </c>
    </row>
    <row r="13" spans="1:3">
      <c r="A13" t="s">
        <v>60</v>
      </c>
      <c r="B13">
        <v>8997</v>
      </c>
      <c r="C13" t="s">
        <v>12</v>
      </c>
    </row>
    <row r="14" spans="1:3">
      <c r="A14" t="s">
        <v>72</v>
      </c>
      <c r="B14">
        <v>8499</v>
      </c>
      <c r="C14" t="s">
        <v>12</v>
      </c>
    </row>
    <row r="15" spans="1:3">
      <c r="A15" t="s">
        <v>54</v>
      </c>
      <c r="B15">
        <v>1699</v>
      </c>
      <c r="C15" t="s">
        <v>12</v>
      </c>
    </row>
    <row r="16" spans="1:3">
      <c r="A16" t="s">
        <v>42</v>
      </c>
      <c r="B16">
        <v>9999</v>
      </c>
      <c r="C16" t="s">
        <v>12</v>
      </c>
    </row>
    <row r="17" spans="1:3">
      <c r="A17" t="s">
        <v>48</v>
      </c>
      <c r="B17">
        <v>12998</v>
      </c>
      <c r="C17" t="s">
        <v>12</v>
      </c>
    </row>
    <row r="18" spans="1:3">
      <c r="A18" t="s">
        <v>54</v>
      </c>
      <c r="B18">
        <v>1699</v>
      </c>
      <c r="C18" t="s">
        <v>12</v>
      </c>
    </row>
    <row r="19" spans="1:3">
      <c r="A19" t="s">
        <v>23</v>
      </c>
      <c r="B19">
        <v>6995</v>
      </c>
      <c r="C19" t="s">
        <v>12</v>
      </c>
    </row>
    <row r="20" spans="1:3">
      <c r="A20" t="s">
        <v>30</v>
      </c>
      <c r="B20">
        <v>4999</v>
      </c>
      <c r="C20" t="s">
        <v>12</v>
      </c>
    </row>
    <row r="21" spans="1:3">
      <c r="A21" t="s">
        <v>23</v>
      </c>
      <c r="B21">
        <v>6995</v>
      </c>
      <c r="C21" t="s">
        <v>12</v>
      </c>
    </row>
    <row r="22" spans="1:3">
      <c r="A22" t="s">
        <v>15</v>
      </c>
      <c r="B22">
        <v>6999</v>
      </c>
      <c r="C22" t="s">
        <v>16</v>
      </c>
    </row>
    <row r="23" spans="1:3">
      <c r="A23" t="s">
        <v>25</v>
      </c>
      <c r="B23">
        <v>4796</v>
      </c>
      <c r="C23" t="s">
        <v>16</v>
      </c>
    </row>
    <row r="24" spans="1:3">
      <c r="A24" t="s">
        <v>32</v>
      </c>
      <c r="B24">
        <v>16999</v>
      </c>
      <c r="C24" t="s">
        <v>16</v>
      </c>
    </row>
    <row r="25" spans="1:3">
      <c r="A25" t="s">
        <v>38</v>
      </c>
      <c r="B25">
        <v>11997</v>
      </c>
      <c r="C25" t="s">
        <v>16</v>
      </c>
    </row>
    <row r="26" spans="1:3">
      <c r="A26" t="s">
        <v>44</v>
      </c>
      <c r="B26">
        <v>4999</v>
      </c>
      <c r="C26" t="s">
        <v>16</v>
      </c>
    </row>
    <row r="27" spans="1:3">
      <c r="A27" t="s">
        <v>50</v>
      </c>
      <c r="B27">
        <v>11996</v>
      </c>
      <c r="C27" t="s">
        <v>16</v>
      </c>
    </row>
    <row r="28" spans="1:3">
      <c r="A28" t="s">
        <v>56</v>
      </c>
      <c r="B28">
        <v>1197</v>
      </c>
      <c r="C28" t="s">
        <v>16</v>
      </c>
    </row>
    <row r="29" spans="1:3">
      <c r="A29" t="s">
        <v>62</v>
      </c>
      <c r="B29">
        <v>3798</v>
      </c>
      <c r="C29" t="s">
        <v>16</v>
      </c>
    </row>
    <row r="30" spans="1:3">
      <c r="A30" t="s">
        <v>68</v>
      </c>
      <c r="B30">
        <v>7996</v>
      </c>
      <c r="C30" t="s">
        <v>16</v>
      </c>
    </row>
    <row r="31" spans="1:3">
      <c r="A31" t="s">
        <v>74</v>
      </c>
      <c r="B31">
        <v>7198</v>
      </c>
      <c r="C31" t="s">
        <v>16</v>
      </c>
    </row>
    <row r="32" spans="1:3">
      <c r="A32" t="s">
        <v>56</v>
      </c>
      <c r="B32">
        <v>1197</v>
      </c>
      <c r="C32" t="s">
        <v>16</v>
      </c>
    </row>
    <row r="33" spans="1:3">
      <c r="A33" t="s">
        <v>62</v>
      </c>
      <c r="B33">
        <v>3798</v>
      </c>
      <c r="C33" t="s">
        <v>16</v>
      </c>
    </row>
    <row r="34" spans="1:3">
      <c r="A34" t="s">
        <v>68</v>
      </c>
      <c r="B34">
        <v>7996</v>
      </c>
      <c r="C34" t="s">
        <v>16</v>
      </c>
    </row>
    <row r="35" spans="1:3">
      <c r="A35" t="s">
        <v>74</v>
      </c>
      <c r="B35">
        <v>7198</v>
      </c>
      <c r="C35" t="s">
        <v>16</v>
      </c>
    </row>
    <row r="36" spans="1:3">
      <c r="A36" t="s">
        <v>56</v>
      </c>
      <c r="B36">
        <v>1197</v>
      </c>
      <c r="C36" t="s">
        <v>16</v>
      </c>
    </row>
    <row r="37" spans="1:3">
      <c r="A37" t="s">
        <v>44</v>
      </c>
      <c r="B37">
        <v>4999</v>
      </c>
      <c r="C37" t="s">
        <v>16</v>
      </c>
    </row>
    <row r="38" spans="1:3">
      <c r="A38" t="s">
        <v>50</v>
      </c>
      <c r="B38">
        <v>11996</v>
      </c>
      <c r="C38" t="s">
        <v>16</v>
      </c>
    </row>
    <row r="39" spans="1:3">
      <c r="A39" t="s">
        <v>15</v>
      </c>
      <c r="B39">
        <v>6999</v>
      </c>
      <c r="C39" t="s">
        <v>16</v>
      </c>
    </row>
    <row r="40" spans="1:3">
      <c r="A40" t="s">
        <v>25</v>
      </c>
      <c r="B40">
        <v>4796</v>
      </c>
      <c r="C40" t="s">
        <v>16</v>
      </c>
    </row>
    <row r="41" spans="1:3">
      <c r="A41" t="s">
        <v>25</v>
      </c>
      <c r="B41">
        <v>4796</v>
      </c>
      <c r="C41" t="s">
        <v>16</v>
      </c>
    </row>
    <row r="42" spans="1:3">
      <c r="A42" t="s">
        <v>19</v>
      </c>
      <c r="B42">
        <v>8997</v>
      </c>
      <c r="C42" t="s">
        <v>20</v>
      </c>
    </row>
    <row r="43" spans="1:3">
      <c r="A43" t="s">
        <v>28</v>
      </c>
      <c r="B43">
        <v>14998</v>
      </c>
      <c r="C43" t="s">
        <v>20</v>
      </c>
    </row>
    <row r="44" spans="1:3">
      <c r="A44" t="s">
        <v>34</v>
      </c>
      <c r="B44">
        <v>4194</v>
      </c>
      <c r="C44" t="s">
        <v>20</v>
      </c>
    </row>
    <row r="45" spans="1:3">
      <c r="A45" t="s">
        <v>40</v>
      </c>
      <c r="B45">
        <v>1598</v>
      </c>
      <c r="C45" t="s">
        <v>20</v>
      </c>
    </row>
    <row r="46" spans="1:3">
      <c r="A46" t="s">
        <v>46</v>
      </c>
      <c r="B46">
        <v>3897</v>
      </c>
      <c r="C46" t="s">
        <v>20</v>
      </c>
    </row>
    <row r="47" spans="1:3">
      <c r="A47" t="s">
        <v>52</v>
      </c>
      <c r="B47">
        <v>4998</v>
      </c>
      <c r="C47" t="s">
        <v>20</v>
      </c>
    </row>
    <row r="48" spans="1:3">
      <c r="A48" t="s">
        <v>58</v>
      </c>
      <c r="B48">
        <v>9998</v>
      </c>
      <c r="C48" t="s">
        <v>20</v>
      </c>
    </row>
    <row r="49" spans="1:3">
      <c r="A49" t="s">
        <v>64</v>
      </c>
      <c r="B49">
        <v>3499</v>
      </c>
      <c r="C49" t="s">
        <v>20</v>
      </c>
    </row>
    <row r="50" spans="1:3">
      <c r="A50" t="s">
        <v>70</v>
      </c>
      <c r="B50">
        <v>5394</v>
      </c>
      <c r="C50" t="s">
        <v>20</v>
      </c>
    </row>
    <row r="51" spans="1:3">
      <c r="A51" t="s">
        <v>76</v>
      </c>
      <c r="B51">
        <v>2397</v>
      </c>
      <c r="C51" t="s">
        <v>20</v>
      </c>
    </row>
    <row r="52" spans="1:3">
      <c r="A52" t="s">
        <v>52</v>
      </c>
      <c r="B52">
        <v>4998</v>
      </c>
      <c r="C52" t="s">
        <v>20</v>
      </c>
    </row>
    <row r="53" spans="1:3">
      <c r="A53" t="s">
        <v>58</v>
      </c>
      <c r="B53">
        <v>9998</v>
      </c>
      <c r="C53" t="s">
        <v>20</v>
      </c>
    </row>
    <row r="54" spans="1:3">
      <c r="A54" t="s">
        <v>64</v>
      </c>
      <c r="B54">
        <v>3499</v>
      </c>
      <c r="C54" t="s">
        <v>20</v>
      </c>
    </row>
    <row r="55" spans="1:3">
      <c r="A55" t="s">
        <v>70</v>
      </c>
      <c r="B55">
        <v>5394</v>
      </c>
      <c r="C55" t="s">
        <v>20</v>
      </c>
    </row>
    <row r="56" spans="1:3">
      <c r="A56" t="s">
        <v>76</v>
      </c>
      <c r="B56">
        <v>2397</v>
      </c>
      <c r="C56" t="s">
        <v>20</v>
      </c>
    </row>
    <row r="57" spans="1:3">
      <c r="A57" t="s">
        <v>52</v>
      </c>
      <c r="B57">
        <v>4998</v>
      </c>
      <c r="C57" t="s">
        <v>20</v>
      </c>
    </row>
    <row r="58" spans="1:3">
      <c r="A58" t="s">
        <v>46</v>
      </c>
      <c r="B58">
        <v>3897</v>
      </c>
      <c r="C58" t="s">
        <v>20</v>
      </c>
    </row>
    <row r="59" spans="1:3">
      <c r="A59" t="s">
        <v>52</v>
      </c>
      <c r="B59">
        <v>4998</v>
      </c>
      <c r="C59" t="s">
        <v>20</v>
      </c>
    </row>
    <row r="60" spans="1:3">
      <c r="A60" t="s">
        <v>19</v>
      </c>
      <c r="B60">
        <v>8997</v>
      </c>
      <c r="C60" t="s">
        <v>20</v>
      </c>
    </row>
    <row r="61" spans="1:3">
      <c r="A61" t="s">
        <v>28</v>
      </c>
      <c r="B61">
        <v>14998</v>
      </c>
      <c r="C61" t="s">
        <v>20</v>
      </c>
    </row>
  </sheetData>
  <sortState ref="A2:C61">
    <sortCondition ref="C2:C61"/>
  </sortState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20" sqref="A20"/>
    </sheetView>
  </sheetViews>
  <sheetFormatPr defaultColWidth="9" defaultRowHeight="13.5" outlineLevelCol="1"/>
  <cols>
    <col min="1" max="1" width="16.875"/>
    <col min="2" max="2" width="15"/>
    <col min="3" max="3" width="12.75"/>
  </cols>
  <sheetData>
    <row r="1" spans="1:2">
      <c r="A1" t="s">
        <v>9</v>
      </c>
      <c r="B1" t="s">
        <v>17</v>
      </c>
    </row>
    <row r="3" spans="1:2">
      <c r="A3" t="s">
        <v>2</v>
      </c>
      <c r="B3" t="s">
        <v>85</v>
      </c>
    </row>
    <row r="4" spans="1:2">
      <c r="A4" t="s">
        <v>56</v>
      </c>
      <c r="B4">
        <v>399</v>
      </c>
    </row>
    <row r="5" spans="1:2">
      <c r="A5" t="s">
        <v>64</v>
      </c>
      <c r="B5">
        <v>3499</v>
      </c>
    </row>
    <row r="6" spans="1:2">
      <c r="A6" t="s">
        <v>15</v>
      </c>
      <c r="B6">
        <v>6999</v>
      </c>
    </row>
    <row r="7" spans="1:2">
      <c r="A7" t="s">
        <v>28</v>
      </c>
      <c r="B7">
        <v>7499</v>
      </c>
    </row>
    <row r="8" spans="1:2">
      <c r="A8" t="s">
        <v>72</v>
      </c>
      <c r="B8">
        <v>8499</v>
      </c>
    </row>
    <row r="9" spans="1:2">
      <c r="A9" t="s">
        <v>38</v>
      </c>
      <c r="B9">
        <v>3999</v>
      </c>
    </row>
    <row r="10" spans="1:2">
      <c r="A10" t="s">
        <v>46</v>
      </c>
      <c r="B10">
        <v>1299</v>
      </c>
    </row>
    <row r="11" spans="1:2">
      <c r="A11" t="s">
        <v>86</v>
      </c>
      <c r="B11">
        <v>4341.85714285714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库存表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大风歌</cp:lastModifiedBy>
  <dcterms:created xsi:type="dcterms:W3CDTF">2023-05-12T11:15:00Z</dcterms:created>
  <dcterms:modified xsi:type="dcterms:W3CDTF">2024-09-20T05:55:19Z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A75A9F0E402D4324BBE593725FBD09F1_12</vt:lpwstr>
  </property>
</Properties>
</file>
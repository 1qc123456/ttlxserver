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1"/>
  </bookViews>
  <sheets>
    <sheet name="Sheet1" sheetId="1" r:id="rId1"/>
    <sheet name="Sheet2" sheetId="2" r:id="rId2"/>
    <sheet name="奖金" sheetId="3" r:id="rId3"/>
  </sheets>
  <calcPr calcId="144525"/>
</workbook>
</file>

<file path=xl/calcChain.xml><?xml version="1.0" encoding="utf-8"?>
<calcChain xmlns="http://schemas.openxmlformats.org/spreadsheetml/2006/main">
  <c r="A11" i="2" l="1"/>
  <c r="C7" i="1" l="1"/>
  <c r="D7" i="1"/>
  <c r="E7" i="1"/>
  <c r="F7" i="1"/>
  <c r="B7" i="1"/>
</calcChain>
</file>

<file path=xl/comments1.xml><?xml version="1.0" encoding="utf-8"?>
<comments xmlns="http://schemas.openxmlformats.org/spreadsheetml/2006/main">
  <authors>
    <author>SD</author>
  </authors>
  <commentList>
    <comment ref="C2" authorId="0">
      <text>
        <r>
          <rPr>
            <b/>
            <sz val="9"/>
            <color indexed="81"/>
            <rFont val="宋体"/>
            <family val="3"/>
            <charset val="134"/>
          </rPr>
          <t>万元</t>
        </r>
      </text>
    </comment>
  </commentList>
</comments>
</file>

<file path=xl/sharedStrings.xml><?xml version="1.0" encoding="utf-8"?>
<sst xmlns="http://schemas.openxmlformats.org/spreadsheetml/2006/main" count="42" uniqueCount="40">
  <si>
    <t>项目</t>
    <phoneticPr fontId="1" type="noConversion"/>
  </si>
  <si>
    <t>产品销售收入</t>
    <phoneticPr fontId="1" type="noConversion"/>
  </si>
  <si>
    <t>产品销售成本</t>
    <phoneticPr fontId="1" type="noConversion"/>
  </si>
  <si>
    <t>产品销售费用</t>
    <phoneticPr fontId="1" type="noConversion"/>
  </si>
  <si>
    <t>产品销售税金</t>
    <phoneticPr fontId="1" type="noConversion"/>
  </si>
  <si>
    <t>产品销售利税</t>
    <phoneticPr fontId="1" type="noConversion"/>
  </si>
  <si>
    <t>合计</t>
    <phoneticPr fontId="1" type="noConversion"/>
  </si>
  <si>
    <t>产品</t>
    <phoneticPr fontId="1" type="noConversion"/>
  </si>
  <si>
    <t>年月</t>
    <phoneticPr fontId="1" type="noConversion"/>
  </si>
  <si>
    <t>销售额</t>
    <phoneticPr fontId="1" type="noConversion"/>
  </si>
  <si>
    <t>代理商</t>
    <phoneticPr fontId="1" type="noConversion"/>
  </si>
  <si>
    <t>地区</t>
    <phoneticPr fontId="1" type="noConversion"/>
  </si>
  <si>
    <t>电视机</t>
    <phoneticPr fontId="1" type="noConversion"/>
  </si>
  <si>
    <t>北京</t>
    <phoneticPr fontId="1" type="noConversion"/>
  </si>
  <si>
    <t>音响</t>
    <phoneticPr fontId="1" type="noConversion"/>
  </si>
  <si>
    <t>天津</t>
    <phoneticPr fontId="1" type="noConversion"/>
  </si>
  <si>
    <t>广州</t>
    <phoneticPr fontId="1" type="noConversion"/>
  </si>
  <si>
    <t>计算机</t>
    <phoneticPr fontId="1" type="noConversion"/>
  </si>
  <si>
    <t>深圳</t>
    <phoneticPr fontId="1" type="noConversion"/>
  </si>
  <si>
    <t>空调</t>
    <phoneticPr fontId="1" type="noConversion"/>
  </si>
  <si>
    <t xml:space="preserve">推销人员奖金计算表 </t>
    <phoneticPr fontId="1" type="noConversion"/>
  </si>
  <si>
    <t>姓名</t>
    <phoneticPr fontId="1" type="noConversion"/>
  </si>
  <si>
    <t>产品数量</t>
    <phoneticPr fontId="1" type="noConversion"/>
  </si>
  <si>
    <t>单价</t>
    <phoneticPr fontId="1" type="noConversion"/>
  </si>
  <si>
    <t>奖金</t>
    <phoneticPr fontId="1" type="noConversion"/>
  </si>
  <si>
    <t>宋祖明</t>
    <phoneticPr fontId="1" type="noConversion"/>
  </si>
  <si>
    <t>黄鸣放</t>
    <phoneticPr fontId="1" type="noConversion"/>
  </si>
  <si>
    <t>王孟</t>
    <phoneticPr fontId="1" type="noConversion"/>
  </si>
  <si>
    <t>杨铁</t>
    <phoneticPr fontId="1" type="noConversion"/>
  </si>
  <si>
    <t>战国集团</t>
    <phoneticPr fontId="1" type="noConversion"/>
  </si>
  <si>
    <t>秦国</t>
    <phoneticPr fontId="1" type="noConversion"/>
  </si>
  <si>
    <t>齐国</t>
    <phoneticPr fontId="1" type="noConversion"/>
  </si>
  <si>
    <t>楚国</t>
    <phoneticPr fontId="1" type="noConversion"/>
  </si>
  <si>
    <t>燕国</t>
    <phoneticPr fontId="1" type="noConversion"/>
  </si>
  <si>
    <t>魏国</t>
    <phoneticPr fontId="1" type="noConversion"/>
  </si>
  <si>
    <r>
      <t>2014</t>
    </r>
    <r>
      <rPr>
        <sz val="12"/>
        <rFont val="宋体"/>
        <charset val="134"/>
      </rPr>
      <t>年</t>
    </r>
    <phoneticPr fontId="1" type="noConversion"/>
  </si>
  <si>
    <r>
      <t>2015年</t>
    </r>
    <r>
      <rPr>
        <sz val="12"/>
        <rFont val="宋体"/>
        <charset val="134"/>
      </rPr>
      <t/>
    </r>
  </si>
  <si>
    <r>
      <t>2016年</t>
    </r>
    <r>
      <rPr>
        <sz val="12"/>
        <rFont val="宋体"/>
        <charset val="134"/>
      </rPr>
      <t/>
    </r>
  </si>
  <si>
    <r>
      <t>2017年</t>
    </r>
    <r>
      <rPr>
        <sz val="12"/>
        <rFont val="宋体"/>
        <charset val="134"/>
      </rPr>
      <t/>
    </r>
  </si>
  <si>
    <r>
      <t>2018年</t>
    </r>
    <r>
      <rPr>
        <sz val="12"/>
        <rFont val="宋体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</si>
</sst>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  <font>
      <sz val="11"/>
      <name val="宋体"/>
      <charset val="134"/>
    </font>
    <font>
      <sz val="18"/>
      <name val="隶书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0" fillId="0" borderId="0" xfId="2" applyFont="1"/>
    <xf numFmtId="17" fontId="0" fillId="0" borderId="0" xfId="2" applyNumberFormat="1" applyFont="1"/>
    <xf numFmtId="0" fontId="3" fillId="0" borderId="0" xfId="1" applyAlignment="1">
      <alignment vertical="justify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 vertical="center" wrapText="1"/>
    </xf>
  </cellXfs>
  <cellStyles count="3">
    <cellStyle name="常规" xfId="0" builtinId="0"/>
    <cellStyle name="常规_Sheet2" xfId="1"/>
    <cellStyle name="常规_Sheet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奖金!$D$2</c:f>
              <c:strCache>
                <c:ptCount val="1"/>
                <c:pt idx="0">
                  <c:v>奖金</c:v>
                </c:pt>
              </c:strCache>
            </c:strRef>
          </c:tx>
          <c:invertIfNegative val="0"/>
          <c:cat>
            <c:strRef>
              <c:f>奖金!$A$3:$A$6</c:f>
              <c:strCache>
                <c:ptCount val="4"/>
                <c:pt idx="0">
                  <c:v>宋祖明</c:v>
                </c:pt>
                <c:pt idx="1">
                  <c:v>黄鸣放</c:v>
                </c:pt>
                <c:pt idx="2">
                  <c:v>王孟</c:v>
                </c:pt>
                <c:pt idx="3">
                  <c:v>杨铁</c:v>
                </c:pt>
              </c:strCache>
            </c:strRef>
          </c:cat>
          <c:val>
            <c:numRef>
              <c:f>奖金!$D$3:$D$6</c:f>
              <c:numCache>
                <c:formatCode>General</c:formatCode>
                <c:ptCount val="4"/>
                <c:pt idx="0">
                  <c:v>1335</c:v>
                </c:pt>
                <c:pt idx="1">
                  <c:v>2670</c:v>
                </c:pt>
                <c:pt idx="2">
                  <c:v>0</c:v>
                </c:pt>
                <c:pt idx="3">
                  <c:v>2003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244410240"/>
        <c:axId val="244411776"/>
        <c:axId val="0"/>
      </c:bar3DChart>
      <c:catAx>
        <c:axId val="244410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44411776"/>
        <c:crosses val="autoZero"/>
        <c:auto val="1"/>
        <c:lblAlgn val="ctr"/>
        <c:lblOffset val="100"/>
        <c:noMultiLvlLbl val="0"/>
      </c:catAx>
      <c:valAx>
        <c:axId val="244411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41024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33337</xdr:rowOff>
    </xdr:from>
    <xdr:to>
      <xdr:col>7</xdr:col>
      <xdr:colOff>476250</xdr:colOff>
      <xdr:row>23</xdr:row>
      <xdr:rowOff>61912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M13" sqref="M13"/>
    </sheetView>
  </sheetViews>
  <sheetFormatPr defaultRowHeight="14.25"/>
  <cols>
    <col min="1" max="1" width="13.875" bestFit="1" customWidth="1"/>
  </cols>
  <sheetData>
    <row r="1" spans="1:6" ht="20.100000000000001" customHeight="1" thickTop="1">
      <c r="A1" s="4" t="s">
        <v>0</v>
      </c>
      <c r="B1" s="5" t="s">
        <v>35</v>
      </c>
      <c r="C1" s="5" t="s">
        <v>36</v>
      </c>
      <c r="D1" s="5" t="s">
        <v>37</v>
      </c>
      <c r="E1" s="5" t="s">
        <v>38</v>
      </c>
      <c r="F1" s="6" t="s">
        <v>39</v>
      </c>
    </row>
    <row r="2" spans="1:6">
      <c r="A2" s="7" t="s">
        <v>1</v>
      </c>
      <c r="B2" s="8">
        <v>900</v>
      </c>
      <c r="C2" s="9">
        <v>1015</v>
      </c>
      <c r="D2" s="9">
        <v>1146</v>
      </c>
      <c r="E2" s="9">
        <v>1226</v>
      </c>
      <c r="F2" s="10">
        <v>1335</v>
      </c>
    </row>
    <row r="3" spans="1:6">
      <c r="A3" s="7" t="s">
        <v>2</v>
      </c>
      <c r="B3" s="8">
        <v>701</v>
      </c>
      <c r="C3" s="9">
        <v>792</v>
      </c>
      <c r="D3" s="9">
        <v>991</v>
      </c>
      <c r="E3" s="9">
        <v>1008</v>
      </c>
      <c r="F3" s="10">
        <v>1068</v>
      </c>
    </row>
    <row r="4" spans="1:6">
      <c r="A4" s="7" t="s">
        <v>3</v>
      </c>
      <c r="B4" s="8">
        <v>10</v>
      </c>
      <c r="C4" s="9">
        <v>11</v>
      </c>
      <c r="D4" s="9">
        <v>12</v>
      </c>
      <c r="E4" s="9">
        <v>16</v>
      </c>
      <c r="F4" s="10">
        <v>20</v>
      </c>
    </row>
    <row r="5" spans="1:6">
      <c r="A5" s="7" t="s">
        <v>4</v>
      </c>
      <c r="B5" s="8">
        <v>49.5</v>
      </c>
      <c r="C5" s="9">
        <v>55.8</v>
      </c>
      <c r="D5" s="9">
        <v>63</v>
      </c>
      <c r="E5" s="9">
        <v>69.2</v>
      </c>
      <c r="F5" s="10">
        <v>73</v>
      </c>
    </row>
    <row r="6" spans="1:6">
      <c r="A6" s="7" t="s">
        <v>5</v>
      </c>
      <c r="B6" s="8">
        <v>139.5</v>
      </c>
      <c r="C6" s="9">
        <v>156.19999999999999</v>
      </c>
      <c r="D6" s="9">
        <v>160</v>
      </c>
      <c r="E6" s="9">
        <v>172.8</v>
      </c>
      <c r="F6" s="10">
        <v>174</v>
      </c>
    </row>
    <row r="7" spans="1:6" ht="15" thickBot="1">
      <c r="A7" s="11" t="s">
        <v>6</v>
      </c>
      <c r="B7" s="12">
        <f>SUM(B2:B6)</f>
        <v>1800</v>
      </c>
      <c r="C7" s="12">
        <f t="shared" ref="C7:F7" si="0">SUM(C2:C6)</f>
        <v>2030</v>
      </c>
      <c r="D7" s="12">
        <f t="shared" si="0"/>
        <v>2372</v>
      </c>
      <c r="E7" s="12">
        <f t="shared" si="0"/>
        <v>2492</v>
      </c>
      <c r="F7" s="13">
        <f t="shared" si="0"/>
        <v>2670</v>
      </c>
    </row>
    <row r="8" spans="1:6" ht="15" thickTop="1"/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11" sqref="A11"/>
    </sheetView>
  </sheetViews>
  <sheetFormatPr defaultRowHeight="14.25"/>
  <sheetData>
    <row r="1" spans="1:5" ht="22.5">
      <c r="A1" s="14" t="s">
        <v>29</v>
      </c>
      <c r="B1" s="14"/>
      <c r="C1" s="14"/>
      <c r="D1" s="14"/>
      <c r="E1" s="14"/>
    </row>
    <row r="2" spans="1: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>
      <c r="A3" s="1" t="s">
        <v>14</v>
      </c>
      <c r="B3" s="2">
        <v>33664</v>
      </c>
      <c r="C3" s="1">
        <v>6000</v>
      </c>
      <c r="D3" s="1" t="s">
        <v>32</v>
      </c>
      <c r="E3" s="1" t="s">
        <v>16</v>
      </c>
    </row>
    <row r="4" spans="1:5">
      <c r="A4" s="1" t="s">
        <v>14</v>
      </c>
      <c r="B4" s="2">
        <v>33635</v>
      </c>
      <c r="C4" s="1">
        <v>5000</v>
      </c>
      <c r="D4" s="1" t="s">
        <v>31</v>
      </c>
      <c r="E4" s="1" t="s">
        <v>15</v>
      </c>
    </row>
    <row r="5" spans="1:5">
      <c r="A5" s="1" t="s">
        <v>12</v>
      </c>
      <c r="B5" s="2">
        <v>33604</v>
      </c>
      <c r="C5" s="1">
        <v>3500</v>
      </c>
      <c r="D5" s="1" t="s">
        <v>30</v>
      </c>
      <c r="E5" s="1" t="s">
        <v>13</v>
      </c>
    </row>
    <row r="6" spans="1:5">
      <c r="A6" s="1" t="s">
        <v>17</v>
      </c>
      <c r="B6" s="2">
        <v>34060</v>
      </c>
      <c r="C6" s="1">
        <v>1992</v>
      </c>
      <c r="D6" s="1" t="s">
        <v>33</v>
      </c>
      <c r="E6" s="1" t="s">
        <v>18</v>
      </c>
    </row>
    <row r="7" spans="1:5">
      <c r="A7" s="1" t="s">
        <v>19</v>
      </c>
      <c r="B7" s="2">
        <v>33725</v>
      </c>
      <c r="C7" s="1">
        <v>350</v>
      </c>
      <c r="D7" s="1" t="s">
        <v>34</v>
      </c>
      <c r="E7" s="1" t="s">
        <v>13</v>
      </c>
    </row>
    <row r="11" spans="1:5">
      <c r="A11">
        <f>SUMIF(A3:A7,"音响",C3:C7)</f>
        <v>11000</v>
      </c>
    </row>
  </sheetData>
  <sortState ref="A3:E7">
    <sortCondition descending="1" ref="C3:C7"/>
  </sortState>
  <mergeCells count="1">
    <mergeCell ref="A1:E1"/>
  </mergeCells>
  <phoneticPr fontId="1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J18" sqref="J18"/>
    </sheetView>
  </sheetViews>
  <sheetFormatPr defaultRowHeight="14.25"/>
  <sheetData>
    <row r="1" spans="1:4">
      <c r="A1" s="15" t="s">
        <v>20</v>
      </c>
      <c r="B1" s="15"/>
      <c r="C1" s="15"/>
      <c r="D1" s="15"/>
    </row>
    <row r="2" spans="1:4">
      <c r="A2" s="3" t="s">
        <v>21</v>
      </c>
      <c r="B2" s="3" t="s">
        <v>22</v>
      </c>
      <c r="C2" s="3" t="s">
        <v>23</v>
      </c>
      <c r="D2" s="3" t="s">
        <v>24</v>
      </c>
    </row>
    <row r="3" spans="1:4">
      <c r="A3" s="3" t="s">
        <v>25</v>
      </c>
      <c r="B3" s="3">
        <v>100</v>
      </c>
      <c r="C3" s="3">
        <v>890</v>
      </c>
      <c r="D3" s="3">
        <v>1335</v>
      </c>
    </row>
    <row r="4" spans="1:4">
      <c r="A4" s="3" t="s">
        <v>26</v>
      </c>
      <c r="B4" s="3">
        <v>200</v>
      </c>
      <c r="C4" s="3">
        <v>890</v>
      </c>
      <c r="D4" s="3">
        <v>2670</v>
      </c>
    </row>
    <row r="5" spans="1:4">
      <c r="A5" s="3" t="s">
        <v>27</v>
      </c>
      <c r="B5" s="3">
        <v>80</v>
      </c>
      <c r="C5" s="3">
        <v>890</v>
      </c>
      <c r="D5" s="3">
        <v>0</v>
      </c>
    </row>
    <row r="6" spans="1:4">
      <c r="A6" s="3" t="s">
        <v>28</v>
      </c>
      <c r="B6" s="3">
        <v>150</v>
      </c>
      <c r="C6" s="3">
        <v>890</v>
      </c>
      <c r="D6" s="3">
        <v>2003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奖金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用户</cp:lastModifiedBy>
  <dcterms:created xsi:type="dcterms:W3CDTF">1996-12-17T01:32:42Z</dcterms:created>
  <dcterms:modified xsi:type="dcterms:W3CDTF">2020-07-06T03:59:38Z</dcterms:modified>
</cp:coreProperties>
</file>
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50" windowWidth="8505" windowHeight="4500" activeTab="1"/>
  </bookViews>
  <sheets>
    <sheet name="期中成绩表" sheetId="1" r:id="rId1"/>
    <sheet name="Sheet2" sheetId="2" r:id="rId2"/>
    <sheet name="筛选" sheetId="3" r:id="rId3"/>
    <sheet name="分类汇总" sheetId="6" r:id="rId4"/>
    <sheet name="图表" sheetId="5" r:id="rId5"/>
  </sheets>
  <definedNames>
    <definedName name="_xlnm._FilterDatabase" localSheetId="1" hidden="1">Sheet2!$D$2:$F$29</definedName>
    <definedName name="_xlnm._FilterDatabase" localSheetId="2" hidden="1">筛选!$A$1:$C$4</definedName>
    <definedName name="_xlnm.Criteria" localSheetId="2">筛选!$A$1:$C$4</definedName>
    <definedName name="_xlnm.Extract" localSheetId="2">筛选!$A$8:$I$8</definedName>
  </definedNames>
  <calcPr calcId="145621"/>
</workbook>
</file>

<file path=xl/calcChain.xml><?xml version="1.0" encoding="utf-8"?>
<calcChain xmlns="http://schemas.openxmlformats.org/spreadsheetml/2006/main">
  <c r="F31" i="6" l="1"/>
  <c r="E31" i="6"/>
  <c r="D31" i="6"/>
  <c r="F17" i="6"/>
  <c r="E17" i="6"/>
  <c r="D17" i="6"/>
  <c r="F8" i="6"/>
  <c r="F32" i="6" s="1"/>
  <c r="E8" i="6"/>
  <c r="E32" i="6" s="1"/>
  <c r="D8" i="6"/>
  <c r="D32" i="6" s="1"/>
  <c r="L7" i="6"/>
  <c r="K7" i="6"/>
  <c r="A7" i="6"/>
  <c r="L6" i="6"/>
  <c r="K6" i="6"/>
  <c r="A6" i="6"/>
  <c r="L5" i="6"/>
  <c r="K5" i="6"/>
  <c r="A5" i="6"/>
  <c r="L4" i="6"/>
  <c r="K4" i="6"/>
  <c r="A4" i="6"/>
  <c r="L3" i="6"/>
  <c r="K3" i="6"/>
  <c r="A3" i="6"/>
  <c r="L2" i="6"/>
  <c r="K2" i="6"/>
  <c r="A2" i="6"/>
  <c r="L16" i="6"/>
  <c r="K16" i="6"/>
  <c r="A16" i="6"/>
  <c r="L15" i="6"/>
  <c r="K15" i="6"/>
  <c r="A15" i="6"/>
  <c r="L14" i="6"/>
  <c r="K14" i="6"/>
  <c r="A14" i="6"/>
  <c r="L13" i="6"/>
  <c r="K13" i="6"/>
  <c r="A13" i="6"/>
  <c r="L12" i="6"/>
  <c r="K12" i="6"/>
  <c r="A12" i="6"/>
  <c r="L11" i="6"/>
  <c r="K11" i="6"/>
  <c r="A11" i="6"/>
  <c r="L10" i="6"/>
  <c r="K10" i="6"/>
  <c r="A10" i="6"/>
  <c r="L9" i="6"/>
  <c r="K9" i="6"/>
  <c r="K17" i="6" s="1"/>
  <c r="A9" i="6"/>
  <c r="L30" i="6"/>
  <c r="K30" i="6"/>
  <c r="A30" i="6"/>
  <c r="L29" i="6"/>
  <c r="K29" i="6"/>
  <c r="A29" i="6"/>
  <c r="L28" i="6"/>
  <c r="K28" i="6"/>
  <c r="A28" i="6"/>
  <c r="L27" i="6"/>
  <c r="K27" i="6"/>
  <c r="A27" i="6"/>
  <c r="L26" i="6"/>
  <c r="K26" i="6"/>
  <c r="A26" i="6"/>
  <c r="L25" i="6"/>
  <c r="K25" i="6"/>
  <c r="A25" i="6"/>
  <c r="L24" i="6"/>
  <c r="K24" i="6"/>
  <c r="A24" i="6"/>
  <c r="L23" i="6"/>
  <c r="K23" i="6"/>
  <c r="A23" i="6"/>
  <c r="L22" i="6"/>
  <c r="K22" i="6"/>
  <c r="A22" i="6"/>
  <c r="L21" i="6"/>
  <c r="K21" i="6"/>
  <c r="A21" i="6"/>
  <c r="L20" i="6"/>
  <c r="K20" i="6"/>
  <c r="A20" i="6"/>
  <c r="L19" i="6"/>
  <c r="K19" i="6"/>
  <c r="A19" i="6"/>
  <c r="L18" i="6"/>
  <c r="K18" i="6"/>
  <c r="K31" i="6" s="1"/>
  <c r="A18" i="6"/>
  <c r="K8" i="6" l="1"/>
  <c r="K32" i="6" s="1"/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" i="2"/>
</calcChain>
</file>

<file path=xl/sharedStrings.xml><?xml version="1.0" encoding="utf-8"?>
<sst xmlns="http://schemas.openxmlformats.org/spreadsheetml/2006/main" count="252" uniqueCount="74">
  <si>
    <t>姓名</t>
  </si>
  <si>
    <t>语文</t>
  </si>
  <si>
    <t>数学</t>
  </si>
  <si>
    <t>英语</t>
  </si>
  <si>
    <t>c20118</t>
    <phoneticPr fontId="1" type="noConversion"/>
  </si>
  <si>
    <t>c11310</t>
    <phoneticPr fontId="1" type="noConversion"/>
  </si>
  <si>
    <t>c31306</t>
    <phoneticPr fontId="1" type="noConversion"/>
  </si>
  <si>
    <t>c11312</t>
    <phoneticPr fontId="1" type="noConversion"/>
  </si>
  <si>
    <t>c11304</t>
    <phoneticPr fontId="1" type="noConversion"/>
  </si>
  <si>
    <t>c11303</t>
    <phoneticPr fontId="1" type="noConversion"/>
  </si>
  <si>
    <t>c21312</t>
    <phoneticPr fontId="1" type="noConversion"/>
  </si>
  <si>
    <t>c11306</t>
    <phoneticPr fontId="1" type="noConversion"/>
  </si>
  <si>
    <t>c11302</t>
    <phoneticPr fontId="1" type="noConversion"/>
  </si>
  <si>
    <t>c21326</t>
    <phoneticPr fontId="1" type="noConversion"/>
  </si>
  <si>
    <t>c31305</t>
    <phoneticPr fontId="1" type="noConversion"/>
  </si>
  <si>
    <t>c11309</t>
    <phoneticPr fontId="1" type="noConversion"/>
  </si>
  <si>
    <t>c11311</t>
    <phoneticPr fontId="1" type="noConversion"/>
  </si>
  <si>
    <t>c21320</t>
    <phoneticPr fontId="1" type="noConversion"/>
  </si>
  <si>
    <t>c31322</t>
    <phoneticPr fontId="1" type="noConversion"/>
  </si>
  <si>
    <t>c11367</t>
    <phoneticPr fontId="1" type="noConversion"/>
  </si>
  <si>
    <t>c11362</t>
    <phoneticPr fontId="1" type="noConversion"/>
  </si>
  <si>
    <t>c21366</t>
    <phoneticPr fontId="1" type="noConversion"/>
  </si>
  <si>
    <t>c31315</t>
    <phoneticPr fontId="1" type="noConversion"/>
  </si>
  <si>
    <t>c31328</t>
    <phoneticPr fontId="1" type="noConversion"/>
  </si>
  <si>
    <t>c21329</t>
    <phoneticPr fontId="1" type="noConversion"/>
  </si>
  <si>
    <t>c11305</t>
    <phoneticPr fontId="1" type="noConversion"/>
  </si>
  <si>
    <t>c11366</t>
    <phoneticPr fontId="1" type="noConversion"/>
  </si>
  <si>
    <t>c21355</t>
    <phoneticPr fontId="1" type="noConversion"/>
  </si>
  <si>
    <t>c31320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</si>
  <si>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</si>
  <si>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</si>
  <si>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</si>
  <si>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历史</t>
    <phoneticPr fontId="1" type="noConversion"/>
  </si>
  <si>
    <t>c21350</t>
    <phoneticPr fontId="1" type="noConversion"/>
  </si>
  <si>
    <t>胡晓兵</t>
    <phoneticPr fontId="1" type="noConversion"/>
  </si>
  <si>
    <t>黄心迪</t>
    <phoneticPr fontId="1" type="noConversion"/>
  </si>
  <si>
    <t>王欣雨</t>
    <phoneticPr fontId="1" type="noConversion"/>
  </si>
  <si>
    <t>程本基</t>
    <phoneticPr fontId="1" type="noConversion"/>
  </si>
  <si>
    <t>邵军</t>
    <phoneticPr fontId="1" type="noConversion"/>
  </si>
  <si>
    <t>陈新平</t>
    <phoneticPr fontId="1" type="noConversion"/>
  </si>
  <si>
    <t>刘彬彬</t>
    <phoneticPr fontId="1" type="noConversion"/>
  </si>
  <si>
    <t>吴健树</t>
    <phoneticPr fontId="1" type="noConversion"/>
  </si>
  <si>
    <t>李东敏</t>
    <phoneticPr fontId="1" type="noConversion"/>
  </si>
  <si>
    <t>金凯</t>
    <phoneticPr fontId="1" type="noConversion"/>
  </si>
  <si>
    <t>孙汉臣</t>
    <phoneticPr fontId="1" type="noConversion"/>
  </si>
  <si>
    <t>严和平</t>
    <phoneticPr fontId="1" type="noConversion"/>
  </si>
  <si>
    <t>刘燕</t>
    <phoneticPr fontId="1" type="noConversion"/>
  </si>
  <si>
    <t>欧阳飞</t>
    <phoneticPr fontId="1" type="noConversion"/>
  </si>
  <si>
    <t>殷美娟</t>
    <phoneticPr fontId="1" type="noConversion"/>
  </si>
  <si>
    <t>汪津</t>
    <phoneticPr fontId="1" type="noConversion"/>
  </si>
  <si>
    <t>陈松</t>
    <phoneticPr fontId="1" type="noConversion"/>
  </si>
  <si>
    <t>邓康</t>
    <phoneticPr fontId="1" type="noConversion"/>
  </si>
  <si>
    <t>李晓</t>
    <phoneticPr fontId="1" type="noConversion"/>
  </si>
  <si>
    <t>王铭</t>
    <phoneticPr fontId="1" type="noConversion"/>
  </si>
  <si>
    <t>严枝</t>
    <phoneticPr fontId="1" type="noConversion"/>
  </si>
  <si>
    <t>高靖</t>
    <phoneticPr fontId="1" type="noConversion"/>
  </si>
  <si>
    <t>李阳阳</t>
    <phoneticPr fontId="1" type="noConversion"/>
  </si>
  <si>
    <t>陈松军</t>
    <phoneticPr fontId="1" type="noConversion"/>
  </si>
  <si>
    <t>雪莉花</t>
    <phoneticPr fontId="1" type="noConversion"/>
  </si>
  <si>
    <t>李江一</t>
    <phoneticPr fontId="1" type="noConversion"/>
  </si>
  <si>
    <t>单奇</t>
    <phoneticPr fontId="1" type="noConversion"/>
  </si>
  <si>
    <t>学号</t>
    <phoneticPr fontId="1" type="noConversion"/>
  </si>
  <si>
    <t>总分</t>
    <phoneticPr fontId="1" type="noConversion"/>
  </si>
  <si>
    <t>2019年高一部分学生期中成绩汇总表</t>
    <phoneticPr fontId="1" type="noConversion"/>
  </si>
  <si>
    <t>班级</t>
    <phoneticPr fontId="1" type="noConversion"/>
  </si>
  <si>
    <t>等级</t>
    <phoneticPr fontId="1" type="noConversion"/>
  </si>
  <si>
    <t>语文</t>
    <phoneticPr fontId="1" type="noConversion"/>
  </si>
  <si>
    <t>&gt;=120</t>
    <phoneticPr fontId="1" type="noConversion"/>
  </si>
  <si>
    <t>数学</t>
    <phoneticPr fontId="1" type="noConversion"/>
  </si>
  <si>
    <t>英语</t>
    <phoneticPr fontId="1" type="noConversion"/>
  </si>
  <si>
    <t>c3 平均值</t>
  </si>
  <si>
    <t>c2 平均值</t>
  </si>
  <si>
    <t>c1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</si>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</sst>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2"/>
      <name val="华文楷体"/>
      <family val="3"/>
      <charset val="134"/>
    </font>
    <font>
      <b/>
      <sz val="12"/>
      <name val="宋体"/>
      <family val="3"/>
      <charset val="134"/>
    </font>
    <font>
      <b/>
      <sz val="16"/>
      <color rgb="FF7030A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FF0000"/>
      </left>
      <right style="double">
        <color rgb="FF00B050"/>
      </right>
      <top style="thick">
        <color rgb="FFFF000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thick">
        <color rgb="FFFF0000"/>
      </top>
      <bottom style="double">
        <color rgb="FF00B050"/>
      </bottom>
      <diagonal/>
    </border>
    <border>
      <left style="double">
        <color rgb="FF00B050"/>
      </left>
      <right style="thick">
        <color rgb="FFFF0000"/>
      </right>
      <top style="thick">
        <color rgb="FFFF0000"/>
      </top>
      <bottom style="double">
        <color rgb="FF00B050"/>
      </bottom>
      <diagonal/>
    </border>
    <border>
      <left style="thick">
        <color rgb="FFFF000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thick">
        <color rgb="FFFF0000"/>
      </right>
      <top style="double">
        <color rgb="FF00B050"/>
      </top>
      <bottom style="double">
        <color rgb="FF00B050"/>
      </bottom>
      <diagonal/>
    </border>
    <border>
      <left style="thick">
        <color rgb="FFFF0000"/>
      </left>
      <right style="double">
        <color rgb="FF00B050"/>
      </right>
      <top style="double">
        <color rgb="FF00B050"/>
      </top>
      <bottom style="thick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thick">
        <color rgb="FFFF0000"/>
      </bottom>
      <diagonal/>
    </border>
    <border>
      <left style="double">
        <color rgb="FF00B050"/>
      </left>
      <right style="thick">
        <color rgb="FFFF0000"/>
      </right>
      <top style="double">
        <color rgb="FF00B050"/>
      </top>
      <bottom style="thick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5" fillId="0" borderId="0" xfId="0" applyFont="1"/>
    <xf numFmtId="17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1" i="0" u="none" strike="noStrike" baseline="0">
                <a:effectLst/>
              </a:rPr>
              <a:t>高一年级语数英平均分统计图</a:t>
            </a:r>
            <a:endParaRPr lang="zh-CN" alt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分类汇总!$A$2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分类汇总!$D$2:$F$2</c:f>
            </c:numRef>
          </c:val>
        </c:ser>
        <c:ser>
          <c:idx val="1"/>
          <c:order val="1"/>
          <c:tx>
            <c:strRef>
              <c:f>分类汇总!$A$3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分类汇总!$D$3:$F$3</c:f>
            </c:numRef>
          </c:val>
        </c:ser>
        <c:ser>
          <c:idx val="2"/>
          <c:order val="2"/>
          <c:tx>
            <c:strRef>
              <c:f>分类汇总!$A$4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分类汇总!$D$4:$F$4</c:f>
            </c:numRef>
          </c:val>
        </c:ser>
        <c:ser>
          <c:idx val="3"/>
          <c:order val="3"/>
          <c:tx>
            <c:strRef>
              <c:f>分类汇总!$A$5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分类汇总!$D$5:$F$5</c:f>
            </c:numRef>
          </c:val>
        </c:ser>
        <c:ser>
          <c:idx val="4"/>
          <c:order val="4"/>
          <c:tx>
            <c:strRef>
              <c:f>分类汇总!$A$6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分类汇总!$D$6:$F$6</c:f>
            </c:numRef>
          </c:val>
        </c:ser>
        <c:ser>
          <c:idx val="5"/>
          <c:order val="5"/>
          <c:tx>
            <c:strRef>
              <c:f>分类汇总!$A$7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分类汇总!$D$7:$F$7</c:f>
            </c:numRef>
          </c:val>
        </c:ser>
        <c:ser>
          <c:idx val="6"/>
          <c:order val="6"/>
          <c:tx>
            <c:strRef>
              <c:f>分类汇总!$A$8</c:f>
              <c:strCache>
                <c:ptCount val="1"/>
                <c:pt idx="0">
                  <c:v>c3 平均值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分类汇总!$D$8:$F$8</c:f>
              <c:numCache>
                <c:formatCode>0.00_ </c:formatCode>
                <c:ptCount val="3"/>
                <c:pt idx="0">
                  <c:v>106.66666666666667</c:v>
                </c:pt>
                <c:pt idx="1">
                  <c:v>109.16666666666667</c:v>
                </c:pt>
                <c:pt idx="2">
                  <c:v>94</c:v>
                </c:pt>
              </c:numCache>
            </c:numRef>
          </c:val>
        </c:ser>
        <c:ser>
          <c:idx val="7"/>
          <c:order val="7"/>
          <c:tx>
            <c:strRef>
              <c:f>分类汇总!$A$9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分类汇总!$D$9:$F$9</c:f>
            </c:numRef>
          </c:val>
        </c:ser>
        <c:ser>
          <c:idx val="8"/>
          <c:order val="8"/>
          <c:tx>
            <c:strRef>
              <c:f>分类汇总!$A$10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分类汇总!$D$10:$F$10</c:f>
            </c:numRef>
          </c:val>
        </c:ser>
        <c:ser>
          <c:idx val="9"/>
          <c:order val="9"/>
          <c:tx>
            <c:strRef>
              <c:f>分类汇总!$A$11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分类汇总!$D$11:$F$11</c:f>
            </c:numRef>
          </c:val>
        </c:ser>
        <c:ser>
          <c:idx val="10"/>
          <c:order val="10"/>
          <c:tx>
            <c:strRef>
              <c:f>分类汇总!$A$12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分类汇总!$D$12:$F$12</c:f>
            </c:numRef>
          </c:val>
        </c:ser>
        <c:ser>
          <c:idx val="11"/>
          <c:order val="11"/>
          <c:tx>
            <c:strRef>
              <c:f>分类汇总!$A$13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分类汇总!$D$13:$F$13</c:f>
            </c:numRef>
          </c:val>
        </c:ser>
        <c:ser>
          <c:idx val="12"/>
          <c:order val="12"/>
          <c:tx>
            <c:strRef>
              <c:f>分类汇总!$A$14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分类汇总!$D$14:$F$14</c:f>
            </c:numRef>
          </c:val>
        </c:ser>
        <c:ser>
          <c:idx val="13"/>
          <c:order val="13"/>
          <c:tx>
            <c:strRef>
              <c:f>分类汇总!$A$15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分类汇总!$D$15:$F$15</c:f>
            </c:numRef>
          </c:val>
        </c:ser>
        <c:ser>
          <c:idx val="14"/>
          <c:order val="14"/>
          <c:tx>
            <c:strRef>
              <c:f>分类汇总!$A$16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分类汇总!$D$16:$F$16</c:f>
            </c:numRef>
          </c:val>
        </c:ser>
        <c:ser>
          <c:idx val="15"/>
          <c:order val="15"/>
          <c:tx>
            <c:strRef>
              <c:f>分类汇总!$A$17</c:f>
              <c:strCache>
                <c:ptCount val="1"/>
                <c:pt idx="0">
                  <c:v>c2 平均值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分类汇总!$D$17:$F$17</c:f>
              <c:numCache>
                <c:formatCode>0.00_ </c:formatCode>
                <c:ptCount val="3"/>
                <c:pt idx="0">
                  <c:v>116.875</c:v>
                </c:pt>
                <c:pt idx="1">
                  <c:v>131.25</c:v>
                </c:pt>
                <c:pt idx="2">
                  <c:v>84.375</c:v>
                </c:pt>
              </c:numCache>
            </c:numRef>
          </c:val>
        </c:ser>
        <c:ser>
          <c:idx val="16"/>
          <c:order val="16"/>
          <c:tx>
            <c:strRef>
              <c:f>分类汇总!$A$18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分类汇总!$D$18:$F$18</c:f>
            </c:numRef>
          </c:val>
        </c:ser>
        <c:ser>
          <c:idx val="17"/>
          <c:order val="17"/>
          <c:tx>
            <c:strRef>
              <c:f>分类汇总!$A$19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分类汇总!$D$19:$F$19</c:f>
            </c:numRef>
          </c:val>
        </c:ser>
        <c:ser>
          <c:idx val="18"/>
          <c:order val="18"/>
          <c:tx>
            <c:strRef>
              <c:f>分类汇总!$A$20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分类汇总!$D$20:$F$20</c:f>
            </c:numRef>
          </c:val>
        </c:ser>
        <c:ser>
          <c:idx val="19"/>
          <c:order val="19"/>
          <c:tx>
            <c:strRef>
              <c:f>分类汇总!$A$21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分类汇总!$D$21:$F$21</c:f>
            </c:numRef>
          </c:val>
        </c:ser>
        <c:ser>
          <c:idx val="20"/>
          <c:order val="20"/>
          <c:tx>
            <c:strRef>
              <c:f>分类汇总!$A$22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分类汇总!$D$22:$F$22</c:f>
            </c:numRef>
          </c:val>
        </c:ser>
        <c:ser>
          <c:idx val="21"/>
          <c:order val="21"/>
          <c:tx>
            <c:strRef>
              <c:f>分类汇总!$A$23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分类汇总!$D$23:$F$23</c:f>
            </c:numRef>
          </c:val>
        </c:ser>
        <c:ser>
          <c:idx val="22"/>
          <c:order val="22"/>
          <c:tx>
            <c:strRef>
              <c:f>分类汇总!$A$24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分类汇总!$D$24:$F$24</c:f>
            </c:numRef>
          </c:val>
        </c:ser>
        <c:ser>
          <c:idx val="23"/>
          <c:order val="23"/>
          <c:tx>
            <c:strRef>
              <c:f>分类汇总!$A$25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分类汇总!$D$25:$F$25</c:f>
            </c:numRef>
          </c:val>
        </c:ser>
        <c:ser>
          <c:idx val="24"/>
          <c:order val="24"/>
          <c:tx>
            <c:strRef>
              <c:f>分类汇总!$A$26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分类汇总!$D$26:$F$26</c:f>
            </c:numRef>
          </c:val>
        </c:ser>
        <c:ser>
          <c:idx val="25"/>
          <c:order val="25"/>
          <c:tx>
            <c:strRef>
              <c:f>分类汇总!$A$27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分类汇总!$D$27:$F$27</c:f>
            </c:numRef>
          </c:val>
        </c:ser>
        <c:ser>
          <c:idx val="26"/>
          <c:order val="26"/>
          <c:tx>
            <c:strRef>
              <c:f>分类汇总!$A$28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分类汇总!$D$28:$F$28</c:f>
            </c:numRef>
          </c:val>
        </c:ser>
        <c:ser>
          <c:idx val="27"/>
          <c:order val="27"/>
          <c:tx>
            <c:strRef>
              <c:f>分类汇总!$A$29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分类汇总!$D$29:$F$29</c:f>
            </c:numRef>
          </c:val>
        </c:ser>
        <c:ser>
          <c:idx val="28"/>
          <c:order val="28"/>
          <c:tx>
            <c:strRef>
              <c:f>分类汇总!$A$30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分类汇总!$D$30:$F$30</c:f>
            </c:numRef>
          </c:val>
        </c:ser>
        <c:ser>
          <c:idx val="29"/>
          <c:order val="29"/>
          <c:tx>
            <c:strRef>
              <c:f>分类汇总!$A$31</c:f>
              <c:strCache>
                <c:ptCount val="1"/>
                <c:pt idx="0">
                  <c:v>c1 平均值</c:v>
                </c:pt>
              </c:strCache>
            </c:strRef>
          </c:tx>
          <c:invertIfNegative val="0"/>
          <c:cat>
            <c:strRef>
              <c:f>分类汇总!$D$1:$F$1</c:f>
              <c:strCache>
                <c:ptCount val="3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</c:strCache>
            </c:strRef>
          </c:cat>
          <c:val>
            <c:numRef>
              <c:f>分类汇总!$D$31:$F$31</c:f>
              <c:numCache>
                <c:formatCode>0.00_ </c:formatCode>
                <c:ptCount val="3"/>
                <c:pt idx="0">
                  <c:v>111.15384615384616</c:v>
                </c:pt>
                <c:pt idx="1">
                  <c:v>115.30769230769231</c:v>
                </c:pt>
                <c:pt idx="2">
                  <c:v>90.307692307692307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7830784"/>
        <c:axId val="227840768"/>
        <c:axId val="0"/>
      </c:bar3DChart>
      <c:catAx>
        <c:axId val="22783078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227840768"/>
        <c:crosses val="autoZero"/>
        <c:auto val="1"/>
        <c:lblAlgn val="ctr"/>
        <c:lblOffset val="100"/>
        <c:noMultiLvlLbl val="0"/>
      </c:catAx>
      <c:valAx>
        <c:axId val="227840768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227830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</xdr:row>
      <xdr:rowOff>9525</xdr:rowOff>
    </xdr:from>
    <xdr:to>
      <xdr:col>7</xdr:col>
      <xdr:colOff>45720</xdr:colOff>
      <xdr:row>16</xdr:row>
      <xdr:rowOff>160020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0"/>
  <sheetViews>
    <sheetView workbookViewId="0">
      <selection sqref="A1:J1"/>
    </sheetView>
  </sheetViews>
  <sheetFormatPr defaultRowHeight="14.25" x14ac:dyDescent="0.15"/>
  <cols>
    <col min="10" max="10" width="11.625" bestFit="1" customWidth="1"/>
  </cols>
  <sheetData>
    <row r="1" spans="1:10" ht="31.9" customHeight="1" x14ac:dyDescent="0.15">
      <c r="A1" s="19" t="s">
        <v>63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7.25" x14ac:dyDescent="0.15">
      <c r="A2" s="4" t="s">
        <v>61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31</v>
      </c>
      <c r="G2" s="4" t="s">
        <v>29</v>
      </c>
      <c r="H2" s="4" t="s">
        <v>30</v>
      </c>
      <c r="I2" s="4" t="s">
        <v>32</v>
      </c>
      <c r="J2" s="4" t="s">
        <v>62</v>
      </c>
    </row>
    <row r="3" spans="1:10" ht="17.25" x14ac:dyDescent="0.15">
      <c r="A3" s="4" t="s">
        <v>5</v>
      </c>
      <c r="B3" s="4" t="s">
        <v>34</v>
      </c>
      <c r="C3" s="5">
        <v>120</v>
      </c>
      <c r="D3" s="5">
        <v>148</v>
      </c>
      <c r="E3" s="5">
        <v>99</v>
      </c>
      <c r="F3" s="5">
        <v>44</v>
      </c>
      <c r="G3" s="5">
        <v>89</v>
      </c>
      <c r="H3" s="5">
        <v>60</v>
      </c>
      <c r="I3" s="5">
        <v>45</v>
      </c>
      <c r="J3" s="4"/>
    </row>
    <row r="4" spans="1:10" ht="17.25" x14ac:dyDescent="0.15">
      <c r="A4" s="4" t="s">
        <v>7</v>
      </c>
      <c r="B4" s="4" t="s">
        <v>36</v>
      </c>
      <c r="C4" s="5">
        <v>115</v>
      </c>
      <c r="D4" s="5">
        <v>120</v>
      </c>
      <c r="E4" s="5">
        <v>89</v>
      </c>
      <c r="F4" s="5">
        <v>43</v>
      </c>
      <c r="G4" s="5">
        <v>89</v>
      </c>
      <c r="H4" s="5">
        <v>57</v>
      </c>
      <c r="I4" s="5">
        <v>45</v>
      </c>
      <c r="J4" s="4"/>
    </row>
    <row r="5" spans="1:10" ht="17.25" x14ac:dyDescent="0.15">
      <c r="A5" s="4" t="s">
        <v>8</v>
      </c>
      <c r="B5" s="4" t="s">
        <v>37</v>
      </c>
      <c r="C5" s="5">
        <v>103</v>
      </c>
      <c r="D5" s="5">
        <v>115</v>
      </c>
      <c r="E5" s="5">
        <v>98</v>
      </c>
      <c r="F5" s="5">
        <v>45</v>
      </c>
      <c r="G5" s="5">
        <v>57</v>
      </c>
      <c r="H5" s="5">
        <v>50</v>
      </c>
      <c r="I5" s="5">
        <v>40</v>
      </c>
      <c r="J5" s="4"/>
    </row>
    <row r="6" spans="1:10" ht="17.25" x14ac:dyDescent="0.15">
      <c r="A6" s="4" t="s">
        <v>9</v>
      </c>
      <c r="B6" s="4" t="s">
        <v>39</v>
      </c>
      <c r="C6" s="5">
        <v>106</v>
      </c>
      <c r="D6" s="5">
        <v>95</v>
      </c>
      <c r="E6" s="5">
        <v>110</v>
      </c>
      <c r="F6" s="5">
        <v>43</v>
      </c>
      <c r="G6" s="5">
        <v>74</v>
      </c>
      <c r="H6" s="5">
        <v>40</v>
      </c>
      <c r="I6" s="5">
        <v>38</v>
      </c>
      <c r="J6" s="4"/>
    </row>
    <row r="7" spans="1:10" ht="17.25" x14ac:dyDescent="0.15">
      <c r="A7" s="4" t="s">
        <v>11</v>
      </c>
      <c r="B7" s="4" t="s">
        <v>41</v>
      </c>
      <c r="C7" s="5">
        <v>118</v>
      </c>
      <c r="D7" s="5">
        <v>130</v>
      </c>
      <c r="E7" s="5">
        <v>72</v>
      </c>
      <c r="F7" s="5">
        <v>43</v>
      </c>
      <c r="G7" s="5">
        <v>86</v>
      </c>
      <c r="H7" s="5">
        <v>54</v>
      </c>
      <c r="I7" s="5">
        <v>38</v>
      </c>
      <c r="J7" s="4"/>
    </row>
    <row r="8" spans="1:10" ht="17.25" x14ac:dyDescent="0.15">
      <c r="A8" s="4" t="s">
        <v>12</v>
      </c>
      <c r="B8" s="4" t="s">
        <v>42</v>
      </c>
      <c r="C8" s="5">
        <v>90</v>
      </c>
      <c r="D8" s="5">
        <v>125</v>
      </c>
      <c r="E8" s="5">
        <v>105</v>
      </c>
      <c r="F8" s="5">
        <v>40</v>
      </c>
      <c r="G8" s="5">
        <v>71</v>
      </c>
      <c r="H8" s="5">
        <v>51</v>
      </c>
      <c r="I8" s="5">
        <v>34</v>
      </c>
      <c r="J8" s="4"/>
    </row>
    <row r="9" spans="1:10" ht="17.25" x14ac:dyDescent="0.15">
      <c r="A9" s="4" t="s">
        <v>8</v>
      </c>
      <c r="B9" s="4" t="s">
        <v>43</v>
      </c>
      <c r="C9" s="5">
        <v>95</v>
      </c>
      <c r="D9" s="5">
        <v>118</v>
      </c>
      <c r="E9" s="5">
        <v>68</v>
      </c>
      <c r="F9" s="5">
        <v>40</v>
      </c>
      <c r="G9" s="5">
        <v>84</v>
      </c>
      <c r="H9" s="5">
        <v>58</v>
      </c>
      <c r="I9" s="5">
        <v>42</v>
      </c>
      <c r="J9" s="4"/>
    </row>
    <row r="10" spans="1:10" ht="17.25" x14ac:dyDescent="0.15">
      <c r="A10" s="4" t="s">
        <v>15</v>
      </c>
      <c r="B10" s="4" t="s">
        <v>46</v>
      </c>
      <c r="C10" s="5">
        <v>118</v>
      </c>
      <c r="D10" s="5">
        <v>125</v>
      </c>
      <c r="E10" s="5">
        <v>88</v>
      </c>
      <c r="F10" s="5">
        <v>47</v>
      </c>
      <c r="G10" s="5">
        <v>75</v>
      </c>
      <c r="H10" s="5">
        <v>49</v>
      </c>
      <c r="I10" s="5">
        <v>44</v>
      </c>
      <c r="J10" s="4"/>
    </row>
    <row r="11" spans="1:10" ht="17.25" x14ac:dyDescent="0.15">
      <c r="A11" s="4" t="s">
        <v>16</v>
      </c>
      <c r="B11" s="4" t="s">
        <v>47</v>
      </c>
      <c r="C11" s="5">
        <v>110</v>
      </c>
      <c r="D11" s="5">
        <v>111</v>
      </c>
      <c r="E11" s="5">
        <v>69</v>
      </c>
      <c r="F11" s="5">
        <v>46</v>
      </c>
      <c r="G11" s="5">
        <v>71</v>
      </c>
      <c r="H11" s="5">
        <v>48</v>
      </c>
      <c r="I11" s="5">
        <v>41</v>
      </c>
      <c r="J11" s="4"/>
    </row>
    <row r="12" spans="1:10" ht="17.25" x14ac:dyDescent="0.15">
      <c r="A12" s="4" t="s">
        <v>19</v>
      </c>
      <c r="B12" s="4" t="s">
        <v>56</v>
      </c>
      <c r="C12" s="5">
        <v>110</v>
      </c>
      <c r="D12" s="5">
        <v>86</v>
      </c>
      <c r="E12" s="5">
        <v>84</v>
      </c>
      <c r="F12" s="5">
        <v>45</v>
      </c>
      <c r="G12" s="5">
        <v>86</v>
      </c>
      <c r="H12" s="5">
        <v>53</v>
      </c>
      <c r="I12" s="5">
        <v>41</v>
      </c>
      <c r="J12" s="4"/>
    </row>
    <row r="13" spans="1:10" ht="17.25" x14ac:dyDescent="0.15">
      <c r="A13" s="4" t="s">
        <v>20</v>
      </c>
      <c r="B13" s="4" t="s">
        <v>55</v>
      </c>
      <c r="C13" s="5">
        <v>130</v>
      </c>
      <c r="D13" s="5">
        <v>85</v>
      </c>
      <c r="E13" s="5">
        <v>103</v>
      </c>
      <c r="F13" s="5">
        <v>38</v>
      </c>
      <c r="G13" s="5">
        <v>80</v>
      </c>
      <c r="H13" s="5">
        <v>52</v>
      </c>
      <c r="I13" s="5">
        <v>42</v>
      </c>
      <c r="J13" s="4"/>
    </row>
    <row r="14" spans="1:10" ht="17.25" x14ac:dyDescent="0.15">
      <c r="A14" s="4" t="s">
        <v>25</v>
      </c>
      <c r="B14" s="4" t="s">
        <v>59</v>
      </c>
      <c r="C14" s="5">
        <v>106</v>
      </c>
      <c r="D14" s="5">
        <v>95</v>
      </c>
      <c r="E14" s="5">
        <v>89</v>
      </c>
      <c r="F14" s="5">
        <v>40</v>
      </c>
      <c r="G14" s="5">
        <v>86</v>
      </c>
      <c r="H14" s="5">
        <v>48</v>
      </c>
      <c r="I14" s="5">
        <v>43</v>
      </c>
      <c r="J14" s="4"/>
    </row>
    <row r="15" spans="1:10" ht="17.25" x14ac:dyDescent="0.15">
      <c r="A15" s="4" t="s">
        <v>26</v>
      </c>
      <c r="B15" s="4" t="s">
        <v>50</v>
      </c>
      <c r="C15" s="5">
        <v>124</v>
      </c>
      <c r="D15" s="5">
        <v>146</v>
      </c>
      <c r="E15" s="5">
        <v>100</v>
      </c>
      <c r="F15" s="5">
        <v>43</v>
      </c>
      <c r="G15" s="5">
        <v>74</v>
      </c>
      <c r="H15" s="5">
        <v>40</v>
      </c>
      <c r="I15" s="5">
        <v>38</v>
      </c>
      <c r="J15" s="4"/>
    </row>
    <row r="16" spans="1:10" ht="17.25" x14ac:dyDescent="0.15">
      <c r="A16" s="4" t="s">
        <v>10</v>
      </c>
      <c r="B16" s="4" t="s">
        <v>40</v>
      </c>
      <c r="C16" s="5">
        <v>124</v>
      </c>
      <c r="D16" s="5">
        <v>146</v>
      </c>
      <c r="E16" s="5">
        <v>83</v>
      </c>
      <c r="F16" s="5">
        <v>45</v>
      </c>
      <c r="G16" s="5">
        <v>87</v>
      </c>
      <c r="H16" s="5">
        <v>58</v>
      </c>
      <c r="I16" s="5">
        <v>37</v>
      </c>
      <c r="J16" s="4"/>
    </row>
    <row r="17" spans="1:10" ht="17.25" x14ac:dyDescent="0.15">
      <c r="A17" s="4" t="s">
        <v>4</v>
      </c>
      <c r="B17" s="4" t="s">
        <v>44</v>
      </c>
      <c r="C17" s="5">
        <v>128</v>
      </c>
      <c r="D17" s="5">
        <v>121</v>
      </c>
      <c r="E17" s="5">
        <v>74</v>
      </c>
      <c r="F17" s="5">
        <v>44</v>
      </c>
      <c r="G17" s="5">
        <v>75</v>
      </c>
      <c r="H17" s="5">
        <v>60</v>
      </c>
      <c r="I17" s="5">
        <v>40</v>
      </c>
      <c r="J17" s="4"/>
    </row>
    <row r="18" spans="1:10" ht="17.25" x14ac:dyDescent="0.15">
      <c r="A18" s="4" t="s">
        <v>13</v>
      </c>
      <c r="B18" s="4" t="s">
        <v>45</v>
      </c>
      <c r="C18" s="5">
        <v>116</v>
      </c>
      <c r="D18" s="5">
        <v>138</v>
      </c>
      <c r="E18" s="5">
        <v>101</v>
      </c>
      <c r="F18" s="5">
        <v>44</v>
      </c>
      <c r="G18" s="5">
        <v>70</v>
      </c>
      <c r="H18" s="5">
        <v>41</v>
      </c>
      <c r="I18" s="5">
        <v>33</v>
      </c>
      <c r="J18" s="4"/>
    </row>
    <row r="19" spans="1:10" ht="17.25" x14ac:dyDescent="0.15">
      <c r="A19" s="4" t="s">
        <v>17</v>
      </c>
      <c r="B19" s="4" t="s">
        <v>48</v>
      </c>
      <c r="C19" s="5">
        <v>93</v>
      </c>
      <c r="D19" s="5">
        <v>103</v>
      </c>
      <c r="E19" s="5">
        <v>90</v>
      </c>
      <c r="F19" s="5">
        <v>41</v>
      </c>
      <c r="G19" s="5">
        <v>73</v>
      </c>
      <c r="H19" s="5">
        <v>60</v>
      </c>
      <c r="I19" s="5">
        <v>43</v>
      </c>
      <c r="J19" s="4"/>
    </row>
    <row r="20" spans="1:10" ht="17.25" x14ac:dyDescent="0.15">
      <c r="A20" s="4" t="s">
        <v>33</v>
      </c>
      <c r="B20" s="4" t="s">
        <v>51</v>
      </c>
      <c r="C20" s="5">
        <v>117</v>
      </c>
      <c r="D20" s="5">
        <v>142</v>
      </c>
      <c r="E20" s="5">
        <v>100</v>
      </c>
      <c r="F20" s="5">
        <v>30</v>
      </c>
      <c r="G20" s="5">
        <v>79</v>
      </c>
      <c r="H20" s="5">
        <v>48</v>
      </c>
      <c r="I20" s="5">
        <v>38</v>
      </c>
      <c r="J20" s="4"/>
    </row>
    <row r="21" spans="1:10" ht="17.25" x14ac:dyDescent="0.15">
      <c r="A21" s="4" t="s">
        <v>21</v>
      </c>
      <c r="B21" s="4" t="s">
        <v>52</v>
      </c>
      <c r="C21" s="5">
        <v>122</v>
      </c>
      <c r="D21" s="5">
        <v>130</v>
      </c>
      <c r="E21" s="5">
        <v>40</v>
      </c>
      <c r="F21" s="5">
        <v>40</v>
      </c>
      <c r="G21" s="5">
        <v>80</v>
      </c>
      <c r="H21" s="5">
        <v>49</v>
      </c>
      <c r="I21" s="5">
        <v>39</v>
      </c>
      <c r="J21" s="4"/>
    </row>
    <row r="22" spans="1:10" ht="17.25" x14ac:dyDescent="0.15">
      <c r="A22" s="4" t="s">
        <v>24</v>
      </c>
      <c r="B22" s="4" t="s">
        <v>54</v>
      </c>
      <c r="C22" s="5">
        <v>117</v>
      </c>
      <c r="D22" s="5">
        <v>140</v>
      </c>
      <c r="E22" s="5">
        <v>85</v>
      </c>
      <c r="F22" s="5">
        <v>35</v>
      </c>
      <c r="G22" s="5">
        <v>70</v>
      </c>
      <c r="H22" s="5">
        <v>25</v>
      </c>
      <c r="I22" s="5">
        <v>37</v>
      </c>
      <c r="J22" s="4"/>
    </row>
    <row r="23" spans="1:10" ht="17.25" x14ac:dyDescent="0.15">
      <c r="A23" s="4" t="s">
        <v>27</v>
      </c>
      <c r="B23" s="4" t="s">
        <v>60</v>
      </c>
      <c r="C23" s="5">
        <v>118</v>
      </c>
      <c r="D23" s="5">
        <v>130</v>
      </c>
      <c r="E23" s="5">
        <v>102</v>
      </c>
      <c r="F23" s="5">
        <v>40</v>
      </c>
      <c r="G23" s="5">
        <v>84</v>
      </c>
      <c r="H23" s="5">
        <v>58</v>
      </c>
      <c r="I23" s="5">
        <v>42</v>
      </c>
      <c r="J23" s="4"/>
    </row>
    <row r="24" spans="1:10" ht="17.25" x14ac:dyDescent="0.15">
      <c r="A24" s="4" t="s">
        <v>6</v>
      </c>
      <c r="B24" s="4" t="s">
        <v>35</v>
      </c>
      <c r="C24" s="5">
        <v>112</v>
      </c>
      <c r="D24" s="5">
        <v>135</v>
      </c>
      <c r="E24" s="5">
        <v>110</v>
      </c>
      <c r="F24" s="5">
        <v>43</v>
      </c>
      <c r="G24" s="5">
        <v>75</v>
      </c>
      <c r="H24" s="5">
        <v>58</v>
      </c>
      <c r="I24" s="5">
        <v>42</v>
      </c>
      <c r="J24" s="4"/>
    </row>
    <row r="25" spans="1:10" ht="17.25" x14ac:dyDescent="0.15">
      <c r="A25" s="4" t="s">
        <v>14</v>
      </c>
      <c r="B25" s="4" t="s">
        <v>38</v>
      </c>
      <c r="C25" s="5">
        <v>125</v>
      </c>
      <c r="D25" s="5">
        <v>80</v>
      </c>
      <c r="E25" s="5">
        <v>68</v>
      </c>
      <c r="F25" s="5">
        <v>40</v>
      </c>
      <c r="G25" s="5">
        <v>86</v>
      </c>
      <c r="H25" s="5">
        <v>48</v>
      </c>
      <c r="I25" s="5">
        <v>43</v>
      </c>
      <c r="J25" s="4"/>
    </row>
    <row r="26" spans="1:10" ht="17.25" x14ac:dyDescent="0.15">
      <c r="A26" s="4" t="s">
        <v>18</v>
      </c>
      <c r="B26" s="4" t="s">
        <v>49</v>
      </c>
      <c r="C26" s="5">
        <v>84</v>
      </c>
      <c r="D26" s="5">
        <v>92</v>
      </c>
      <c r="E26" s="5">
        <v>101</v>
      </c>
      <c r="F26" s="5">
        <v>45</v>
      </c>
      <c r="G26" s="5">
        <v>59</v>
      </c>
      <c r="H26" s="5">
        <v>49</v>
      </c>
      <c r="I26" s="5">
        <v>44</v>
      </c>
      <c r="J26" s="4"/>
    </row>
    <row r="27" spans="1:10" ht="17.25" x14ac:dyDescent="0.15">
      <c r="A27" s="4" t="s">
        <v>22</v>
      </c>
      <c r="B27" s="4" t="s">
        <v>53</v>
      </c>
      <c r="C27" s="5">
        <v>103</v>
      </c>
      <c r="D27" s="5">
        <v>125</v>
      </c>
      <c r="E27" s="5">
        <v>91</v>
      </c>
      <c r="F27" s="5">
        <v>45</v>
      </c>
      <c r="G27" s="5">
        <v>25</v>
      </c>
      <c r="H27" s="5">
        <v>30</v>
      </c>
      <c r="I27" s="5">
        <v>40</v>
      </c>
      <c r="J27" s="4"/>
    </row>
    <row r="28" spans="1:10" ht="17.25" x14ac:dyDescent="0.15">
      <c r="A28" s="4" t="s">
        <v>23</v>
      </c>
      <c r="B28" s="4" t="s">
        <v>58</v>
      </c>
      <c r="C28" s="5">
        <v>110</v>
      </c>
      <c r="D28" s="5">
        <v>128</v>
      </c>
      <c r="E28" s="5">
        <v>96</v>
      </c>
      <c r="F28" s="5">
        <v>40</v>
      </c>
      <c r="G28" s="5">
        <v>42</v>
      </c>
      <c r="H28" s="5">
        <v>37</v>
      </c>
      <c r="I28" s="5">
        <v>38</v>
      </c>
      <c r="J28" s="4"/>
    </row>
    <row r="29" spans="1:10" ht="17.25" x14ac:dyDescent="0.15">
      <c r="A29" s="4" t="s">
        <v>28</v>
      </c>
      <c r="B29" s="4" t="s">
        <v>57</v>
      </c>
      <c r="C29" s="5">
        <v>106</v>
      </c>
      <c r="D29" s="5">
        <v>95</v>
      </c>
      <c r="E29" s="5">
        <v>98</v>
      </c>
      <c r="F29" s="5">
        <v>44</v>
      </c>
      <c r="G29" s="5">
        <v>75</v>
      </c>
      <c r="H29" s="5">
        <v>60</v>
      </c>
      <c r="I29" s="5">
        <v>40</v>
      </c>
      <c r="J29" s="4"/>
    </row>
    <row r="30" spans="1:10" ht="15.75" x14ac:dyDescent="0.25">
      <c r="C30" s="1"/>
      <c r="D30" s="2"/>
      <c r="E30" s="1"/>
    </row>
  </sheetData>
  <mergeCells count="1">
    <mergeCell ref="A1:J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L29"/>
  <sheetViews>
    <sheetView tabSelected="1" zoomScaleNormal="100" workbookViewId="0">
      <selection activeCell="K3" sqref="K3"/>
    </sheetView>
  </sheetViews>
  <sheetFormatPr defaultRowHeight="14.25" x14ac:dyDescent="0.15"/>
  <cols>
    <col min="11" max="11" width="9.25" bestFit="1" customWidth="1"/>
  </cols>
  <sheetData>
    <row r="2" spans="1:12" ht="17.25" x14ac:dyDescent="0.15">
      <c r="A2" s="3" t="s">
        <v>64</v>
      </c>
      <c r="B2" s="4" t="s">
        <v>61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31</v>
      </c>
      <c r="H2" s="4" t="s">
        <v>29</v>
      </c>
      <c r="I2" s="4" t="s">
        <v>30</v>
      </c>
      <c r="J2" s="4" t="s">
        <v>32</v>
      </c>
      <c r="K2" s="4" t="s">
        <v>62</v>
      </c>
      <c r="L2" s="4" t="s">
        <v>65</v>
      </c>
    </row>
    <row r="3" spans="1:12" ht="17.25" x14ac:dyDescent="0.15">
      <c r="A3" t="str">
        <f>LEFT(B3,2)</f>
        <v>c1</v>
      </c>
      <c r="B3" s="4" t="s">
        <v>5</v>
      </c>
      <c r="C3" s="4" t="s">
        <v>34</v>
      </c>
      <c r="D3" s="5">
        <v>120</v>
      </c>
      <c r="E3" s="5">
        <v>148</v>
      </c>
      <c r="F3" s="5">
        <v>99</v>
      </c>
      <c r="G3" s="5">
        <v>44</v>
      </c>
      <c r="H3" s="5">
        <v>89</v>
      </c>
      <c r="I3" s="5">
        <v>60</v>
      </c>
      <c r="J3" s="5">
        <v>45</v>
      </c>
      <c r="K3" s="5">
        <f>SUM(D3:J3)</f>
        <v>605</v>
      </c>
      <c r="L3" t="str">
        <f>IF(AND(D3&gt;=115,E3&gt;=130,F3&gt;=90),"优秀","合格")</f>
        <v>优秀</v>
      </c>
    </row>
    <row r="4" spans="1:12" ht="17.25" x14ac:dyDescent="0.15">
      <c r="A4" t="str">
        <f t="shared" ref="A4:A29" si="0">LEFT(B4,2)</f>
        <v>c1</v>
      </c>
      <c r="B4" s="4" t="s">
        <v>7</v>
      </c>
      <c r="C4" s="4" t="s">
        <v>36</v>
      </c>
      <c r="D4" s="5">
        <v>115</v>
      </c>
      <c r="E4" s="5">
        <v>120</v>
      </c>
      <c r="F4" s="5">
        <v>89</v>
      </c>
      <c r="G4" s="5">
        <v>43</v>
      </c>
      <c r="H4" s="5">
        <v>89</v>
      </c>
      <c r="I4" s="5">
        <v>57</v>
      </c>
      <c r="J4" s="5">
        <v>45</v>
      </c>
      <c r="K4" s="5">
        <f t="shared" ref="K4:K29" si="1">SUM(D4:J4)</f>
        <v>558</v>
      </c>
      <c r="L4" t="str">
        <f t="shared" ref="L4:L29" si="2">IF(AND(D4&gt;=115,E4&gt;=130,F4&gt;=90),"优秀","合格")</f>
        <v>合格</v>
      </c>
    </row>
    <row r="5" spans="1:12" ht="17.25" x14ac:dyDescent="0.15">
      <c r="A5" t="str">
        <f t="shared" si="0"/>
        <v>c1</v>
      </c>
      <c r="B5" s="4" t="s">
        <v>8</v>
      </c>
      <c r="C5" s="4" t="s">
        <v>37</v>
      </c>
      <c r="D5" s="5">
        <v>103</v>
      </c>
      <c r="E5" s="5">
        <v>115</v>
      </c>
      <c r="F5" s="5">
        <v>98</v>
      </c>
      <c r="G5" s="5">
        <v>45</v>
      </c>
      <c r="H5" s="5">
        <v>57</v>
      </c>
      <c r="I5" s="5">
        <v>50</v>
      </c>
      <c r="J5" s="5">
        <v>40</v>
      </c>
      <c r="K5" s="5">
        <f t="shared" si="1"/>
        <v>508</v>
      </c>
      <c r="L5" t="str">
        <f t="shared" si="2"/>
        <v>合格</v>
      </c>
    </row>
    <row r="6" spans="1:12" ht="17.25" x14ac:dyDescent="0.15">
      <c r="A6" t="str">
        <f t="shared" si="0"/>
        <v>c1</v>
      </c>
      <c r="B6" s="4" t="s">
        <v>9</v>
      </c>
      <c r="C6" s="4" t="s">
        <v>39</v>
      </c>
      <c r="D6" s="5">
        <v>106</v>
      </c>
      <c r="E6" s="5">
        <v>95</v>
      </c>
      <c r="F6" s="5">
        <v>110</v>
      </c>
      <c r="G6" s="5">
        <v>43</v>
      </c>
      <c r="H6" s="5">
        <v>74</v>
      </c>
      <c r="I6" s="5">
        <v>40</v>
      </c>
      <c r="J6" s="5">
        <v>38</v>
      </c>
      <c r="K6" s="5">
        <f t="shared" si="1"/>
        <v>506</v>
      </c>
      <c r="L6" t="str">
        <f t="shared" si="2"/>
        <v>合格</v>
      </c>
    </row>
    <row r="7" spans="1:12" ht="17.25" x14ac:dyDescent="0.15">
      <c r="A7" t="str">
        <f t="shared" si="0"/>
        <v>c1</v>
      </c>
      <c r="B7" s="4" t="s">
        <v>11</v>
      </c>
      <c r="C7" s="4" t="s">
        <v>41</v>
      </c>
      <c r="D7" s="5">
        <v>118</v>
      </c>
      <c r="E7" s="5">
        <v>130</v>
      </c>
      <c r="F7" s="5">
        <v>72</v>
      </c>
      <c r="G7" s="5">
        <v>43</v>
      </c>
      <c r="H7" s="5">
        <v>86</v>
      </c>
      <c r="I7" s="5">
        <v>54</v>
      </c>
      <c r="J7" s="5">
        <v>38</v>
      </c>
      <c r="K7" s="5">
        <f t="shared" si="1"/>
        <v>541</v>
      </c>
      <c r="L7" t="str">
        <f t="shared" si="2"/>
        <v>合格</v>
      </c>
    </row>
    <row r="8" spans="1:12" ht="17.25" x14ac:dyDescent="0.15">
      <c r="A8" t="str">
        <f t="shared" si="0"/>
        <v>c1</v>
      </c>
      <c r="B8" s="4" t="s">
        <v>12</v>
      </c>
      <c r="C8" s="4" t="s">
        <v>42</v>
      </c>
      <c r="D8" s="5">
        <v>90</v>
      </c>
      <c r="E8" s="5">
        <v>125</v>
      </c>
      <c r="F8" s="5">
        <v>105</v>
      </c>
      <c r="G8" s="5">
        <v>40</v>
      </c>
      <c r="H8" s="5">
        <v>71</v>
      </c>
      <c r="I8" s="5">
        <v>51</v>
      </c>
      <c r="J8" s="5">
        <v>34</v>
      </c>
      <c r="K8" s="5">
        <f t="shared" si="1"/>
        <v>516</v>
      </c>
      <c r="L8" t="str">
        <f t="shared" si="2"/>
        <v>合格</v>
      </c>
    </row>
    <row r="9" spans="1:12" ht="17.25" x14ac:dyDescent="0.15">
      <c r="A9" t="str">
        <f t="shared" si="0"/>
        <v>c1</v>
      </c>
      <c r="B9" s="4" t="s">
        <v>8</v>
      </c>
      <c r="C9" s="4" t="s">
        <v>43</v>
      </c>
      <c r="D9" s="5">
        <v>95</v>
      </c>
      <c r="E9" s="5">
        <v>118</v>
      </c>
      <c r="F9" s="5">
        <v>68</v>
      </c>
      <c r="G9" s="5">
        <v>40</v>
      </c>
      <c r="H9" s="5">
        <v>84</v>
      </c>
      <c r="I9" s="5">
        <v>58</v>
      </c>
      <c r="J9" s="5">
        <v>42</v>
      </c>
      <c r="K9" s="5">
        <f t="shared" si="1"/>
        <v>505</v>
      </c>
      <c r="L9" t="str">
        <f t="shared" si="2"/>
        <v>合格</v>
      </c>
    </row>
    <row r="10" spans="1:12" ht="17.25" x14ac:dyDescent="0.15">
      <c r="A10" t="str">
        <f t="shared" si="0"/>
        <v>c1</v>
      </c>
      <c r="B10" s="4" t="s">
        <v>15</v>
      </c>
      <c r="C10" s="4" t="s">
        <v>46</v>
      </c>
      <c r="D10" s="5">
        <v>118</v>
      </c>
      <c r="E10" s="5">
        <v>125</v>
      </c>
      <c r="F10" s="5">
        <v>88</v>
      </c>
      <c r="G10" s="5">
        <v>47</v>
      </c>
      <c r="H10" s="5">
        <v>75</v>
      </c>
      <c r="I10" s="5">
        <v>49</v>
      </c>
      <c r="J10" s="5">
        <v>44</v>
      </c>
      <c r="K10" s="5">
        <f t="shared" si="1"/>
        <v>546</v>
      </c>
      <c r="L10" t="str">
        <f t="shared" si="2"/>
        <v>合格</v>
      </c>
    </row>
    <row r="11" spans="1:12" ht="17.25" x14ac:dyDescent="0.15">
      <c r="A11" t="str">
        <f t="shared" si="0"/>
        <v>c1</v>
      </c>
      <c r="B11" s="4" t="s">
        <v>16</v>
      </c>
      <c r="C11" s="4" t="s">
        <v>47</v>
      </c>
      <c r="D11" s="5">
        <v>110</v>
      </c>
      <c r="E11" s="5">
        <v>111</v>
      </c>
      <c r="F11" s="5">
        <v>69</v>
      </c>
      <c r="G11" s="5">
        <v>46</v>
      </c>
      <c r="H11" s="5">
        <v>71</v>
      </c>
      <c r="I11" s="5">
        <v>48</v>
      </c>
      <c r="J11" s="5">
        <v>41</v>
      </c>
      <c r="K11" s="5">
        <f t="shared" si="1"/>
        <v>496</v>
      </c>
      <c r="L11" t="str">
        <f t="shared" si="2"/>
        <v>合格</v>
      </c>
    </row>
    <row r="12" spans="1:12" ht="17.25" x14ac:dyDescent="0.15">
      <c r="A12" t="str">
        <f t="shared" si="0"/>
        <v>c1</v>
      </c>
      <c r="B12" s="4" t="s">
        <v>19</v>
      </c>
      <c r="C12" s="4" t="s">
        <v>56</v>
      </c>
      <c r="D12" s="5">
        <v>110</v>
      </c>
      <c r="E12" s="5">
        <v>86</v>
      </c>
      <c r="F12" s="5">
        <v>84</v>
      </c>
      <c r="G12" s="5">
        <v>45</v>
      </c>
      <c r="H12" s="5">
        <v>86</v>
      </c>
      <c r="I12" s="5">
        <v>53</v>
      </c>
      <c r="J12" s="5">
        <v>41</v>
      </c>
      <c r="K12" s="5">
        <f t="shared" si="1"/>
        <v>505</v>
      </c>
      <c r="L12" t="str">
        <f t="shared" si="2"/>
        <v>合格</v>
      </c>
    </row>
    <row r="13" spans="1:12" ht="17.25" x14ac:dyDescent="0.15">
      <c r="A13" t="str">
        <f t="shared" si="0"/>
        <v>c1</v>
      </c>
      <c r="B13" s="4" t="s">
        <v>20</v>
      </c>
      <c r="C13" s="4" t="s">
        <v>55</v>
      </c>
      <c r="D13" s="5">
        <v>130</v>
      </c>
      <c r="E13" s="5">
        <v>85</v>
      </c>
      <c r="F13" s="5">
        <v>103</v>
      </c>
      <c r="G13" s="5">
        <v>38</v>
      </c>
      <c r="H13" s="5">
        <v>80</v>
      </c>
      <c r="I13" s="5">
        <v>52</v>
      </c>
      <c r="J13" s="5">
        <v>42</v>
      </c>
      <c r="K13" s="5">
        <f t="shared" si="1"/>
        <v>530</v>
      </c>
      <c r="L13" t="str">
        <f t="shared" si="2"/>
        <v>合格</v>
      </c>
    </row>
    <row r="14" spans="1:12" ht="17.25" x14ac:dyDescent="0.15">
      <c r="A14" t="str">
        <f t="shared" si="0"/>
        <v>c1</v>
      </c>
      <c r="B14" s="4" t="s">
        <v>25</v>
      </c>
      <c r="C14" s="4" t="s">
        <v>59</v>
      </c>
      <c r="D14" s="5">
        <v>106</v>
      </c>
      <c r="E14" s="5">
        <v>95</v>
      </c>
      <c r="F14" s="5">
        <v>89</v>
      </c>
      <c r="G14" s="5">
        <v>40</v>
      </c>
      <c r="H14" s="5">
        <v>86</v>
      </c>
      <c r="I14" s="5">
        <v>48</v>
      </c>
      <c r="J14" s="5">
        <v>43</v>
      </c>
      <c r="K14" s="5">
        <f t="shared" si="1"/>
        <v>507</v>
      </c>
      <c r="L14" t="str">
        <f t="shared" si="2"/>
        <v>合格</v>
      </c>
    </row>
    <row r="15" spans="1:12" ht="17.25" x14ac:dyDescent="0.15">
      <c r="A15" t="str">
        <f t="shared" si="0"/>
        <v>c1</v>
      </c>
      <c r="B15" s="4" t="s">
        <v>26</v>
      </c>
      <c r="C15" s="4" t="s">
        <v>50</v>
      </c>
      <c r="D15" s="5">
        <v>124</v>
      </c>
      <c r="E15" s="5">
        <v>146</v>
      </c>
      <c r="F15" s="5">
        <v>100</v>
      </c>
      <c r="G15" s="5">
        <v>43</v>
      </c>
      <c r="H15" s="5">
        <v>74</v>
      </c>
      <c r="I15" s="5">
        <v>40</v>
      </c>
      <c r="J15" s="5">
        <v>38</v>
      </c>
      <c r="K15" s="5">
        <f t="shared" si="1"/>
        <v>565</v>
      </c>
      <c r="L15" t="str">
        <f t="shared" si="2"/>
        <v>优秀</v>
      </c>
    </row>
    <row r="16" spans="1:12" ht="17.25" x14ac:dyDescent="0.15">
      <c r="A16" t="str">
        <f t="shared" si="0"/>
        <v>c2</v>
      </c>
      <c r="B16" s="4" t="s">
        <v>10</v>
      </c>
      <c r="C16" s="4" t="s">
        <v>40</v>
      </c>
      <c r="D16" s="5">
        <v>124</v>
      </c>
      <c r="E16" s="5">
        <v>146</v>
      </c>
      <c r="F16" s="5">
        <v>83</v>
      </c>
      <c r="G16" s="5">
        <v>45</v>
      </c>
      <c r="H16" s="5">
        <v>87</v>
      </c>
      <c r="I16" s="5">
        <v>58</v>
      </c>
      <c r="J16" s="5">
        <v>37</v>
      </c>
      <c r="K16" s="5">
        <f t="shared" si="1"/>
        <v>580</v>
      </c>
      <c r="L16" t="str">
        <f t="shared" si="2"/>
        <v>合格</v>
      </c>
    </row>
    <row r="17" spans="1:12" ht="17.25" x14ac:dyDescent="0.15">
      <c r="A17" t="str">
        <f t="shared" si="0"/>
        <v>c2</v>
      </c>
      <c r="B17" s="4" t="s">
        <v>4</v>
      </c>
      <c r="C17" s="4" t="s">
        <v>44</v>
      </c>
      <c r="D17" s="5">
        <v>128</v>
      </c>
      <c r="E17" s="5">
        <v>121</v>
      </c>
      <c r="F17" s="5">
        <v>74</v>
      </c>
      <c r="G17" s="5">
        <v>44</v>
      </c>
      <c r="H17" s="5">
        <v>75</v>
      </c>
      <c r="I17" s="5">
        <v>60</v>
      </c>
      <c r="J17" s="5">
        <v>40</v>
      </c>
      <c r="K17" s="5">
        <f t="shared" si="1"/>
        <v>542</v>
      </c>
      <c r="L17" t="str">
        <f t="shared" si="2"/>
        <v>合格</v>
      </c>
    </row>
    <row r="18" spans="1:12" ht="17.25" x14ac:dyDescent="0.15">
      <c r="A18" t="str">
        <f t="shared" si="0"/>
        <v>c2</v>
      </c>
      <c r="B18" s="4" t="s">
        <v>13</v>
      </c>
      <c r="C18" s="4" t="s">
        <v>45</v>
      </c>
      <c r="D18" s="5">
        <v>116</v>
      </c>
      <c r="E18" s="5">
        <v>138</v>
      </c>
      <c r="F18" s="5">
        <v>101</v>
      </c>
      <c r="G18" s="5">
        <v>44</v>
      </c>
      <c r="H18" s="5">
        <v>70</v>
      </c>
      <c r="I18" s="5">
        <v>41</v>
      </c>
      <c r="J18" s="5">
        <v>33</v>
      </c>
      <c r="K18" s="5">
        <f t="shared" si="1"/>
        <v>543</v>
      </c>
      <c r="L18" t="str">
        <f t="shared" si="2"/>
        <v>优秀</v>
      </c>
    </row>
    <row r="19" spans="1:12" ht="17.25" x14ac:dyDescent="0.15">
      <c r="A19" t="str">
        <f t="shared" si="0"/>
        <v>c2</v>
      </c>
      <c r="B19" s="4" t="s">
        <v>17</v>
      </c>
      <c r="C19" s="4" t="s">
        <v>48</v>
      </c>
      <c r="D19" s="5">
        <v>93</v>
      </c>
      <c r="E19" s="5">
        <v>103</v>
      </c>
      <c r="F19" s="5">
        <v>90</v>
      </c>
      <c r="G19" s="5">
        <v>41</v>
      </c>
      <c r="H19" s="5">
        <v>73</v>
      </c>
      <c r="I19" s="5">
        <v>60</v>
      </c>
      <c r="J19" s="5">
        <v>43</v>
      </c>
      <c r="K19" s="5">
        <f t="shared" si="1"/>
        <v>503</v>
      </c>
      <c r="L19" t="str">
        <f t="shared" si="2"/>
        <v>合格</v>
      </c>
    </row>
    <row r="20" spans="1:12" ht="17.25" x14ac:dyDescent="0.15">
      <c r="A20" t="str">
        <f t="shared" si="0"/>
        <v>c2</v>
      </c>
      <c r="B20" s="4" t="s">
        <v>33</v>
      </c>
      <c r="C20" s="4" t="s">
        <v>51</v>
      </c>
      <c r="D20" s="5">
        <v>117</v>
      </c>
      <c r="E20" s="5">
        <v>142</v>
      </c>
      <c r="F20" s="5">
        <v>100</v>
      </c>
      <c r="G20" s="5">
        <v>30</v>
      </c>
      <c r="H20" s="5">
        <v>79</v>
      </c>
      <c r="I20" s="5">
        <v>48</v>
      </c>
      <c r="J20" s="5">
        <v>38</v>
      </c>
      <c r="K20" s="5">
        <f t="shared" si="1"/>
        <v>554</v>
      </c>
      <c r="L20" t="str">
        <f t="shared" si="2"/>
        <v>优秀</v>
      </c>
    </row>
    <row r="21" spans="1:12" ht="17.25" x14ac:dyDescent="0.15">
      <c r="A21" t="str">
        <f t="shared" si="0"/>
        <v>c2</v>
      </c>
      <c r="B21" s="4" t="s">
        <v>21</v>
      </c>
      <c r="C21" s="4" t="s">
        <v>52</v>
      </c>
      <c r="D21" s="5">
        <v>122</v>
      </c>
      <c r="E21" s="5">
        <v>130</v>
      </c>
      <c r="F21" s="5">
        <v>40</v>
      </c>
      <c r="G21" s="5">
        <v>40</v>
      </c>
      <c r="H21" s="5">
        <v>80</v>
      </c>
      <c r="I21" s="5">
        <v>49</v>
      </c>
      <c r="J21" s="5">
        <v>39</v>
      </c>
      <c r="K21" s="5">
        <f t="shared" si="1"/>
        <v>500</v>
      </c>
      <c r="L21" t="str">
        <f t="shared" si="2"/>
        <v>合格</v>
      </c>
    </row>
    <row r="22" spans="1:12" ht="17.25" x14ac:dyDescent="0.15">
      <c r="A22" t="str">
        <f t="shared" si="0"/>
        <v>c2</v>
      </c>
      <c r="B22" s="4" t="s">
        <v>24</v>
      </c>
      <c r="C22" s="4" t="s">
        <v>54</v>
      </c>
      <c r="D22" s="5">
        <v>117</v>
      </c>
      <c r="E22" s="5">
        <v>140</v>
      </c>
      <c r="F22" s="5">
        <v>85</v>
      </c>
      <c r="G22" s="5">
        <v>35</v>
      </c>
      <c r="H22" s="5">
        <v>70</v>
      </c>
      <c r="I22" s="5">
        <v>25</v>
      </c>
      <c r="J22" s="5">
        <v>37</v>
      </c>
      <c r="K22" s="5">
        <f t="shared" si="1"/>
        <v>509</v>
      </c>
      <c r="L22" t="str">
        <f t="shared" si="2"/>
        <v>合格</v>
      </c>
    </row>
    <row r="23" spans="1:12" ht="17.25" x14ac:dyDescent="0.15">
      <c r="A23" t="str">
        <f t="shared" si="0"/>
        <v>c2</v>
      </c>
      <c r="B23" s="4" t="s">
        <v>27</v>
      </c>
      <c r="C23" s="4" t="s">
        <v>60</v>
      </c>
      <c r="D23" s="5">
        <v>118</v>
      </c>
      <c r="E23" s="5">
        <v>130</v>
      </c>
      <c r="F23" s="5">
        <v>102</v>
      </c>
      <c r="G23" s="5">
        <v>40</v>
      </c>
      <c r="H23" s="5">
        <v>84</v>
      </c>
      <c r="I23" s="5">
        <v>58</v>
      </c>
      <c r="J23" s="5">
        <v>42</v>
      </c>
      <c r="K23" s="5">
        <f t="shared" si="1"/>
        <v>574</v>
      </c>
      <c r="L23" t="str">
        <f t="shared" si="2"/>
        <v>优秀</v>
      </c>
    </row>
    <row r="24" spans="1:12" ht="17.25" x14ac:dyDescent="0.15">
      <c r="A24" t="str">
        <f t="shared" si="0"/>
        <v>c3</v>
      </c>
      <c r="B24" s="4" t="s">
        <v>6</v>
      </c>
      <c r="C24" s="4" t="s">
        <v>35</v>
      </c>
      <c r="D24" s="5">
        <v>112</v>
      </c>
      <c r="E24" s="5">
        <v>135</v>
      </c>
      <c r="F24" s="5">
        <v>110</v>
      </c>
      <c r="G24" s="5">
        <v>43</v>
      </c>
      <c r="H24" s="5">
        <v>75</v>
      </c>
      <c r="I24" s="5">
        <v>58</v>
      </c>
      <c r="J24" s="5">
        <v>42</v>
      </c>
      <c r="K24" s="5">
        <f t="shared" si="1"/>
        <v>575</v>
      </c>
      <c r="L24" t="str">
        <f t="shared" si="2"/>
        <v>合格</v>
      </c>
    </row>
    <row r="25" spans="1:12" ht="17.25" x14ac:dyDescent="0.15">
      <c r="A25" t="str">
        <f t="shared" si="0"/>
        <v>c3</v>
      </c>
      <c r="B25" s="4" t="s">
        <v>14</v>
      </c>
      <c r="C25" s="4" t="s">
        <v>38</v>
      </c>
      <c r="D25" s="5">
        <v>125</v>
      </c>
      <c r="E25" s="5">
        <v>80</v>
      </c>
      <c r="F25" s="5">
        <v>68</v>
      </c>
      <c r="G25" s="5">
        <v>40</v>
      </c>
      <c r="H25" s="5">
        <v>86</v>
      </c>
      <c r="I25" s="5">
        <v>48</v>
      </c>
      <c r="J25" s="5">
        <v>43</v>
      </c>
      <c r="K25" s="5">
        <f t="shared" si="1"/>
        <v>490</v>
      </c>
      <c r="L25" t="str">
        <f t="shared" si="2"/>
        <v>合格</v>
      </c>
    </row>
    <row r="26" spans="1:12" ht="17.25" x14ac:dyDescent="0.15">
      <c r="A26" t="str">
        <f t="shared" si="0"/>
        <v>c3</v>
      </c>
      <c r="B26" s="4" t="s">
        <v>18</v>
      </c>
      <c r="C26" s="4" t="s">
        <v>49</v>
      </c>
      <c r="D26" s="5">
        <v>84</v>
      </c>
      <c r="E26" s="5">
        <v>92</v>
      </c>
      <c r="F26" s="5">
        <v>101</v>
      </c>
      <c r="G26" s="5">
        <v>45</v>
      </c>
      <c r="H26" s="5">
        <v>59</v>
      </c>
      <c r="I26" s="5">
        <v>49</v>
      </c>
      <c r="J26" s="5">
        <v>44</v>
      </c>
      <c r="K26" s="5">
        <f t="shared" si="1"/>
        <v>474</v>
      </c>
      <c r="L26" t="str">
        <f t="shared" si="2"/>
        <v>合格</v>
      </c>
    </row>
    <row r="27" spans="1:12" ht="17.25" x14ac:dyDescent="0.15">
      <c r="A27" t="str">
        <f t="shared" si="0"/>
        <v>c3</v>
      </c>
      <c r="B27" s="4" t="s">
        <v>22</v>
      </c>
      <c r="C27" s="4" t="s">
        <v>53</v>
      </c>
      <c r="D27" s="5">
        <v>103</v>
      </c>
      <c r="E27" s="5">
        <v>125</v>
      </c>
      <c r="F27" s="5">
        <v>91</v>
      </c>
      <c r="G27" s="5">
        <v>45</v>
      </c>
      <c r="H27" s="5">
        <v>25</v>
      </c>
      <c r="I27" s="5">
        <v>30</v>
      </c>
      <c r="J27" s="5">
        <v>40</v>
      </c>
      <c r="K27" s="5">
        <f t="shared" si="1"/>
        <v>459</v>
      </c>
      <c r="L27" t="str">
        <f t="shared" si="2"/>
        <v>合格</v>
      </c>
    </row>
    <row r="28" spans="1:12" ht="17.25" x14ac:dyDescent="0.15">
      <c r="A28" t="str">
        <f t="shared" si="0"/>
        <v>c3</v>
      </c>
      <c r="B28" s="4" t="s">
        <v>23</v>
      </c>
      <c r="C28" s="4" t="s">
        <v>58</v>
      </c>
      <c r="D28" s="5">
        <v>110</v>
      </c>
      <c r="E28" s="5">
        <v>128</v>
      </c>
      <c r="F28" s="5">
        <v>96</v>
      </c>
      <c r="G28" s="5">
        <v>40</v>
      </c>
      <c r="H28" s="5">
        <v>42</v>
      </c>
      <c r="I28" s="5">
        <v>37</v>
      </c>
      <c r="J28" s="5">
        <v>38</v>
      </c>
      <c r="K28" s="5">
        <f t="shared" si="1"/>
        <v>491</v>
      </c>
      <c r="L28" t="str">
        <f t="shared" si="2"/>
        <v>合格</v>
      </c>
    </row>
    <row r="29" spans="1:12" ht="17.25" x14ac:dyDescent="0.15">
      <c r="A29" t="str">
        <f t="shared" si="0"/>
        <v>c3</v>
      </c>
      <c r="B29" s="4" t="s">
        <v>28</v>
      </c>
      <c r="C29" s="4" t="s">
        <v>57</v>
      </c>
      <c r="D29" s="5">
        <v>106</v>
      </c>
      <c r="E29" s="5">
        <v>95</v>
      </c>
      <c r="F29" s="5">
        <v>98</v>
      </c>
      <c r="G29" s="5">
        <v>44</v>
      </c>
      <c r="H29" s="5">
        <v>75</v>
      </c>
      <c r="I29" s="5">
        <v>60</v>
      </c>
      <c r="J29" s="5">
        <v>40</v>
      </c>
      <c r="K29" s="5">
        <f t="shared" si="1"/>
        <v>518</v>
      </c>
      <c r="L29" t="str">
        <f t="shared" si="2"/>
        <v>合格</v>
      </c>
    </row>
  </sheetData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firstPageNumber="6" orientation="landscape" useFirstPageNumber="1" horizontalDpi="1200" verticalDpi="1200" r:id="rId1"/>
  <headerFooter alignWithMargins="0">
    <oddHeader>&amp;C&amp;10高一期中成绩抽测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7"/>
  <sheetViews>
    <sheetView workbookViewId="0">
      <selection activeCell="L12" sqref="L12"/>
    </sheetView>
  </sheetViews>
  <sheetFormatPr defaultRowHeight="14.25" x14ac:dyDescent="0.15"/>
  <sheetData>
    <row r="1" spans="1:9" x14ac:dyDescent="0.15">
      <c r="A1" t="s">
        <v>66</v>
      </c>
      <c r="B1" t="s">
        <v>68</v>
      </c>
      <c r="C1" t="s">
        <v>69</v>
      </c>
    </row>
    <row r="2" spans="1:9" x14ac:dyDescent="0.15">
      <c r="A2" t="s">
        <v>67</v>
      </c>
    </row>
    <row r="3" spans="1:9" x14ac:dyDescent="0.15">
      <c r="B3" t="s">
        <v>67</v>
      </c>
    </row>
    <row r="4" spans="1:9" x14ac:dyDescent="0.15">
      <c r="C4" t="s">
        <v>67</v>
      </c>
    </row>
    <row r="7" spans="1:9" ht="15" thickBot="1" x14ac:dyDescent="0.2"/>
    <row r="8" spans="1:9" ht="18.75" thickTop="1" thickBot="1" x14ac:dyDescent="0.2">
      <c r="A8" s="6" t="s">
        <v>61</v>
      </c>
      <c r="B8" s="7" t="s">
        <v>0</v>
      </c>
      <c r="C8" s="7" t="s">
        <v>1</v>
      </c>
      <c r="D8" s="7" t="s">
        <v>2</v>
      </c>
      <c r="E8" s="7" t="s">
        <v>3</v>
      </c>
      <c r="F8" s="7" t="s">
        <v>31</v>
      </c>
      <c r="G8" s="7" t="s">
        <v>29</v>
      </c>
      <c r="H8" s="7" t="s">
        <v>30</v>
      </c>
      <c r="I8" s="8" t="s">
        <v>32</v>
      </c>
    </row>
    <row r="9" spans="1:9" ht="18.75" thickTop="1" thickBot="1" x14ac:dyDescent="0.2">
      <c r="A9" s="9" t="s">
        <v>5</v>
      </c>
      <c r="B9" s="10" t="s">
        <v>34</v>
      </c>
      <c r="C9" s="11">
        <v>120</v>
      </c>
      <c r="D9" s="11">
        <v>148</v>
      </c>
      <c r="E9" s="11">
        <v>99</v>
      </c>
      <c r="F9" s="11">
        <v>44</v>
      </c>
      <c r="G9" s="11">
        <v>89</v>
      </c>
      <c r="H9" s="11">
        <v>60</v>
      </c>
      <c r="I9" s="12">
        <v>45</v>
      </c>
    </row>
    <row r="10" spans="1:9" ht="18.75" thickTop="1" thickBot="1" x14ac:dyDescent="0.2">
      <c r="A10" s="9" t="s">
        <v>7</v>
      </c>
      <c r="B10" s="10" t="s">
        <v>36</v>
      </c>
      <c r="C10" s="11">
        <v>115</v>
      </c>
      <c r="D10" s="11">
        <v>120</v>
      </c>
      <c r="E10" s="11">
        <v>89</v>
      </c>
      <c r="F10" s="11">
        <v>43</v>
      </c>
      <c r="G10" s="11">
        <v>89</v>
      </c>
      <c r="H10" s="11">
        <v>57</v>
      </c>
      <c r="I10" s="12">
        <v>45</v>
      </c>
    </row>
    <row r="11" spans="1:9" ht="18.75" thickTop="1" thickBot="1" x14ac:dyDescent="0.2">
      <c r="A11" s="9" t="s">
        <v>11</v>
      </c>
      <c r="B11" s="10" t="s">
        <v>41</v>
      </c>
      <c r="C11" s="11">
        <v>118</v>
      </c>
      <c r="D11" s="11">
        <v>130</v>
      </c>
      <c r="E11" s="11">
        <v>72</v>
      </c>
      <c r="F11" s="11">
        <v>43</v>
      </c>
      <c r="G11" s="11">
        <v>86</v>
      </c>
      <c r="H11" s="11">
        <v>54</v>
      </c>
      <c r="I11" s="12">
        <v>38</v>
      </c>
    </row>
    <row r="12" spans="1:9" ht="18.75" thickTop="1" thickBot="1" x14ac:dyDescent="0.2">
      <c r="A12" s="9" t="s">
        <v>12</v>
      </c>
      <c r="B12" s="10" t="s">
        <v>42</v>
      </c>
      <c r="C12" s="11">
        <v>90</v>
      </c>
      <c r="D12" s="11">
        <v>125</v>
      </c>
      <c r="E12" s="11">
        <v>105</v>
      </c>
      <c r="F12" s="11">
        <v>40</v>
      </c>
      <c r="G12" s="11">
        <v>71</v>
      </c>
      <c r="H12" s="11">
        <v>51</v>
      </c>
      <c r="I12" s="12">
        <v>34</v>
      </c>
    </row>
    <row r="13" spans="1:9" ht="18.75" thickTop="1" thickBot="1" x14ac:dyDescent="0.2">
      <c r="A13" s="9" t="s">
        <v>15</v>
      </c>
      <c r="B13" s="10" t="s">
        <v>46</v>
      </c>
      <c r="C13" s="11">
        <v>118</v>
      </c>
      <c r="D13" s="11">
        <v>125</v>
      </c>
      <c r="E13" s="11">
        <v>88</v>
      </c>
      <c r="F13" s="11">
        <v>47</v>
      </c>
      <c r="G13" s="11">
        <v>75</v>
      </c>
      <c r="H13" s="11">
        <v>49</v>
      </c>
      <c r="I13" s="12">
        <v>44</v>
      </c>
    </row>
    <row r="14" spans="1:9" ht="18.75" thickTop="1" thickBot="1" x14ac:dyDescent="0.2">
      <c r="A14" s="9" t="s">
        <v>20</v>
      </c>
      <c r="B14" s="10" t="s">
        <v>55</v>
      </c>
      <c r="C14" s="11">
        <v>130</v>
      </c>
      <c r="D14" s="11">
        <v>85</v>
      </c>
      <c r="E14" s="11">
        <v>103</v>
      </c>
      <c r="F14" s="11">
        <v>38</v>
      </c>
      <c r="G14" s="11">
        <v>80</v>
      </c>
      <c r="H14" s="11">
        <v>52</v>
      </c>
      <c r="I14" s="12">
        <v>42</v>
      </c>
    </row>
    <row r="15" spans="1:9" ht="18.75" thickTop="1" thickBot="1" x14ac:dyDescent="0.2">
      <c r="A15" s="9" t="s">
        <v>26</v>
      </c>
      <c r="B15" s="10" t="s">
        <v>50</v>
      </c>
      <c r="C15" s="11">
        <v>124</v>
      </c>
      <c r="D15" s="11">
        <v>146</v>
      </c>
      <c r="E15" s="11">
        <v>100</v>
      </c>
      <c r="F15" s="11">
        <v>43</v>
      </c>
      <c r="G15" s="11">
        <v>74</v>
      </c>
      <c r="H15" s="11">
        <v>40</v>
      </c>
      <c r="I15" s="12">
        <v>38</v>
      </c>
    </row>
    <row r="16" spans="1:9" ht="18.75" thickTop="1" thickBot="1" x14ac:dyDescent="0.2">
      <c r="A16" s="9" t="s">
        <v>10</v>
      </c>
      <c r="B16" s="10" t="s">
        <v>40</v>
      </c>
      <c r="C16" s="11">
        <v>124</v>
      </c>
      <c r="D16" s="11">
        <v>146</v>
      </c>
      <c r="E16" s="11">
        <v>83</v>
      </c>
      <c r="F16" s="11">
        <v>45</v>
      </c>
      <c r="G16" s="11">
        <v>87</v>
      </c>
      <c r="H16" s="11">
        <v>58</v>
      </c>
      <c r="I16" s="12">
        <v>37</v>
      </c>
    </row>
    <row r="17" spans="1:9" ht="18.75" thickTop="1" thickBot="1" x14ac:dyDescent="0.2">
      <c r="A17" s="9" t="s">
        <v>4</v>
      </c>
      <c r="B17" s="10" t="s">
        <v>44</v>
      </c>
      <c r="C17" s="11">
        <v>128</v>
      </c>
      <c r="D17" s="11">
        <v>121</v>
      </c>
      <c r="E17" s="11">
        <v>74</v>
      </c>
      <c r="F17" s="11">
        <v>44</v>
      </c>
      <c r="G17" s="11">
        <v>75</v>
      </c>
      <c r="H17" s="11">
        <v>60</v>
      </c>
      <c r="I17" s="12">
        <v>40</v>
      </c>
    </row>
    <row r="18" spans="1:9" ht="18.75" thickTop="1" thickBot="1" x14ac:dyDescent="0.2">
      <c r="A18" s="9" t="s">
        <v>13</v>
      </c>
      <c r="B18" s="10" t="s">
        <v>45</v>
      </c>
      <c r="C18" s="11">
        <v>116</v>
      </c>
      <c r="D18" s="11">
        <v>138</v>
      </c>
      <c r="E18" s="11">
        <v>101</v>
      </c>
      <c r="F18" s="11">
        <v>44</v>
      </c>
      <c r="G18" s="11">
        <v>70</v>
      </c>
      <c r="H18" s="11">
        <v>41</v>
      </c>
      <c r="I18" s="12">
        <v>33</v>
      </c>
    </row>
    <row r="19" spans="1:9" ht="18.75" thickTop="1" thickBot="1" x14ac:dyDescent="0.2">
      <c r="A19" s="9" t="s">
        <v>33</v>
      </c>
      <c r="B19" s="10" t="s">
        <v>51</v>
      </c>
      <c r="C19" s="11">
        <v>117</v>
      </c>
      <c r="D19" s="11">
        <v>142</v>
      </c>
      <c r="E19" s="11">
        <v>100</v>
      </c>
      <c r="F19" s="11">
        <v>30</v>
      </c>
      <c r="G19" s="11">
        <v>79</v>
      </c>
      <c r="H19" s="11">
        <v>48</v>
      </c>
      <c r="I19" s="12">
        <v>38</v>
      </c>
    </row>
    <row r="20" spans="1:9" ht="18.75" thickTop="1" thickBot="1" x14ac:dyDescent="0.2">
      <c r="A20" s="9" t="s">
        <v>21</v>
      </c>
      <c r="B20" s="10" t="s">
        <v>52</v>
      </c>
      <c r="C20" s="11">
        <v>122</v>
      </c>
      <c r="D20" s="11">
        <v>130</v>
      </c>
      <c r="E20" s="11">
        <v>40</v>
      </c>
      <c r="F20" s="11">
        <v>40</v>
      </c>
      <c r="G20" s="11">
        <v>80</v>
      </c>
      <c r="H20" s="11">
        <v>49</v>
      </c>
      <c r="I20" s="12">
        <v>39</v>
      </c>
    </row>
    <row r="21" spans="1:9" ht="18.75" thickTop="1" thickBot="1" x14ac:dyDescent="0.2">
      <c r="A21" s="9" t="s">
        <v>24</v>
      </c>
      <c r="B21" s="10" t="s">
        <v>54</v>
      </c>
      <c r="C21" s="11">
        <v>117</v>
      </c>
      <c r="D21" s="11">
        <v>140</v>
      </c>
      <c r="E21" s="11">
        <v>85</v>
      </c>
      <c r="F21" s="11">
        <v>35</v>
      </c>
      <c r="G21" s="11">
        <v>70</v>
      </c>
      <c r="H21" s="11">
        <v>25</v>
      </c>
      <c r="I21" s="12">
        <v>37</v>
      </c>
    </row>
    <row r="22" spans="1:9" ht="18.75" thickTop="1" thickBot="1" x14ac:dyDescent="0.2">
      <c r="A22" s="9" t="s">
        <v>27</v>
      </c>
      <c r="B22" s="10" t="s">
        <v>60</v>
      </c>
      <c r="C22" s="11">
        <v>118</v>
      </c>
      <c r="D22" s="11">
        <v>130</v>
      </c>
      <c r="E22" s="11">
        <v>102</v>
      </c>
      <c r="F22" s="11">
        <v>40</v>
      </c>
      <c r="G22" s="11">
        <v>84</v>
      </c>
      <c r="H22" s="11">
        <v>58</v>
      </c>
      <c r="I22" s="12">
        <v>42</v>
      </c>
    </row>
    <row r="23" spans="1:9" ht="18.75" thickTop="1" thickBot="1" x14ac:dyDescent="0.2">
      <c r="A23" s="9" t="s">
        <v>6</v>
      </c>
      <c r="B23" s="10" t="s">
        <v>35</v>
      </c>
      <c r="C23" s="11">
        <v>112</v>
      </c>
      <c r="D23" s="11">
        <v>135</v>
      </c>
      <c r="E23" s="11">
        <v>110</v>
      </c>
      <c r="F23" s="11">
        <v>43</v>
      </c>
      <c r="G23" s="11">
        <v>75</v>
      </c>
      <c r="H23" s="11">
        <v>58</v>
      </c>
      <c r="I23" s="12">
        <v>42</v>
      </c>
    </row>
    <row r="24" spans="1:9" ht="18.75" thickTop="1" thickBot="1" x14ac:dyDescent="0.2">
      <c r="A24" s="9" t="s">
        <v>14</v>
      </c>
      <c r="B24" s="10" t="s">
        <v>38</v>
      </c>
      <c r="C24" s="11">
        <v>125</v>
      </c>
      <c r="D24" s="11">
        <v>80</v>
      </c>
      <c r="E24" s="11">
        <v>68</v>
      </c>
      <c r="F24" s="11">
        <v>40</v>
      </c>
      <c r="G24" s="11">
        <v>86</v>
      </c>
      <c r="H24" s="11">
        <v>48</v>
      </c>
      <c r="I24" s="12">
        <v>43</v>
      </c>
    </row>
    <row r="25" spans="1:9" ht="18.75" thickTop="1" thickBot="1" x14ac:dyDescent="0.2">
      <c r="A25" s="9" t="s">
        <v>22</v>
      </c>
      <c r="B25" s="10" t="s">
        <v>53</v>
      </c>
      <c r="C25" s="11">
        <v>103</v>
      </c>
      <c r="D25" s="11">
        <v>125</v>
      </c>
      <c r="E25" s="11">
        <v>91</v>
      </c>
      <c r="F25" s="11">
        <v>45</v>
      </c>
      <c r="G25" s="11">
        <v>25</v>
      </c>
      <c r="H25" s="11">
        <v>30</v>
      </c>
      <c r="I25" s="12">
        <v>40</v>
      </c>
    </row>
    <row r="26" spans="1:9" ht="18.75" thickTop="1" thickBot="1" x14ac:dyDescent="0.2">
      <c r="A26" s="13" t="s">
        <v>23</v>
      </c>
      <c r="B26" s="14" t="s">
        <v>58</v>
      </c>
      <c r="C26" s="15">
        <v>110</v>
      </c>
      <c r="D26" s="15">
        <v>128</v>
      </c>
      <c r="E26" s="15">
        <v>96</v>
      </c>
      <c r="F26" s="15">
        <v>40</v>
      </c>
      <c r="G26" s="15">
        <v>42</v>
      </c>
      <c r="H26" s="15">
        <v>37</v>
      </c>
      <c r="I26" s="16">
        <v>38</v>
      </c>
    </row>
    <row r="27" spans="1:9" ht="15" thickTop="1" x14ac:dyDescent="0.15"/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D42" sqref="D42"/>
    </sheetView>
  </sheetViews>
  <sheetFormatPr defaultRowHeight="14.25" outlineLevelRow="2" x14ac:dyDescent="0.15"/>
  <sheetData>
    <row r="1" spans="1:12" ht="17.25" x14ac:dyDescent="0.15">
      <c r="A1" s="3" t="s">
        <v>64</v>
      </c>
      <c r="B1" s="4" t="s">
        <v>61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31</v>
      </c>
      <c r="H1" s="4" t="s">
        <v>29</v>
      </c>
      <c r="I1" s="4" t="s">
        <v>30</v>
      </c>
      <c r="J1" s="4" t="s">
        <v>32</v>
      </c>
      <c r="K1" s="4" t="s">
        <v>62</v>
      </c>
      <c r="L1" s="4" t="s">
        <v>65</v>
      </c>
    </row>
    <row r="2" spans="1:12" ht="17.25" hidden="1" outlineLevel="2" x14ac:dyDescent="0.15">
      <c r="A2" t="str">
        <f t="shared" ref="A2:A7" si="0">LEFT(B2,2)</f>
        <v>c3</v>
      </c>
      <c r="B2" s="4" t="s">
        <v>6</v>
      </c>
      <c r="C2" s="4" t="s">
        <v>35</v>
      </c>
      <c r="D2" s="5">
        <v>112</v>
      </c>
      <c r="E2" s="5">
        <v>135</v>
      </c>
      <c r="F2" s="5">
        <v>110</v>
      </c>
      <c r="G2" s="5">
        <v>43</v>
      </c>
      <c r="H2" s="5">
        <v>75</v>
      </c>
      <c r="I2" s="5">
        <v>58</v>
      </c>
      <c r="J2" s="5">
        <v>42</v>
      </c>
      <c r="K2" s="5">
        <f t="shared" ref="K2:K7" si="1">SUM(D2:J2)</f>
        <v>575</v>
      </c>
      <c r="L2" t="str">
        <f t="shared" ref="L2:L7" si="2">IF(AND(D2&gt;=115,E2&gt;=130,F2&gt;=90),"优秀","合格")</f>
        <v>合格</v>
      </c>
    </row>
    <row r="3" spans="1:12" ht="17.25" hidden="1" outlineLevel="2" x14ac:dyDescent="0.15">
      <c r="A3" t="str">
        <f t="shared" si="0"/>
        <v>c3</v>
      </c>
      <c r="B3" s="4" t="s">
        <v>14</v>
      </c>
      <c r="C3" s="4" t="s">
        <v>38</v>
      </c>
      <c r="D3" s="5">
        <v>125</v>
      </c>
      <c r="E3" s="5">
        <v>80</v>
      </c>
      <c r="F3" s="5">
        <v>68</v>
      </c>
      <c r="G3" s="5">
        <v>40</v>
      </c>
      <c r="H3" s="5">
        <v>86</v>
      </c>
      <c r="I3" s="5">
        <v>48</v>
      </c>
      <c r="J3" s="5">
        <v>43</v>
      </c>
      <c r="K3" s="5">
        <f t="shared" si="1"/>
        <v>490</v>
      </c>
      <c r="L3" t="str">
        <f t="shared" si="2"/>
        <v>合格</v>
      </c>
    </row>
    <row r="4" spans="1:12" ht="17.25" hidden="1" outlineLevel="2" x14ac:dyDescent="0.15">
      <c r="A4" t="str">
        <f t="shared" si="0"/>
        <v>c3</v>
      </c>
      <c r="B4" s="4" t="s">
        <v>18</v>
      </c>
      <c r="C4" s="4" t="s">
        <v>49</v>
      </c>
      <c r="D4" s="5">
        <v>84</v>
      </c>
      <c r="E4" s="5">
        <v>92</v>
      </c>
      <c r="F4" s="5">
        <v>101</v>
      </c>
      <c r="G4" s="5">
        <v>45</v>
      </c>
      <c r="H4" s="5">
        <v>59</v>
      </c>
      <c r="I4" s="5">
        <v>49</v>
      </c>
      <c r="J4" s="5">
        <v>44</v>
      </c>
      <c r="K4" s="5">
        <f t="shared" si="1"/>
        <v>474</v>
      </c>
      <c r="L4" t="str">
        <f t="shared" si="2"/>
        <v>合格</v>
      </c>
    </row>
    <row r="5" spans="1:12" ht="17.25" hidden="1" outlineLevel="2" x14ac:dyDescent="0.15">
      <c r="A5" t="str">
        <f t="shared" si="0"/>
        <v>c3</v>
      </c>
      <c r="B5" s="4" t="s">
        <v>22</v>
      </c>
      <c r="C5" s="4" t="s">
        <v>53</v>
      </c>
      <c r="D5" s="5">
        <v>103</v>
      </c>
      <c r="E5" s="5">
        <v>125</v>
      </c>
      <c r="F5" s="5">
        <v>91</v>
      </c>
      <c r="G5" s="5">
        <v>45</v>
      </c>
      <c r="H5" s="5">
        <v>25</v>
      </c>
      <c r="I5" s="5">
        <v>30</v>
      </c>
      <c r="J5" s="5">
        <v>40</v>
      </c>
      <c r="K5" s="5">
        <f t="shared" si="1"/>
        <v>459</v>
      </c>
      <c r="L5" t="str">
        <f t="shared" si="2"/>
        <v>合格</v>
      </c>
    </row>
    <row r="6" spans="1:12" ht="17.25" hidden="1" outlineLevel="2" x14ac:dyDescent="0.15">
      <c r="A6" t="str">
        <f t="shared" si="0"/>
        <v>c3</v>
      </c>
      <c r="B6" s="4" t="s">
        <v>23</v>
      </c>
      <c r="C6" s="4" t="s">
        <v>58</v>
      </c>
      <c r="D6" s="5">
        <v>110</v>
      </c>
      <c r="E6" s="5">
        <v>128</v>
      </c>
      <c r="F6" s="5">
        <v>96</v>
      </c>
      <c r="G6" s="5">
        <v>40</v>
      </c>
      <c r="H6" s="5">
        <v>42</v>
      </c>
      <c r="I6" s="5">
        <v>37</v>
      </c>
      <c r="J6" s="5">
        <v>38</v>
      </c>
      <c r="K6" s="5">
        <f t="shared" si="1"/>
        <v>491</v>
      </c>
      <c r="L6" t="str">
        <f t="shared" si="2"/>
        <v>合格</v>
      </c>
    </row>
    <row r="7" spans="1:12" ht="17.25" hidden="1" outlineLevel="2" x14ac:dyDescent="0.15">
      <c r="A7" t="str">
        <f t="shared" si="0"/>
        <v>c3</v>
      </c>
      <c r="B7" s="4" t="s">
        <v>28</v>
      </c>
      <c r="C7" s="4" t="s">
        <v>57</v>
      </c>
      <c r="D7" s="5">
        <v>106</v>
      </c>
      <c r="E7" s="5">
        <v>95</v>
      </c>
      <c r="F7" s="5">
        <v>98</v>
      </c>
      <c r="G7" s="5">
        <v>44</v>
      </c>
      <c r="H7" s="5">
        <v>75</v>
      </c>
      <c r="I7" s="5">
        <v>60</v>
      </c>
      <c r="J7" s="5">
        <v>40</v>
      </c>
      <c r="K7" s="5">
        <f t="shared" si="1"/>
        <v>518</v>
      </c>
      <c r="L7" t="str">
        <f t="shared" si="2"/>
        <v>合格</v>
      </c>
    </row>
    <row r="8" spans="1:12" ht="17.25" outlineLevel="1" collapsed="1" x14ac:dyDescent="0.15">
      <c r="A8" s="17" t="s">
        <v>70</v>
      </c>
      <c r="B8" s="4"/>
      <c r="C8" s="4"/>
      <c r="D8" s="18">
        <f>SUBTOTAL(1,D2:D7)</f>
        <v>106.66666666666667</v>
      </c>
      <c r="E8" s="18">
        <f>SUBTOTAL(1,E2:E7)</f>
        <v>109.16666666666667</v>
      </c>
      <c r="F8" s="18">
        <f>SUBTOTAL(1,F2:F7)</f>
        <v>94</v>
      </c>
      <c r="G8" s="5"/>
      <c r="H8" s="5"/>
      <c r="I8" s="5"/>
      <c r="J8" s="5"/>
      <c r="K8" s="5">
        <f>SUBTOTAL(1,K2:K7)</f>
        <v>501.16666666666669</v>
      </c>
    </row>
    <row r="9" spans="1:12" ht="17.25" hidden="1" outlineLevel="2" x14ac:dyDescent="0.15">
      <c r="A9" t="str">
        <f t="shared" ref="A9:A16" si="3">LEFT(B9,2)</f>
        <v>c2</v>
      </c>
      <c r="B9" s="4" t="s">
        <v>10</v>
      </c>
      <c r="C9" s="4" t="s">
        <v>40</v>
      </c>
      <c r="D9" s="18">
        <v>124</v>
      </c>
      <c r="E9" s="18">
        <v>146</v>
      </c>
      <c r="F9" s="18">
        <v>83</v>
      </c>
      <c r="G9" s="5">
        <v>45</v>
      </c>
      <c r="H9" s="5">
        <v>87</v>
      </c>
      <c r="I9" s="5">
        <v>58</v>
      </c>
      <c r="J9" s="5">
        <v>37</v>
      </c>
      <c r="K9" s="5">
        <f t="shared" ref="K9:K16" si="4">SUM(D9:J9)</f>
        <v>580</v>
      </c>
      <c r="L9" t="str">
        <f t="shared" ref="L9:L16" si="5">IF(AND(D9&gt;=115,E9&gt;=130,F9&gt;=90),"优秀","合格")</f>
        <v>合格</v>
      </c>
    </row>
    <row r="10" spans="1:12" ht="17.25" hidden="1" outlineLevel="2" x14ac:dyDescent="0.15">
      <c r="A10" t="str">
        <f t="shared" si="3"/>
        <v>c2</v>
      </c>
      <c r="B10" s="4" t="s">
        <v>4</v>
      </c>
      <c r="C10" s="4" t="s">
        <v>44</v>
      </c>
      <c r="D10" s="18">
        <v>128</v>
      </c>
      <c r="E10" s="18">
        <v>121</v>
      </c>
      <c r="F10" s="18">
        <v>74</v>
      </c>
      <c r="G10" s="5">
        <v>44</v>
      </c>
      <c r="H10" s="5">
        <v>75</v>
      </c>
      <c r="I10" s="5">
        <v>60</v>
      </c>
      <c r="J10" s="5">
        <v>40</v>
      </c>
      <c r="K10" s="5">
        <f t="shared" si="4"/>
        <v>542</v>
      </c>
      <c r="L10" t="str">
        <f t="shared" si="5"/>
        <v>合格</v>
      </c>
    </row>
    <row r="11" spans="1:12" ht="17.25" hidden="1" outlineLevel="2" x14ac:dyDescent="0.15">
      <c r="A11" t="str">
        <f t="shared" si="3"/>
        <v>c2</v>
      </c>
      <c r="B11" s="4" t="s">
        <v>13</v>
      </c>
      <c r="C11" s="4" t="s">
        <v>45</v>
      </c>
      <c r="D11" s="18">
        <v>116</v>
      </c>
      <c r="E11" s="18">
        <v>138</v>
      </c>
      <c r="F11" s="18">
        <v>101</v>
      </c>
      <c r="G11" s="5">
        <v>44</v>
      </c>
      <c r="H11" s="5">
        <v>70</v>
      </c>
      <c r="I11" s="5">
        <v>41</v>
      </c>
      <c r="J11" s="5">
        <v>33</v>
      </c>
      <c r="K11" s="5">
        <f t="shared" si="4"/>
        <v>543</v>
      </c>
      <c r="L11" t="str">
        <f t="shared" si="5"/>
        <v>优秀</v>
      </c>
    </row>
    <row r="12" spans="1:12" ht="17.25" hidden="1" outlineLevel="2" x14ac:dyDescent="0.15">
      <c r="A12" t="str">
        <f t="shared" si="3"/>
        <v>c2</v>
      </c>
      <c r="B12" s="4" t="s">
        <v>17</v>
      </c>
      <c r="C12" s="4" t="s">
        <v>48</v>
      </c>
      <c r="D12" s="18">
        <v>93</v>
      </c>
      <c r="E12" s="18">
        <v>103</v>
      </c>
      <c r="F12" s="18">
        <v>90</v>
      </c>
      <c r="G12" s="5">
        <v>41</v>
      </c>
      <c r="H12" s="5">
        <v>73</v>
      </c>
      <c r="I12" s="5">
        <v>60</v>
      </c>
      <c r="J12" s="5">
        <v>43</v>
      </c>
      <c r="K12" s="5">
        <f t="shared" si="4"/>
        <v>503</v>
      </c>
      <c r="L12" t="str">
        <f t="shared" si="5"/>
        <v>合格</v>
      </c>
    </row>
    <row r="13" spans="1:12" ht="17.25" hidden="1" outlineLevel="2" x14ac:dyDescent="0.15">
      <c r="A13" t="str">
        <f t="shared" si="3"/>
        <v>c2</v>
      </c>
      <c r="B13" s="4" t="s">
        <v>33</v>
      </c>
      <c r="C13" s="4" t="s">
        <v>51</v>
      </c>
      <c r="D13" s="18">
        <v>117</v>
      </c>
      <c r="E13" s="18">
        <v>142</v>
      </c>
      <c r="F13" s="18">
        <v>100</v>
      </c>
      <c r="G13" s="5">
        <v>30</v>
      </c>
      <c r="H13" s="5">
        <v>79</v>
      </c>
      <c r="I13" s="5">
        <v>48</v>
      </c>
      <c r="J13" s="5">
        <v>38</v>
      </c>
      <c r="K13" s="5">
        <f t="shared" si="4"/>
        <v>554</v>
      </c>
      <c r="L13" t="str">
        <f t="shared" si="5"/>
        <v>优秀</v>
      </c>
    </row>
    <row r="14" spans="1:12" ht="17.25" hidden="1" outlineLevel="2" x14ac:dyDescent="0.15">
      <c r="A14" t="str">
        <f t="shared" si="3"/>
        <v>c2</v>
      </c>
      <c r="B14" s="4" t="s">
        <v>21</v>
      </c>
      <c r="C14" s="4" t="s">
        <v>52</v>
      </c>
      <c r="D14" s="18">
        <v>122</v>
      </c>
      <c r="E14" s="18">
        <v>130</v>
      </c>
      <c r="F14" s="18">
        <v>40</v>
      </c>
      <c r="G14" s="5">
        <v>40</v>
      </c>
      <c r="H14" s="5">
        <v>80</v>
      </c>
      <c r="I14" s="5">
        <v>49</v>
      </c>
      <c r="J14" s="5">
        <v>39</v>
      </c>
      <c r="K14" s="5">
        <f t="shared" si="4"/>
        <v>500</v>
      </c>
      <c r="L14" t="str">
        <f t="shared" si="5"/>
        <v>合格</v>
      </c>
    </row>
    <row r="15" spans="1:12" ht="17.25" hidden="1" outlineLevel="2" x14ac:dyDescent="0.15">
      <c r="A15" t="str">
        <f t="shared" si="3"/>
        <v>c2</v>
      </c>
      <c r="B15" s="4" t="s">
        <v>24</v>
      </c>
      <c r="C15" s="4" t="s">
        <v>54</v>
      </c>
      <c r="D15" s="18">
        <v>117</v>
      </c>
      <c r="E15" s="18">
        <v>140</v>
      </c>
      <c r="F15" s="18">
        <v>85</v>
      </c>
      <c r="G15" s="5">
        <v>35</v>
      </c>
      <c r="H15" s="5">
        <v>70</v>
      </c>
      <c r="I15" s="5">
        <v>25</v>
      </c>
      <c r="J15" s="5">
        <v>37</v>
      </c>
      <c r="K15" s="5">
        <f t="shared" si="4"/>
        <v>509</v>
      </c>
      <c r="L15" t="str">
        <f t="shared" si="5"/>
        <v>合格</v>
      </c>
    </row>
    <row r="16" spans="1:12" ht="17.25" hidden="1" outlineLevel="2" x14ac:dyDescent="0.15">
      <c r="A16" t="str">
        <f t="shared" si="3"/>
        <v>c2</v>
      </c>
      <c r="B16" s="4" t="s">
        <v>27</v>
      </c>
      <c r="C16" s="4" t="s">
        <v>60</v>
      </c>
      <c r="D16" s="18">
        <v>118</v>
      </c>
      <c r="E16" s="18">
        <v>130</v>
      </c>
      <c r="F16" s="18">
        <v>102</v>
      </c>
      <c r="G16" s="5">
        <v>40</v>
      </c>
      <c r="H16" s="5">
        <v>84</v>
      </c>
      <c r="I16" s="5">
        <v>58</v>
      </c>
      <c r="J16" s="5">
        <v>42</v>
      </c>
      <c r="K16" s="5">
        <f t="shared" si="4"/>
        <v>574</v>
      </c>
      <c r="L16" t="str">
        <f t="shared" si="5"/>
        <v>优秀</v>
      </c>
    </row>
    <row r="17" spans="1:12" ht="17.25" outlineLevel="1" collapsed="1" x14ac:dyDescent="0.15">
      <c r="A17" s="17" t="s">
        <v>71</v>
      </c>
      <c r="B17" s="4"/>
      <c r="C17" s="4"/>
      <c r="D17" s="18">
        <f>SUBTOTAL(1,D9:D16)</f>
        <v>116.875</v>
      </c>
      <c r="E17" s="18">
        <f>SUBTOTAL(1,E9:E16)</f>
        <v>131.25</v>
      </c>
      <c r="F17" s="18">
        <f>SUBTOTAL(1,F9:F16)</f>
        <v>84.375</v>
      </c>
      <c r="G17" s="5"/>
      <c r="H17" s="5"/>
      <c r="I17" s="5"/>
      <c r="J17" s="5"/>
      <c r="K17" s="5">
        <f>SUBTOTAL(1,K9:K16)</f>
        <v>538.125</v>
      </c>
    </row>
    <row r="18" spans="1:12" ht="17.25" hidden="1" outlineLevel="2" x14ac:dyDescent="0.15">
      <c r="A18" t="str">
        <f t="shared" ref="A18:A30" si="6">LEFT(B18,2)</f>
        <v>c1</v>
      </c>
      <c r="B18" s="4" t="s">
        <v>5</v>
      </c>
      <c r="C18" s="4" t="s">
        <v>34</v>
      </c>
      <c r="D18" s="18">
        <v>120</v>
      </c>
      <c r="E18" s="18">
        <v>148</v>
      </c>
      <c r="F18" s="18">
        <v>99</v>
      </c>
      <c r="G18" s="5">
        <v>44</v>
      </c>
      <c r="H18" s="5">
        <v>89</v>
      </c>
      <c r="I18" s="5">
        <v>60</v>
      </c>
      <c r="J18" s="5">
        <v>45</v>
      </c>
      <c r="K18" s="5">
        <f t="shared" ref="K18:K30" si="7">SUM(D18:J18)</f>
        <v>605</v>
      </c>
      <c r="L18" t="str">
        <f t="shared" ref="L18:L30" si="8">IF(AND(D18&gt;=115,E18&gt;=130,F18&gt;=90),"优秀","合格")</f>
        <v>优秀</v>
      </c>
    </row>
    <row r="19" spans="1:12" ht="17.25" hidden="1" outlineLevel="2" x14ac:dyDescent="0.15">
      <c r="A19" t="str">
        <f t="shared" si="6"/>
        <v>c1</v>
      </c>
      <c r="B19" s="4" t="s">
        <v>7</v>
      </c>
      <c r="C19" s="4" t="s">
        <v>36</v>
      </c>
      <c r="D19" s="18">
        <v>115</v>
      </c>
      <c r="E19" s="18">
        <v>120</v>
      </c>
      <c r="F19" s="18">
        <v>89</v>
      </c>
      <c r="G19" s="5">
        <v>43</v>
      </c>
      <c r="H19" s="5">
        <v>89</v>
      </c>
      <c r="I19" s="5">
        <v>57</v>
      </c>
      <c r="J19" s="5">
        <v>45</v>
      </c>
      <c r="K19" s="5">
        <f t="shared" si="7"/>
        <v>558</v>
      </c>
      <c r="L19" t="str">
        <f t="shared" si="8"/>
        <v>合格</v>
      </c>
    </row>
    <row r="20" spans="1:12" ht="17.25" hidden="1" outlineLevel="2" x14ac:dyDescent="0.15">
      <c r="A20" t="str">
        <f t="shared" si="6"/>
        <v>c1</v>
      </c>
      <c r="B20" s="4" t="s">
        <v>8</v>
      </c>
      <c r="C20" s="4" t="s">
        <v>37</v>
      </c>
      <c r="D20" s="18">
        <v>103</v>
      </c>
      <c r="E20" s="18">
        <v>115</v>
      </c>
      <c r="F20" s="18">
        <v>98</v>
      </c>
      <c r="G20" s="5">
        <v>45</v>
      </c>
      <c r="H20" s="5">
        <v>57</v>
      </c>
      <c r="I20" s="5">
        <v>50</v>
      </c>
      <c r="J20" s="5">
        <v>40</v>
      </c>
      <c r="K20" s="5">
        <f t="shared" si="7"/>
        <v>508</v>
      </c>
      <c r="L20" t="str">
        <f t="shared" si="8"/>
        <v>合格</v>
      </c>
    </row>
    <row r="21" spans="1:12" ht="17.25" hidden="1" outlineLevel="2" x14ac:dyDescent="0.15">
      <c r="A21" t="str">
        <f t="shared" si="6"/>
        <v>c1</v>
      </c>
      <c r="B21" s="4" t="s">
        <v>9</v>
      </c>
      <c r="C21" s="4" t="s">
        <v>39</v>
      </c>
      <c r="D21" s="18">
        <v>106</v>
      </c>
      <c r="E21" s="18">
        <v>95</v>
      </c>
      <c r="F21" s="18">
        <v>110</v>
      </c>
      <c r="G21" s="5">
        <v>43</v>
      </c>
      <c r="H21" s="5">
        <v>74</v>
      </c>
      <c r="I21" s="5">
        <v>40</v>
      </c>
      <c r="J21" s="5">
        <v>38</v>
      </c>
      <c r="K21" s="5">
        <f t="shared" si="7"/>
        <v>506</v>
      </c>
      <c r="L21" t="str">
        <f t="shared" si="8"/>
        <v>合格</v>
      </c>
    </row>
    <row r="22" spans="1:12" ht="17.25" hidden="1" outlineLevel="2" x14ac:dyDescent="0.15">
      <c r="A22" t="str">
        <f t="shared" si="6"/>
        <v>c1</v>
      </c>
      <c r="B22" s="4" t="s">
        <v>11</v>
      </c>
      <c r="C22" s="4" t="s">
        <v>41</v>
      </c>
      <c r="D22" s="18">
        <v>118</v>
      </c>
      <c r="E22" s="18">
        <v>130</v>
      </c>
      <c r="F22" s="18">
        <v>72</v>
      </c>
      <c r="G22" s="5">
        <v>43</v>
      </c>
      <c r="H22" s="5">
        <v>86</v>
      </c>
      <c r="I22" s="5">
        <v>54</v>
      </c>
      <c r="J22" s="5">
        <v>38</v>
      </c>
      <c r="K22" s="5">
        <f t="shared" si="7"/>
        <v>541</v>
      </c>
      <c r="L22" t="str">
        <f t="shared" si="8"/>
        <v>合格</v>
      </c>
    </row>
    <row r="23" spans="1:12" ht="17.25" hidden="1" outlineLevel="2" x14ac:dyDescent="0.15">
      <c r="A23" t="str">
        <f t="shared" si="6"/>
        <v>c1</v>
      </c>
      <c r="B23" s="4" t="s">
        <v>12</v>
      </c>
      <c r="C23" s="4" t="s">
        <v>42</v>
      </c>
      <c r="D23" s="18">
        <v>90</v>
      </c>
      <c r="E23" s="18">
        <v>125</v>
      </c>
      <c r="F23" s="18">
        <v>105</v>
      </c>
      <c r="G23" s="5">
        <v>40</v>
      </c>
      <c r="H23" s="5">
        <v>71</v>
      </c>
      <c r="I23" s="5">
        <v>51</v>
      </c>
      <c r="J23" s="5">
        <v>34</v>
      </c>
      <c r="K23" s="5">
        <f t="shared" si="7"/>
        <v>516</v>
      </c>
      <c r="L23" t="str">
        <f t="shared" si="8"/>
        <v>合格</v>
      </c>
    </row>
    <row r="24" spans="1:12" ht="17.25" hidden="1" outlineLevel="2" x14ac:dyDescent="0.15">
      <c r="A24" t="str">
        <f t="shared" si="6"/>
        <v>c1</v>
      </c>
      <c r="B24" s="4" t="s">
        <v>8</v>
      </c>
      <c r="C24" s="4" t="s">
        <v>43</v>
      </c>
      <c r="D24" s="18">
        <v>95</v>
      </c>
      <c r="E24" s="18">
        <v>118</v>
      </c>
      <c r="F24" s="18">
        <v>68</v>
      </c>
      <c r="G24" s="5">
        <v>40</v>
      </c>
      <c r="H24" s="5">
        <v>84</v>
      </c>
      <c r="I24" s="5">
        <v>58</v>
      </c>
      <c r="J24" s="5">
        <v>42</v>
      </c>
      <c r="K24" s="5">
        <f t="shared" si="7"/>
        <v>505</v>
      </c>
      <c r="L24" t="str">
        <f t="shared" si="8"/>
        <v>合格</v>
      </c>
    </row>
    <row r="25" spans="1:12" ht="17.25" hidden="1" outlineLevel="2" x14ac:dyDescent="0.15">
      <c r="A25" t="str">
        <f t="shared" si="6"/>
        <v>c1</v>
      </c>
      <c r="B25" s="4" t="s">
        <v>15</v>
      </c>
      <c r="C25" s="4" t="s">
        <v>46</v>
      </c>
      <c r="D25" s="18">
        <v>118</v>
      </c>
      <c r="E25" s="18">
        <v>125</v>
      </c>
      <c r="F25" s="18">
        <v>88</v>
      </c>
      <c r="G25" s="5">
        <v>47</v>
      </c>
      <c r="H25" s="5">
        <v>75</v>
      </c>
      <c r="I25" s="5">
        <v>49</v>
      </c>
      <c r="J25" s="5">
        <v>44</v>
      </c>
      <c r="K25" s="5">
        <f t="shared" si="7"/>
        <v>546</v>
      </c>
      <c r="L25" t="str">
        <f t="shared" si="8"/>
        <v>合格</v>
      </c>
    </row>
    <row r="26" spans="1:12" ht="17.25" hidden="1" outlineLevel="2" x14ac:dyDescent="0.15">
      <c r="A26" t="str">
        <f t="shared" si="6"/>
        <v>c1</v>
      </c>
      <c r="B26" s="4" t="s">
        <v>16</v>
      </c>
      <c r="C26" s="4" t="s">
        <v>47</v>
      </c>
      <c r="D26" s="18">
        <v>110</v>
      </c>
      <c r="E26" s="18">
        <v>111</v>
      </c>
      <c r="F26" s="18">
        <v>69</v>
      </c>
      <c r="G26" s="5">
        <v>46</v>
      </c>
      <c r="H26" s="5">
        <v>71</v>
      </c>
      <c r="I26" s="5">
        <v>48</v>
      </c>
      <c r="J26" s="5">
        <v>41</v>
      </c>
      <c r="K26" s="5">
        <f t="shared" si="7"/>
        <v>496</v>
      </c>
      <c r="L26" t="str">
        <f t="shared" si="8"/>
        <v>合格</v>
      </c>
    </row>
    <row r="27" spans="1:12" ht="17.25" hidden="1" outlineLevel="2" x14ac:dyDescent="0.15">
      <c r="A27" t="str">
        <f t="shared" si="6"/>
        <v>c1</v>
      </c>
      <c r="B27" s="4" t="s">
        <v>19</v>
      </c>
      <c r="C27" s="4" t="s">
        <v>56</v>
      </c>
      <c r="D27" s="18">
        <v>110</v>
      </c>
      <c r="E27" s="18">
        <v>86</v>
      </c>
      <c r="F27" s="18">
        <v>84</v>
      </c>
      <c r="G27" s="5">
        <v>45</v>
      </c>
      <c r="H27" s="5">
        <v>86</v>
      </c>
      <c r="I27" s="5">
        <v>53</v>
      </c>
      <c r="J27" s="5">
        <v>41</v>
      </c>
      <c r="K27" s="5">
        <f t="shared" si="7"/>
        <v>505</v>
      </c>
      <c r="L27" t="str">
        <f t="shared" si="8"/>
        <v>合格</v>
      </c>
    </row>
    <row r="28" spans="1:12" ht="17.25" hidden="1" outlineLevel="2" x14ac:dyDescent="0.15">
      <c r="A28" t="str">
        <f t="shared" si="6"/>
        <v>c1</v>
      </c>
      <c r="B28" s="4" t="s">
        <v>20</v>
      </c>
      <c r="C28" s="4" t="s">
        <v>55</v>
      </c>
      <c r="D28" s="18">
        <v>130</v>
      </c>
      <c r="E28" s="18">
        <v>85</v>
      </c>
      <c r="F28" s="18">
        <v>103</v>
      </c>
      <c r="G28" s="5">
        <v>38</v>
      </c>
      <c r="H28" s="5">
        <v>80</v>
      </c>
      <c r="I28" s="5">
        <v>52</v>
      </c>
      <c r="J28" s="5">
        <v>42</v>
      </c>
      <c r="K28" s="5">
        <f t="shared" si="7"/>
        <v>530</v>
      </c>
      <c r="L28" t="str">
        <f t="shared" si="8"/>
        <v>合格</v>
      </c>
    </row>
    <row r="29" spans="1:12" ht="17.25" hidden="1" outlineLevel="2" x14ac:dyDescent="0.15">
      <c r="A29" t="str">
        <f t="shared" si="6"/>
        <v>c1</v>
      </c>
      <c r="B29" s="4" t="s">
        <v>25</v>
      </c>
      <c r="C29" s="4" t="s">
        <v>59</v>
      </c>
      <c r="D29" s="18">
        <v>106</v>
      </c>
      <c r="E29" s="18">
        <v>95</v>
      </c>
      <c r="F29" s="18">
        <v>89</v>
      </c>
      <c r="G29" s="5">
        <v>40</v>
      </c>
      <c r="H29" s="5">
        <v>86</v>
      </c>
      <c r="I29" s="5">
        <v>48</v>
      </c>
      <c r="J29" s="5">
        <v>43</v>
      </c>
      <c r="K29" s="5">
        <f t="shared" si="7"/>
        <v>507</v>
      </c>
      <c r="L29" t="str">
        <f t="shared" si="8"/>
        <v>合格</v>
      </c>
    </row>
    <row r="30" spans="1:12" ht="17.25" hidden="1" outlineLevel="2" x14ac:dyDescent="0.15">
      <c r="A30" t="str">
        <f t="shared" si="6"/>
        <v>c1</v>
      </c>
      <c r="B30" s="4" t="s">
        <v>26</v>
      </c>
      <c r="C30" s="4" t="s">
        <v>50</v>
      </c>
      <c r="D30" s="18">
        <v>124</v>
      </c>
      <c r="E30" s="18">
        <v>146</v>
      </c>
      <c r="F30" s="18">
        <v>100</v>
      </c>
      <c r="G30" s="5">
        <v>43</v>
      </c>
      <c r="H30" s="5">
        <v>74</v>
      </c>
      <c r="I30" s="5">
        <v>40</v>
      </c>
      <c r="J30" s="5">
        <v>38</v>
      </c>
      <c r="K30" s="5">
        <f t="shared" si="7"/>
        <v>565</v>
      </c>
      <c r="L30" t="str">
        <f t="shared" si="8"/>
        <v>优秀</v>
      </c>
    </row>
    <row r="31" spans="1:12" ht="17.25" outlineLevel="1" collapsed="1" x14ac:dyDescent="0.15">
      <c r="A31" s="17" t="s">
        <v>72</v>
      </c>
      <c r="B31" s="4"/>
      <c r="C31" s="4"/>
      <c r="D31" s="18">
        <f>SUBTOTAL(1,D18:D30)</f>
        <v>111.15384615384616</v>
      </c>
      <c r="E31" s="18">
        <f>SUBTOTAL(1,E18:E30)</f>
        <v>115.30769230769231</v>
      </c>
      <c r="F31" s="18">
        <f>SUBTOTAL(1,F18:F30)</f>
        <v>90.307692307692307</v>
      </c>
      <c r="G31" s="5"/>
      <c r="H31" s="5"/>
      <c r="I31" s="5"/>
      <c r="J31" s="5"/>
      <c r="K31" s="5">
        <f>SUBTOTAL(1,K18:K30)</f>
        <v>529.84615384615381</v>
      </c>
    </row>
    <row r="32" spans="1:12" ht="17.25" x14ac:dyDescent="0.15">
      <c r="A32" s="17" t="s">
        <v>73</v>
      </c>
      <c r="B32" s="4"/>
      <c r="C32" s="4"/>
      <c r="D32" s="5">
        <f>SUBTOTAL(1,D2:D30)</f>
        <v>111.85185185185185</v>
      </c>
      <c r="E32" s="5">
        <f>SUBTOTAL(1,E2:E30)</f>
        <v>118.66666666666667</v>
      </c>
      <c r="F32" s="5">
        <f>SUBTOTAL(1,F2:F30)</f>
        <v>89.370370370370367</v>
      </c>
      <c r="G32" s="5"/>
      <c r="H32" s="5"/>
      <c r="I32" s="5"/>
      <c r="J32" s="5"/>
      <c r="K32" s="5">
        <f>SUBTOTAL(1,K2:K30)</f>
        <v>525.92592592592598</v>
      </c>
    </row>
  </sheetData>
  <sortState ref="A2:L28">
    <sortCondition descending="1" ref="A2:A28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6" sqref="I6"/>
    </sheetView>
  </sheetViews>
  <sheetFormatPr defaultRowHeight="14.2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期中成绩表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2021-03-17T08:00:30Z</dcterms:modified>
</cp:coreProperties>
</file>
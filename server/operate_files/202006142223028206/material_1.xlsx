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2120" windowHeight="8970"/>
  </bookViews>
  <sheets>
    <sheet name="职工资料统计表" sheetId="1" r:id="rId1"/>
  </sheets>
  <definedNames>
    <definedName name="_xlnm._FilterDatabase" localSheetId="0" hidden="1">职工资料统计表!#REF!</definedName>
    <definedName name="一览表">职工资料统计表!$A$2:$I$2</definedName>
  </definedNames>
  <calcPr calcId="145621"/>
</workbook>
</file>

<file path=xl/calcChain.xml><?xml version="1.0" encoding="utf-8"?>
<calcChain xmlns="http://schemas.openxmlformats.org/spreadsheetml/2006/main">
  <c r="I9" i="1" l="1"/>
  <c r="I5" i="1"/>
  <c r="I6" i="1"/>
  <c r="I10" i="1"/>
  <c r="I11" i="1"/>
  <c r="I12" i="1"/>
  <c r="I7" i="1"/>
  <c r="I8" i="1"/>
</calcChain>
</file>

<file path=xl/sharedStrings.xml><?xml version="1.0" encoding="utf-8"?>
<sst xmlns="http://schemas.openxmlformats.org/spreadsheetml/2006/main" count="42" uniqueCount="29">
  <si>
    <t>基本工资</t>
    <phoneticPr fontId="1" type="noConversion"/>
  </si>
  <si>
    <t>生活补贴</t>
    <phoneticPr fontId="1" type="noConversion"/>
  </si>
  <si>
    <t>总收入</t>
    <phoneticPr fontId="1" type="noConversion"/>
  </si>
  <si>
    <t>姓名</t>
    <phoneticPr fontId="1" type="noConversion"/>
  </si>
  <si>
    <t>性别</t>
    <phoneticPr fontId="1" type="noConversion"/>
  </si>
  <si>
    <t>出生年月</t>
    <phoneticPr fontId="1" type="noConversion"/>
  </si>
  <si>
    <t>学历</t>
    <phoneticPr fontId="1" type="noConversion"/>
  </si>
  <si>
    <t>职务</t>
    <phoneticPr fontId="1" type="noConversion"/>
  </si>
  <si>
    <t>钱亮</t>
    <phoneticPr fontId="1" type="noConversion"/>
  </si>
  <si>
    <t>男</t>
    <phoneticPr fontId="1" type="noConversion"/>
  </si>
  <si>
    <t>大学</t>
    <phoneticPr fontId="1" type="noConversion"/>
  </si>
  <si>
    <t>工程师</t>
    <phoneticPr fontId="1" type="noConversion"/>
  </si>
  <si>
    <t>周岳</t>
    <phoneticPr fontId="1" type="noConversion"/>
  </si>
  <si>
    <t>研究生</t>
    <phoneticPr fontId="1" type="noConversion"/>
  </si>
  <si>
    <t>总工程师</t>
    <phoneticPr fontId="1" type="noConversion"/>
  </si>
  <si>
    <t>郑涛</t>
    <phoneticPr fontId="1" type="noConversion"/>
  </si>
  <si>
    <t>高级工程师</t>
    <phoneticPr fontId="1" type="noConversion"/>
  </si>
  <si>
    <t>刘彦波</t>
    <phoneticPr fontId="1" type="noConversion"/>
  </si>
  <si>
    <t>女</t>
    <phoneticPr fontId="1" type="noConversion"/>
  </si>
  <si>
    <t>供销经理</t>
    <phoneticPr fontId="1" type="noConversion"/>
  </si>
  <si>
    <t>韩清</t>
    <phoneticPr fontId="1" type="noConversion"/>
  </si>
  <si>
    <t>经济师</t>
    <phoneticPr fontId="1" type="noConversion"/>
  </si>
  <si>
    <t>张丽</t>
    <phoneticPr fontId="1" type="noConversion"/>
  </si>
  <si>
    <t>赵亚美</t>
    <phoneticPr fontId="1" type="noConversion"/>
  </si>
  <si>
    <t>大专</t>
    <phoneticPr fontId="1" type="noConversion"/>
  </si>
  <si>
    <t>秘书</t>
    <phoneticPr fontId="1" type="noConversion"/>
  </si>
  <si>
    <t>林丽娟</t>
    <phoneticPr fontId="1" type="noConversion"/>
  </si>
  <si>
    <t>大道影视制作有限公司职员一览表</t>
    <phoneticPr fontId="1" type="noConversion"/>
  </si>
  <si>
    <t>效益奖金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</si>
</sst>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24"/>
      <name val="华文新魏"/>
      <family val="3"/>
      <charset val="134"/>
    </font>
    <font>
      <sz val="14"/>
      <color rgb="FFC00000"/>
      <name val="华文细黑"/>
      <family val="3"/>
      <charset val="134"/>
    </font>
    <font>
      <sz val="12"/>
      <color rgb="FFC00000"/>
      <name val="华文细黑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B9B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numFmt numFmtId="19" formatCode="yyyy/m/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华文细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B9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职工工资情况表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职工资料统计表!$F$4</c:f>
              <c:strCache>
                <c:ptCount val="1"/>
                <c:pt idx="0">
                  <c:v>基本工资</c:v>
                </c:pt>
              </c:strCache>
            </c:strRef>
          </c:tx>
          <c:invertIfNegative val="0"/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职工资料统计表!$F$5:$F$12</c:f>
              <c:numCache>
                <c:formatCode>General</c:formatCode>
                <c:ptCount val="8"/>
                <c:pt idx="0">
                  <c:v>3500</c:v>
                </c:pt>
                <c:pt idx="1">
                  <c:v>3800</c:v>
                </c:pt>
                <c:pt idx="2">
                  <c:v>1900</c:v>
                </c:pt>
                <c:pt idx="3">
                  <c:v>2000</c:v>
                </c:pt>
                <c:pt idx="4">
                  <c:v>3000</c:v>
                </c:pt>
                <c:pt idx="5">
                  <c:v>3200</c:v>
                </c:pt>
                <c:pt idx="6">
                  <c:v>2300</c:v>
                </c:pt>
                <c:pt idx="7">
                  <c:v>2200</c:v>
                </c:pt>
              </c:numCache>
            </c:numRef>
          </c:val>
        </c:ser>
        <c:ser>
          <c:idx val="1"/>
          <c:order val="1"/>
          <c:tx>
            <c:strRef>
              <c:f>职工资料统计表!$G$4</c:f>
              <c:strCache>
                <c:ptCount val="1"/>
                <c:pt idx="0">
                  <c:v>效益奖金</c:v>
                </c:pt>
              </c:strCache>
            </c:strRef>
          </c:tx>
          <c:invertIfNegative val="0"/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职工资料统计表!$G$5:$G$12</c:f>
              <c:numCache>
                <c:formatCode>General</c:formatCode>
                <c:ptCount val="8"/>
                <c:pt idx="0">
                  <c:v>2300</c:v>
                </c:pt>
                <c:pt idx="1">
                  <c:v>2300</c:v>
                </c:pt>
                <c:pt idx="2">
                  <c:v>1500</c:v>
                </c:pt>
                <c:pt idx="3">
                  <c:v>1700</c:v>
                </c:pt>
                <c:pt idx="4">
                  <c:v>2200</c:v>
                </c:pt>
                <c:pt idx="5">
                  <c:v>2300</c:v>
                </c:pt>
                <c:pt idx="6">
                  <c:v>2300</c:v>
                </c:pt>
                <c:pt idx="7">
                  <c:v>2000</c:v>
                </c:pt>
              </c:numCache>
            </c:numRef>
          </c:val>
        </c:ser>
        <c:ser>
          <c:idx val="2"/>
          <c:order val="2"/>
          <c:tx>
            <c:strRef>
              <c:f>职工资料统计表!$H$4</c:f>
              <c:strCache>
                <c:ptCount val="1"/>
                <c:pt idx="0">
                  <c:v>生活补贴</c:v>
                </c:pt>
              </c:strCache>
            </c:strRef>
          </c:tx>
          <c:invertIfNegative val="0"/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职工资料统计表!$H$5:$H$12</c:f>
              <c:numCache>
                <c:formatCode>General</c:formatCode>
                <c:ptCount val="8"/>
                <c:pt idx="0">
                  <c:v>500</c:v>
                </c:pt>
                <c:pt idx="1">
                  <c:v>500</c:v>
                </c:pt>
                <c:pt idx="2">
                  <c:v>400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</c:numCache>
            </c:numRef>
          </c:val>
        </c:ser>
        <c:ser>
          <c:idx val="3"/>
          <c:order val="3"/>
          <c:tx>
            <c:strRef>
              <c:f>职工资料统计表!$I$4</c:f>
              <c:strCache>
                <c:ptCount val="1"/>
                <c:pt idx="0">
                  <c:v>总收入</c:v>
                </c:pt>
              </c:strCache>
            </c:strRef>
          </c:tx>
          <c:invertIfNegative val="0"/>
          <c:cat>
            <c:strRef>
              <c:f>职工资料统计表!$A$5:$A$12</c:f>
              <c:strCache>
                <c:ptCount val="8"/>
                <c:pt idx="0">
                  <c:v>周岳</c:v>
                </c:pt>
                <c:pt idx="1">
                  <c:v>郑涛</c:v>
                </c:pt>
                <c:pt idx="2">
                  <c:v>赵亚美</c:v>
                </c:pt>
                <c:pt idx="3">
                  <c:v>林丽娟</c:v>
                </c:pt>
                <c:pt idx="4">
                  <c:v>钱亮</c:v>
                </c:pt>
                <c:pt idx="5">
                  <c:v>刘彦波</c:v>
                </c:pt>
                <c:pt idx="6">
                  <c:v>韩清</c:v>
                </c:pt>
                <c:pt idx="7">
                  <c:v>张丽</c:v>
                </c:pt>
              </c:strCache>
            </c:strRef>
          </c:cat>
          <c:val>
            <c:numRef>
              <c:f>职工资料统计表!$I$5:$I$12</c:f>
              <c:numCache>
                <c:formatCode>General</c:formatCode>
                <c:ptCount val="8"/>
                <c:pt idx="0">
                  <c:v>6300</c:v>
                </c:pt>
                <c:pt idx="1">
                  <c:v>6600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  <c:pt idx="5">
                  <c:v>6000</c:v>
                </c:pt>
                <c:pt idx="6">
                  <c:v>5100</c:v>
                </c:pt>
                <c:pt idx="7">
                  <c:v>4700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136768"/>
        <c:axId val="157143040"/>
        <c:axId val="0"/>
      </c:bar3DChart>
      <c:catAx>
        <c:axId val="15713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职工姓名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crossAx val="157143040"/>
        <c:crosses val="autoZero"/>
        <c:auto val="1"/>
        <c:lblAlgn val="ctr"/>
        <c:lblOffset val="100"/>
        <c:noMultiLvlLbl val="0"/>
      </c:catAx>
      <c:valAx>
        <c:axId val="157143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zh-CN" altLang="en-US"/>
                  <a:t>工资（元）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57136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12</xdr:row>
      <xdr:rowOff>179069</xdr:rowOff>
    </xdr:from>
    <xdr:to>
      <xdr:col>5</xdr:col>
      <xdr:colOff>835620</xdr:colOff>
      <xdr:row>32</xdr:row>
      <xdr:rowOff>159569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4:I12" totalsRowShown="0" headerRowDxfId="12" dataDxfId="10" headerRowBorderDxfId="11" tableBorderDxfId="9">
  <autoFilter ref="A4:I12"/>
  <sortState ref="A5:I12">
    <sortCondition descending="1" ref="D5:D12"/>
  </sortState>
  <tableColumns count="9">
    <tableColumn id="1" name="姓名" dataDxfId="8"/>
    <tableColumn id="2" name="性别" dataDxfId="7"/>
    <tableColumn id="3" name="出生年月" dataDxfId="6"/>
    <tableColumn id="4" name="学历" dataDxfId="5"/>
    <tableColumn id="5" name="职务" dataDxfId="4"/>
    <tableColumn id="6" name="基本工资" dataDxfId="3"/>
    <tableColumn id="7" name="效益奖金" dataDxfId="2"/>
    <tableColumn id="8" name="生活补贴" dataDxfId="1"/>
    <tableColumn id="9" name="总收入" dataDxfId="0">
      <calculatedColumnFormula>SUM(F5:H5)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tabSelected="1" topLeftCell="A7" zoomScaleNormal="100" workbookViewId="0">
      <selection activeCell="G24" sqref="G24"/>
    </sheetView>
  </sheetViews>
  <sheetFormatPr defaultRowHeight="14.25" x14ac:dyDescent="0.15"/>
  <cols>
    <col min="1" max="9" width="13.625" customWidth="1"/>
    <col min="10" max="10" width="8.625" customWidth="1"/>
    <col min="11" max="11" width="8" customWidth="1"/>
  </cols>
  <sheetData>
    <row r="2" spans="1:9" ht="34.9" customHeight="1" x14ac:dyDescent="0.15">
      <c r="A2" s="11" t="s">
        <v>27</v>
      </c>
      <c r="B2" s="11"/>
      <c r="C2" s="11"/>
      <c r="D2" s="11"/>
      <c r="E2" s="11"/>
      <c r="F2" s="11"/>
      <c r="G2" s="11"/>
      <c r="H2" s="11"/>
      <c r="I2" s="11"/>
    </row>
    <row r="3" spans="1:9" ht="10.5" customHeight="1" x14ac:dyDescent="0.15">
      <c r="A3" s="1"/>
      <c r="B3" s="2"/>
      <c r="C3" s="2"/>
      <c r="D3" s="2"/>
      <c r="E3" s="2"/>
      <c r="F3" s="2"/>
      <c r="G3" s="2"/>
      <c r="H3" s="2"/>
      <c r="I3" s="3"/>
    </row>
    <row r="4" spans="1:9" ht="21" x14ac:dyDescent="0.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0</v>
      </c>
      <c r="G4" s="4" t="s">
        <v>28</v>
      </c>
      <c r="H4" s="4" t="s">
        <v>1</v>
      </c>
      <c r="I4" s="4" t="s">
        <v>2</v>
      </c>
    </row>
    <row r="5" spans="1:9" ht="21" x14ac:dyDescent="0.15">
      <c r="A5" s="5" t="s">
        <v>12</v>
      </c>
      <c r="B5" s="5" t="s">
        <v>9</v>
      </c>
      <c r="C5" s="6">
        <v>32689</v>
      </c>
      <c r="D5" s="7" t="s">
        <v>13</v>
      </c>
      <c r="E5" s="7" t="s">
        <v>14</v>
      </c>
      <c r="F5" s="7">
        <v>3500</v>
      </c>
      <c r="G5" s="7">
        <v>2300</v>
      </c>
      <c r="H5" s="7">
        <v>500</v>
      </c>
      <c r="I5" s="7">
        <f t="shared" ref="I5:I12" si="0">SUM(F5:H5)</f>
        <v>6300</v>
      </c>
    </row>
    <row r="6" spans="1:9" ht="21" x14ac:dyDescent="0.15">
      <c r="A6" s="8" t="s">
        <v>15</v>
      </c>
      <c r="B6" s="8" t="s">
        <v>9</v>
      </c>
      <c r="C6" s="9">
        <v>30348</v>
      </c>
      <c r="D6" s="10" t="s">
        <v>13</v>
      </c>
      <c r="E6" s="10" t="s">
        <v>16</v>
      </c>
      <c r="F6" s="10">
        <v>3800</v>
      </c>
      <c r="G6" s="10">
        <v>2300</v>
      </c>
      <c r="H6" s="10">
        <v>500</v>
      </c>
      <c r="I6" s="10">
        <f t="shared" si="0"/>
        <v>6600</v>
      </c>
    </row>
    <row r="7" spans="1:9" ht="21" x14ac:dyDescent="0.15">
      <c r="A7" s="8" t="s">
        <v>23</v>
      </c>
      <c r="B7" s="8" t="s">
        <v>18</v>
      </c>
      <c r="C7" s="9">
        <v>30003</v>
      </c>
      <c r="D7" s="10" t="s">
        <v>24</v>
      </c>
      <c r="E7" s="10" t="s">
        <v>25</v>
      </c>
      <c r="F7" s="10">
        <v>1900</v>
      </c>
      <c r="G7" s="10">
        <v>1500</v>
      </c>
      <c r="H7" s="10">
        <v>400</v>
      </c>
      <c r="I7" s="10">
        <f t="shared" si="0"/>
        <v>3800</v>
      </c>
    </row>
    <row r="8" spans="1:9" ht="21" x14ac:dyDescent="0.15">
      <c r="A8" s="8" t="s">
        <v>26</v>
      </c>
      <c r="B8" s="8" t="s">
        <v>18</v>
      </c>
      <c r="C8" s="9">
        <v>30956</v>
      </c>
      <c r="D8" s="10" t="s">
        <v>24</v>
      </c>
      <c r="E8" s="10" t="s">
        <v>21</v>
      </c>
      <c r="F8" s="10">
        <v>2000</v>
      </c>
      <c r="G8" s="10">
        <v>1700</v>
      </c>
      <c r="H8" s="10">
        <v>500</v>
      </c>
      <c r="I8" s="10">
        <f t="shared" si="0"/>
        <v>4200</v>
      </c>
    </row>
    <row r="9" spans="1:9" ht="21" x14ac:dyDescent="0.15">
      <c r="A9" s="8" t="s">
        <v>8</v>
      </c>
      <c r="B9" s="8" t="s">
        <v>9</v>
      </c>
      <c r="C9" s="9">
        <v>31111</v>
      </c>
      <c r="D9" s="10" t="s">
        <v>10</v>
      </c>
      <c r="E9" s="10" t="s">
        <v>11</v>
      </c>
      <c r="F9" s="10">
        <v>3000</v>
      </c>
      <c r="G9" s="10">
        <v>2200</v>
      </c>
      <c r="H9" s="10">
        <v>500</v>
      </c>
      <c r="I9" s="10">
        <f t="shared" si="0"/>
        <v>5700</v>
      </c>
    </row>
    <row r="10" spans="1:9" ht="21" x14ac:dyDescent="0.15">
      <c r="A10" s="8" t="s">
        <v>17</v>
      </c>
      <c r="B10" s="8" t="s">
        <v>18</v>
      </c>
      <c r="C10" s="9">
        <v>32919</v>
      </c>
      <c r="D10" s="10" t="s">
        <v>10</v>
      </c>
      <c r="E10" s="10" t="s">
        <v>19</v>
      </c>
      <c r="F10" s="10">
        <v>3200</v>
      </c>
      <c r="G10" s="10">
        <v>2300</v>
      </c>
      <c r="H10" s="10">
        <v>500</v>
      </c>
      <c r="I10" s="10">
        <f t="shared" si="0"/>
        <v>6000</v>
      </c>
    </row>
    <row r="11" spans="1:9" ht="21" x14ac:dyDescent="0.15">
      <c r="A11" s="8" t="s">
        <v>20</v>
      </c>
      <c r="B11" s="8" t="s">
        <v>18</v>
      </c>
      <c r="C11" s="9">
        <v>29362</v>
      </c>
      <c r="D11" s="10" t="s">
        <v>10</v>
      </c>
      <c r="E11" s="10" t="s">
        <v>21</v>
      </c>
      <c r="F11" s="10">
        <v>2300</v>
      </c>
      <c r="G11" s="10">
        <v>2300</v>
      </c>
      <c r="H11" s="10">
        <v>500</v>
      </c>
      <c r="I11" s="10">
        <f t="shared" si="0"/>
        <v>5100</v>
      </c>
    </row>
    <row r="12" spans="1:9" ht="21" x14ac:dyDescent="0.15">
      <c r="A12" s="8" t="s">
        <v>22</v>
      </c>
      <c r="B12" s="8" t="s">
        <v>18</v>
      </c>
      <c r="C12" s="9">
        <v>30927</v>
      </c>
      <c r="D12" s="10" t="s">
        <v>10</v>
      </c>
      <c r="E12" s="10" t="s">
        <v>11</v>
      </c>
      <c r="F12" s="10">
        <v>2200</v>
      </c>
      <c r="G12" s="10">
        <v>2000</v>
      </c>
      <c r="H12" s="10">
        <v>500</v>
      </c>
      <c r="I12" s="10">
        <f t="shared" si="0"/>
        <v>4700</v>
      </c>
    </row>
  </sheetData>
  <mergeCells count="1">
    <mergeCell ref="A2:I2"/>
  </mergeCells>
  <phoneticPr fontId="1" type="noConversion"/>
  <pageMargins left="0.75" right="0.75" top="1" bottom="1" header="0.5" footer="0.5"/>
  <pageSetup paperSize="9" orientation="portrait" horizontalDpi="180" verticalDpi="180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职工资料统计表</vt:lpstr>
      <vt:lpstr>一览表</vt:lpstr>
    </vt:vector>
  </TitlesOfParts>
  <Company>112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sunzhaoxu</dc:creator>
  <cp:lastModifiedBy>ttlx</cp:lastModifiedBy>
  <dcterms:created xsi:type="dcterms:W3CDTF">2003-03-24T11:41:32Z</dcterms:created>
  <dcterms:modified xsi:type="dcterms:W3CDTF">2021-05-18T06:35:07Z</dcterms:modified>
</cp:coreProperties>
</file>
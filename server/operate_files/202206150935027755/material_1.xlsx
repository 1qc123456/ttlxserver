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60" windowWidth="11475" windowHeight="5940" activeTab="5"/>
  </bookViews>
  <sheets>
    <sheet name="Sheet1" sheetId="1" r:id="rId1"/>
    <sheet name="Sheet2" sheetId="2" r:id="rId2"/>
    <sheet name="Sheet3" sheetId="3" r:id="rId3"/>
    <sheet name="Sheet4" sheetId="11" r:id="rId4"/>
    <sheet name="数据源" sheetId="7" r:id="rId5"/>
    <sheet name="Sheet5" sheetId="12" r:id="rId6"/>
  </sheets>
  <definedNames>
    <definedName name="_xlnm._FilterDatabase" localSheetId="2" hidden="1">Sheet3!$A$2:$F$8</definedName>
    <definedName name="_xlnm._FilterDatabase" localSheetId="3" hidden="1">Sheet4!$B$2:$G$8</definedName>
  </definedNames>
  <calcPr calcId="144525"/>
  <pivotCaches>
    <pivotCache cacheId="0" r:id="rId7"/>
  </pivotCaches>
</workbook>
</file>

<file path=xl/calcChain.xml><?xml version="1.0" encoding="utf-8"?>
<calcChain xmlns="http://schemas.openxmlformats.org/spreadsheetml/2006/main">
  <c r="C38" i="11" l="1"/>
  <c r="C37" i="11"/>
  <c r="C30" i="11"/>
  <c r="C23" i="11"/>
  <c r="C16" i="11"/>
  <c r="C9" i="11"/>
  <c r="C9" i="1"/>
  <c r="D9" i="1"/>
  <c r="E9" i="1"/>
  <c r="F9" i="1"/>
  <c r="G9" i="1"/>
  <c r="B9" i="1"/>
  <c r="G4" i="1" l="1"/>
  <c r="G5" i="1"/>
  <c r="G6" i="1"/>
  <c r="G7" i="1"/>
  <c r="G8" i="1"/>
  <c r="G3" i="1"/>
</calcChain>
</file>

<file path=xl/sharedStrings.xml><?xml version="1.0" encoding="utf-8"?>
<sst xmlns="http://schemas.openxmlformats.org/spreadsheetml/2006/main" count="191" uniqueCount="40">
  <si>
    <t>西北区</t>
    <phoneticPr fontId="1" type="noConversion"/>
  </si>
  <si>
    <t>东北区</t>
    <phoneticPr fontId="1" type="noConversion"/>
  </si>
  <si>
    <t>华北区</t>
    <phoneticPr fontId="1" type="noConversion"/>
  </si>
  <si>
    <t>西南区</t>
    <phoneticPr fontId="1" type="noConversion"/>
  </si>
  <si>
    <t>塑料</t>
    <phoneticPr fontId="1" type="noConversion"/>
  </si>
  <si>
    <t>钢材</t>
    <phoneticPr fontId="1" type="noConversion"/>
  </si>
  <si>
    <t>木材</t>
    <phoneticPr fontId="1" type="noConversion"/>
  </si>
  <si>
    <t>水泥</t>
    <phoneticPr fontId="1" type="noConversion"/>
  </si>
  <si>
    <t>利达公司建筑材料销售统计（万元）</t>
    <phoneticPr fontId="1" type="noConversion"/>
  </si>
  <si>
    <t>销售地区</t>
    <phoneticPr fontId="1" type="noConversion"/>
  </si>
  <si>
    <t>华中区</t>
    <phoneticPr fontId="1" type="noConversion"/>
  </si>
  <si>
    <t>华南区</t>
    <phoneticPr fontId="1" type="noConversion"/>
  </si>
  <si>
    <t>搅拌机</t>
    <phoneticPr fontId="1" type="noConversion"/>
  </si>
  <si>
    <t>总计</t>
    <phoneticPr fontId="1" type="noConversion"/>
  </si>
  <si>
    <t>平均值</t>
    <phoneticPr fontId="1" type="noConversion"/>
  </si>
  <si>
    <t>利达公司建筑材料销售统计（万元）</t>
    <phoneticPr fontId="1" type="noConversion"/>
  </si>
  <si>
    <t>销售额</t>
    <phoneticPr fontId="1" type="noConversion"/>
  </si>
  <si>
    <t>销售地区</t>
    <phoneticPr fontId="1" type="noConversion"/>
  </si>
  <si>
    <r>
      <t>产品名称</t>
    </r>
    <r>
      <rPr>
        <sz val="12"/>
        <rFont val="Times New Roman"/>
        <family val="1"/>
      </rPr>
      <t xml:space="preserve"> </t>
    </r>
    <phoneticPr fontId="1" type="noConversion"/>
  </si>
  <si>
    <t>塑料 平均值</t>
  </si>
  <si>
    <t>水泥 平均值</t>
  </si>
  <si>
    <t>木材 平均值</t>
  </si>
  <si>
    <t>搅拌机 平均值</t>
  </si>
  <si>
    <t>钢材 平均值</t>
  </si>
  <si>
    <t>总计平均值</t>
  </si>
  <si>
    <t>行标签</t>
  </si>
  <si>
    <t>东北区</t>
  </si>
  <si>
    <t>华北区</t>
  </si>
  <si>
    <t>华南区</t>
  </si>
  <si>
    <t>华中区</t>
  </si>
  <si>
    <t>西北区</t>
  </si>
  <si>
    <t>西南区</t>
  </si>
  <si>
    <t>总计</t>
  </si>
  <si>
    <t>列标签</t>
  </si>
  <si>
    <t>钢材</t>
  </si>
  <si>
    <t>搅拌机</t>
  </si>
  <si>
    <t>木材</t>
  </si>
  <si>
    <t>水泥</t>
  </si>
  <si>
    <t>塑料</t>
  </si>
  <si>
    <t>求和项:销售额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</si>
</sst>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4"/>
      <name val="华文新魏"/>
      <charset val="134"/>
    </font>
    <font>
      <b/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center"/>
    </xf>
    <xf numFmtId="176" fontId="0" fillId="0" borderId="0" xfId="0" applyNumberForma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86133" refreshedDate="44725.563854745371" createdVersion="4" refreshedVersion="4" minRefreshableVersion="3" recordCount="30">
  <cacheSource type="worksheet">
    <worksheetSource ref="A2:C32" sheet="数据源"/>
  </cacheSource>
  <cacheFields count="3">
    <cacheField name="产品名称 " numFmtId="0">
      <sharedItems count="5">
        <s v="塑料"/>
        <s v="水泥"/>
        <s v="木材"/>
        <s v="搅拌机"/>
        <s v="钢材"/>
      </sharedItems>
    </cacheField>
    <cacheField name="销售地区" numFmtId="0">
      <sharedItems count="6">
        <s v="西南区"/>
        <s v="西北区"/>
        <s v="华中区"/>
        <s v="华南区"/>
        <s v="华北区"/>
        <s v="东北区"/>
      </sharedItems>
    </cacheField>
    <cacheField name="销售额" numFmtId="0">
      <sharedItems containsSemiMixedTypes="0" containsString="0" containsNumber="1" containsInteger="1" minValue="2258" maxValue="98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6854"/>
  </r>
  <r>
    <x v="0"/>
    <x v="1"/>
    <n v="2340"/>
  </r>
  <r>
    <x v="0"/>
    <x v="2"/>
    <n v="5828"/>
  </r>
  <r>
    <x v="0"/>
    <x v="3"/>
    <n v="5286"/>
  </r>
  <r>
    <x v="0"/>
    <x v="4"/>
    <n v="3842"/>
  </r>
  <r>
    <x v="0"/>
    <x v="5"/>
    <n v="4835"/>
  </r>
  <r>
    <x v="1"/>
    <x v="0"/>
    <n v="8123"/>
  </r>
  <r>
    <x v="1"/>
    <x v="1"/>
    <n v="4680"/>
  </r>
  <r>
    <x v="1"/>
    <x v="2"/>
    <n v="6523"/>
  </r>
  <r>
    <x v="1"/>
    <x v="3"/>
    <n v="5432"/>
  </r>
  <r>
    <x v="1"/>
    <x v="4"/>
    <n v="7826"/>
  </r>
  <r>
    <x v="1"/>
    <x v="5"/>
    <n v="8642"/>
  </r>
  <r>
    <x v="2"/>
    <x v="0"/>
    <n v="2258"/>
  </r>
  <r>
    <x v="2"/>
    <x v="1"/>
    <n v="2586"/>
  </r>
  <r>
    <x v="2"/>
    <x v="2"/>
    <n v="4835"/>
  </r>
  <r>
    <x v="2"/>
    <x v="3"/>
    <n v="3642"/>
  </r>
  <r>
    <x v="2"/>
    <x v="4"/>
    <n v="3268"/>
  </r>
  <r>
    <x v="2"/>
    <x v="5"/>
    <n v="3868"/>
  </r>
  <r>
    <x v="3"/>
    <x v="0"/>
    <n v="5847"/>
  </r>
  <r>
    <x v="3"/>
    <x v="1"/>
    <n v="8648"/>
  </r>
  <r>
    <x v="3"/>
    <x v="2"/>
    <n v="6234"/>
  </r>
  <r>
    <x v="3"/>
    <x v="3"/>
    <n v="9841"/>
  </r>
  <r>
    <x v="3"/>
    <x v="4"/>
    <n v="7514"/>
  </r>
  <r>
    <x v="3"/>
    <x v="5"/>
    <n v="7321"/>
  </r>
  <r>
    <x v="4"/>
    <x v="0"/>
    <n v="8864"/>
  </r>
  <r>
    <x v="4"/>
    <x v="1"/>
    <n v="6875"/>
  </r>
  <r>
    <x v="4"/>
    <x v="2"/>
    <n v="7880"/>
  </r>
  <r>
    <x v="4"/>
    <x v="3"/>
    <n v="6356"/>
  </r>
  <r>
    <x v="4"/>
    <x v="4"/>
    <n v="6780"/>
  </r>
  <r>
    <x v="4"/>
    <x v="5"/>
    <n v="72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3:G11" firstHeaderRow="1" firstDataRow="2" firstDataCol="1"/>
  <pivotFields count="3">
    <pivotField axis="axisCol" showAll="0">
      <items count="6">
        <item x="4"/>
        <item x="3"/>
        <item x="2"/>
        <item x="1"/>
        <item x="0"/>
        <item t="default"/>
      </items>
    </pivotField>
    <pivotField axis="axisRow" showAll="0">
      <items count="7">
        <item x="5"/>
        <item x="4"/>
        <item x="3"/>
        <item x="2"/>
        <item x="1"/>
        <item x="0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求和项:销售额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B9" sqref="B9"/>
    </sheetView>
  </sheetViews>
  <sheetFormatPr defaultRowHeight="14.25" x14ac:dyDescent="0.15"/>
  <sheetData>
    <row r="1" spans="1:7" ht="18" x14ac:dyDescent="0.25">
      <c r="A1" s="7" t="s">
        <v>15</v>
      </c>
      <c r="B1" s="7"/>
      <c r="C1" s="7"/>
      <c r="D1" s="7"/>
      <c r="E1" s="7"/>
      <c r="F1" s="7"/>
      <c r="G1" s="7"/>
    </row>
    <row r="2" spans="1:7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  <c r="G2" t="s">
        <v>13</v>
      </c>
    </row>
    <row r="3" spans="1:7" x14ac:dyDescent="0.15">
      <c r="A3" t="s">
        <v>0</v>
      </c>
      <c r="B3">
        <v>2340</v>
      </c>
      <c r="C3">
        <v>6875</v>
      </c>
      <c r="D3">
        <v>2586</v>
      </c>
      <c r="E3">
        <v>4680</v>
      </c>
      <c r="F3">
        <v>8648</v>
      </c>
      <c r="G3">
        <f>SUM(B3:F3)</f>
        <v>25129</v>
      </c>
    </row>
    <row r="4" spans="1:7" x14ac:dyDescent="0.15">
      <c r="A4" t="s">
        <v>1</v>
      </c>
      <c r="B4">
        <v>4863</v>
      </c>
      <c r="C4">
        <v>7243</v>
      </c>
      <c r="D4">
        <v>3868</v>
      </c>
      <c r="E4">
        <v>8642</v>
      </c>
      <c r="F4">
        <v>7321</v>
      </c>
      <c r="G4">
        <f t="shared" ref="G4:G8" si="0">SUM(B4:F4)</f>
        <v>31937</v>
      </c>
    </row>
    <row r="5" spans="1:7" x14ac:dyDescent="0.15">
      <c r="A5" t="s">
        <v>2</v>
      </c>
      <c r="B5">
        <v>3842</v>
      </c>
      <c r="C5">
        <v>6780</v>
      </c>
      <c r="D5">
        <v>3268</v>
      </c>
      <c r="E5">
        <v>7826</v>
      </c>
      <c r="F5">
        <v>7514</v>
      </c>
      <c r="G5">
        <f t="shared" si="0"/>
        <v>29230</v>
      </c>
    </row>
    <row r="6" spans="1:7" x14ac:dyDescent="0.15">
      <c r="A6" t="s">
        <v>3</v>
      </c>
      <c r="B6">
        <v>6854</v>
      </c>
      <c r="C6">
        <v>8864</v>
      </c>
      <c r="D6">
        <v>2258</v>
      </c>
      <c r="E6">
        <v>8123</v>
      </c>
      <c r="F6">
        <v>5847</v>
      </c>
      <c r="G6">
        <f t="shared" si="0"/>
        <v>31946</v>
      </c>
    </row>
    <row r="7" spans="1:7" x14ac:dyDescent="0.15">
      <c r="A7" t="s">
        <v>10</v>
      </c>
      <c r="B7">
        <v>5828</v>
      </c>
      <c r="C7">
        <v>7880</v>
      </c>
      <c r="D7">
        <v>4863</v>
      </c>
      <c r="E7">
        <v>6523</v>
      </c>
      <c r="F7">
        <v>6234</v>
      </c>
      <c r="G7">
        <f t="shared" si="0"/>
        <v>31328</v>
      </c>
    </row>
    <row r="8" spans="1:7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  <c r="G8">
        <f t="shared" si="0"/>
        <v>30557</v>
      </c>
    </row>
    <row r="9" spans="1:7" x14ac:dyDescent="0.15">
      <c r="A9" t="s">
        <v>14</v>
      </c>
      <c r="B9" s="2">
        <f>AVERAGE(B3:B8)</f>
        <v>4835.5</v>
      </c>
      <c r="C9" s="2">
        <f t="shared" ref="C9:G9" si="1">AVERAGE(C3:C8)</f>
        <v>7333</v>
      </c>
      <c r="D9" s="2">
        <f t="shared" si="1"/>
        <v>3414.1666666666665</v>
      </c>
      <c r="E9" s="2">
        <f t="shared" si="1"/>
        <v>6871</v>
      </c>
      <c r="F9" s="2">
        <f t="shared" si="1"/>
        <v>7567.5</v>
      </c>
      <c r="G9" s="2">
        <f t="shared" si="1"/>
        <v>30021.166666666668</v>
      </c>
    </row>
  </sheetData>
  <mergeCells count="1">
    <mergeCell ref="A1:G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D20" sqref="D20"/>
    </sheetView>
  </sheetViews>
  <sheetFormatPr defaultRowHeight="14.25" x14ac:dyDescent="0.15"/>
  <sheetData>
    <row r="1" spans="1:7" ht="18" x14ac:dyDescent="0.25">
      <c r="A1" s="7" t="s">
        <v>15</v>
      </c>
      <c r="B1" s="7"/>
      <c r="C1" s="7"/>
      <c r="D1" s="7"/>
      <c r="E1" s="7"/>
      <c r="F1" s="7"/>
      <c r="G1" s="1"/>
    </row>
    <row r="2" spans="1:7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</row>
    <row r="3" spans="1:7" x14ac:dyDescent="0.15">
      <c r="A3" t="s">
        <v>3</v>
      </c>
      <c r="B3">
        <v>6854</v>
      </c>
      <c r="C3">
        <v>8864</v>
      </c>
      <c r="D3">
        <v>2258</v>
      </c>
      <c r="E3">
        <v>8123</v>
      </c>
      <c r="F3">
        <v>5847</v>
      </c>
    </row>
    <row r="4" spans="1:7" x14ac:dyDescent="0.15">
      <c r="A4" t="s">
        <v>10</v>
      </c>
      <c r="B4">
        <v>5828</v>
      </c>
      <c r="C4">
        <v>7880</v>
      </c>
      <c r="D4">
        <v>4835</v>
      </c>
      <c r="E4">
        <v>6523</v>
      </c>
      <c r="F4">
        <v>6234</v>
      </c>
    </row>
    <row r="5" spans="1:7" x14ac:dyDescent="0.15">
      <c r="A5" t="s">
        <v>1</v>
      </c>
      <c r="B5">
        <v>4835</v>
      </c>
      <c r="C5">
        <v>7243</v>
      </c>
      <c r="D5">
        <v>3868</v>
      </c>
      <c r="E5">
        <v>8642</v>
      </c>
      <c r="F5">
        <v>7321</v>
      </c>
    </row>
    <row r="6" spans="1:7" x14ac:dyDescent="0.15">
      <c r="A6" t="s">
        <v>2</v>
      </c>
      <c r="B6">
        <v>3842</v>
      </c>
      <c r="C6">
        <v>6780</v>
      </c>
      <c r="D6">
        <v>3268</v>
      </c>
      <c r="E6">
        <v>7826</v>
      </c>
      <c r="F6">
        <v>7514</v>
      </c>
    </row>
    <row r="7" spans="1:7" x14ac:dyDescent="0.15">
      <c r="A7" t="s">
        <v>0</v>
      </c>
      <c r="B7">
        <v>2340</v>
      </c>
      <c r="C7">
        <v>6875</v>
      </c>
      <c r="D7">
        <v>2586</v>
      </c>
      <c r="E7">
        <v>4680</v>
      </c>
      <c r="F7">
        <v>8648</v>
      </c>
    </row>
    <row r="8" spans="1:7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</row>
  </sheetData>
  <sortState ref="A3:F8">
    <sortCondition ref="F3:F8"/>
  </sortState>
  <mergeCells count="1">
    <mergeCell ref="A1:F1"/>
  </mergeCells>
  <phoneticPr fontId="1" type="noConversion"/>
  <conditionalFormatting sqref="B3:F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8"/>
  <sheetViews>
    <sheetView workbookViewId="0">
      <selection activeCell="B15" sqref="B15"/>
    </sheetView>
  </sheetViews>
  <sheetFormatPr defaultRowHeight="14.25" x14ac:dyDescent="0.15"/>
  <sheetData>
    <row r="1" spans="1:6" ht="18" x14ac:dyDescent="0.25">
      <c r="A1" s="7" t="s">
        <v>8</v>
      </c>
      <c r="B1" s="7"/>
      <c r="C1" s="7"/>
      <c r="D1" s="7"/>
      <c r="E1" s="7"/>
      <c r="F1" s="7"/>
    </row>
    <row r="2" spans="1:6" x14ac:dyDescent="0.15">
      <c r="A2" t="s">
        <v>9</v>
      </c>
      <c r="B2" t="s">
        <v>4</v>
      </c>
      <c r="C2" t="s">
        <v>5</v>
      </c>
      <c r="D2" t="s">
        <v>6</v>
      </c>
      <c r="E2" t="s">
        <v>7</v>
      </c>
      <c r="F2" t="s">
        <v>12</v>
      </c>
    </row>
    <row r="3" spans="1:6" x14ac:dyDescent="0.15">
      <c r="A3" t="s">
        <v>0</v>
      </c>
      <c r="B3">
        <v>2340</v>
      </c>
      <c r="C3">
        <v>6875</v>
      </c>
      <c r="D3">
        <v>2586</v>
      </c>
      <c r="E3">
        <v>4680</v>
      </c>
      <c r="F3">
        <v>8648</v>
      </c>
    </row>
    <row r="4" spans="1:6" hidden="1" x14ac:dyDescent="0.15">
      <c r="A4" t="s">
        <v>1</v>
      </c>
      <c r="B4">
        <v>4835</v>
      </c>
      <c r="C4">
        <v>7243</v>
      </c>
      <c r="D4">
        <v>3868</v>
      </c>
      <c r="E4">
        <v>8642</v>
      </c>
      <c r="F4">
        <v>7321</v>
      </c>
    </row>
    <row r="5" spans="1:6" x14ac:dyDescent="0.15">
      <c r="A5" t="s">
        <v>2</v>
      </c>
      <c r="B5">
        <v>3842</v>
      </c>
      <c r="C5">
        <v>6780</v>
      </c>
      <c r="D5">
        <v>3268</v>
      </c>
      <c r="E5">
        <v>7826</v>
      </c>
      <c r="F5">
        <v>7514</v>
      </c>
    </row>
    <row r="6" spans="1:6" x14ac:dyDescent="0.15">
      <c r="A6" t="s">
        <v>3</v>
      </c>
      <c r="B6">
        <v>6854</v>
      </c>
      <c r="C6">
        <v>8864</v>
      </c>
      <c r="D6">
        <v>2258</v>
      </c>
      <c r="E6">
        <v>8123</v>
      </c>
      <c r="F6">
        <v>5847</v>
      </c>
    </row>
    <row r="7" spans="1:6" hidden="1" x14ac:dyDescent="0.15">
      <c r="A7" t="s">
        <v>10</v>
      </c>
      <c r="B7">
        <v>5828</v>
      </c>
      <c r="C7">
        <v>7880</v>
      </c>
      <c r="D7">
        <v>4835</v>
      </c>
      <c r="E7">
        <v>6523</v>
      </c>
      <c r="F7">
        <v>6234</v>
      </c>
    </row>
    <row r="8" spans="1:6" hidden="1" x14ac:dyDescent="0.15">
      <c r="A8" t="s">
        <v>11</v>
      </c>
      <c r="B8">
        <v>5286</v>
      </c>
      <c r="C8">
        <v>6356</v>
      </c>
      <c r="D8">
        <v>3642</v>
      </c>
      <c r="E8">
        <v>5432</v>
      </c>
      <c r="F8">
        <v>9841</v>
      </c>
    </row>
  </sheetData>
  <autoFilter ref="A2:F8">
    <filterColumn colId="1">
      <customFilters>
        <customFilter operator="greaterThanOrEqual" val="6000"/>
        <customFilter operator="lessThanOrEqual" val="4000"/>
      </customFilters>
    </filterColumn>
  </autoFilter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>
      <selection activeCell="F26" sqref="F26"/>
    </sheetView>
  </sheetViews>
  <sheetFormatPr defaultRowHeight="14.25" outlineLevelRow="2" x14ac:dyDescent="0.15"/>
  <cols>
    <col min="1" max="1" width="13.625" customWidth="1"/>
    <col min="2" max="2" width="13" customWidth="1"/>
    <col min="3" max="3" width="13.375" customWidth="1"/>
  </cols>
  <sheetData>
    <row r="1" spans="1:7" ht="18" x14ac:dyDescent="0.25">
      <c r="A1" s="7" t="s">
        <v>8</v>
      </c>
      <c r="B1" s="7"/>
      <c r="C1" s="7"/>
      <c r="D1" s="1"/>
      <c r="E1" s="1"/>
      <c r="F1" s="1"/>
      <c r="G1" s="1"/>
    </row>
    <row r="2" spans="1:7" ht="15.75" x14ac:dyDescent="0.25">
      <c r="A2" t="s">
        <v>18</v>
      </c>
      <c r="B2" t="s">
        <v>17</v>
      </c>
      <c r="C2" t="s">
        <v>16</v>
      </c>
    </row>
    <row r="3" spans="1:7" outlineLevel="2" x14ac:dyDescent="0.15">
      <c r="A3" t="s">
        <v>4</v>
      </c>
      <c r="B3" t="s">
        <v>3</v>
      </c>
      <c r="C3" s="2">
        <v>6854</v>
      </c>
    </row>
    <row r="4" spans="1:7" outlineLevel="2" x14ac:dyDescent="0.15">
      <c r="A4" t="s">
        <v>4</v>
      </c>
      <c r="B4" t="s">
        <v>0</v>
      </c>
      <c r="C4" s="2">
        <v>2340</v>
      </c>
    </row>
    <row r="5" spans="1:7" outlineLevel="2" x14ac:dyDescent="0.15">
      <c r="A5" t="s">
        <v>4</v>
      </c>
      <c r="B5" t="s">
        <v>10</v>
      </c>
      <c r="C5" s="2">
        <v>5828</v>
      </c>
    </row>
    <row r="6" spans="1:7" outlineLevel="2" x14ac:dyDescent="0.15">
      <c r="A6" t="s">
        <v>4</v>
      </c>
      <c r="B6" t="s">
        <v>11</v>
      </c>
      <c r="C6" s="2">
        <v>5286</v>
      </c>
    </row>
    <row r="7" spans="1:7" outlineLevel="2" x14ac:dyDescent="0.15">
      <c r="A7" t="s">
        <v>4</v>
      </c>
      <c r="B7" t="s">
        <v>2</v>
      </c>
      <c r="C7" s="2">
        <v>3842</v>
      </c>
    </row>
    <row r="8" spans="1:7" outlineLevel="2" x14ac:dyDescent="0.15">
      <c r="A8" t="s">
        <v>4</v>
      </c>
      <c r="B8" t="s">
        <v>1</v>
      </c>
      <c r="C8" s="2">
        <v>4835</v>
      </c>
    </row>
    <row r="9" spans="1:7" outlineLevel="1" x14ac:dyDescent="0.15">
      <c r="A9" s="3" t="s">
        <v>19</v>
      </c>
      <c r="C9" s="2">
        <f>SUBTOTAL(1,C3:C8)</f>
        <v>4830.833333333333</v>
      </c>
    </row>
    <row r="10" spans="1:7" outlineLevel="2" x14ac:dyDescent="0.15">
      <c r="A10" t="s">
        <v>7</v>
      </c>
      <c r="B10" t="s">
        <v>3</v>
      </c>
      <c r="C10" s="2">
        <v>8123</v>
      </c>
    </row>
    <row r="11" spans="1:7" outlineLevel="2" x14ac:dyDescent="0.15">
      <c r="A11" t="s">
        <v>7</v>
      </c>
      <c r="B11" t="s">
        <v>0</v>
      </c>
      <c r="C11" s="2">
        <v>4680</v>
      </c>
    </row>
    <row r="12" spans="1:7" outlineLevel="2" x14ac:dyDescent="0.15">
      <c r="A12" t="s">
        <v>7</v>
      </c>
      <c r="B12" t="s">
        <v>10</v>
      </c>
      <c r="C12" s="2">
        <v>6523</v>
      </c>
    </row>
    <row r="13" spans="1:7" outlineLevel="2" x14ac:dyDescent="0.15">
      <c r="A13" t="s">
        <v>7</v>
      </c>
      <c r="B13" t="s">
        <v>11</v>
      </c>
      <c r="C13" s="2">
        <v>5432</v>
      </c>
    </row>
    <row r="14" spans="1:7" outlineLevel="2" x14ac:dyDescent="0.15">
      <c r="A14" t="s">
        <v>7</v>
      </c>
      <c r="B14" t="s">
        <v>2</v>
      </c>
      <c r="C14" s="2">
        <v>7826</v>
      </c>
    </row>
    <row r="15" spans="1:7" outlineLevel="2" x14ac:dyDescent="0.15">
      <c r="A15" t="s">
        <v>7</v>
      </c>
      <c r="B15" t="s">
        <v>1</v>
      </c>
      <c r="C15" s="2">
        <v>8642</v>
      </c>
    </row>
    <row r="16" spans="1:7" outlineLevel="1" x14ac:dyDescent="0.15">
      <c r="A16" s="3" t="s">
        <v>20</v>
      </c>
      <c r="C16" s="2">
        <f>SUBTOTAL(1,C10:C15)</f>
        <v>6871</v>
      </c>
    </row>
    <row r="17" spans="1:3" outlineLevel="2" x14ac:dyDescent="0.15">
      <c r="A17" t="s">
        <v>6</v>
      </c>
      <c r="B17" t="s">
        <v>3</v>
      </c>
      <c r="C17" s="2">
        <v>2258</v>
      </c>
    </row>
    <row r="18" spans="1:3" outlineLevel="2" x14ac:dyDescent="0.15">
      <c r="A18" t="s">
        <v>6</v>
      </c>
      <c r="B18" t="s">
        <v>0</v>
      </c>
      <c r="C18" s="2">
        <v>2586</v>
      </c>
    </row>
    <row r="19" spans="1:3" outlineLevel="2" x14ac:dyDescent="0.15">
      <c r="A19" t="s">
        <v>6</v>
      </c>
      <c r="B19" t="s">
        <v>10</v>
      </c>
      <c r="C19" s="2">
        <v>4835</v>
      </c>
    </row>
    <row r="20" spans="1:3" outlineLevel="2" x14ac:dyDescent="0.15">
      <c r="A20" t="s">
        <v>6</v>
      </c>
      <c r="B20" t="s">
        <v>11</v>
      </c>
      <c r="C20" s="2">
        <v>3642</v>
      </c>
    </row>
    <row r="21" spans="1:3" outlineLevel="2" x14ac:dyDescent="0.15">
      <c r="A21" t="s">
        <v>6</v>
      </c>
      <c r="B21" t="s">
        <v>2</v>
      </c>
      <c r="C21" s="2">
        <v>3268</v>
      </c>
    </row>
    <row r="22" spans="1:3" outlineLevel="2" x14ac:dyDescent="0.15">
      <c r="A22" t="s">
        <v>6</v>
      </c>
      <c r="B22" t="s">
        <v>1</v>
      </c>
      <c r="C22" s="2">
        <v>3868</v>
      </c>
    </row>
    <row r="23" spans="1:3" outlineLevel="1" x14ac:dyDescent="0.15">
      <c r="A23" s="3" t="s">
        <v>21</v>
      </c>
      <c r="C23" s="2">
        <f>SUBTOTAL(1,C17:C22)</f>
        <v>3409.5</v>
      </c>
    </row>
    <row r="24" spans="1:3" outlineLevel="2" x14ac:dyDescent="0.15">
      <c r="A24" t="s">
        <v>12</v>
      </c>
      <c r="B24" t="s">
        <v>3</v>
      </c>
      <c r="C24" s="2">
        <v>5847</v>
      </c>
    </row>
    <row r="25" spans="1:3" outlineLevel="2" x14ac:dyDescent="0.15">
      <c r="A25" t="s">
        <v>12</v>
      </c>
      <c r="B25" t="s">
        <v>0</v>
      </c>
      <c r="C25" s="2">
        <v>8648</v>
      </c>
    </row>
    <row r="26" spans="1:3" outlineLevel="2" x14ac:dyDescent="0.15">
      <c r="A26" t="s">
        <v>12</v>
      </c>
      <c r="B26" t="s">
        <v>10</v>
      </c>
      <c r="C26" s="2">
        <v>6234</v>
      </c>
    </row>
    <row r="27" spans="1:3" outlineLevel="2" x14ac:dyDescent="0.15">
      <c r="A27" t="s">
        <v>12</v>
      </c>
      <c r="B27" t="s">
        <v>11</v>
      </c>
      <c r="C27" s="2">
        <v>9841</v>
      </c>
    </row>
    <row r="28" spans="1:3" outlineLevel="2" x14ac:dyDescent="0.15">
      <c r="A28" t="s">
        <v>12</v>
      </c>
      <c r="B28" t="s">
        <v>2</v>
      </c>
      <c r="C28" s="2">
        <v>7514</v>
      </c>
    </row>
    <row r="29" spans="1:3" outlineLevel="2" x14ac:dyDescent="0.15">
      <c r="A29" t="s">
        <v>12</v>
      </c>
      <c r="B29" t="s">
        <v>1</v>
      </c>
      <c r="C29" s="2">
        <v>7321</v>
      </c>
    </row>
    <row r="30" spans="1:3" outlineLevel="1" x14ac:dyDescent="0.15">
      <c r="A30" s="3" t="s">
        <v>22</v>
      </c>
      <c r="C30" s="2">
        <f>SUBTOTAL(1,C24:C29)</f>
        <v>7567.5</v>
      </c>
    </row>
    <row r="31" spans="1:3" outlineLevel="2" x14ac:dyDescent="0.15">
      <c r="A31" t="s">
        <v>5</v>
      </c>
      <c r="B31" t="s">
        <v>3</v>
      </c>
      <c r="C31" s="2">
        <v>8864</v>
      </c>
    </row>
    <row r="32" spans="1:3" outlineLevel="2" x14ac:dyDescent="0.15">
      <c r="A32" t="s">
        <v>5</v>
      </c>
      <c r="B32" t="s">
        <v>0</v>
      </c>
      <c r="C32" s="2">
        <v>6875</v>
      </c>
    </row>
    <row r="33" spans="1:3" outlineLevel="2" x14ac:dyDescent="0.15">
      <c r="A33" t="s">
        <v>5</v>
      </c>
      <c r="B33" t="s">
        <v>10</v>
      </c>
      <c r="C33" s="2">
        <v>7880</v>
      </c>
    </row>
    <row r="34" spans="1:3" outlineLevel="2" x14ac:dyDescent="0.15">
      <c r="A34" t="s">
        <v>5</v>
      </c>
      <c r="B34" t="s">
        <v>11</v>
      </c>
      <c r="C34" s="2">
        <v>6356</v>
      </c>
    </row>
    <row r="35" spans="1:3" outlineLevel="2" x14ac:dyDescent="0.15">
      <c r="A35" t="s">
        <v>5</v>
      </c>
      <c r="B35" t="s">
        <v>2</v>
      </c>
      <c r="C35" s="2">
        <v>6780</v>
      </c>
    </row>
    <row r="36" spans="1:3" outlineLevel="2" x14ac:dyDescent="0.15">
      <c r="A36" t="s">
        <v>5</v>
      </c>
      <c r="B36" t="s">
        <v>1</v>
      </c>
      <c r="C36" s="2">
        <v>7243</v>
      </c>
    </row>
    <row r="37" spans="1:3" outlineLevel="1" x14ac:dyDescent="0.15">
      <c r="A37" s="3" t="s">
        <v>23</v>
      </c>
      <c r="C37" s="2">
        <f>SUBTOTAL(1,C31:C36)</f>
        <v>7333</v>
      </c>
    </row>
    <row r="38" spans="1:3" x14ac:dyDescent="0.15">
      <c r="A38" s="3" t="s">
        <v>24</v>
      </c>
      <c r="C38" s="2">
        <f>SUBTOTAL(1,C3:C36)</f>
        <v>6002.3666666666668</v>
      </c>
    </row>
  </sheetData>
  <sortState ref="A3:C32">
    <sortCondition descending="1" ref="A2"/>
  </sortState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A2" sqref="A2:C32"/>
    </sheetView>
  </sheetViews>
  <sheetFormatPr defaultRowHeight="14.25" x14ac:dyDescent="0.15"/>
  <cols>
    <col min="1" max="1" width="12.5" customWidth="1"/>
    <col min="2" max="2" width="12.625" customWidth="1"/>
    <col min="3" max="3" width="15.125" customWidth="1"/>
  </cols>
  <sheetData>
    <row r="1" spans="1:3" ht="18" x14ac:dyDescent="0.25">
      <c r="A1" s="7" t="s">
        <v>8</v>
      </c>
      <c r="B1" s="7"/>
      <c r="C1" s="7"/>
    </row>
    <row r="2" spans="1:3" ht="15.75" x14ac:dyDescent="0.25">
      <c r="A2" t="s">
        <v>18</v>
      </c>
      <c r="B2" t="s">
        <v>17</v>
      </c>
      <c r="C2" t="s">
        <v>16</v>
      </c>
    </row>
    <row r="3" spans="1:3" x14ac:dyDescent="0.15">
      <c r="A3" t="s">
        <v>4</v>
      </c>
      <c r="B3" t="s">
        <v>3</v>
      </c>
      <c r="C3">
        <v>6854</v>
      </c>
    </row>
    <row r="4" spans="1:3" x14ac:dyDescent="0.15">
      <c r="A4" t="s">
        <v>4</v>
      </c>
      <c r="B4" t="s">
        <v>0</v>
      </c>
      <c r="C4">
        <v>2340</v>
      </c>
    </row>
    <row r="5" spans="1:3" x14ac:dyDescent="0.15">
      <c r="A5" t="s">
        <v>4</v>
      </c>
      <c r="B5" t="s">
        <v>10</v>
      </c>
      <c r="C5">
        <v>5828</v>
      </c>
    </row>
    <row r="6" spans="1:3" x14ac:dyDescent="0.15">
      <c r="A6" t="s">
        <v>4</v>
      </c>
      <c r="B6" t="s">
        <v>11</v>
      </c>
      <c r="C6">
        <v>5286</v>
      </c>
    </row>
    <row r="7" spans="1:3" x14ac:dyDescent="0.15">
      <c r="A7" t="s">
        <v>4</v>
      </c>
      <c r="B7" t="s">
        <v>2</v>
      </c>
      <c r="C7">
        <v>3842</v>
      </c>
    </row>
    <row r="8" spans="1:3" x14ac:dyDescent="0.15">
      <c r="A8" t="s">
        <v>4</v>
      </c>
      <c r="B8" t="s">
        <v>1</v>
      </c>
      <c r="C8">
        <v>4835</v>
      </c>
    </row>
    <row r="9" spans="1:3" x14ac:dyDescent="0.15">
      <c r="A9" t="s">
        <v>7</v>
      </c>
      <c r="B9" t="s">
        <v>3</v>
      </c>
      <c r="C9">
        <v>8123</v>
      </c>
    </row>
    <row r="10" spans="1:3" x14ac:dyDescent="0.15">
      <c r="A10" t="s">
        <v>7</v>
      </c>
      <c r="B10" t="s">
        <v>0</v>
      </c>
      <c r="C10">
        <v>4680</v>
      </c>
    </row>
    <row r="11" spans="1:3" x14ac:dyDescent="0.15">
      <c r="A11" t="s">
        <v>7</v>
      </c>
      <c r="B11" t="s">
        <v>10</v>
      </c>
      <c r="C11">
        <v>6523</v>
      </c>
    </row>
    <row r="12" spans="1:3" x14ac:dyDescent="0.15">
      <c r="A12" t="s">
        <v>7</v>
      </c>
      <c r="B12" t="s">
        <v>11</v>
      </c>
      <c r="C12">
        <v>5432</v>
      </c>
    </row>
    <row r="13" spans="1:3" x14ac:dyDescent="0.15">
      <c r="A13" t="s">
        <v>7</v>
      </c>
      <c r="B13" t="s">
        <v>2</v>
      </c>
      <c r="C13">
        <v>7826</v>
      </c>
    </row>
    <row r="14" spans="1:3" x14ac:dyDescent="0.15">
      <c r="A14" t="s">
        <v>7</v>
      </c>
      <c r="B14" t="s">
        <v>1</v>
      </c>
      <c r="C14">
        <v>8642</v>
      </c>
    </row>
    <row r="15" spans="1:3" x14ac:dyDescent="0.15">
      <c r="A15" t="s">
        <v>6</v>
      </c>
      <c r="B15" t="s">
        <v>3</v>
      </c>
      <c r="C15">
        <v>2258</v>
      </c>
    </row>
    <row r="16" spans="1:3" x14ac:dyDescent="0.15">
      <c r="A16" t="s">
        <v>6</v>
      </c>
      <c r="B16" t="s">
        <v>0</v>
      </c>
      <c r="C16">
        <v>2586</v>
      </c>
    </row>
    <row r="17" spans="1:3" x14ac:dyDescent="0.15">
      <c r="A17" t="s">
        <v>6</v>
      </c>
      <c r="B17" t="s">
        <v>10</v>
      </c>
      <c r="C17">
        <v>4835</v>
      </c>
    </row>
    <row r="18" spans="1:3" x14ac:dyDescent="0.15">
      <c r="A18" t="s">
        <v>6</v>
      </c>
      <c r="B18" t="s">
        <v>11</v>
      </c>
      <c r="C18">
        <v>3642</v>
      </c>
    </row>
    <row r="19" spans="1:3" x14ac:dyDescent="0.15">
      <c r="A19" t="s">
        <v>6</v>
      </c>
      <c r="B19" t="s">
        <v>2</v>
      </c>
      <c r="C19">
        <v>3268</v>
      </c>
    </row>
    <row r="20" spans="1:3" x14ac:dyDescent="0.15">
      <c r="A20" t="s">
        <v>6</v>
      </c>
      <c r="B20" t="s">
        <v>1</v>
      </c>
      <c r="C20">
        <v>3868</v>
      </c>
    </row>
    <row r="21" spans="1:3" x14ac:dyDescent="0.15">
      <c r="A21" t="s">
        <v>12</v>
      </c>
      <c r="B21" t="s">
        <v>3</v>
      </c>
      <c r="C21">
        <v>5847</v>
      </c>
    </row>
    <row r="22" spans="1:3" x14ac:dyDescent="0.15">
      <c r="A22" t="s">
        <v>12</v>
      </c>
      <c r="B22" t="s">
        <v>0</v>
      </c>
      <c r="C22">
        <v>8648</v>
      </c>
    </row>
    <row r="23" spans="1:3" x14ac:dyDescent="0.15">
      <c r="A23" t="s">
        <v>12</v>
      </c>
      <c r="B23" t="s">
        <v>10</v>
      </c>
      <c r="C23">
        <v>6234</v>
      </c>
    </row>
    <row r="24" spans="1:3" x14ac:dyDescent="0.15">
      <c r="A24" t="s">
        <v>12</v>
      </c>
      <c r="B24" t="s">
        <v>11</v>
      </c>
      <c r="C24">
        <v>9841</v>
      </c>
    </row>
    <row r="25" spans="1:3" x14ac:dyDescent="0.15">
      <c r="A25" t="s">
        <v>12</v>
      </c>
      <c r="B25" t="s">
        <v>2</v>
      </c>
      <c r="C25">
        <v>7514</v>
      </c>
    </row>
    <row r="26" spans="1:3" x14ac:dyDescent="0.15">
      <c r="A26" t="s">
        <v>12</v>
      </c>
      <c r="B26" t="s">
        <v>1</v>
      </c>
      <c r="C26">
        <v>7321</v>
      </c>
    </row>
    <row r="27" spans="1:3" x14ac:dyDescent="0.15">
      <c r="A27" t="s">
        <v>5</v>
      </c>
      <c r="B27" t="s">
        <v>3</v>
      </c>
      <c r="C27">
        <v>8864</v>
      </c>
    </row>
    <row r="28" spans="1:3" x14ac:dyDescent="0.15">
      <c r="A28" t="s">
        <v>5</v>
      </c>
      <c r="B28" t="s">
        <v>0</v>
      </c>
      <c r="C28">
        <v>6875</v>
      </c>
    </row>
    <row r="29" spans="1:3" x14ac:dyDescent="0.15">
      <c r="A29" t="s">
        <v>5</v>
      </c>
      <c r="B29" t="s">
        <v>10</v>
      </c>
      <c r="C29">
        <v>7880</v>
      </c>
    </row>
    <row r="30" spans="1:3" x14ac:dyDescent="0.15">
      <c r="A30" t="s">
        <v>5</v>
      </c>
      <c r="B30" t="s">
        <v>11</v>
      </c>
      <c r="C30">
        <v>6356</v>
      </c>
    </row>
    <row r="31" spans="1:3" x14ac:dyDescent="0.15">
      <c r="A31" t="s">
        <v>5</v>
      </c>
      <c r="B31" t="s">
        <v>2</v>
      </c>
      <c r="C31">
        <v>6780</v>
      </c>
    </row>
    <row r="32" spans="1:3" x14ac:dyDescent="0.15">
      <c r="A32" t="s">
        <v>5</v>
      </c>
      <c r="B32" t="s">
        <v>1</v>
      </c>
      <c r="C32">
        <v>7243</v>
      </c>
    </row>
  </sheetData>
  <mergeCells count="1">
    <mergeCell ref="A1:C1"/>
  </mergeCells>
  <phoneticPr fontId="1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1"/>
  <sheetViews>
    <sheetView tabSelected="1" workbookViewId="0">
      <selection activeCell="F37" sqref="F37"/>
    </sheetView>
  </sheetViews>
  <sheetFormatPr defaultRowHeight="14.25" x14ac:dyDescent="0.15"/>
  <cols>
    <col min="1" max="1" width="16.25" bestFit="1" customWidth="1"/>
    <col min="2" max="2" width="10.125" customWidth="1"/>
    <col min="3" max="3" width="8.125" customWidth="1"/>
    <col min="4" max="6" width="7.375" customWidth="1"/>
    <col min="7" max="7" width="8.5" customWidth="1"/>
  </cols>
  <sheetData>
    <row r="3" spans="1:7" x14ac:dyDescent="0.15">
      <c r="A3" s="4" t="s">
        <v>39</v>
      </c>
      <c r="B3" s="4" t="s">
        <v>33</v>
      </c>
    </row>
    <row r="4" spans="1:7" x14ac:dyDescent="0.15">
      <c r="A4" s="4" t="s">
        <v>25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32</v>
      </c>
    </row>
    <row r="5" spans="1:7" x14ac:dyDescent="0.15">
      <c r="A5" s="5" t="s">
        <v>26</v>
      </c>
      <c r="B5" s="6">
        <v>7243</v>
      </c>
      <c r="C5" s="6">
        <v>7321</v>
      </c>
      <c r="D5" s="6">
        <v>3868</v>
      </c>
      <c r="E5" s="6">
        <v>8642</v>
      </c>
      <c r="F5" s="6">
        <v>4835</v>
      </c>
      <c r="G5" s="6">
        <v>31909</v>
      </c>
    </row>
    <row r="6" spans="1:7" x14ac:dyDescent="0.15">
      <c r="A6" s="5" t="s">
        <v>27</v>
      </c>
      <c r="B6" s="6">
        <v>6780</v>
      </c>
      <c r="C6" s="6">
        <v>7514</v>
      </c>
      <c r="D6" s="6">
        <v>3268</v>
      </c>
      <c r="E6" s="6">
        <v>7826</v>
      </c>
      <c r="F6" s="6">
        <v>3842</v>
      </c>
      <c r="G6" s="6">
        <v>29230</v>
      </c>
    </row>
    <row r="7" spans="1:7" x14ac:dyDescent="0.15">
      <c r="A7" s="5" t="s">
        <v>28</v>
      </c>
      <c r="B7" s="6">
        <v>6356</v>
      </c>
      <c r="C7" s="6">
        <v>9841</v>
      </c>
      <c r="D7" s="6">
        <v>3642</v>
      </c>
      <c r="E7" s="6">
        <v>5432</v>
      </c>
      <c r="F7" s="6">
        <v>5286</v>
      </c>
      <c r="G7" s="6">
        <v>30557</v>
      </c>
    </row>
    <row r="8" spans="1:7" x14ac:dyDescent="0.15">
      <c r="A8" s="5" t="s">
        <v>29</v>
      </c>
      <c r="B8" s="6">
        <v>7880</v>
      </c>
      <c r="C8" s="6">
        <v>6234</v>
      </c>
      <c r="D8" s="6">
        <v>4835</v>
      </c>
      <c r="E8" s="6">
        <v>6523</v>
      </c>
      <c r="F8" s="6">
        <v>5828</v>
      </c>
      <c r="G8" s="6">
        <v>31300</v>
      </c>
    </row>
    <row r="9" spans="1:7" x14ac:dyDescent="0.15">
      <c r="A9" s="5" t="s">
        <v>30</v>
      </c>
      <c r="B9" s="6">
        <v>6875</v>
      </c>
      <c r="C9" s="6">
        <v>8648</v>
      </c>
      <c r="D9" s="6">
        <v>2586</v>
      </c>
      <c r="E9" s="6">
        <v>4680</v>
      </c>
      <c r="F9" s="6">
        <v>2340</v>
      </c>
      <c r="G9" s="6">
        <v>25129</v>
      </c>
    </row>
    <row r="10" spans="1:7" x14ac:dyDescent="0.15">
      <c r="A10" s="5" t="s">
        <v>31</v>
      </c>
      <c r="B10" s="6">
        <v>8864</v>
      </c>
      <c r="C10" s="6">
        <v>5847</v>
      </c>
      <c r="D10" s="6">
        <v>2258</v>
      </c>
      <c r="E10" s="6">
        <v>8123</v>
      </c>
      <c r="F10" s="6">
        <v>6854</v>
      </c>
      <c r="G10" s="6">
        <v>31946</v>
      </c>
    </row>
    <row r="11" spans="1:7" x14ac:dyDescent="0.15">
      <c r="A11" s="5" t="s">
        <v>32</v>
      </c>
      <c r="B11" s="6">
        <v>43998</v>
      </c>
      <c r="C11" s="6">
        <v>45405</v>
      </c>
      <c r="D11" s="6">
        <v>20457</v>
      </c>
      <c r="E11" s="6">
        <v>41226</v>
      </c>
      <c r="F11" s="6">
        <v>28985</v>
      </c>
      <c r="G11" s="6">
        <v>180071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数据源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zhaoshulin</dc:creator>
  <cp:lastModifiedBy>86133</cp:lastModifiedBy>
  <dcterms:created xsi:type="dcterms:W3CDTF">2004-07-26T02:27:44Z</dcterms:created>
  <dcterms:modified xsi:type="dcterms:W3CDTF">2022-06-13T05:37:55Z</dcterms:modified>
</cp:coreProperties>
</file>
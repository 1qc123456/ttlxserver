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70" windowHeight="10065"/>
  </bookViews>
  <sheets>
    <sheet name="员工工资表" sheetId="1" r:id="rId1"/>
    <sheet name="成绩统计表" sheetId="3" r:id="rId2"/>
    <sheet name="竞赛成绩统计表" sheetId="10" r:id="rId3"/>
    <sheet name="“计算机动画技术”成绩单" sheetId="6" r:id="rId4"/>
    <sheet name="图书销售情况表" sheetId="8" r:id="rId5"/>
    <sheet name="产品销售情况表" sheetId="9" r:id="rId6"/>
    <sheet name="所占比例" sheetId="11" r:id="rId7"/>
  </sheets>
  <definedNames>
    <definedName name="_xlnm._FilterDatabase" localSheetId="3" hidden="1">“计算机动画技术”成绩单!$A$1:$A$24</definedName>
    <definedName name="_xlnm._FilterDatabase" localSheetId="5" hidden="1">产品销售情况表!$A$2:$H$38</definedName>
    <definedName name="_xlnm._FilterDatabase" localSheetId="4" hidden="1">图书销售情况表!$A$2:$F$44</definedName>
    <definedName name="PRC">#REF!</definedName>
  </definedNames>
  <calcPr calcId="144525"/>
  <pivotCaches>
    <pivotCache cacheId="0" r:id="rId8"/>
  </pivotCaches>
</workbook>
</file>

<file path=xl/sharedStrings.xml><?xml version="1.0" encoding="utf-8"?>
<sst xmlns="http://schemas.openxmlformats.org/spreadsheetml/2006/main" count="371" uniqueCount="163">
  <si>
    <t>某公司员工调薪工资表</t>
  </si>
  <si>
    <t>员工号</t>
  </si>
  <si>
    <t>现工资(元)</t>
  </si>
  <si>
    <t>调薪系数</t>
  </si>
  <si>
    <t>调薪后工资(元)</t>
  </si>
  <si>
    <t>AS1</t>
  </si>
  <si>
    <t>AS2</t>
  </si>
  <si>
    <t>AS3</t>
  </si>
  <si>
    <t>AS4</t>
  </si>
  <si>
    <t>AS5</t>
  </si>
  <si>
    <t>AS6</t>
  </si>
  <si>
    <t>AS7</t>
  </si>
  <si>
    <t>AS8</t>
  </si>
  <si>
    <t>AS9</t>
  </si>
  <si>
    <t>AS10</t>
  </si>
  <si>
    <t>AS11</t>
  </si>
  <si>
    <t>AS12</t>
  </si>
  <si>
    <t>AS13</t>
  </si>
  <si>
    <t>AS14</t>
  </si>
  <si>
    <t>AS15</t>
  </si>
  <si>
    <t>普遍工资</t>
  </si>
  <si>
    <t>某高校学生考试成绩表</t>
  </si>
  <si>
    <t>学号</t>
  </si>
  <si>
    <t>高等数学</t>
  </si>
  <si>
    <t>大学英语</t>
  </si>
  <si>
    <t>大学物理</t>
  </si>
  <si>
    <t>总成绩</t>
  </si>
  <si>
    <t>排名</t>
  </si>
  <si>
    <t>备注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</si>
  <si>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</si>
  <si>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</si>
  <si>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</si>
  <si>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</si>
  <si>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</si>
  <si>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</si>
  <si>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</si>
  <si>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</si>
  <si>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</si>
  <si>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</si>
  <si>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某学校学生成绩表</t>
  </si>
  <si>
    <t>组别</t>
  </si>
  <si>
    <t>数学</t>
  </si>
  <si>
    <t>语文</t>
  </si>
  <si>
    <t>英语</t>
  </si>
  <si>
    <t>平均成绩</t>
  </si>
  <si>
    <t>一组人数</t>
  </si>
  <si>
    <t>A1</t>
  </si>
  <si>
    <t>一组</t>
  </si>
  <si>
    <t>A2</t>
  </si>
  <si>
    <t>二组人数</t>
  </si>
  <si>
    <t>A3</t>
  </si>
  <si>
    <t>A4</t>
  </si>
  <si>
    <t>二组</t>
  </si>
  <si>
    <t>A5</t>
  </si>
  <si>
    <t>A6</t>
  </si>
  <si>
    <t>A7</t>
  </si>
  <si>
    <t>A8</t>
  </si>
  <si>
    <t>A9</t>
  </si>
  <si>
    <t>A10</t>
  </si>
  <si>
    <t>系别</t>
  </si>
  <si>
    <t>姓名</t>
  </si>
  <si>
    <t>考试成绩</t>
  </si>
  <si>
    <t>实验成绩</t>
  </si>
  <si>
    <t>自动控制</t>
  </si>
  <si>
    <t>993023</t>
  </si>
  <si>
    <t>张磊</t>
  </si>
  <si>
    <t>993021</t>
  </si>
  <si>
    <t>张在旭</t>
  </si>
  <si>
    <t>993082</t>
  </si>
  <si>
    <t>黄立</t>
  </si>
  <si>
    <t>993026</t>
  </si>
  <si>
    <t>钱民</t>
  </si>
  <si>
    <t>993053</t>
  </si>
  <si>
    <t>李英</t>
  </si>
  <si>
    <t>自动控制 平均值</t>
  </si>
  <si>
    <t>信息</t>
  </si>
  <si>
    <t>991021</t>
  </si>
  <si>
    <t>李新</t>
  </si>
  <si>
    <t>991076</t>
  </si>
  <si>
    <t>王力</t>
  </si>
  <si>
    <t>991062</t>
  </si>
  <si>
    <t>王春晓</t>
  </si>
  <si>
    <t>991025</t>
  </si>
  <si>
    <t>张雨涵</t>
  </si>
  <si>
    <t>信息 平均值</t>
  </si>
  <si>
    <t>994056</t>
  </si>
  <si>
    <t>孙英</t>
  </si>
  <si>
    <t>994034</t>
  </si>
  <si>
    <t>姚林</t>
  </si>
  <si>
    <t>994086</t>
  </si>
  <si>
    <t>高晓东</t>
  </si>
  <si>
    <t>994027</t>
  </si>
  <si>
    <t>黄红</t>
  </si>
  <si>
    <t>数学 平均值</t>
  </si>
  <si>
    <t>经济</t>
  </si>
  <si>
    <t>995034</t>
  </si>
  <si>
    <t>郝心怡</t>
  </si>
  <si>
    <t>995022</t>
  </si>
  <si>
    <t>陈松</t>
  </si>
  <si>
    <t>995014</t>
  </si>
  <si>
    <t>张平</t>
  </si>
  <si>
    <t>经济 平均值</t>
  </si>
  <si>
    <t>计算机</t>
  </si>
  <si>
    <t>992032</t>
  </si>
  <si>
    <t>王文辉</t>
  </si>
  <si>
    <t>992089</t>
  </si>
  <si>
    <t>金翔</t>
  </si>
  <si>
    <t>992005</t>
  </si>
  <si>
    <t>扬海东</t>
  </si>
  <si>
    <t>计算机 平均值</t>
  </si>
  <si>
    <t>总平均值</t>
  </si>
  <si>
    <t>某图书销售公司销售情况表</t>
  </si>
  <si>
    <t>经销部门</t>
  </si>
  <si>
    <t>图书类别</t>
  </si>
  <si>
    <t>季度</t>
  </si>
  <si>
    <t>数量(册)</t>
  </si>
  <si>
    <t>销售额(元)</t>
  </si>
  <si>
    <t>销售量排名</t>
  </si>
  <si>
    <t>求和项:数量(册)</t>
  </si>
  <si>
    <r>
      <rPr>
        <sz val="12"/>
        <rFont val="宋体"/>
        <charset val="134"/>
      </rPr>
      <t>第</t>
    </r>
    <r>
      <rPr>
        <sz val="12"/>
        <rFont val="Times New Roman"/>
        <charset val="134"/>
      </rPr>
      <t>3</t>
    </r>
    <r>
      <rPr>
        <sz val="12"/>
        <rFont val="宋体"/>
        <charset val="134"/>
      </rPr>
      <t>分部</t>
    </r>
  </si>
  <si>
    <t>计算机类</t>
  </si>
  <si>
    <t>少儿类</t>
  </si>
  <si>
    <t>社科类</t>
  </si>
  <si>
    <t>总计</t>
  </si>
  <si>
    <t>第1分部</t>
  </si>
  <si>
    <r>
      <rPr>
        <sz val="12"/>
        <rFont val="宋体"/>
        <charset val="134"/>
      </rPr>
      <t>第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分部</t>
    </r>
  </si>
  <si>
    <t>第2分部</t>
  </si>
  <si>
    <r>
      <rPr>
        <sz val="12"/>
        <rFont val="宋体"/>
        <charset val="134"/>
      </rPr>
      <t>第</t>
    </r>
    <r>
      <rPr>
        <sz val="12"/>
        <rFont val="Times New Roman"/>
        <charset val="134"/>
      </rPr>
      <t>2</t>
    </r>
    <r>
      <rPr>
        <sz val="12"/>
        <rFont val="宋体"/>
        <charset val="134"/>
      </rPr>
      <t>分部</t>
    </r>
  </si>
  <si>
    <t>第3分部</t>
  </si>
  <si>
    <t>产品销售情况表</t>
  </si>
  <si>
    <t>分店名称</t>
  </si>
  <si>
    <t>产品型号</t>
  </si>
  <si>
    <t>产品名称</t>
  </si>
  <si>
    <t>单价（元）</t>
  </si>
  <si>
    <t>数量</t>
  </si>
  <si>
    <t>销售额（万元）</t>
  </si>
  <si>
    <t>销售排名</t>
  </si>
  <si>
    <t>第1分店</t>
  </si>
  <si>
    <t>D01</t>
  </si>
  <si>
    <t>电冰箱</t>
  </si>
  <si>
    <t>D02</t>
  </si>
  <si>
    <t>K01</t>
  </si>
  <si>
    <t>空调</t>
  </si>
  <si>
    <t>K02</t>
  </si>
  <si>
    <t>S01</t>
  </si>
  <si>
    <t>手机</t>
  </si>
  <si>
    <t>S02</t>
  </si>
  <si>
    <t>第2分店</t>
  </si>
  <si>
    <t>第3分店</t>
  </si>
  <si>
    <t>汽车销售统计表</t>
  </si>
  <si>
    <t>年份</t>
  </si>
  <si>
    <t>销售量（万辆）</t>
  </si>
  <si>
    <t>所占比例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</si>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</sst>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0.00_ "/>
  </numFmts>
  <fonts count="28">
    <font>
      <sz val="12"/>
      <name val="宋体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2"/>
      <color theme="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Arial"/>
      <charset val="134"/>
    </font>
    <font>
      <sz val="8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0" borderId="0"/>
    <xf numFmtId="40" fontId="25" fillId="0" borderId="0" applyFont="0" applyFill="0" applyBorder="0" applyAlignment="0" applyProtection="0"/>
    <xf numFmtId="0" fontId="25" fillId="0" borderId="0"/>
    <xf numFmtId="178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49">
      <alignment vertical="center"/>
    </xf>
    <xf numFmtId="0" fontId="0" fillId="0" borderId="0" xfId="49" applyAlignment="1">
      <alignment horizontal="center" vertical="center"/>
    </xf>
    <xf numFmtId="180" fontId="0" fillId="0" borderId="0" xfId="49" applyNumberForma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/>
    <xf numFmtId="180" fontId="0" fillId="0" borderId="0" xfId="0" applyNumberFormat="1"/>
    <xf numFmtId="0" fontId="0" fillId="0" borderId="0" xfId="0" applyFont="1"/>
    <xf numFmtId="0" fontId="0" fillId="0" borderId="0" xfId="0" applyNumberFormat="1"/>
    <xf numFmtId="0" fontId="3" fillId="2" borderId="1" xfId="0" applyFont="1" applyFill="1" applyBorder="1"/>
    <xf numFmtId="0" fontId="4" fillId="3" borderId="2" xfId="0" applyFont="1" applyFill="1" applyBorder="1"/>
    <xf numFmtId="9" fontId="4" fillId="3" borderId="2" xfId="0" applyNumberFormat="1" applyFont="1" applyFill="1" applyBorder="1"/>
    <xf numFmtId="0" fontId="4" fillId="0" borderId="3" xfId="0" applyFont="1" applyFill="1" applyBorder="1"/>
    <xf numFmtId="9" fontId="4" fillId="0" borderId="3" xfId="0" applyNumberFormat="1" applyFont="1" applyFill="1" applyBorder="1"/>
    <xf numFmtId="0" fontId="4" fillId="3" borderId="3" xfId="0" applyFont="1" applyFill="1" applyBorder="1"/>
    <xf numFmtId="9" fontId="4" fillId="3" borderId="3" xfId="0" applyNumberFormat="1" applyFont="1" applyFill="1" applyBorder="1"/>
    <xf numFmtId="0" fontId="4" fillId="3" borderId="4" xfId="0" applyFont="1" applyFill="1" applyBorder="1"/>
    <xf numFmtId="9" fontId="4" fillId="3" borderId="4" xfId="0" applyNumberFormat="1" applyFont="1" applyFill="1" applyBorder="1"/>
    <xf numFmtId="0" fontId="0" fillId="0" borderId="0" xfId="0" quotePrefix="1"/>
    <xf numFmtId="0" fontId="1" fillId="0" borderId="0" xfId="0" applyFont="1" quotePrefix="1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exc" xfId="49"/>
    <cellStyle name="Comma_Chart1" xfId="50"/>
    <cellStyle name="Currency [0]" xfId="51"/>
    <cellStyle name="Normal_Module1" xfId="52"/>
    <cellStyle name="千分位_MS Excel 4.0" xfId="53"/>
    <cellStyle name="普通_MS Excel 4.0" xfId="54"/>
    <cellStyle name="Comma [0]" xfId="55"/>
    <cellStyle name="Currency_Chart1" xfId="56"/>
    <cellStyle name="常规 2" xfId="57"/>
  </cellStyles>
  <dxfs count="9">
    <dxf>
      <font>
        <color rgb="FF9C0006"/>
      </font>
    </dxf>
    <dxf>
      <fill>
        <patternFill patternType="solid">
          <bgColor rgb="FF00B0F0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</dxfs>
  <tableStyles count="1" defaultTableStyle="TableStyleMedium2" defaultPivotStyle="PivotStyleLight16">
    <tableStyle name="TableStylePreset3_Dark" pivot="0" count="7" xr9:uid="{A23A6A0A-29F2-439B-92E2-2009244044D1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汽车销售统计图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所占比例!$C$2</c:f>
              <c:strCache>
                <c:ptCount val="1"/>
                <c:pt idx="0">
                  <c:v>所占比例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所占比例!$A$3:$A$12</c:f>
              <c:strCache>
                <c:ptCount val="10"/>
                <c:pt idx="0">
                  <c:v>1996年</c:v>
                </c:pt>
                <c:pt idx="1">
                  <c:v>1997年</c:v>
                </c:pt>
                <c:pt idx="2">
                  <c:v>1998年</c:v>
                </c:pt>
                <c:pt idx="3">
                  <c:v>1999年</c:v>
                </c:pt>
                <c:pt idx="4">
                  <c:v>2000年</c:v>
                </c:pt>
                <c:pt idx="5">
                  <c:v>2001年</c:v>
                </c:pt>
                <c:pt idx="6">
                  <c:v>2002年</c:v>
                </c:pt>
                <c:pt idx="7">
                  <c:v>2003年</c:v>
                </c:pt>
                <c:pt idx="8">
                  <c:v>2004年</c:v>
                </c:pt>
                <c:pt idx="9">
                  <c:v>2005年</c:v>
                </c:pt>
              </c:strCache>
            </c:strRef>
          </c:cat>
          <c:val>
            <c:numRef>
              <c:f>所占比例!$C$3:$C$12</c:f>
              <c:numCache>
                <c:formatCode>0.00%</c:formatCode>
                <c:ptCount val="10"/>
                <c:pt idx="0">
                  <c:v>0.0290179582936822</c:v>
                </c:pt>
                <c:pt idx="1">
                  <c:v>0.0671576741917169</c:v>
                </c:pt>
                <c:pt idx="2">
                  <c:v>0.103993901057452</c:v>
                </c:pt>
                <c:pt idx="3">
                  <c:v>0.0606642196259066</c:v>
                </c:pt>
                <c:pt idx="4">
                  <c:v>0.0770364683710652</c:v>
                </c:pt>
                <c:pt idx="5">
                  <c:v>0.140478265853119</c:v>
                </c:pt>
                <c:pt idx="6">
                  <c:v>0.123543570920199</c:v>
                </c:pt>
                <c:pt idx="7">
                  <c:v>0.091276219721869</c:v>
                </c:pt>
                <c:pt idx="8">
                  <c:v>0.14625733379182</c:v>
                </c:pt>
                <c:pt idx="9">
                  <c:v>0.160574388173169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264579059"/>
        <c:axId val="109746686"/>
      </c:barChart>
      <c:catAx>
        <c:axId val="2645790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746686"/>
        <c:crosses val="autoZero"/>
        <c:auto val="1"/>
        <c:lblAlgn val="ctr"/>
        <c:lblOffset val="100"/>
        <c:noMultiLvlLbl val="0"/>
      </c:catAx>
      <c:valAx>
        <c:axId val="1097466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45790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146050</xdr:colOff>
      <xdr:row>14</xdr:row>
      <xdr:rowOff>79375</xdr:rowOff>
    </xdr:from>
    <xdr:to>
      <xdr:col>5</xdr:col>
      <xdr:colOff>612775</xdr:colOff>
      <xdr:row>29</xdr:row>
      <xdr:rowOff>107950</xdr:rowOff>
    </xdr:to>
    <xdr:graphicFrame>
      <xdr:nvGraphicFramePr>
        <xdr:cNvPr id="2" name="图表 1"/>
        <xdr:cNvGraphicFramePr/>
      </xdr:nvGraphicFramePr>
      <xdr:xfrm>
        <a:off x="146050" y="26130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24.4676388889" refreshedBy="Administrator" recordCount="42">
  <cacheSource type="worksheet">
    <worksheetSource ref="A2:F44" sheet="图书销售情况表"/>
  </cacheSource>
  <cacheFields count="6">
    <cacheField name="经销部门" numFmtId="0">
      <sharedItems count="3">
        <s v="第3分部"/>
        <s v="第1分部"/>
        <s v="第2分部"/>
      </sharedItems>
    </cacheField>
    <cacheField name="图书类别" numFmtId="0">
      <sharedItems count="3">
        <s v="计算机类"/>
        <s v="少儿类"/>
        <s v="社科类"/>
      </sharedItems>
    </cacheField>
    <cacheField name="季度" numFmtId="0">
      <sharedItems containsSemiMixedTypes="0" containsString="0" containsNumber="1" containsInteger="1" minValue="0" maxValue="4" count="4">
        <n v="3"/>
        <n v="2"/>
        <n v="1"/>
        <n v="4"/>
      </sharedItems>
    </cacheField>
    <cacheField name="数量(册)" numFmtId="0">
      <sharedItems containsSemiMixedTypes="0" containsString="0" containsNumber="1" containsInteger="1" minValue="0" maxValue="765" count="39">
        <n v="124"/>
        <n v="321"/>
        <n v="435"/>
        <n v="256"/>
        <n v="167"/>
        <n v="157"/>
        <n v="187"/>
        <n v="213"/>
        <n v="196"/>
        <n v="219"/>
        <n v="234"/>
        <n v="206"/>
        <n v="211"/>
        <n v="189"/>
        <n v="221"/>
        <n v="432"/>
        <n v="323"/>
        <n v="324"/>
        <n v="342"/>
        <n v="242"/>
        <n v="287"/>
        <n v="218"/>
        <n v="301"/>
        <n v="306"/>
        <n v="345"/>
        <n v="312"/>
        <n v="212"/>
        <n v="365"/>
        <n v="412"/>
        <n v="421"/>
        <n v="543"/>
        <n v="569"/>
        <n v="654"/>
        <n v="765"/>
        <n v="378"/>
        <n v="433"/>
        <n v="329"/>
        <n v="178"/>
        <n v="398"/>
      </sharedItems>
    </cacheField>
    <cacheField name="销售额(元)" numFmtId="0">
      <sharedItems containsSemiMixedTypes="0" containsString="0" containsNumber="1" containsInteger="1" minValue="0" maxValue="28840" count="39">
        <n v="8680"/>
        <n v="9630"/>
        <n v="21750"/>
        <n v="17920"/>
        <n v="8350"/>
        <n v="10990"/>
        <n v="13090"/>
        <n v="10650"/>
        <n v="13720"/>
        <n v="10950"/>
        <n v="16380"/>
        <n v="14420"/>
        <n v="10550"/>
        <n v="9450"/>
        <n v="6630"/>
        <n v="12960"/>
        <n v="22610"/>
        <n v="16200"/>
        <n v="10260"/>
        <n v="7260"/>
        <n v="14350"/>
        <n v="10900"/>
        <n v="15050"/>
        <n v="9180"/>
        <n v="24150"/>
        <n v="9360"/>
        <n v="14840"/>
        <n v="28840"/>
        <n v="12630"/>
        <n v="16290"/>
        <n v="28450"/>
        <n v="19620"/>
        <n v="22950"/>
        <n v="26460"/>
        <n v="12990"/>
        <n v="22680"/>
        <n v="23030"/>
        <n v="8900"/>
        <n v="27860"/>
      </sharedItems>
    </cacheField>
    <cacheField name="销售量排名" numFmtId="0">
      <sharedItems containsSemiMixedTypes="0" containsString="0" containsNumber="1" containsInteger="1" minValue="0" maxValue="42" count="39">
        <n v="42"/>
        <n v="20"/>
        <n v="5"/>
        <n v="26"/>
        <n v="40"/>
        <n v="41"/>
        <n v="38"/>
        <n v="32"/>
        <n v="36"/>
        <n v="30"/>
        <n v="28"/>
        <n v="35"/>
        <n v="34"/>
        <n v="37"/>
        <n v="29"/>
        <n v="7"/>
        <n v="19"/>
        <n v="17"/>
        <n v="15"/>
        <n v="27"/>
        <n v="24"/>
        <n v="31"/>
        <n v="23"/>
        <n v="22"/>
        <n v="13"/>
        <n v="21"/>
        <n v="33"/>
        <n v="12"/>
        <n v="9"/>
        <n v="8"/>
        <n v="4"/>
        <n v="3"/>
        <n v="2"/>
        <n v="1"/>
        <n v="11"/>
        <n v="6"/>
        <n v="16"/>
        <n v="39"/>
        <n v="1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x v="0"/>
    <x v="0"/>
    <x v="0"/>
    <x v="0"/>
    <x v="0"/>
    <x v="0"/>
  </r>
  <r>
    <x v="0"/>
    <x v="1"/>
    <x v="1"/>
    <x v="1"/>
    <x v="1"/>
    <x v="1"/>
  </r>
  <r>
    <x v="1"/>
    <x v="2"/>
    <x v="1"/>
    <x v="2"/>
    <x v="2"/>
    <x v="2"/>
  </r>
  <r>
    <x v="2"/>
    <x v="0"/>
    <x v="1"/>
    <x v="3"/>
    <x v="3"/>
    <x v="3"/>
  </r>
  <r>
    <x v="2"/>
    <x v="2"/>
    <x v="2"/>
    <x v="4"/>
    <x v="4"/>
    <x v="4"/>
  </r>
  <r>
    <x v="0"/>
    <x v="0"/>
    <x v="3"/>
    <x v="5"/>
    <x v="5"/>
    <x v="5"/>
  </r>
  <r>
    <x v="1"/>
    <x v="0"/>
    <x v="3"/>
    <x v="6"/>
    <x v="6"/>
    <x v="6"/>
  </r>
  <r>
    <x v="0"/>
    <x v="2"/>
    <x v="3"/>
    <x v="7"/>
    <x v="7"/>
    <x v="7"/>
  </r>
  <r>
    <x v="2"/>
    <x v="0"/>
    <x v="3"/>
    <x v="8"/>
    <x v="8"/>
    <x v="8"/>
  </r>
  <r>
    <x v="2"/>
    <x v="2"/>
    <x v="3"/>
    <x v="9"/>
    <x v="9"/>
    <x v="9"/>
  </r>
  <r>
    <x v="2"/>
    <x v="0"/>
    <x v="0"/>
    <x v="10"/>
    <x v="10"/>
    <x v="10"/>
  </r>
  <r>
    <x v="2"/>
    <x v="0"/>
    <x v="2"/>
    <x v="11"/>
    <x v="11"/>
    <x v="11"/>
  </r>
  <r>
    <x v="2"/>
    <x v="2"/>
    <x v="1"/>
    <x v="12"/>
    <x v="12"/>
    <x v="12"/>
  </r>
  <r>
    <x v="0"/>
    <x v="2"/>
    <x v="0"/>
    <x v="13"/>
    <x v="13"/>
    <x v="13"/>
  </r>
  <r>
    <x v="2"/>
    <x v="1"/>
    <x v="2"/>
    <x v="14"/>
    <x v="14"/>
    <x v="14"/>
  </r>
  <r>
    <x v="0"/>
    <x v="1"/>
    <x v="3"/>
    <x v="15"/>
    <x v="15"/>
    <x v="15"/>
  </r>
  <r>
    <x v="1"/>
    <x v="0"/>
    <x v="0"/>
    <x v="16"/>
    <x v="16"/>
    <x v="16"/>
  </r>
  <r>
    <x v="1"/>
    <x v="2"/>
    <x v="0"/>
    <x v="17"/>
    <x v="17"/>
    <x v="17"/>
  </r>
  <r>
    <x v="1"/>
    <x v="1"/>
    <x v="3"/>
    <x v="18"/>
    <x v="18"/>
    <x v="18"/>
  </r>
  <r>
    <x v="0"/>
    <x v="2"/>
    <x v="1"/>
    <x v="19"/>
    <x v="19"/>
    <x v="19"/>
  </r>
  <r>
    <x v="0"/>
    <x v="2"/>
    <x v="0"/>
    <x v="20"/>
    <x v="20"/>
    <x v="20"/>
  </r>
  <r>
    <x v="1"/>
    <x v="2"/>
    <x v="3"/>
    <x v="20"/>
    <x v="20"/>
    <x v="20"/>
  </r>
  <r>
    <x v="2"/>
    <x v="2"/>
    <x v="0"/>
    <x v="21"/>
    <x v="21"/>
    <x v="21"/>
  </r>
  <r>
    <x v="0"/>
    <x v="2"/>
    <x v="2"/>
    <x v="22"/>
    <x v="22"/>
    <x v="22"/>
  </r>
  <r>
    <x v="0"/>
    <x v="1"/>
    <x v="2"/>
    <x v="23"/>
    <x v="23"/>
    <x v="23"/>
  </r>
  <r>
    <x v="0"/>
    <x v="0"/>
    <x v="1"/>
    <x v="24"/>
    <x v="24"/>
    <x v="24"/>
  </r>
  <r>
    <x v="2"/>
    <x v="1"/>
    <x v="1"/>
    <x v="25"/>
    <x v="25"/>
    <x v="25"/>
  </r>
  <r>
    <x v="0"/>
    <x v="0"/>
    <x v="2"/>
    <x v="26"/>
    <x v="26"/>
    <x v="26"/>
  </r>
  <r>
    <x v="1"/>
    <x v="0"/>
    <x v="2"/>
    <x v="24"/>
    <x v="24"/>
    <x v="24"/>
  </r>
  <r>
    <x v="1"/>
    <x v="1"/>
    <x v="0"/>
    <x v="27"/>
    <x v="9"/>
    <x v="27"/>
  </r>
  <r>
    <x v="1"/>
    <x v="0"/>
    <x v="1"/>
    <x v="28"/>
    <x v="27"/>
    <x v="28"/>
  </r>
  <r>
    <x v="2"/>
    <x v="1"/>
    <x v="3"/>
    <x v="29"/>
    <x v="28"/>
    <x v="29"/>
  </r>
  <r>
    <x v="2"/>
    <x v="1"/>
    <x v="0"/>
    <x v="30"/>
    <x v="29"/>
    <x v="30"/>
  </r>
  <r>
    <x v="1"/>
    <x v="2"/>
    <x v="2"/>
    <x v="31"/>
    <x v="30"/>
    <x v="31"/>
  </r>
  <r>
    <x v="1"/>
    <x v="1"/>
    <x v="1"/>
    <x v="32"/>
    <x v="31"/>
    <x v="32"/>
  </r>
  <r>
    <x v="1"/>
    <x v="1"/>
    <x v="2"/>
    <x v="33"/>
    <x v="32"/>
    <x v="33"/>
  </r>
  <r>
    <x v="0"/>
    <x v="0"/>
    <x v="0"/>
    <x v="34"/>
    <x v="33"/>
    <x v="34"/>
  </r>
  <r>
    <x v="0"/>
    <x v="1"/>
    <x v="0"/>
    <x v="35"/>
    <x v="34"/>
    <x v="35"/>
  </r>
  <r>
    <x v="0"/>
    <x v="0"/>
    <x v="3"/>
    <x v="17"/>
    <x v="35"/>
    <x v="17"/>
  </r>
  <r>
    <x v="1"/>
    <x v="0"/>
    <x v="3"/>
    <x v="36"/>
    <x v="36"/>
    <x v="36"/>
  </r>
  <r>
    <x v="2"/>
    <x v="2"/>
    <x v="2"/>
    <x v="37"/>
    <x v="37"/>
    <x v="37"/>
  </r>
  <r>
    <x v="2"/>
    <x v="0"/>
    <x v="3"/>
    <x v="38"/>
    <x v="38"/>
    <x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H2:L7" firstHeaderRow="1" firstDataRow="2" firstDataCol="1"/>
  <pivotFields count="6">
    <pivotField axis="axisRow" compact="0" showAll="0">
      <items count="4">
        <item x="1"/>
        <item x="2"/>
        <item x="0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0">
        <item x="0"/>
        <item x="5"/>
        <item x="4"/>
        <item x="37"/>
        <item x="6"/>
        <item x="13"/>
        <item x="8"/>
        <item x="11"/>
        <item x="12"/>
        <item x="26"/>
        <item x="7"/>
        <item x="21"/>
        <item x="9"/>
        <item x="14"/>
        <item x="10"/>
        <item x="19"/>
        <item x="3"/>
        <item x="20"/>
        <item x="22"/>
        <item x="23"/>
        <item x="25"/>
        <item x="1"/>
        <item x="16"/>
        <item x="17"/>
        <item x="36"/>
        <item x="18"/>
        <item x="24"/>
        <item x="27"/>
        <item x="34"/>
        <item x="38"/>
        <item x="28"/>
        <item x="29"/>
        <item x="15"/>
        <item x="35"/>
        <item x="2"/>
        <item x="30"/>
        <item x="31"/>
        <item x="32"/>
        <item x="33"/>
        <item t="default"/>
      </items>
    </pivotField>
    <pivotField compact="0" showAll="0"/>
    <pivotField compact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求和项:数量(册)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D17" totalsRowShown="0">
  <autoFilter ref="A2:D17"/>
  <tableColumns count="4">
    <tableColumn id="1" name="员工号"/>
    <tableColumn id="2" name="现工资(元)"/>
    <tableColumn id="3" name="调薪系数"/>
    <tableColumn id="4" name="调薪后工资(元)"/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F18"/>
  <sheetViews>
    <sheetView tabSelected="1" zoomScale="70" zoomScaleNormal="70" workbookViewId="0">
      <selection activeCell="A2" sqref="A2:D17"/>
    </sheetView>
  </sheetViews>
  <sheetFormatPr defaultColWidth="9" defaultRowHeight="14.25" outlineLevelCol="5"/>
  <cols>
    <col min="1" max="1" width="11.5" customWidth="1"/>
    <col min="4" max="4" width="16.125" customWidth="1"/>
  </cols>
  <sheetData>
    <row r="1" ht="15" spans="1:4">
      <c r="A1" s="7" t="s">
        <v>0</v>
      </c>
      <c r="B1" s="7"/>
      <c r="C1" s="7"/>
      <c r="D1" s="7"/>
    </row>
    <row r="2" ht="15" spans="1:4">
      <c r="A2" s="14" t="s">
        <v>1</v>
      </c>
      <c r="B2" s="14" t="s">
        <v>2</v>
      </c>
      <c r="C2" s="14" t="s">
        <v>3</v>
      </c>
      <c r="D2" s="14" t="s">
        <v>4</v>
      </c>
    </row>
    <row r="3" spans="1:4">
      <c r="A3" s="15" t="s">
        <v>5</v>
      </c>
      <c r="B3" s="15">
        <v>2400</v>
      </c>
      <c r="C3" s="16">
        <v>0.35</v>
      </c>
      <c r="D3" s="15">
        <f>B3+B3*C3</f>
        <v>3240</v>
      </c>
    </row>
    <row r="4" spans="1:6">
      <c r="A4" s="17" t="s">
        <v>6</v>
      </c>
      <c r="B4" s="17">
        <v>2200</v>
      </c>
      <c r="C4" s="18">
        <v>0.2</v>
      </c>
      <c r="D4" s="17">
        <f t="shared" ref="D4:D18" si="0">B4+B4*C4</f>
        <v>2640</v>
      </c>
      <c r="E4" s="13"/>
      <c r="F4" s="13"/>
    </row>
    <row r="5" spans="1:4">
      <c r="A5" s="19" t="s">
        <v>7</v>
      </c>
      <c r="B5" s="19">
        <v>2000</v>
      </c>
      <c r="C5" s="20">
        <v>0.35</v>
      </c>
      <c r="D5" s="19">
        <f t="shared" si="0"/>
        <v>2700</v>
      </c>
    </row>
    <row r="6" spans="1:4">
      <c r="A6" s="17" t="s">
        <v>8</v>
      </c>
      <c r="B6" s="17">
        <v>2500</v>
      </c>
      <c r="C6" s="18">
        <v>0.4</v>
      </c>
      <c r="D6" s="17">
        <f t="shared" si="0"/>
        <v>3500</v>
      </c>
    </row>
    <row r="7" spans="1:4">
      <c r="A7" s="19" t="s">
        <v>9</v>
      </c>
      <c r="B7" s="19">
        <v>2700</v>
      </c>
      <c r="C7" s="20">
        <v>0.25</v>
      </c>
      <c r="D7" s="19">
        <f t="shared" si="0"/>
        <v>3375</v>
      </c>
    </row>
    <row r="8" spans="1:4">
      <c r="A8" s="17" t="s">
        <v>10</v>
      </c>
      <c r="B8" s="17">
        <v>2200</v>
      </c>
      <c r="C8" s="18">
        <v>0.25</v>
      </c>
      <c r="D8" s="17">
        <f t="shared" si="0"/>
        <v>2750</v>
      </c>
    </row>
    <row r="9" spans="1:4">
      <c r="A9" s="19" t="s">
        <v>11</v>
      </c>
      <c r="B9" s="19">
        <v>2800</v>
      </c>
      <c r="C9" s="20">
        <v>0.35</v>
      </c>
      <c r="D9" s="19">
        <f t="shared" si="0"/>
        <v>3780</v>
      </c>
    </row>
    <row r="10" spans="1:4">
      <c r="A10" s="17" t="s">
        <v>12</v>
      </c>
      <c r="B10" s="17">
        <v>3800</v>
      </c>
      <c r="C10" s="18">
        <v>0.2</v>
      </c>
      <c r="D10" s="17">
        <f t="shared" si="0"/>
        <v>4560</v>
      </c>
    </row>
    <row r="11" spans="1:4">
      <c r="A11" s="19" t="s">
        <v>13</v>
      </c>
      <c r="B11" s="19">
        <v>2500</v>
      </c>
      <c r="C11" s="20">
        <v>0.2</v>
      </c>
      <c r="D11" s="19">
        <f t="shared" si="0"/>
        <v>3000</v>
      </c>
    </row>
    <row r="12" spans="1:4">
      <c r="A12" s="17" t="s">
        <v>14</v>
      </c>
      <c r="B12" s="17">
        <v>2200</v>
      </c>
      <c r="C12" s="18">
        <v>0.3</v>
      </c>
      <c r="D12" s="17">
        <f t="shared" si="0"/>
        <v>2860</v>
      </c>
    </row>
    <row r="13" spans="1:4">
      <c r="A13" s="19" t="s">
        <v>15</v>
      </c>
      <c r="B13" s="19">
        <v>2500</v>
      </c>
      <c r="C13" s="20">
        <v>0.35</v>
      </c>
      <c r="D13" s="19">
        <f t="shared" si="0"/>
        <v>3375</v>
      </c>
    </row>
    <row r="14" spans="1:4">
      <c r="A14" s="17" t="s">
        <v>16</v>
      </c>
      <c r="B14" s="17">
        <v>2500</v>
      </c>
      <c r="C14" s="18">
        <v>0.4</v>
      </c>
      <c r="D14" s="17">
        <f t="shared" si="0"/>
        <v>3500</v>
      </c>
    </row>
    <row r="15" spans="1:4">
      <c r="A15" s="19" t="s">
        <v>17</v>
      </c>
      <c r="B15" s="19">
        <v>2800</v>
      </c>
      <c r="C15" s="20">
        <v>0.3</v>
      </c>
      <c r="D15" s="19">
        <f t="shared" si="0"/>
        <v>3640</v>
      </c>
    </row>
    <row r="16" spans="1:4">
      <c r="A16" s="17" t="s">
        <v>18</v>
      </c>
      <c r="B16" s="17">
        <v>2200</v>
      </c>
      <c r="C16" s="18">
        <v>0.35</v>
      </c>
      <c r="D16" s="17">
        <f t="shared" si="0"/>
        <v>2970</v>
      </c>
    </row>
    <row r="17" ht="15" spans="1:4">
      <c r="A17" s="21" t="s">
        <v>19</v>
      </c>
      <c r="B17" s="21">
        <v>2500</v>
      </c>
      <c r="C17" s="22">
        <v>0.4</v>
      </c>
      <c r="D17" s="21">
        <f t="shared" si="0"/>
        <v>3500</v>
      </c>
    </row>
    <row r="18" spans="1:1">
      <c r="A18" t="s">
        <v>20</v>
      </c>
    </row>
  </sheetData>
  <mergeCells count="1">
    <mergeCell ref="A1:D1"/>
  </mergeCells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4"/>
  <sheetViews>
    <sheetView zoomScale="70" zoomScaleNormal="70" workbookViewId="0">
      <selection activeCell="Q31" sqref="Q31"/>
    </sheetView>
  </sheetViews>
  <sheetFormatPr defaultColWidth="9" defaultRowHeight="14.25" outlineLevelCol="6"/>
  <sheetData>
    <row r="1" spans="1:7">
      <c r="A1" s="7" t="s">
        <v>21</v>
      </c>
      <c r="B1" s="7"/>
      <c r="C1" s="7"/>
      <c r="D1" s="7"/>
      <c r="E1" s="7"/>
      <c r="F1" s="7"/>
      <c r="G1" s="7"/>
    </row>
    <row r="2" spans="1:7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ht="15.75" spans="1:7">
      <c r="A3" s="8" t="s">
        <v>29</v>
      </c>
      <c r="B3">
        <v>89</v>
      </c>
      <c r="C3">
        <v>74</v>
      </c>
      <c r="D3">
        <v>75</v>
      </c>
      <c r="E3">
        <f>SUM(B3:D3)</f>
        <v>238</v>
      </c>
      <c r="F3">
        <f>RANK(E3,$E$3:$E$12,0)</f>
        <v>4</v>
      </c>
      <c r="G3" t="str">
        <f>IF(B3&gt;=75,"有资格","无资格")</f>
        <v>有资格</v>
      </c>
    </row>
    <row r="4" ht="15.75" spans="1:7">
      <c r="A4" s="8" t="s">
        <v>30</v>
      </c>
      <c r="B4">
        <v>77</v>
      </c>
      <c r="C4">
        <v>73</v>
      </c>
      <c r="D4">
        <v>73</v>
      </c>
      <c r="E4">
        <f t="shared" ref="E4:E12" si="0">SUM(B4:D4)</f>
        <v>223</v>
      </c>
      <c r="F4">
        <f t="shared" ref="F4:F12" si="1">RANK(E4,$E$3:$E$12,0)</f>
        <v>7</v>
      </c>
      <c r="G4" t="str">
        <f t="shared" ref="G4:G12" si="2">IF(B4&gt;=75,"有资格","无资格")</f>
        <v>有资格</v>
      </c>
    </row>
    <row r="5" ht="15.75" spans="1:7">
      <c r="A5" s="8" t="s">
        <v>31</v>
      </c>
      <c r="B5">
        <v>92</v>
      </c>
      <c r="C5">
        <v>83</v>
      </c>
      <c r="D5">
        <v>86</v>
      </c>
      <c r="E5">
        <f t="shared" si="0"/>
        <v>261</v>
      </c>
      <c r="F5">
        <f t="shared" si="1"/>
        <v>1</v>
      </c>
      <c r="G5" t="str">
        <f t="shared" si="2"/>
        <v>有资格</v>
      </c>
    </row>
    <row r="6" ht="15.75" spans="1:7">
      <c r="A6" s="8" t="s">
        <v>32</v>
      </c>
      <c r="B6">
        <v>67</v>
      </c>
      <c r="C6">
        <v>86</v>
      </c>
      <c r="D6">
        <v>45</v>
      </c>
      <c r="E6">
        <f t="shared" si="0"/>
        <v>198</v>
      </c>
      <c r="F6">
        <f t="shared" si="1"/>
        <v>9</v>
      </c>
      <c r="G6" t="str">
        <f t="shared" si="2"/>
        <v>无资格</v>
      </c>
    </row>
    <row r="7" ht="15.75" spans="1:7">
      <c r="A7" s="8" t="s">
        <v>33</v>
      </c>
      <c r="B7">
        <v>87</v>
      </c>
      <c r="C7">
        <v>90</v>
      </c>
      <c r="D7">
        <v>71</v>
      </c>
      <c r="E7">
        <f t="shared" si="0"/>
        <v>248</v>
      </c>
      <c r="F7">
        <f t="shared" si="1"/>
        <v>3</v>
      </c>
      <c r="G7" t="str">
        <f t="shared" si="2"/>
        <v>有资格</v>
      </c>
    </row>
    <row r="8" ht="15.75" spans="1:7">
      <c r="A8" s="8" t="s">
        <v>34</v>
      </c>
      <c r="B8">
        <v>71</v>
      </c>
      <c r="C8">
        <v>84</v>
      </c>
      <c r="D8">
        <v>95</v>
      </c>
      <c r="E8">
        <f t="shared" si="0"/>
        <v>250</v>
      </c>
      <c r="F8">
        <f t="shared" si="1"/>
        <v>2</v>
      </c>
      <c r="G8" t="str">
        <f t="shared" si="2"/>
        <v>无资格</v>
      </c>
    </row>
    <row r="9" ht="15.75" spans="1:7">
      <c r="A9" s="8" t="s">
        <v>35</v>
      </c>
      <c r="B9">
        <v>70</v>
      </c>
      <c r="C9">
        <v>78</v>
      </c>
      <c r="D9">
        <v>83</v>
      </c>
      <c r="E9">
        <f t="shared" si="0"/>
        <v>231</v>
      </c>
      <c r="F9">
        <f t="shared" si="1"/>
        <v>5</v>
      </c>
      <c r="G9" t="str">
        <f t="shared" si="2"/>
        <v>无资格</v>
      </c>
    </row>
    <row r="10" ht="15.75" spans="1:7">
      <c r="A10" s="8" t="s">
        <v>36</v>
      </c>
      <c r="B10">
        <v>79</v>
      </c>
      <c r="C10">
        <v>67</v>
      </c>
      <c r="D10">
        <v>80</v>
      </c>
      <c r="E10">
        <f t="shared" si="0"/>
        <v>226</v>
      </c>
      <c r="F10">
        <f t="shared" si="1"/>
        <v>6</v>
      </c>
      <c r="G10" t="str">
        <f t="shared" si="2"/>
        <v>有资格</v>
      </c>
    </row>
    <row r="11" ht="15.75" spans="1:7">
      <c r="A11" s="8" t="s">
        <v>37</v>
      </c>
      <c r="B11">
        <v>84</v>
      </c>
      <c r="C11">
        <v>50</v>
      </c>
      <c r="D11">
        <v>69</v>
      </c>
      <c r="E11">
        <f t="shared" si="0"/>
        <v>203</v>
      </c>
      <c r="F11">
        <f t="shared" si="1"/>
        <v>8</v>
      </c>
      <c r="G11" t="str">
        <f t="shared" si="2"/>
        <v>有资格</v>
      </c>
    </row>
    <row r="12" ht="15.75" spans="1:7">
      <c r="A12" s="8" t="s">
        <v>38</v>
      </c>
      <c r="B12">
        <v>55</v>
      </c>
      <c r="C12">
        <v>72</v>
      </c>
      <c r="D12">
        <v>69</v>
      </c>
      <c r="E12">
        <f t="shared" si="0"/>
        <v>196</v>
      </c>
      <c r="F12">
        <f t="shared" si="1"/>
        <v>10</v>
      </c>
      <c r="G12" t="str">
        <f t="shared" si="2"/>
        <v>无资格</v>
      </c>
    </row>
    <row r="13" spans="1:1">
      <c r="A13" s="12"/>
    </row>
    <row r="14" spans="1:1">
      <c r="A14" s="12"/>
    </row>
  </sheetData>
  <mergeCells count="1">
    <mergeCell ref="A1:G1"/>
  </mergeCells>
  <conditionalFormatting sqref="B3:D12">
    <cfRule type="cellIs" dxfId="0" priority="2" operator="lessThan">
      <formula>60</formula>
    </cfRule>
    <cfRule type="cellIs" dxfId="1" priority="1" operator="greaterThan">
      <formula>90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18"/>
  <sheetViews>
    <sheetView zoomScale="70" zoomScaleNormal="70" workbookViewId="0">
      <selection activeCell="H20" sqref="H20"/>
    </sheetView>
  </sheetViews>
  <sheetFormatPr defaultColWidth="9" defaultRowHeight="14.25"/>
  <cols>
    <col min="2" max="2" width="6.5" customWidth="1"/>
    <col min="3" max="3" width="6.25" customWidth="1"/>
    <col min="4" max="5" width="6.375" customWidth="1"/>
    <col min="6" max="6" width="8.375" customWidth="1"/>
    <col min="7" max="7" width="15" customWidth="1"/>
  </cols>
  <sheetData>
    <row r="1" spans="1:8">
      <c r="A1" s="7" t="s">
        <v>39</v>
      </c>
      <c r="B1" s="7"/>
      <c r="C1" s="7"/>
      <c r="D1" s="7"/>
      <c r="E1" s="7"/>
      <c r="F1" s="7"/>
      <c r="G1" s="7"/>
      <c r="H1" s="10"/>
    </row>
    <row r="2" spans="1:7">
      <c r="A2" t="s">
        <v>22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ht="15.75" spans="1:7">
      <c r="A3" s="8" t="s">
        <v>46</v>
      </c>
      <c r="B3" t="s">
        <v>47</v>
      </c>
      <c r="C3">
        <v>112</v>
      </c>
      <c r="D3">
        <v>98</v>
      </c>
      <c r="E3">
        <v>106</v>
      </c>
      <c r="F3" s="11">
        <f>AVERAGE(C3:E3)</f>
        <v>105.333333333333</v>
      </c>
      <c r="G3">
        <f>COUNTIF(B3:B12,"一组")</f>
        <v>6</v>
      </c>
    </row>
    <row r="4" ht="15.75" spans="1:7">
      <c r="A4" s="8" t="s">
        <v>48</v>
      </c>
      <c r="B4" t="s">
        <v>47</v>
      </c>
      <c r="C4">
        <v>98</v>
      </c>
      <c r="D4">
        <v>103</v>
      </c>
      <c r="E4">
        <v>109</v>
      </c>
      <c r="F4" s="11">
        <f t="shared" ref="F4:F12" si="0">AVERAGE(C4:E4)</f>
        <v>103.333333333333</v>
      </c>
      <c r="G4" s="12" t="s">
        <v>49</v>
      </c>
    </row>
    <row r="5" ht="15.75" spans="1:7">
      <c r="A5" s="8" t="s">
        <v>50</v>
      </c>
      <c r="B5" t="s">
        <v>47</v>
      </c>
      <c r="C5">
        <v>117</v>
      </c>
      <c r="D5">
        <v>99</v>
      </c>
      <c r="E5">
        <v>99</v>
      </c>
      <c r="F5" s="11">
        <f t="shared" si="0"/>
        <v>105</v>
      </c>
      <c r="G5" s="13">
        <f>COUNTIF(B3:B12,"二组")</f>
        <v>4</v>
      </c>
    </row>
    <row r="6" ht="15.75" spans="1:6">
      <c r="A6" s="8" t="s">
        <v>51</v>
      </c>
      <c r="B6" t="s">
        <v>52</v>
      </c>
      <c r="C6">
        <v>115</v>
      </c>
      <c r="D6">
        <v>112</v>
      </c>
      <c r="E6">
        <v>108</v>
      </c>
      <c r="F6" s="11">
        <f t="shared" si="0"/>
        <v>111.666666666667</v>
      </c>
    </row>
    <row r="7" ht="15.75" spans="1:6">
      <c r="A7" s="8" t="s">
        <v>53</v>
      </c>
      <c r="B7" t="s">
        <v>47</v>
      </c>
      <c r="C7">
        <v>104</v>
      </c>
      <c r="D7">
        <v>96</v>
      </c>
      <c r="E7">
        <v>90</v>
      </c>
      <c r="F7" s="11">
        <f t="shared" si="0"/>
        <v>96.6666666666667</v>
      </c>
    </row>
    <row r="8" ht="15.75" spans="1:6">
      <c r="A8" s="8" t="s">
        <v>54</v>
      </c>
      <c r="B8" t="s">
        <v>52</v>
      </c>
      <c r="C8">
        <v>101</v>
      </c>
      <c r="D8">
        <v>110</v>
      </c>
      <c r="E8">
        <v>105</v>
      </c>
      <c r="F8" s="11">
        <f t="shared" si="0"/>
        <v>105.333333333333</v>
      </c>
    </row>
    <row r="9" ht="15.75" spans="1:6">
      <c r="A9" s="8" t="s">
        <v>55</v>
      </c>
      <c r="B9" t="s">
        <v>47</v>
      </c>
      <c r="C9">
        <v>93</v>
      </c>
      <c r="D9">
        <v>109</v>
      </c>
      <c r="E9">
        <v>107</v>
      </c>
      <c r="F9" s="11">
        <f t="shared" si="0"/>
        <v>103</v>
      </c>
    </row>
    <row r="10" ht="15.75" spans="1:6">
      <c r="A10" s="8" t="s">
        <v>56</v>
      </c>
      <c r="B10" t="s">
        <v>52</v>
      </c>
      <c r="C10">
        <v>95</v>
      </c>
      <c r="D10">
        <v>102</v>
      </c>
      <c r="E10">
        <v>106</v>
      </c>
      <c r="F10" s="11">
        <f t="shared" si="0"/>
        <v>101</v>
      </c>
    </row>
    <row r="11" ht="15.75" spans="1:6">
      <c r="A11" s="8" t="s">
        <v>57</v>
      </c>
      <c r="B11" t="s">
        <v>47</v>
      </c>
      <c r="C11">
        <v>114</v>
      </c>
      <c r="D11">
        <v>103</v>
      </c>
      <c r="E11">
        <v>104</v>
      </c>
      <c r="F11" s="11">
        <f t="shared" si="0"/>
        <v>107</v>
      </c>
    </row>
    <row r="12" ht="15.75" spans="1:6">
      <c r="A12" s="8" t="s">
        <v>58</v>
      </c>
      <c r="B12" t="s">
        <v>52</v>
      </c>
      <c r="C12">
        <v>89</v>
      </c>
      <c r="D12">
        <v>106</v>
      </c>
      <c r="E12">
        <v>116</v>
      </c>
      <c r="F12" s="11">
        <f t="shared" si="0"/>
        <v>103.666666666667</v>
      </c>
    </row>
    <row r="13" spans="9:9">
      <c r="I13" s="11"/>
    </row>
    <row r="14" spans="9:9">
      <c r="I14" s="11"/>
    </row>
    <row r="15" spans="9:9">
      <c r="I15" s="11"/>
    </row>
    <row r="16" spans="9:9">
      <c r="I16" s="11"/>
    </row>
    <row r="17" spans="9:9">
      <c r="I17" s="11"/>
    </row>
    <row r="18" spans="9:9">
      <c r="I18" s="11"/>
    </row>
  </sheetData>
  <mergeCells count="1">
    <mergeCell ref="A1:G1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26"/>
  <sheetViews>
    <sheetView zoomScale="70" zoomScaleNormal="70" workbookViewId="0">
      <selection activeCell="L36" sqref="L36"/>
    </sheetView>
  </sheetViews>
  <sheetFormatPr defaultColWidth="9" defaultRowHeight="14.25" outlineLevelCol="5"/>
  <cols>
    <col min="4" max="4" width="12.625"/>
    <col min="6" max="6" width="12.625"/>
  </cols>
  <sheetData>
    <row r="1" spans="1:6">
      <c r="A1" t="s">
        <v>59</v>
      </c>
      <c r="B1" t="s">
        <v>22</v>
      </c>
      <c r="C1" t="s">
        <v>60</v>
      </c>
      <c r="D1" t="s">
        <v>61</v>
      </c>
      <c r="E1" t="s">
        <v>62</v>
      </c>
      <c r="F1" t="s">
        <v>26</v>
      </c>
    </row>
    <row r="2" ht="15.75" outlineLevel="2" spans="1:6">
      <c r="A2" t="s">
        <v>63</v>
      </c>
      <c r="B2" s="23" t="s">
        <v>64</v>
      </c>
      <c r="C2" t="s">
        <v>65</v>
      </c>
      <c r="D2" s="8">
        <v>65</v>
      </c>
      <c r="E2">
        <v>19</v>
      </c>
      <c r="F2">
        <f>D2+E2</f>
        <v>84</v>
      </c>
    </row>
    <row r="3" ht="15.75" outlineLevel="2" spans="1:6">
      <c r="A3" t="s">
        <v>63</v>
      </c>
      <c r="B3" s="24" t="s">
        <v>66</v>
      </c>
      <c r="C3" t="s">
        <v>67</v>
      </c>
      <c r="D3">
        <v>60</v>
      </c>
      <c r="E3">
        <v>14</v>
      </c>
      <c r="F3">
        <f>D3+E3</f>
        <v>74</v>
      </c>
    </row>
    <row r="4" ht="15.75" outlineLevel="2" spans="1:6">
      <c r="A4" t="s">
        <v>63</v>
      </c>
      <c r="B4" s="24" t="s">
        <v>68</v>
      </c>
      <c r="C4" t="s">
        <v>69</v>
      </c>
      <c r="D4">
        <v>85</v>
      </c>
      <c r="E4">
        <v>20</v>
      </c>
      <c r="F4">
        <f>D4+E4</f>
        <v>105</v>
      </c>
    </row>
    <row r="5" ht="15.75" outlineLevel="2" spans="1:6">
      <c r="A5" t="s">
        <v>63</v>
      </c>
      <c r="B5" s="24" t="s">
        <v>70</v>
      </c>
      <c r="C5" t="s">
        <v>71</v>
      </c>
      <c r="D5">
        <v>66</v>
      </c>
      <c r="E5">
        <v>16</v>
      </c>
      <c r="F5">
        <f>D5+E5</f>
        <v>82</v>
      </c>
    </row>
    <row r="6" ht="15.75" outlineLevel="2" spans="1:6">
      <c r="A6" t="s">
        <v>63</v>
      </c>
      <c r="B6" s="24" t="s">
        <v>72</v>
      </c>
      <c r="C6" t="s">
        <v>73</v>
      </c>
      <c r="D6">
        <v>93</v>
      </c>
      <c r="E6">
        <v>19</v>
      </c>
      <c r="F6">
        <f>D6+E6</f>
        <v>112</v>
      </c>
    </row>
    <row r="7" ht="15.75" outlineLevel="1" spans="1:4">
      <c r="A7" s="9" t="s">
        <v>74</v>
      </c>
      <c r="B7" s="8"/>
      <c r="D7">
        <f>SUBTOTAL(1,D2:D6)</f>
        <v>73.8</v>
      </c>
    </row>
    <row r="8" outlineLevel="2" spans="1:6">
      <c r="A8" t="s">
        <v>75</v>
      </c>
      <c r="B8" s="23" t="s">
        <v>76</v>
      </c>
      <c r="C8" t="s">
        <v>77</v>
      </c>
      <c r="D8">
        <f>74</f>
        <v>74</v>
      </c>
      <c r="E8">
        <v>16</v>
      </c>
      <c r="F8">
        <f>D8+E8</f>
        <v>90</v>
      </c>
    </row>
    <row r="9" ht="15.75" outlineLevel="2" spans="1:6">
      <c r="A9" t="s">
        <v>75</v>
      </c>
      <c r="B9" s="24" t="s">
        <v>78</v>
      </c>
      <c r="C9" t="s">
        <v>79</v>
      </c>
      <c r="D9">
        <v>91</v>
      </c>
      <c r="E9">
        <v>15</v>
      </c>
      <c r="F9">
        <f>D9+E9</f>
        <v>106</v>
      </c>
    </row>
    <row r="10" ht="15.75" outlineLevel="2" spans="1:6">
      <c r="A10" t="s">
        <v>75</v>
      </c>
      <c r="B10" s="24" t="s">
        <v>80</v>
      </c>
      <c r="C10" t="s">
        <v>81</v>
      </c>
      <c r="D10">
        <v>78</v>
      </c>
      <c r="E10">
        <v>17</v>
      </c>
      <c r="F10">
        <f>D10+E10</f>
        <v>95</v>
      </c>
    </row>
    <row r="11" ht="15.75" outlineLevel="2" spans="1:6">
      <c r="A11" t="s">
        <v>75</v>
      </c>
      <c r="B11" s="24" t="s">
        <v>82</v>
      </c>
      <c r="C11" t="s">
        <v>83</v>
      </c>
      <c r="D11">
        <v>62</v>
      </c>
      <c r="E11">
        <v>17</v>
      </c>
      <c r="F11">
        <f>D11+E11</f>
        <v>79</v>
      </c>
    </row>
    <row r="12" ht="15.75" outlineLevel="1" spans="1:4">
      <c r="A12" s="9" t="s">
        <v>84</v>
      </c>
      <c r="B12" s="8"/>
      <c r="D12">
        <f>SUBTOTAL(1,D8:D11)</f>
        <v>76.25</v>
      </c>
    </row>
    <row r="13" ht="15.75" outlineLevel="2" spans="1:6">
      <c r="A13" t="s">
        <v>41</v>
      </c>
      <c r="B13" s="24" t="s">
        <v>85</v>
      </c>
      <c r="C13" t="s">
        <v>86</v>
      </c>
      <c r="D13">
        <v>77</v>
      </c>
      <c r="E13">
        <v>14</v>
      </c>
      <c r="F13">
        <f>D13+E13</f>
        <v>91</v>
      </c>
    </row>
    <row r="14" ht="15.75" outlineLevel="2" spans="1:6">
      <c r="A14" t="s">
        <v>41</v>
      </c>
      <c r="B14" s="24" t="s">
        <v>87</v>
      </c>
      <c r="C14" t="s">
        <v>88</v>
      </c>
      <c r="D14">
        <v>89</v>
      </c>
      <c r="E14">
        <v>15</v>
      </c>
      <c r="F14">
        <f>D14+E14</f>
        <v>104</v>
      </c>
    </row>
    <row r="15" ht="15.75" outlineLevel="2" spans="1:6">
      <c r="A15" t="s">
        <v>41</v>
      </c>
      <c r="B15" s="24" t="s">
        <v>89</v>
      </c>
      <c r="C15" t="s">
        <v>90</v>
      </c>
      <c r="D15">
        <v>78</v>
      </c>
      <c r="E15">
        <v>15</v>
      </c>
      <c r="F15">
        <f>D15+E15</f>
        <v>93</v>
      </c>
    </row>
    <row r="16" ht="15.75" outlineLevel="2" spans="1:6">
      <c r="A16" t="s">
        <v>41</v>
      </c>
      <c r="B16" s="24" t="s">
        <v>91</v>
      </c>
      <c r="C16" t="s">
        <v>92</v>
      </c>
      <c r="D16">
        <v>68</v>
      </c>
      <c r="E16">
        <v>20</v>
      </c>
      <c r="F16">
        <f>D16+E16</f>
        <v>88</v>
      </c>
    </row>
    <row r="17" ht="15.75" outlineLevel="1" spans="1:4">
      <c r="A17" s="9" t="s">
        <v>93</v>
      </c>
      <c r="B17" s="8"/>
      <c r="D17">
        <f>SUBTOTAL(1,D13:D16)</f>
        <v>78</v>
      </c>
    </row>
    <row r="18" outlineLevel="2" spans="1:6">
      <c r="A18" t="s">
        <v>94</v>
      </c>
      <c r="B18" s="23" t="s">
        <v>95</v>
      </c>
      <c r="C18" t="s">
        <v>96</v>
      </c>
      <c r="D18">
        <v>86</v>
      </c>
      <c r="E18">
        <v>17</v>
      </c>
      <c r="F18">
        <f>D18+E18</f>
        <v>103</v>
      </c>
    </row>
    <row r="19" outlineLevel="2" spans="1:6">
      <c r="A19" t="s">
        <v>94</v>
      </c>
      <c r="B19" s="23" t="s">
        <v>97</v>
      </c>
      <c r="C19" t="s">
        <v>98</v>
      </c>
      <c r="D19">
        <v>69</v>
      </c>
      <c r="E19">
        <v>12</v>
      </c>
      <c r="F19">
        <f>D19+E19</f>
        <v>81</v>
      </c>
    </row>
    <row r="20" ht="15.75" outlineLevel="2" spans="1:6">
      <c r="A20" t="s">
        <v>94</v>
      </c>
      <c r="B20" s="24" t="s">
        <v>99</v>
      </c>
      <c r="C20" t="s">
        <v>100</v>
      </c>
      <c r="D20">
        <v>80</v>
      </c>
      <c r="E20">
        <v>18</v>
      </c>
      <c r="F20">
        <f>D20+E20</f>
        <v>98</v>
      </c>
    </row>
    <row r="21" ht="15.75" outlineLevel="1" spans="1:4">
      <c r="A21" s="9" t="s">
        <v>101</v>
      </c>
      <c r="B21" s="8"/>
      <c r="D21">
        <f>SUBTOTAL(1,D18:D20)</f>
        <v>78.3333333333333</v>
      </c>
    </row>
    <row r="22" outlineLevel="2" spans="1:6">
      <c r="A22" t="s">
        <v>102</v>
      </c>
      <c r="B22" s="23" t="s">
        <v>103</v>
      </c>
      <c r="C22" t="s">
        <v>104</v>
      </c>
      <c r="D22">
        <v>87</v>
      </c>
      <c r="E22">
        <v>17</v>
      </c>
      <c r="F22">
        <f>D22+E22</f>
        <v>104</v>
      </c>
    </row>
    <row r="23" ht="15.75" outlineLevel="2" spans="1:6">
      <c r="A23" t="s">
        <v>102</v>
      </c>
      <c r="B23" s="24" t="s">
        <v>105</v>
      </c>
      <c r="C23" t="s">
        <v>106</v>
      </c>
      <c r="D23">
        <v>73</v>
      </c>
      <c r="E23">
        <v>18</v>
      </c>
      <c r="F23">
        <f>D23+E23</f>
        <v>91</v>
      </c>
    </row>
    <row r="24" ht="15.75" outlineLevel="2" spans="1:6">
      <c r="A24" t="s">
        <v>102</v>
      </c>
      <c r="B24" s="24" t="s">
        <v>107</v>
      </c>
      <c r="C24" t="s">
        <v>108</v>
      </c>
      <c r="D24">
        <v>90</v>
      </c>
      <c r="E24">
        <v>19</v>
      </c>
      <c r="F24">
        <f>D24+E24</f>
        <v>109</v>
      </c>
    </row>
    <row r="25" ht="15.75" outlineLevel="1" spans="1:4">
      <c r="A25" s="9" t="s">
        <v>109</v>
      </c>
      <c r="B25" s="8"/>
      <c r="D25">
        <f>SUBTOTAL(1,D22:D24)</f>
        <v>83.3333333333333</v>
      </c>
    </row>
    <row r="26" ht="15.75" spans="1:4">
      <c r="A26" s="9" t="s">
        <v>110</v>
      </c>
      <c r="B26" s="8"/>
      <c r="D26">
        <f>SUBTOTAL(1,D2:D24)</f>
        <v>77.4210526315789</v>
      </c>
    </row>
  </sheetData>
  <sortState ref="A2:F20">
    <sortCondition ref="A2:A20" descending="1"/>
  </sortState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/>
  </sheetPr>
  <dimension ref="A1:L44"/>
  <sheetViews>
    <sheetView zoomScale="70" zoomScaleNormal="70" workbookViewId="0">
      <selection activeCell="Q25" sqref="Q25"/>
    </sheetView>
  </sheetViews>
  <sheetFormatPr defaultColWidth="9" defaultRowHeight="14.25"/>
  <cols>
    <col min="2" max="2" width="10" customWidth="1"/>
    <col min="3" max="3" width="5.5" customWidth="1"/>
    <col min="4" max="4" width="9.5" customWidth="1"/>
    <col min="5" max="5" width="11.375" customWidth="1"/>
    <col min="6" max="6" width="11.5" customWidth="1"/>
    <col min="8" max="8" width="18.375"/>
    <col min="9" max="11" width="11.375"/>
    <col min="12" max="12" width="8.025" customWidth="1"/>
  </cols>
  <sheetData>
    <row r="1" spans="1:5">
      <c r="A1" s="7" t="s">
        <v>111</v>
      </c>
      <c r="B1" s="7"/>
      <c r="C1" s="7"/>
      <c r="D1" s="7"/>
      <c r="E1" s="7"/>
    </row>
    <row r="2" spans="1:9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H2" t="s">
        <v>118</v>
      </c>
      <c r="I2" t="s">
        <v>113</v>
      </c>
    </row>
    <row r="3" ht="15.75" spans="1:12">
      <c r="A3" t="s">
        <v>119</v>
      </c>
      <c r="B3" t="s">
        <v>120</v>
      </c>
      <c r="C3">
        <v>3</v>
      </c>
      <c r="D3">
        <v>124</v>
      </c>
      <c r="E3">
        <v>8680</v>
      </c>
      <c r="F3">
        <f t="shared" ref="F3:F44" si="0">RANK(D3,$D$3:$D$44)</f>
        <v>42</v>
      </c>
      <c r="H3" t="s">
        <v>112</v>
      </c>
      <c r="I3" t="s">
        <v>120</v>
      </c>
      <c r="J3" t="s">
        <v>121</v>
      </c>
      <c r="K3" t="s">
        <v>122</v>
      </c>
      <c r="L3" t="s">
        <v>123</v>
      </c>
    </row>
    <row r="4" ht="15.75" spans="1:12">
      <c r="A4" t="s">
        <v>119</v>
      </c>
      <c r="B4" t="s">
        <v>121</v>
      </c>
      <c r="C4">
        <v>2</v>
      </c>
      <c r="D4">
        <v>321</v>
      </c>
      <c r="E4">
        <v>9630</v>
      </c>
      <c r="F4">
        <f t="shared" si="0"/>
        <v>20</v>
      </c>
      <c r="H4" t="s">
        <v>124</v>
      </c>
      <c r="I4">
        <v>1596</v>
      </c>
      <c r="J4">
        <v>2126</v>
      </c>
      <c r="K4">
        <v>1615</v>
      </c>
      <c r="L4">
        <v>5337</v>
      </c>
    </row>
    <row r="5" ht="15.75" spans="1:12">
      <c r="A5" t="s">
        <v>125</v>
      </c>
      <c r="B5" t="s">
        <v>122</v>
      </c>
      <c r="C5">
        <v>2</v>
      </c>
      <c r="D5">
        <v>435</v>
      </c>
      <c r="E5">
        <v>21750</v>
      </c>
      <c r="F5">
        <f t="shared" si="0"/>
        <v>5</v>
      </c>
      <c r="H5" t="s">
        <v>126</v>
      </c>
      <c r="I5">
        <v>1290</v>
      </c>
      <c r="J5">
        <v>1497</v>
      </c>
      <c r="K5">
        <v>993</v>
      </c>
      <c r="L5">
        <v>3780</v>
      </c>
    </row>
    <row r="6" ht="15.75" spans="1:12">
      <c r="A6" t="s">
        <v>127</v>
      </c>
      <c r="B6" t="s">
        <v>120</v>
      </c>
      <c r="C6">
        <v>2</v>
      </c>
      <c r="D6">
        <v>256</v>
      </c>
      <c r="E6">
        <v>17920</v>
      </c>
      <c r="F6">
        <f t="shared" si="0"/>
        <v>26</v>
      </c>
      <c r="H6" t="s">
        <v>128</v>
      </c>
      <c r="I6">
        <v>1540</v>
      </c>
      <c r="J6">
        <v>1492</v>
      </c>
      <c r="K6">
        <v>1232</v>
      </c>
      <c r="L6">
        <v>4264</v>
      </c>
    </row>
    <row r="7" ht="15.75" spans="1:12">
      <c r="A7" t="s">
        <v>127</v>
      </c>
      <c r="B7" t="s">
        <v>122</v>
      </c>
      <c r="C7">
        <v>1</v>
      </c>
      <c r="D7">
        <v>167</v>
      </c>
      <c r="E7">
        <v>8350</v>
      </c>
      <c r="F7">
        <f t="shared" si="0"/>
        <v>40</v>
      </c>
      <c r="H7" t="s">
        <v>123</v>
      </c>
      <c r="I7">
        <v>4426</v>
      </c>
      <c r="J7">
        <v>5115</v>
      </c>
      <c r="K7">
        <v>3840</v>
      </c>
      <c r="L7">
        <v>13381</v>
      </c>
    </row>
    <row r="8" ht="15.75" spans="1:6">
      <c r="A8" t="s">
        <v>119</v>
      </c>
      <c r="B8" t="s">
        <v>120</v>
      </c>
      <c r="C8">
        <v>4</v>
      </c>
      <c r="D8">
        <v>157</v>
      </c>
      <c r="E8">
        <v>10990</v>
      </c>
      <c r="F8">
        <f t="shared" si="0"/>
        <v>41</v>
      </c>
    </row>
    <row r="9" ht="15.75" spans="1:6">
      <c r="A9" t="s">
        <v>125</v>
      </c>
      <c r="B9" t="s">
        <v>120</v>
      </c>
      <c r="C9">
        <v>4</v>
      </c>
      <c r="D9">
        <v>187</v>
      </c>
      <c r="E9">
        <v>13090</v>
      </c>
      <c r="F9">
        <f t="shared" si="0"/>
        <v>38</v>
      </c>
    </row>
    <row r="10" ht="15.75" spans="1:6">
      <c r="A10" t="s">
        <v>119</v>
      </c>
      <c r="B10" t="s">
        <v>122</v>
      </c>
      <c r="C10">
        <v>4</v>
      </c>
      <c r="D10">
        <v>213</v>
      </c>
      <c r="E10">
        <v>10650</v>
      </c>
      <c r="F10">
        <f t="shared" si="0"/>
        <v>32</v>
      </c>
    </row>
    <row r="11" ht="15.75" spans="1:6">
      <c r="A11" t="s">
        <v>127</v>
      </c>
      <c r="B11" t="s">
        <v>120</v>
      </c>
      <c r="C11">
        <v>4</v>
      </c>
      <c r="D11">
        <v>196</v>
      </c>
      <c r="E11">
        <v>13720</v>
      </c>
      <c r="F11">
        <f t="shared" si="0"/>
        <v>36</v>
      </c>
    </row>
    <row r="12" ht="15.75" spans="1:6">
      <c r="A12" t="s">
        <v>127</v>
      </c>
      <c r="B12" t="s">
        <v>122</v>
      </c>
      <c r="C12">
        <v>4</v>
      </c>
      <c r="D12">
        <v>219</v>
      </c>
      <c r="E12">
        <v>10950</v>
      </c>
      <c r="F12">
        <f t="shared" si="0"/>
        <v>30</v>
      </c>
    </row>
    <row r="13" ht="15.75" spans="1:6">
      <c r="A13" t="s">
        <v>127</v>
      </c>
      <c r="B13" t="s">
        <v>120</v>
      </c>
      <c r="C13">
        <v>3</v>
      </c>
      <c r="D13">
        <v>234</v>
      </c>
      <c r="E13">
        <v>16380</v>
      </c>
      <c r="F13">
        <f t="shared" si="0"/>
        <v>28</v>
      </c>
    </row>
    <row r="14" ht="15.75" spans="1:6">
      <c r="A14" t="s">
        <v>127</v>
      </c>
      <c r="B14" t="s">
        <v>120</v>
      </c>
      <c r="C14">
        <v>1</v>
      </c>
      <c r="D14">
        <v>206</v>
      </c>
      <c r="E14">
        <v>14420</v>
      </c>
      <c r="F14">
        <f t="shared" si="0"/>
        <v>35</v>
      </c>
    </row>
    <row r="15" ht="15.75" spans="1:6">
      <c r="A15" t="s">
        <v>127</v>
      </c>
      <c r="B15" t="s">
        <v>122</v>
      </c>
      <c r="C15">
        <v>2</v>
      </c>
      <c r="D15">
        <v>211</v>
      </c>
      <c r="E15">
        <v>10550</v>
      </c>
      <c r="F15">
        <f t="shared" si="0"/>
        <v>34</v>
      </c>
    </row>
    <row r="16" ht="15.75" spans="1:6">
      <c r="A16" t="s">
        <v>119</v>
      </c>
      <c r="B16" t="s">
        <v>122</v>
      </c>
      <c r="C16">
        <v>3</v>
      </c>
      <c r="D16">
        <v>189</v>
      </c>
      <c r="E16">
        <v>9450</v>
      </c>
      <c r="F16">
        <f t="shared" si="0"/>
        <v>37</v>
      </c>
    </row>
    <row r="17" ht="15.75" spans="1:6">
      <c r="A17" t="s">
        <v>127</v>
      </c>
      <c r="B17" t="s">
        <v>121</v>
      </c>
      <c r="C17">
        <v>1</v>
      </c>
      <c r="D17">
        <v>221</v>
      </c>
      <c r="E17">
        <v>6630</v>
      </c>
      <c r="F17">
        <f t="shared" si="0"/>
        <v>29</v>
      </c>
    </row>
    <row r="18" ht="15.75" spans="1:6">
      <c r="A18" t="s">
        <v>119</v>
      </c>
      <c r="B18" t="s">
        <v>121</v>
      </c>
      <c r="C18">
        <v>4</v>
      </c>
      <c r="D18">
        <v>432</v>
      </c>
      <c r="E18">
        <v>12960</v>
      </c>
      <c r="F18">
        <f t="shared" si="0"/>
        <v>7</v>
      </c>
    </row>
    <row r="19" ht="15.75" spans="1:6">
      <c r="A19" t="s">
        <v>125</v>
      </c>
      <c r="B19" t="s">
        <v>120</v>
      </c>
      <c r="C19">
        <v>3</v>
      </c>
      <c r="D19">
        <v>323</v>
      </c>
      <c r="E19">
        <v>22610</v>
      </c>
      <c r="F19">
        <f t="shared" si="0"/>
        <v>19</v>
      </c>
    </row>
    <row r="20" ht="15.75" spans="1:6">
      <c r="A20" t="s">
        <v>125</v>
      </c>
      <c r="B20" t="s">
        <v>122</v>
      </c>
      <c r="C20">
        <v>3</v>
      </c>
      <c r="D20">
        <v>324</v>
      </c>
      <c r="E20">
        <v>16200</v>
      </c>
      <c r="F20">
        <f t="shared" si="0"/>
        <v>17</v>
      </c>
    </row>
    <row r="21" ht="15.75" spans="1:6">
      <c r="A21" t="s">
        <v>125</v>
      </c>
      <c r="B21" t="s">
        <v>121</v>
      </c>
      <c r="C21">
        <v>4</v>
      </c>
      <c r="D21">
        <v>342</v>
      </c>
      <c r="E21">
        <v>10260</v>
      </c>
      <c r="F21">
        <f t="shared" si="0"/>
        <v>15</v>
      </c>
    </row>
    <row r="22" ht="15.75" spans="1:6">
      <c r="A22" t="s">
        <v>119</v>
      </c>
      <c r="B22" t="s">
        <v>122</v>
      </c>
      <c r="C22">
        <v>2</v>
      </c>
      <c r="D22">
        <v>242</v>
      </c>
      <c r="E22">
        <v>7260</v>
      </c>
      <c r="F22">
        <f t="shared" si="0"/>
        <v>27</v>
      </c>
    </row>
    <row r="23" ht="15.75" spans="1:6">
      <c r="A23" t="s">
        <v>119</v>
      </c>
      <c r="B23" t="s">
        <v>122</v>
      </c>
      <c r="C23">
        <v>3</v>
      </c>
      <c r="D23">
        <v>287</v>
      </c>
      <c r="E23">
        <v>14350</v>
      </c>
      <c r="F23">
        <f t="shared" si="0"/>
        <v>24</v>
      </c>
    </row>
    <row r="24" ht="15.75" spans="1:6">
      <c r="A24" t="s">
        <v>125</v>
      </c>
      <c r="B24" t="s">
        <v>122</v>
      </c>
      <c r="C24">
        <v>4</v>
      </c>
      <c r="D24">
        <v>287</v>
      </c>
      <c r="E24">
        <v>14350</v>
      </c>
      <c r="F24">
        <f t="shared" si="0"/>
        <v>24</v>
      </c>
    </row>
    <row r="25" ht="15.75" spans="1:6">
      <c r="A25" t="s">
        <v>127</v>
      </c>
      <c r="B25" t="s">
        <v>122</v>
      </c>
      <c r="C25">
        <v>3</v>
      </c>
      <c r="D25">
        <v>218</v>
      </c>
      <c r="E25">
        <v>10900</v>
      </c>
      <c r="F25">
        <f t="shared" si="0"/>
        <v>31</v>
      </c>
    </row>
    <row r="26" ht="15.75" spans="1:6">
      <c r="A26" t="s">
        <v>119</v>
      </c>
      <c r="B26" t="s">
        <v>122</v>
      </c>
      <c r="C26">
        <v>1</v>
      </c>
      <c r="D26">
        <v>301</v>
      </c>
      <c r="E26">
        <v>15050</v>
      </c>
      <c r="F26">
        <f t="shared" si="0"/>
        <v>23</v>
      </c>
    </row>
    <row r="27" ht="15.75" spans="1:6">
      <c r="A27" t="s">
        <v>119</v>
      </c>
      <c r="B27" t="s">
        <v>121</v>
      </c>
      <c r="C27">
        <v>1</v>
      </c>
      <c r="D27">
        <v>306</v>
      </c>
      <c r="E27">
        <v>9180</v>
      </c>
      <c r="F27">
        <f t="shared" si="0"/>
        <v>22</v>
      </c>
    </row>
    <row r="28" ht="15.75" spans="1:6">
      <c r="A28" t="s">
        <v>119</v>
      </c>
      <c r="B28" t="s">
        <v>120</v>
      </c>
      <c r="C28">
        <v>2</v>
      </c>
      <c r="D28">
        <v>345</v>
      </c>
      <c r="E28">
        <v>24150</v>
      </c>
      <c r="F28">
        <f t="shared" si="0"/>
        <v>13</v>
      </c>
    </row>
    <row r="29" ht="15.75" spans="1:6">
      <c r="A29" t="s">
        <v>127</v>
      </c>
      <c r="B29" t="s">
        <v>121</v>
      </c>
      <c r="C29">
        <v>2</v>
      </c>
      <c r="D29">
        <v>312</v>
      </c>
      <c r="E29">
        <v>9360</v>
      </c>
      <c r="F29">
        <f t="shared" si="0"/>
        <v>21</v>
      </c>
    </row>
    <row r="30" ht="15.75" spans="1:6">
      <c r="A30" t="s">
        <v>119</v>
      </c>
      <c r="B30" t="s">
        <v>120</v>
      </c>
      <c r="C30">
        <v>1</v>
      </c>
      <c r="D30">
        <v>212</v>
      </c>
      <c r="E30">
        <v>14840</v>
      </c>
      <c r="F30">
        <f t="shared" si="0"/>
        <v>33</v>
      </c>
    </row>
    <row r="31" ht="15.75" spans="1:6">
      <c r="A31" t="s">
        <v>125</v>
      </c>
      <c r="B31" t="s">
        <v>120</v>
      </c>
      <c r="C31">
        <v>1</v>
      </c>
      <c r="D31">
        <v>345</v>
      </c>
      <c r="E31">
        <v>24150</v>
      </c>
      <c r="F31">
        <f t="shared" si="0"/>
        <v>13</v>
      </c>
    </row>
    <row r="32" ht="15.75" spans="1:6">
      <c r="A32" t="s">
        <v>125</v>
      </c>
      <c r="B32" t="s">
        <v>121</v>
      </c>
      <c r="C32">
        <v>3</v>
      </c>
      <c r="D32">
        <v>365</v>
      </c>
      <c r="E32">
        <v>10950</v>
      </c>
      <c r="F32">
        <f t="shared" si="0"/>
        <v>12</v>
      </c>
    </row>
    <row r="33" ht="15.75" spans="1:6">
      <c r="A33" t="s">
        <v>125</v>
      </c>
      <c r="B33" t="s">
        <v>120</v>
      </c>
      <c r="C33">
        <v>2</v>
      </c>
      <c r="D33">
        <v>412</v>
      </c>
      <c r="E33">
        <v>28840</v>
      </c>
      <c r="F33">
        <f t="shared" si="0"/>
        <v>9</v>
      </c>
    </row>
    <row r="34" ht="15.75" spans="1:6">
      <c r="A34" t="s">
        <v>127</v>
      </c>
      <c r="B34" t="s">
        <v>121</v>
      </c>
      <c r="C34">
        <v>4</v>
      </c>
      <c r="D34">
        <v>421</v>
      </c>
      <c r="E34">
        <v>12630</v>
      </c>
      <c r="F34">
        <f t="shared" si="0"/>
        <v>8</v>
      </c>
    </row>
    <row r="35" ht="15.75" spans="1:6">
      <c r="A35" t="s">
        <v>127</v>
      </c>
      <c r="B35" t="s">
        <v>121</v>
      </c>
      <c r="C35">
        <v>3</v>
      </c>
      <c r="D35">
        <v>543</v>
      </c>
      <c r="E35">
        <v>16290</v>
      </c>
      <c r="F35">
        <f t="shared" si="0"/>
        <v>4</v>
      </c>
    </row>
    <row r="36" ht="15.75" spans="1:6">
      <c r="A36" t="s">
        <v>125</v>
      </c>
      <c r="B36" t="s">
        <v>122</v>
      </c>
      <c r="C36">
        <v>1</v>
      </c>
      <c r="D36">
        <v>569</v>
      </c>
      <c r="E36">
        <v>28450</v>
      </c>
      <c r="F36">
        <f t="shared" si="0"/>
        <v>3</v>
      </c>
    </row>
    <row r="37" ht="15.75" spans="1:6">
      <c r="A37" t="s">
        <v>125</v>
      </c>
      <c r="B37" t="s">
        <v>121</v>
      </c>
      <c r="C37">
        <v>2</v>
      </c>
      <c r="D37">
        <v>654</v>
      </c>
      <c r="E37">
        <v>19620</v>
      </c>
      <c r="F37">
        <f t="shared" si="0"/>
        <v>2</v>
      </c>
    </row>
    <row r="38" ht="15.75" spans="1:6">
      <c r="A38" t="s">
        <v>125</v>
      </c>
      <c r="B38" t="s">
        <v>121</v>
      </c>
      <c r="C38">
        <v>1</v>
      </c>
      <c r="D38">
        <v>765</v>
      </c>
      <c r="E38">
        <v>22950</v>
      </c>
      <c r="F38">
        <f t="shared" si="0"/>
        <v>1</v>
      </c>
    </row>
    <row r="39" ht="15.75" spans="1:6">
      <c r="A39" t="s">
        <v>119</v>
      </c>
      <c r="B39" t="s">
        <v>120</v>
      </c>
      <c r="C39">
        <v>3</v>
      </c>
      <c r="D39">
        <v>378</v>
      </c>
      <c r="E39">
        <v>26460</v>
      </c>
      <c r="F39">
        <f t="shared" si="0"/>
        <v>11</v>
      </c>
    </row>
    <row r="40" ht="15.75" spans="1:6">
      <c r="A40" t="s">
        <v>119</v>
      </c>
      <c r="B40" t="s">
        <v>121</v>
      </c>
      <c r="C40">
        <v>3</v>
      </c>
      <c r="D40">
        <v>433</v>
      </c>
      <c r="E40">
        <v>12990</v>
      </c>
      <c r="F40">
        <f t="shared" si="0"/>
        <v>6</v>
      </c>
    </row>
    <row r="41" ht="15.75" spans="1:6">
      <c r="A41" t="s">
        <v>119</v>
      </c>
      <c r="B41" t="s">
        <v>120</v>
      </c>
      <c r="C41">
        <v>4</v>
      </c>
      <c r="D41">
        <v>324</v>
      </c>
      <c r="E41">
        <v>22680</v>
      </c>
      <c r="F41">
        <f t="shared" si="0"/>
        <v>17</v>
      </c>
    </row>
    <row r="42" ht="15.75" spans="1:6">
      <c r="A42" t="s">
        <v>125</v>
      </c>
      <c r="B42" t="s">
        <v>120</v>
      </c>
      <c r="C42">
        <v>4</v>
      </c>
      <c r="D42">
        <v>329</v>
      </c>
      <c r="E42">
        <v>23030</v>
      </c>
      <c r="F42">
        <f t="shared" si="0"/>
        <v>16</v>
      </c>
    </row>
    <row r="43" ht="15.75" spans="1:6">
      <c r="A43" t="s">
        <v>127</v>
      </c>
      <c r="B43" t="s">
        <v>122</v>
      </c>
      <c r="C43">
        <v>1</v>
      </c>
      <c r="D43">
        <v>178</v>
      </c>
      <c r="E43">
        <v>8900</v>
      </c>
      <c r="F43">
        <f t="shared" si="0"/>
        <v>39</v>
      </c>
    </row>
    <row r="44" ht="15.75" spans="1:6">
      <c r="A44" t="s">
        <v>127</v>
      </c>
      <c r="B44" t="s">
        <v>120</v>
      </c>
      <c r="C44">
        <v>4</v>
      </c>
      <c r="D44">
        <v>398</v>
      </c>
      <c r="E44">
        <v>27860</v>
      </c>
      <c r="F44">
        <f t="shared" si="0"/>
        <v>10</v>
      </c>
    </row>
  </sheetData>
  <mergeCells count="1">
    <mergeCell ref="A1:E1"/>
  </mergeCells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38"/>
  <sheetViews>
    <sheetView zoomScale="70" zoomScaleNormal="70" workbookViewId="0">
      <selection activeCell="Q34" sqref="Q34"/>
    </sheetView>
  </sheetViews>
  <sheetFormatPr defaultColWidth="9" defaultRowHeight="14.25" outlineLevelCol="7"/>
  <cols>
    <col min="1" max="1" width="10.375" style="4" customWidth="1"/>
    <col min="2" max="2" width="6.125" style="4" customWidth="1"/>
    <col min="3" max="4" width="9" style="4"/>
    <col min="5" max="5" width="10.125" style="4" customWidth="1"/>
    <col min="6" max="6" width="6.625" style="4" customWidth="1"/>
    <col min="7" max="7" width="14.875" style="4" customWidth="1"/>
    <col min="8" max="16384" width="9" style="4"/>
  </cols>
  <sheetData>
    <row r="1" spans="1:8">
      <c r="A1" s="5" t="s">
        <v>129</v>
      </c>
      <c r="B1" s="5"/>
      <c r="C1" s="5"/>
      <c r="D1" s="5"/>
      <c r="E1" s="5"/>
      <c r="F1" s="5"/>
      <c r="G1" s="5"/>
      <c r="H1" s="5"/>
    </row>
    <row r="2" spans="1:8">
      <c r="A2" s="4" t="s">
        <v>130</v>
      </c>
      <c r="B2" s="4" t="s">
        <v>114</v>
      </c>
      <c r="C2" s="4" t="s">
        <v>131</v>
      </c>
      <c r="D2" s="4" t="s">
        <v>132</v>
      </c>
      <c r="E2" s="4" t="s">
        <v>133</v>
      </c>
      <c r="F2" s="4" t="s">
        <v>134</v>
      </c>
      <c r="G2" s="4" t="s">
        <v>135</v>
      </c>
      <c r="H2" s="4" t="s">
        <v>136</v>
      </c>
    </row>
    <row r="3" spans="1:8">
      <c r="A3" s="4" t="s">
        <v>137</v>
      </c>
      <c r="B3" s="4">
        <v>1</v>
      </c>
      <c r="C3" s="4" t="s">
        <v>138</v>
      </c>
      <c r="D3" s="4" t="s">
        <v>139</v>
      </c>
      <c r="E3" s="4">
        <v>2750</v>
      </c>
      <c r="F3" s="4">
        <v>35</v>
      </c>
      <c r="G3" s="6">
        <f t="shared" ref="G3:G38" si="0">E3*F3/10000</f>
        <v>9.625</v>
      </c>
      <c r="H3" s="4">
        <f t="shared" ref="H3:H38" si="1">RANK(G3,$G$3:$G$38)</f>
        <v>29</v>
      </c>
    </row>
    <row r="4" spans="1:8">
      <c r="A4" s="4" t="s">
        <v>137</v>
      </c>
      <c r="B4" s="4">
        <v>1</v>
      </c>
      <c r="C4" s="4" t="s">
        <v>140</v>
      </c>
      <c r="D4" s="4" t="s">
        <v>139</v>
      </c>
      <c r="E4" s="4">
        <v>3540</v>
      </c>
      <c r="F4" s="4">
        <v>12</v>
      </c>
      <c r="G4" s="6">
        <f t="shared" si="0"/>
        <v>4.248</v>
      </c>
      <c r="H4" s="4">
        <f t="shared" si="1"/>
        <v>35</v>
      </c>
    </row>
    <row r="5" spans="1:8">
      <c r="A5" s="4" t="s">
        <v>137</v>
      </c>
      <c r="B5" s="4">
        <v>1</v>
      </c>
      <c r="C5" s="4" t="s">
        <v>141</v>
      </c>
      <c r="D5" s="4" t="s">
        <v>142</v>
      </c>
      <c r="E5" s="4">
        <v>2340</v>
      </c>
      <c r="F5" s="4">
        <v>43</v>
      </c>
      <c r="G5" s="6">
        <f t="shared" si="0"/>
        <v>10.062</v>
      </c>
      <c r="H5" s="4">
        <f t="shared" si="1"/>
        <v>28</v>
      </c>
    </row>
    <row r="6" spans="1:8">
      <c r="A6" s="4" t="s">
        <v>137</v>
      </c>
      <c r="B6" s="4">
        <v>1</v>
      </c>
      <c r="C6" s="4" t="s">
        <v>143</v>
      </c>
      <c r="D6" s="4" t="s">
        <v>142</v>
      </c>
      <c r="E6" s="4">
        <v>4460</v>
      </c>
      <c r="F6" s="4">
        <v>8</v>
      </c>
      <c r="G6" s="6">
        <f t="shared" si="0"/>
        <v>3.568</v>
      </c>
      <c r="H6" s="4">
        <f t="shared" si="1"/>
        <v>36</v>
      </c>
    </row>
    <row r="7" spans="1:8">
      <c r="A7" s="4" t="s">
        <v>137</v>
      </c>
      <c r="B7" s="4">
        <v>1</v>
      </c>
      <c r="C7" s="4" t="s">
        <v>144</v>
      </c>
      <c r="D7" s="4" t="s">
        <v>145</v>
      </c>
      <c r="E7" s="4">
        <v>1380</v>
      </c>
      <c r="F7" s="4">
        <v>87</v>
      </c>
      <c r="G7" s="6">
        <f t="shared" si="0"/>
        <v>12.006</v>
      </c>
      <c r="H7" s="4">
        <f t="shared" si="1"/>
        <v>22</v>
      </c>
    </row>
    <row r="8" spans="1:8">
      <c r="A8" s="4" t="s">
        <v>137</v>
      </c>
      <c r="B8" s="4">
        <v>1</v>
      </c>
      <c r="C8" s="4" t="s">
        <v>146</v>
      </c>
      <c r="D8" s="4" t="s">
        <v>145</v>
      </c>
      <c r="E8" s="4">
        <v>3210</v>
      </c>
      <c r="F8" s="4">
        <v>56</v>
      </c>
      <c r="G8" s="6">
        <f t="shared" si="0"/>
        <v>17.976</v>
      </c>
      <c r="H8" s="4">
        <f t="shared" si="1"/>
        <v>11</v>
      </c>
    </row>
    <row r="9" spans="1:8">
      <c r="A9" s="4" t="s">
        <v>137</v>
      </c>
      <c r="B9" s="4">
        <v>2</v>
      </c>
      <c r="C9" s="4" t="s">
        <v>138</v>
      </c>
      <c r="D9" s="4" t="s">
        <v>139</v>
      </c>
      <c r="E9" s="4">
        <v>2750</v>
      </c>
      <c r="F9" s="4">
        <v>45</v>
      </c>
      <c r="G9" s="6">
        <f t="shared" si="0"/>
        <v>12.375</v>
      </c>
      <c r="H9" s="4">
        <f t="shared" si="1"/>
        <v>21</v>
      </c>
    </row>
    <row r="10" spans="1:8">
      <c r="A10" s="4" t="s">
        <v>137</v>
      </c>
      <c r="B10" s="4">
        <v>2</v>
      </c>
      <c r="C10" s="4" t="s">
        <v>140</v>
      </c>
      <c r="D10" s="4" t="s">
        <v>139</v>
      </c>
      <c r="E10" s="4">
        <v>3540</v>
      </c>
      <c r="F10" s="4">
        <v>23</v>
      </c>
      <c r="G10" s="6">
        <f t="shared" si="0"/>
        <v>8.142</v>
      </c>
      <c r="H10" s="4">
        <f t="shared" si="1"/>
        <v>32</v>
      </c>
    </row>
    <row r="11" spans="1:8">
      <c r="A11" s="4" t="s">
        <v>137</v>
      </c>
      <c r="B11" s="4">
        <v>2</v>
      </c>
      <c r="C11" s="4" t="s">
        <v>141</v>
      </c>
      <c r="D11" s="4" t="s">
        <v>142</v>
      </c>
      <c r="E11" s="4">
        <v>2340</v>
      </c>
      <c r="F11" s="4">
        <v>79</v>
      </c>
      <c r="G11" s="6">
        <f t="shared" si="0"/>
        <v>18.486</v>
      </c>
      <c r="H11" s="4">
        <f t="shared" si="1"/>
        <v>8</v>
      </c>
    </row>
    <row r="12" spans="1:8">
      <c r="A12" s="4" t="s">
        <v>137</v>
      </c>
      <c r="B12" s="4">
        <v>2</v>
      </c>
      <c r="C12" s="4" t="s">
        <v>143</v>
      </c>
      <c r="D12" s="4" t="s">
        <v>142</v>
      </c>
      <c r="E12" s="4">
        <v>4460</v>
      </c>
      <c r="F12" s="4">
        <v>68</v>
      </c>
      <c r="G12" s="6">
        <f t="shared" si="0"/>
        <v>30.328</v>
      </c>
      <c r="H12" s="4">
        <f t="shared" si="1"/>
        <v>3</v>
      </c>
    </row>
    <row r="13" spans="1:8">
      <c r="A13" s="4" t="s">
        <v>137</v>
      </c>
      <c r="B13" s="4">
        <v>2</v>
      </c>
      <c r="C13" s="4" t="s">
        <v>144</v>
      </c>
      <c r="D13" s="4" t="s">
        <v>145</v>
      </c>
      <c r="E13" s="4">
        <v>1380</v>
      </c>
      <c r="F13" s="4">
        <v>91</v>
      </c>
      <c r="G13" s="6">
        <f t="shared" si="0"/>
        <v>12.558</v>
      </c>
      <c r="H13" s="4">
        <f t="shared" si="1"/>
        <v>20</v>
      </c>
    </row>
    <row r="14" spans="1:8">
      <c r="A14" s="4" t="s">
        <v>137</v>
      </c>
      <c r="B14" s="4">
        <v>2</v>
      </c>
      <c r="C14" s="4" t="s">
        <v>146</v>
      </c>
      <c r="D14" s="4" t="s">
        <v>145</v>
      </c>
      <c r="E14" s="4">
        <v>3210</v>
      </c>
      <c r="F14" s="4">
        <v>34</v>
      </c>
      <c r="G14" s="6">
        <f t="shared" si="0"/>
        <v>10.914</v>
      </c>
      <c r="H14" s="4">
        <f t="shared" si="1"/>
        <v>25</v>
      </c>
    </row>
    <row r="15" spans="1:8">
      <c r="A15" s="4" t="s">
        <v>147</v>
      </c>
      <c r="B15" s="4">
        <v>1</v>
      </c>
      <c r="C15" s="4" t="s">
        <v>138</v>
      </c>
      <c r="D15" s="4" t="s">
        <v>139</v>
      </c>
      <c r="E15" s="4">
        <v>2750</v>
      </c>
      <c r="F15" s="4">
        <v>65</v>
      </c>
      <c r="G15" s="6">
        <f t="shared" si="0"/>
        <v>17.875</v>
      </c>
      <c r="H15" s="4">
        <f t="shared" si="1"/>
        <v>12</v>
      </c>
    </row>
    <row r="16" spans="1:8">
      <c r="A16" s="4" t="s">
        <v>147</v>
      </c>
      <c r="B16" s="4">
        <v>1</v>
      </c>
      <c r="C16" s="4" t="s">
        <v>140</v>
      </c>
      <c r="D16" s="4" t="s">
        <v>139</v>
      </c>
      <c r="E16" s="4">
        <v>3540</v>
      </c>
      <c r="F16" s="4">
        <v>75</v>
      </c>
      <c r="G16" s="6">
        <f t="shared" si="0"/>
        <v>26.55</v>
      </c>
      <c r="H16" s="4">
        <f t="shared" si="1"/>
        <v>4</v>
      </c>
    </row>
    <row r="17" spans="1:8">
      <c r="A17" s="4" t="s">
        <v>147</v>
      </c>
      <c r="B17" s="4">
        <v>1</v>
      </c>
      <c r="C17" s="4" t="s">
        <v>141</v>
      </c>
      <c r="D17" s="4" t="s">
        <v>142</v>
      </c>
      <c r="E17" s="4">
        <v>2340</v>
      </c>
      <c r="F17" s="4">
        <v>33</v>
      </c>
      <c r="G17" s="6">
        <f t="shared" si="0"/>
        <v>7.722</v>
      </c>
      <c r="H17" s="4">
        <f t="shared" si="1"/>
        <v>33</v>
      </c>
    </row>
    <row r="18" spans="1:8">
      <c r="A18" s="4" t="s">
        <v>147</v>
      </c>
      <c r="B18" s="4">
        <v>1</v>
      </c>
      <c r="C18" s="4" t="s">
        <v>143</v>
      </c>
      <c r="D18" s="4" t="s">
        <v>142</v>
      </c>
      <c r="E18" s="4">
        <v>4460</v>
      </c>
      <c r="F18" s="4">
        <v>24</v>
      </c>
      <c r="G18" s="6">
        <f t="shared" si="0"/>
        <v>10.704</v>
      </c>
      <c r="H18" s="4">
        <f t="shared" si="1"/>
        <v>26</v>
      </c>
    </row>
    <row r="19" spans="1:8">
      <c r="A19" s="4" t="s">
        <v>147</v>
      </c>
      <c r="B19" s="4">
        <v>1</v>
      </c>
      <c r="C19" s="4" t="s">
        <v>144</v>
      </c>
      <c r="D19" s="4" t="s">
        <v>145</v>
      </c>
      <c r="E19" s="4">
        <v>1380</v>
      </c>
      <c r="F19" s="4">
        <v>65</v>
      </c>
      <c r="G19" s="6">
        <f t="shared" si="0"/>
        <v>8.97</v>
      </c>
      <c r="H19" s="4">
        <f t="shared" si="1"/>
        <v>31</v>
      </c>
    </row>
    <row r="20" spans="1:8">
      <c r="A20" s="4" t="s">
        <v>147</v>
      </c>
      <c r="B20" s="4">
        <v>1</v>
      </c>
      <c r="C20" s="4" t="s">
        <v>146</v>
      </c>
      <c r="D20" s="4" t="s">
        <v>145</v>
      </c>
      <c r="E20" s="4">
        <v>3210</v>
      </c>
      <c r="F20" s="4">
        <v>96</v>
      </c>
      <c r="G20" s="6">
        <f t="shared" si="0"/>
        <v>30.816</v>
      </c>
      <c r="H20" s="4">
        <f t="shared" si="1"/>
        <v>2</v>
      </c>
    </row>
    <row r="21" spans="1:8">
      <c r="A21" s="4" t="s">
        <v>147</v>
      </c>
      <c r="B21" s="4">
        <v>2</v>
      </c>
      <c r="C21" s="4" t="s">
        <v>138</v>
      </c>
      <c r="D21" s="4" t="s">
        <v>139</v>
      </c>
      <c r="E21" s="4">
        <v>2750</v>
      </c>
      <c r="F21" s="4">
        <v>72</v>
      </c>
      <c r="G21" s="6">
        <f t="shared" si="0"/>
        <v>19.8</v>
      </c>
      <c r="H21" s="4">
        <f t="shared" si="1"/>
        <v>6</v>
      </c>
    </row>
    <row r="22" spans="1:8">
      <c r="A22" s="4" t="s">
        <v>147</v>
      </c>
      <c r="B22" s="4">
        <v>2</v>
      </c>
      <c r="C22" s="4" t="s">
        <v>140</v>
      </c>
      <c r="D22" s="4" t="s">
        <v>139</v>
      </c>
      <c r="E22" s="4">
        <v>3540</v>
      </c>
      <c r="F22" s="4">
        <v>36</v>
      </c>
      <c r="G22" s="6">
        <f t="shared" si="0"/>
        <v>12.744</v>
      </c>
      <c r="H22" s="4">
        <f t="shared" si="1"/>
        <v>17</v>
      </c>
    </row>
    <row r="23" spans="1:8">
      <c r="A23" s="4" t="s">
        <v>147</v>
      </c>
      <c r="B23" s="4">
        <v>2</v>
      </c>
      <c r="C23" s="4" t="s">
        <v>141</v>
      </c>
      <c r="D23" s="4" t="s">
        <v>142</v>
      </c>
      <c r="E23" s="4">
        <v>2340</v>
      </c>
      <c r="F23" s="4">
        <v>54</v>
      </c>
      <c r="G23" s="6">
        <f t="shared" si="0"/>
        <v>12.636</v>
      </c>
      <c r="H23" s="4">
        <f t="shared" si="1"/>
        <v>19</v>
      </c>
    </row>
    <row r="24" spans="1:8">
      <c r="A24" s="4" t="s">
        <v>147</v>
      </c>
      <c r="B24" s="4">
        <v>2</v>
      </c>
      <c r="C24" s="4" t="s">
        <v>143</v>
      </c>
      <c r="D24" s="4" t="s">
        <v>142</v>
      </c>
      <c r="E24" s="4">
        <v>4460</v>
      </c>
      <c r="F24" s="4">
        <v>37</v>
      </c>
      <c r="G24" s="6">
        <f t="shared" si="0"/>
        <v>16.502</v>
      </c>
      <c r="H24" s="4">
        <f t="shared" si="1"/>
        <v>13</v>
      </c>
    </row>
    <row r="25" spans="1:8">
      <c r="A25" s="4" t="s">
        <v>147</v>
      </c>
      <c r="B25" s="4">
        <v>2</v>
      </c>
      <c r="C25" s="4" t="s">
        <v>144</v>
      </c>
      <c r="D25" s="4" t="s">
        <v>145</v>
      </c>
      <c r="E25" s="4">
        <v>1380</v>
      </c>
      <c r="F25" s="4">
        <v>73</v>
      </c>
      <c r="G25" s="6">
        <f t="shared" si="0"/>
        <v>10.074</v>
      </c>
      <c r="H25" s="4">
        <f t="shared" si="1"/>
        <v>27</v>
      </c>
    </row>
    <row r="26" spans="1:8">
      <c r="A26" s="4" t="s">
        <v>147</v>
      </c>
      <c r="B26" s="4">
        <v>2</v>
      </c>
      <c r="C26" s="4" t="s">
        <v>146</v>
      </c>
      <c r="D26" s="4" t="s">
        <v>145</v>
      </c>
      <c r="E26" s="4">
        <v>3210</v>
      </c>
      <c r="F26" s="4">
        <v>43</v>
      </c>
      <c r="G26" s="6">
        <f t="shared" si="0"/>
        <v>13.803</v>
      </c>
      <c r="H26" s="4">
        <f t="shared" si="1"/>
        <v>15</v>
      </c>
    </row>
    <row r="27" spans="1:8">
      <c r="A27" s="4" t="s">
        <v>148</v>
      </c>
      <c r="B27" s="4">
        <v>1</v>
      </c>
      <c r="C27" s="4" t="s">
        <v>138</v>
      </c>
      <c r="D27" s="4" t="s">
        <v>139</v>
      </c>
      <c r="E27" s="4">
        <v>2750</v>
      </c>
      <c r="F27" s="4">
        <v>66</v>
      </c>
      <c r="G27" s="6">
        <f t="shared" si="0"/>
        <v>18.15</v>
      </c>
      <c r="H27" s="4">
        <f t="shared" si="1"/>
        <v>10</v>
      </c>
    </row>
    <row r="28" spans="1:8">
      <c r="A28" s="4" t="s">
        <v>148</v>
      </c>
      <c r="B28" s="4">
        <v>1</v>
      </c>
      <c r="C28" s="4" t="s">
        <v>140</v>
      </c>
      <c r="D28" s="4" t="s">
        <v>139</v>
      </c>
      <c r="E28" s="4">
        <v>3540</v>
      </c>
      <c r="F28" s="4">
        <v>45</v>
      </c>
      <c r="G28" s="6">
        <f t="shared" si="0"/>
        <v>15.93</v>
      </c>
      <c r="H28" s="4">
        <f t="shared" si="1"/>
        <v>14</v>
      </c>
    </row>
    <row r="29" spans="1:8">
      <c r="A29" s="4" t="s">
        <v>148</v>
      </c>
      <c r="B29" s="4">
        <v>1</v>
      </c>
      <c r="C29" s="4" t="s">
        <v>141</v>
      </c>
      <c r="D29" s="4" t="s">
        <v>142</v>
      </c>
      <c r="E29" s="4">
        <v>2340</v>
      </c>
      <c r="F29" s="4">
        <v>39</v>
      </c>
      <c r="G29" s="6">
        <f t="shared" si="0"/>
        <v>9.126</v>
      </c>
      <c r="H29" s="4">
        <f t="shared" si="1"/>
        <v>30</v>
      </c>
    </row>
    <row r="30" spans="1:8">
      <c r="A30" s="4" t="s">
        <v>148</v>
      </c>
      <c r="B30" s="4">
        <v>1</v>
      </c>
      <c r="C30" s="4" t="s">
        <v>143</v>
      </c>
      <c r="D30" s="4" t="s">
        <v>142</v>
      </c>
      <c r="E30" s="4">
        <v>4460</v>
      </c>
      <c r="F30" s="4">
        <v>76</v>
      </c>
      <c r="G30" s="6">
        <f t="shared" si="0"/>
        <v>33.896</v>
      </c>
      <c r="H30" s="4">
        <f t="shared" si="1"/>
        <v>1</v>
      </c>
    </row>
    <row r="31" spans="1:8">
      <c r="A31" s="4" t="s">
        <v>148</v>
      </c>
      <c r="B31" s="4">
        <v>1</v>
      </c>
      <c r="C31" s="4" t="s">
        <v>144</v>
      </c>
      <c r="D31" s="4" t="s">
        <v>145</v>
      </c>
      <c r="E31" s="4">
        <v>1380</v>
      </c>
      <c r="F31" s="4">
        <v>84</v>
      </c>
      <c r="G31" s="6">
        <f t="shared" si="0"/>
        <v>11.592</v>
      </c>
      <c r="H31" s="4">
        <f t="shared" si="1"/>
        <v>24</v>
      </c>
    </row>
    <row r="32" spans="1:8">
      <c r="A32" s="4" t="s">
        <v>148</v>
      </c>
      <c r="B32" s="4">
        <v>1</v>
      </c>
      <c r="C32" s="4" t="s">
        <v>146</v>
      </c>
      <c r="D32" s="4" t="s">
        <v>145</v>
      </c>
      <c r="E32" s="4">
        <v>3210</v>
      </c>
      <c r="F32" s="4">
        <v>57</v>
      </c>
      <c r="G32" s="6">
        <f t="shared" si="0"/>
        <v>18.297</v>
      </c>
      <c r="H32" s="4">
        <f t="shared" si="1"/>
        <v>9</v>
      </c>
    </row>
    <row r="33" spans="1:8">
      <c r="A33" s="4" t="s">
        <v>148</v>
      </c>
      <c r="B33" s="4">
        <v>2</v>
      </c>
      <c r="C33" s="4" t="s">
        <v>138</v>
      </c>
      <c r="D33" s="4" t="s">
        <v>139</v>
      </c>
      <c r="E33" s="4">
        <v>2750</v>
      </c>
      <c r="F33" s="4">
        <v>46</v>
      </c>
      <c r="G33" s="6">
        <f t="shared" si="0"/>
        <v>12.65</v>
      </c>
      <c r="H33" s="4">
        <f t="shared" si="1"/>
        <v>18</v>
      </c>
    </row>
    <row r="34" spans="1:8">
      <c r="A34" s="4" t="s">
        <v>148</v>
      </c>
      <c r="B34" s="4">
        <v>2</v>
      </c>
      <c r="C34" s="4" t="s">
        <v>140</v>
      </c>
      <c r="D34" s="4" t="s">
        <v>139</v>
      </c>
      <c r="E34" s="4">
        <v>3540</v>
      </c>
      <c r="F34" s="4">
        <v>64</v>
      </c>
      <c r="G34" s="6">
        <f t="shared" si="0"/>
        <v>22.656</v>
      </c>
      <c r="H34" s="4">
        <f t="shared" si="1"/>
        <v>5</v>
      </c>
    </row>
    <row r="35" spans="1:8">
      <c r="A35" s="4" t="s">
        <v>148</v>
      </c>
      <c r="B35" s="4">
        <v>2</v>
      </c>
      <c r="C35" s="4" t="s">
        <v>141</v>
      </c>
      <c r="D35" s="4" t="s">
        <v>142</v>
      </c>
      <c r="E35" s="4">
        <v>2340</v>
      </c>
      <c r="F35" s="4">
        <v>51</v>
      </c>
      <c r="G35" s="6">
        <f t="shared" si="0"/>
        <v>11.934</v>
      </c>
      <c r="H35" s="4">
        <f t="shared" si="1"/>
        <v>23</v>
      </c>
    </row>
    <row r="36" spans="1:8">
      <c r="A36" s="4" t="s">
        <v>148</v>
      </c>
      <c r="B36" s="4">
        <v>2</v>
      </c>
      <c r="C36" s="4" t="s">
        <v>143</v>
      </c>
      <c r="D36" s="4" t="s">
        <v>142</v>
      </c>
      <c r="E36" s="4">
        <v>4460</v>
      </c>
      <c r="F36" s="4">
        <v>42</v>
      </c>
      <c r="G36" s="6">
        <f t="shared" si="0"/>
        <v>18.732</v>
      </c>
      <c r="H36" s="4">
        <f t="shared" si="1"/>
        <v>7</v>
      </c>
    </row>
    <row r="37" spans="1:8">
      <c r="A37" s="4" t="s">
        <v>148</v>
      </c>
      <c r="B37" s="4">
        <v>2</v>
      </c>
      <c r="C37" s="4" t="s">
        <v>144</v>
      </c>
      <c r="D37" s="4" t="s">
        <v>145</v>
      </c>
      <c r="E37" s="4">
        <v>1380</v>
      </c>
      <c r="F37" s="4">
        <v>35</v>
      </c>
      <c r="G37" s="6">
        <f t="shared" si="0"/>
        <v>4.83</v>
      </c>
      <c r="H37" s="4">
        <f t="shared" si="1"/>
        <v>34</v>
      </c>
    </row>
    <row r="38" spans="1:8">
      <c r="A38" s="4" t="s">
        <v>148</v>
      </c>
      <c r="B38" s="4">
        <v>2</v>
      </c>
      <c r="C38" s="4" t="s">
        <v>146</v>
      </c>
      <c r="D38" s="4" t="s">
        <v>145</v>
      </c>
      <c r="E38" s="4">
        <v>3210</v>
      </c>
      <c r="F38" s="4">
        <v>43</v>
      </c>
      <c r="G38" s="6">
        <f t="shared" si="0"/>
        <v>13.803</v>
      </c>
      <c r="H38" s="4">
        <f t="shared" si="1"/>
        <v>15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13"/>
  <sheetViews>
    <sheetView zoomScale="70" zoomScaleNormal="70" workbookViewId="0">
      <selection activeCell="P34" sqref="P34"/>
    </sheetView>
  </sheetViews>
  <sheetFormatPr defaultColWidth="9" defaultRowHeight="14.25" outlineLevelCol="3"/>
  <cols>
    <col min="1" max="1" width="10.25" customWidth="1"/>
    <col min="2" max="2" width="16.125" customWidth="1"/>
    <col min="3" max="3" width="9.5" customWidth="1"/>
  </cols>
  <sheetData>
    <row r="1" spans="1:4">
      <c r="A1" s="1" t="s">
        <v>149</v>
      </c>
      <c r="B1" s="1"/>
      <c r="C1" s="1"/>
      <c r="D1" s="1"/>
    </row>
    <row r="2" spans="1:4">
      <c r="A2" s="1" t="s">
        <v>150</v>
      </c>
      <c r="B2" s="1" t="s">
        <v>151</v>
      </c>
      <c r="C2" s="1" t="s">
        <v>152</v>
      </c>
      <c r="D2" s="1"/>
    </row>
    <row r="3" spans="1:4">
      <c r="A3" s="1" t="s">
        <v>153</v>
      </c>
      <c r="B3" s="1">
        <v>10886</v>
      </c>
      <c r="C3" s="2">
        <f>B3/SUM($B$3:$B$12)</f>
        <v>0.0290179582936822</v>
      </c>
      <c r="D3" s="1"/>
    </row>
    <row r="4" spans="1:4">
      <c r="A4" s="1" t="s">
        <v>154</v>
      </c>
      <c r="B4" s="1">
        <v>25194</v>
      </c>
      <c r="C4" s="2">
        <f t="shared" ref="C4:C13" si="0">B4/SUM($B$3:$B$12)</f>
        <v>0.0671576741917169</v>
      </c>
      <c r="D4" s="1"/>
    </row>
    <row r="5" spans="1:4">
      <c r="A5" s="1" t="s">
        <v>155</v>
      </c>
      <c r="B5" s="1">
        <v>39013</v>
      </c>
      <c r="C5" s="2">
        <f t="shared" si="0"/>
        <v>0.103993901057452</v>
      </c>
      <c r="D5" s="1"/>
    </row>
    <row r="6" spans="1:4">
      <c r="A6" s="1" t="s">
        <v>156</v>
      </c>
      <c r="B6" s="1">
        <v>22758</v>
      </c>
      <c r="C6" s="2">
        <f t="shared" si="0"/>
        <v>0.0606642196259066</v>
      </c>
      <c r="D6" s="1"/>
    </row>
    <row r="7" spans="1:4">
      <c r="A7" s="1" t="s">
        <v>157</v>
      </c>
      <c r="B7" s="1">
        <v>28900</v>
      </c>
      <c r="C7" s="2">
        <f t="shared" si="0"/>
        <v>0.0770364683710652</v>
      </c>
      <c r="D7" s="1"/>
    </row>
    <row r="8" spans="1:4">
      <c r="A8" s="1" t="s">
        <v>158</v>
      </c>
      <c r="B8" s="1">
        <v>52700</v>
      </c>
      <c r="C8" s="2">
        <f t="shared" si="0"/>
        <v>0.140478265853119</v>
      </c>
      <c r="D8" s="1"/>
    </row>
    <row r="9" spans="1:4">
      <c r="A9" s="1" t="s">
        <v>159</v>
      </c>
      <c r="B9" s="1">
        <v>46347</v>
      </c>
      <c r="C9" s="2">
        <f t="shared" si="0"/>
        <v>0.123543570920199</v>
      </c>
      <c r="D9" s="1"/>
    </row>
    <row r="10" spans="1:4">
      <c r="A10" s="1" t="s">
        <v>160</v>
      </c>
      <c r="B10" s="1">
        <v>34242</v>
      </c>
      <c r="C10" s="2">
        <f t="shared" si="0"/>
        <v>0.091276219721869</v>
      </c>
      <c r="D10" s="1"/>
    </row>
    <row r="11" spans="1:4">
      <c r="A11" s="1" t="s">
        <v>161</v>
      </c>
      <c r="B11" s="1">
        <v>54868</v>
      </c>
      <c r="C11" s="2">
        <f t="shared" si="0"/>
        <v>0.14625733379182</v>
      </c>
      <c r="D11" s="1"/>
    </row>
    <row r="12" spans="1:4">
      <c r="A12" s="1" t="s">
        <v>162</v>
      </c>
      <c r="B12" s="1">
        <v>60239</v>
      </c>
      <c r="C12" s="2">
        <f t="shared" si="0"/>
        <v>0.160574388173169</v>
      </c>
      <c r="D12" s="1"/>
    </row>
    <row r="13" spans="1:4">
      <c r="A13" s="1" t="s">
        <v>123</v>
      </c>
      <c r="B13" s="3">
        <f>SUM(B3:B12)</f>
        <v>375147</v>
      </c>
      <c r="C13" s="2"/>
      <c r="D13" s="1"/>
    </row>
  </sheetData>
  <mergeCells count="1">
    <mergeCell ref="A1:D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ysy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员工工资表</vt:lpstr>
      <vt:lpstr>成绩统计表</vt:lpstr>
      <vt:lpstr>竞赛成绩统计表</vt:lpstr>
      <vt:lpstr>“计算机动画技术”成绩单</vt:lpstr>
      <vt:lpstr>图书销售情况表</vt:lpstr>
      <vt:lpstr>产品销售情况表</vt:lpstr>
      <vt:lpstr>所占比例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zy</cp:lastModifiedBy>
  <dcterms:created xsi:type="dcterms:W3CDTF">2005-08-26T00:13:00Z</dcterms:created>
  <dcterms:modified xsi:type="dcterms:W3CDTF">2023-12-07T03:14:58Z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DD0A752247894F18B843B8C85E0BA38A_12</vt:lpwstr>
  </property>
  <property fmtid="{D5CDD505-2E9C-101B-9397-08002B2CF9AE}" pid="3" name="KSOProductBuildVer">
    <vt:lpwstr>2052-12.1.0.15712</vt:lpwstr>
  </property>
</Properties>
</file>
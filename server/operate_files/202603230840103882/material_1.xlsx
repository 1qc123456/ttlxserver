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750" windowHeight="12255"/>
  </bookViews>
  <sheets>
    <sheet name="员工信息" sheetId="1" r:id="rId1"/>
    <sheet name="部门" sheetId="2" r:id="rId2"/>
    <sheet name="数据表" sheetId="3" r:id="rId3"/>
  </sheets>
  <calcPr calcId="144525"/>
  <pivotCaches>
    <pivotCache cacheId="0" r:id="rId4"/>
  </pivotCaches>
</workbook>
</file>

<file path=xl/sharedStrings.xml><?xml version="1.0" encoding="utf-8"?>
<sst xmlns="http://schemas.openxmlformats.org/spreadsheetml/2006/main" count="158" uniqueCount="93">
  <si>
    <t>12月员工工资表</t>
  </si>
  <si>
    <t>编号</t>
  </si>
  <si>
    <t>姓名</t>
  </si>
  <si>
    <t>性别</t>
  </si>
  <si>
    <t>年龄</t>
  </si>
  <si>
    <t>省市</t>
  </si>
  <si>
    <t>部门</t>
  </si>
  <si>
    <t>工号</t>
  </si>
  <si>
    <t>考核成绩</t>
  </si>
  <si>
    <t>等级</t>
  </si>
  <si>
    <t>出勤天数</t>
  </si>
  <si>
    <t>奖金</t>
  </si>
  <si>
    <t>月薪</t>
  </si>
  <si>
    <t>A001</t>
  </si>
  <si>
    <t>姓名1</t>
  </si>
  <si>
    <t>男</t>
  </si>
  <si>
    <t>湖南省长沙市</t>
  </si>
  <si>
    <t>A002</t>
  </si>
  <si>
    <t>姓名2</t>
  </si>
  <si>
    <t>吉林省长春市</t>
  </si>
  <si>
    <t>A003</t>
  </si>
  <si>
    <t>姓名3</t>
  </si>
  <si>
    <t>女</t>
  </si>
  <si>
    <t>辽宁省沈阳市</t>
  </si>
  <si>
    <t>A004</t>
  </si>
  <si>
    <t>姓名4</t>
  </si>
  <si>
    <t>江苏省南京市</t>
  </si>
  <si>
    <t>A005</t>
  </si>
  <si>
    <t>姓名5</t>
  </si>
  <si>
    <t>四川省成都市</t>
  </si>
  <si>
    <t>A011</t>
  </si>
  <si>
    <t>姓名6</t>
  </si>
  <si>
    <t>湖北省武汉市</t>
  </si>
  <si>
    <t>A012</t>
  </si>
  <si>
    <t>姓名7</t>
  </si>
  <si>
    <t>A013</t>
  </si>
  <si>
    <t>姓名8</t>
  </si>
  <si>
    <t>A014</t>
  </si>
  <si>
    <t>姓名9</t>
  </si>
  <si>
    <t>A015</t>
  </si>
  <si>
    <t>姓名10</t>
  </si>
  <si>
    <t>A016</t>
  </si>
  <si>
    <t>姓名11</t>
  </si>
  <si>
    <t>A017</t>
  </si>
  <si>
    <t>姓名12</t>
  </si>
  <si>
    <t>A018</t>
  </si>
  <si>
    <t>姓名13</t>
  </si>
  <si>
    <t>A019</t>
  </si>
  <si>
    <t>姓名14</t>
  </si>
  <si>
    <t>A021</t>
  </si>
  <si>
    <t>姓名15</t>
  </si>
  <si>
    <t>A022</t>
  </si>
  <si>
    <t>姓名16</t>
  </si>
  <si>
    <t>A023</t>
  </si>
  <si>
    <t>姓名17</t>
  </si>
  <si>
    <t>福建省厦门市</t>
  </si>
  <si>
    <t>A024</t>
  </si>
  <si>
    <t>姓名18</t>
  </si>
  <si>
    <t>A025</t>
  </si>
  <si>
    <t>姓名19</t>
  </si>
  <si>
    <t>山东省青岛市</t>
  </si>
  <si>
    <t>A026</t>
  </si>
  <si>
    <t>姓名20</t>
  </si>
  <si>
    <t>A027</t>
  </si>
  <si>
    <t>姓名21</t>
  </si>
  <si>
    <t>A028</t>
  </si>
  <si>
    <t>姓名22</t>
  </si>
  <si>
    <t>A031</t>
  </si>
  <si>
    <t>姓名23</t>
  </si>
  <si>
    <t>贵州省贵阳市</t>
  </si>
  <si>
    <t>A032</t>
  </si>
  <si>
    <t>姓名24</t>
  </si>
  <si>
    <t>A033</t>
  </si>
  <si>
    <t>姓名25</t>
  </si>
  <si>
    <t>A034</t>
  </si>
  <si>
    <t>姓名26</t>
  </si>
  <si>
    <t>A035</t>
  </si>
  <si>
    <t>姓名27</t>
  </si>
  <si>
    <t>A036</t>
  </si>
  <si>
    <t>姓名28</t>
  </si>
  <si>
    <t>广东省深圳市</t>
  </si>
  <si>
    <t>A037</t>
  </si>
  <si>
    <t>姓名29</t>
  </si>
  <si>
    <t>A0</t>
  </si>
  <si>
    <t>技术部</t>
  </si>
  <si>
    <t>A1</t>
  </si>
  <si>
    <t>财务部</t>
  </si>
  <si>
    <t>A2</t>
  </si>
  <si>
    <t>销售部</t>
  </si>
  <si>
    <t>A3</t>
  </si>
  <si>
    <t>管理部</t>
  </si>
  <si>
    <t>求和项:月薪</t>
  </si>
  <si>
    <t>总计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</si>
</sst>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5" formatCode="&quot;￥&quot;#,##0;&quot;￥&quot;\-#,##0"/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0"/>
      <color theme="1"/>
      <name val="黑体"/>
      <charset val="134"/>
    </font>
    <font>
      <b/>
      <sz val="20"/>
      <color theme="1" tint="0.05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5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8"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5" formatCode="&quot;￥&quot;#,##0;&quot;￥&quot;\-#,##0"/>
      <alignment horizontal="center" vertical="center"/>
    </dxf>
    <dxf>
      <alignment horizontal="center"/>
    </dxf>
    <dxf>
      <alignment horizontal="center"/>
    </dxf>
    <dxf>
      <fill>
        <patternFill patternType="solid">
          <fgColor rgb="FF000000" tint="0.799981688894314"/>
          <bgColor rgb="FF000000" tint="0.799981688894314"/>
        </patternFill>
      </fill>
    </dxf>
    <dxf>
      <fill>
        <patternFill patternType="solid">
          <fgColor rgb="FF000000" tint="0.799981688894314"/>
          <bgColor rgb="FF000000" tint="0.799981688894314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top style="double">
          <color rgb="FF000000"/>
        </top>
      </border>
    </dxf>
    <dxf>
      <font>
        <b val="1"/>
        <color rgb="FF000000"/>
      </font>
      <border>
        <bottom style="medium">
          <color rgb="FF000000"/>
        </bottom>
      </border>
    </dxf>
    <dxf>
      <font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399975585192419"/>
        </vertical>
        <horizontal style="thin">
          <color rgb="FF000000" tint="0.399975585192419"/>
        </horizontal>
      </border>
    </dxf>
    <dxf>
      <fill>
        <patternFill patternType="solid">
          <fgColor rgb="FF000000" tint="0.799981688894314"/>
          <bgColor rgb="FF000000" tint="0.799981688894314"/>
        </patternFill>
      </fill>
    </dxf>
    <dxf>
      <fill>
        <patternFill patternType="solid">
          <fgColor rgb="FF000000" tint="0.799981688894314"/>
          <bgColor rgb="FF000000" tint="0.799981688894314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top style="double">
          <color rgb="FF000000"/>
        </top>
      </border>
    </dxf>
    <dxf>
      <font>
        <b val="1"/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horizontal style="thin">
          <color rgb="FF000000" tint="0.399975585192419"/>
        </horizontal>
      </border>
    </dxf>
  </dxfs>
  <tableStyles count="2" defaultTableStyle="TableStyleMedium2" defaultPivotStyle="PivotStyleLight16">
    <tableStyle name="TableStylePreset2_Dark" pivot="0" count="7" xr9:uid="{3E750325-DEEA-4B6D-BF6C-75CA4B610925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TableStylePreset3_Dark" pivot="0" count="7" xr9:uid="{A23A6A0A-29F2-439B-92E2-2009244044D1}">
      <tableStyleElement type="wholeTable" dxfId="27"/>
      <tableStyleElement type="headerRow" dxfId="26"/>
      <tableStyleElement type="totalRow" dxfId="25"/>
      <tableStyleElement type="firstColumn" dxfId="24"/>
      <tableStyleElement type="lastColumn" dxfId="23"/>
      <tableStyleElement type="firstRowStripe" dxfId="22"/>
      <tableStyleElement type="firstColumnStripe" dxfId="2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[结果文档.xlsx]数据表!数据透视表1</c:name>
    <c:fmtId val="0"/>
  </c:pivotSource>
  <c:chart>
    <c:autoTitleDeleted val="1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数据表!$D$2:$D$3</c:f>
              <c:strCache>
                <c:ptCount val="1"/>
                <c:pt idx="0">
                  <c:v>技术部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数据表!$C$4:$C$14</c:f>
              <c:strCache>
                <c:ptCount val="10"/>
                <c:pt idx="0">
                  <c:v>福建省厦门市</c:v>
                </c:pt>
                <c:pt idx="1">
                  <c:v>广东省深圳市</c:v>
                </c:pt>
                <c:pt idx="2">
                  <c:v>贵州省贵阳市</c:v>
                </c:pt>
                <c:pt idx="3">
                  <c:v>湖北省武汉市</c:v>
                </c:pt>
                <c:pt idx="4">
                  <c:v>湖南省长沙市</c:v>
                </c:pt>
                <c:pt idx="5">
                  <c:v>吉林省长春市</c:v>
                </c:pt>
                <c:pt idx="6">
                  <c:v>江苏省南京市</c:v>
                </c:pt>
                <c:pt idx="7">
                  <c:v>辽宁省沈阳市</c:v>
                </c:pt>
                <c:pt idx="8">
                  <c:v>山东省青岛市</c:v>
                </c:pt>
                <c:pt idx="9">
                  <c:v>四川省成都市</c:v>
                </c:pt>
              </c:strCache>
            </c:strRef>
          </c:cat>
          <c:val>
            <c:numRef>
              <c:f>数据表!$D$4:$D$14</c:f>
              <c:numCache>
                <c:formatCode>General</c:formatCode>
                <c:ptCount val="10"/>
                <c:pt idx="4">
                  <c:v>9920</c:v>
                </c:pt>
                <c:pt idx="5">
                  <c:v>10540</c:v>
                </c:pt>
                <c:pt idx="6">
                  <c:v>9920</c:v>
                </c:pt>
                <c:pt idx="7">
                  <c:v>10880</c:v>
                </c:pt>
                <c:pt idx="9">
                  <c:v>11180</c:v>
                </c:pt>
              </c:numCache>
            </c:numRef>
          </c:val>
        </c:ser>
        <c:ser>
          <c:idx val="1"/>
          <c:order val="1"/>
          <c:tx>
            <c:strRef>
              <c:f>数据表!$E$2:$E$3</c:f>
              <c:strCache>
                <c:ptCount val="1"/>
                <c:pt idx="0">
                  <c:v>销售部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数据表!$C$4:$C$14</c:f>
              <c:strCache>
                <c:ptCount val="10"/>
                <c:pt idx="0">
                  <c:v>福建省厦门市</c:v>
                </c:pt>
                <c:pt idx="1">
                  <c:v>广东省深圳市</c:v>
                </c:pt>
                <c:pt idx="2">
                  <c:v>贵州省贵阳市</c:v>
                </c:pt>
                <c:pt idx="3">
                  <c:v>湖北省武汉市</c:v>
                </c:pt>
                <c:pt idx="4">
                  <c:v>湖南省长沙市</c:v>
                </c:pt>
                <c:pt idx="5">
                  <c:v>吉林省长春市</c:v>
                </c:pt>
                <c:pt idx="6">
                  <c:v>江苏省南京市</c:v>
                </c:pt>
                <c:pt idx="7">
                  <c:v>辽宁省沈阳市</c:v>
                </c:pt>
                <c:pt idx="8">
                  <c:v>山东省青岛市</c:v>
                </c:pt>
                <c:pt idx="9">
                  <c:v>四川省成都市</c:v>
                </c:pt>
              </c:strCache>
            </c:strRef>
          </c:cat>
          <c:val>
            <c:numRef>
              <c:f>数据表!$E$4:$E$14</c:f>
              <c:numCache>
                <c:formatCode>General</c:formatCode>
                <c:ptCount val="10"/>
                <c:pt idx="0">
                  <c:v>19080</c:v>
                </c:pt>
                <c:pt idx="3">
                  <c:v>10560</c:v>
                </c:pt>
                <c:pt idx="6">
                  <c:v>18980</c:v>
                </c:pt>
                <c:pt idx="8">
                  <c:v>19620</c:v>
                </c:pt>
                <c:pt idx="9">
                  <c:v>9380</c:v>
                </c:pt>
              </c:numCache>
            </c:numRef>
          </c:val>
        </c:ser>
        <c:ser>
          <c:idx val="2"/>
          <c:order val="2"/>
          <c:tx>
            <c:strRef>
              <c:f>数据表!$F$2:$F$3</c:f>
              <c:strCache>
                <c:ptCount val="1"/>
                <c:pt idx="0">
                  <c:v>管理部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数据表!$C$4:$C$14</c:f>
              <c:strCache>
                <c:ptCount val="10"/>
                <c:pt idx="0">
                  <c:v>福建省厦门市</c:v>
                </c:pt>
                <c:pt idx="1">
                  <c:v>广东省深圳市</c:v>
                </c:pt>
                <c:pt idx="2">
                  <c:v>贵州省贵阳市</c:v>
                </c:pt>
                <c:pt idx="3">
                  <c:v>湖北省武汉市</c:v>
                </c:pt>
                <c:pt idx="4">
                  <c:v>湖南省长沙市</c:v>
                </c:pt>
                <c:pt idx="5">
                  <c:v>吉林省长春市</c:v>
                </c:pt>
                <c:pt idx="6">
                  <c:v>江苏省南京市</c:v>
                </c:pt>
                <c:pt idx="7">
                  <c:v>辽宁省沈阳市</c:v>
                </c:pt>
                <c:pt idx="8">
                  <c:v>山东省青岛市</c:v>
                </c:pt>
                <c:pt idx="9">
                  <c:v>四川省成都市</c:v>
                </c:pt>
              </c:strCache>
            </c:strRef>
          </c:cat>
          <c:val>
            <c:numRef>
              <c:f>数据表!$F$4:$F$14</c:f>
              <c:numCache>
                <c:formatCode>General</c:formatCode>
                <c:ptCount val="10"/>
                <c:pt idx="1">
                  <c:v>9820</c:v>
                </c:pt>
                <c:pt idx="2">
                  <c:v>11180</c:v>
                </c:pt>
                <c:pt idx="3">
                  <c:v>10880</c:v>
                </c:pt>
                <c:pt idx="4">
                  <c:v>19820</c:v>
                </c:pt>
                <c:pt idx="8">
                  <c:v>9900</c:v>
                </c:pt>
                <c:pt idx="9">
                  <c:v>8860</c:v>
                </c:pt>
              </c:numCache>
            </c:numRef>
          </c:val>
        </c:ser>
        <c:ser>
          <c:idx val="3"/>
          <c:order val="3"/>
          <c:tx>
            <c:strRef>
              <c:f>数据表!$G$2:$G$3</c:f>
              <c:strCache>
                <c:ptCount val="1"/>
                <c:pt idx="0">
                  <c:v>财务部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数据表!$C$4:$C$14</c:f>
              <c:strCache>
                <c:ptCount val="10"/>
                <c:pt idx="0">
                  <c:v>福建省厦门市</c:v>
                </c:pt>
                <c:pt idx="1">
                  <c:v>广东省深圳市</c:v>
                </c:pt>
                <c:pt idx="2">
                  <c:v>贵州省贵阳市</c:v>
                </c:pt>
                <c:pt idx="3">
                  <c:v>湖北省武汉市</c:v>
                </c:pt>
                <c:pt idx="4">
                  <c:v>湖南省长沙市</c:v>
                </c:pt>
                <c:pt idx="5">
                  <c:v>吉林省长春市</c:v>
                </c:pt>
                <c:pt idx="6">
                  <c:v>江苏省南京市</c:v>
                </c:pt>
                <c:pt idx="7">
                  <c:v>辽宁省沈阳市</c:v>
                </c:pt>
                <c:pt idx="8">
                  <c:v>山东省青岛市</c:v>
                </c:pt>
                <c:pt idx="9">
                  <c:v>四川省成都市</c:v>
                </c:pt>
              </c:strCache>
            </c:strRef>
          </c:cat>
          <c:val>
            <c:numRef>
              <c:f>数据表!$G$4:$G$14</c:f>
              <c:numCache>
                <c:formatCode>General</c:formatCode>
                <c:ptCount val="10"/>
                <c:pt idx="3">
                  <c:v>20680</c:v>
                </c:pt>
                <c:pt idx="4">
                  <c:v>8860</c:v>
                </c:pt>
                <c:pt idx="5">
                  <c:v>28900</c:v>
                </c:pt>
                <c:pt idx="7">
                  <c:v>9900</c:v>
                </c:pt>
                <c:pt idx="9">
                  <c:v>20440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650875</xdr:colOff>
      <xdr:row>15</xdr:row>
      <xdr:rowOff>88900</xdr:rowOff>
    </xdr:from>
    <xdr:to>
      <xdr:col>9</xdr:col>
      <xdr:colOff>488950</xdr:colOff>
      <xdr:row>35</xdr:row>
      <xdr:rowOff>50165</xdr:rowOff>
    </xdr:to>
    <xdr:graphicFrame>
      <xdr:nvGraphicFramePr>
        <xdr:cNvPr id="2" name="图表 1"/>
        <xdr:cNvGraphicFramePr/>
      </xdr:nvGraphicFramePr>
      <xdr:xfrm>
        <a:off x="1336675" y="2660650"/>
        <a:ext cx="5200650" cy="33902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50.66125" refreshedBy="25472" recordCount="29">
  <cacheSource type="worksheet">
    <worksheetSource name="工资表"/>
  </cacheSource>
  <cacheFields count="12">
    <cacheField name="编号" numFmtId="0">
      <sharedItems count="29">
        <s v="A001"/>
        <s v="A002"/>
        <s v="A003"/>
        <s v="A004"/>
        <s v="A005"/>
        <s v="A011"/>
        <s v="A012"/>
        <s v="A013"/>
        <s v="A014"/>
        <s v="A015"/>
        <s v="A016"/>
        <s v="A017"/>
        <s v="A018"/>
        <s v="A019"/>
        <s v="A021"/>
        <s v="A022"/>
        <s v="A023"/>
        <s v="A024"/>
        <s v="A025"/>
        <s v="A026"/>
        <s v="A027"/>
        <s v="A028"/>
        <s v="A031"/>
        <s v="A032"/>
        <s v="A033"/>
        <s v="A034"/>
        <s v="A035"/>
        <s v="A036"/>
        <s v="A037"/>
      </sharedItems>
    </cacheField>
    <cacheField name="姓名" numFmtId="0">
      <sharedItems count="29">
        <s v="姓名1"/>
        <s v="姓名2"/>
        <s v="姓名3"/>
        <s v="姓名4"/>
        <s v="姓名5"/>
        <s v="姓名6"/>
        <s v="姓名7"/>
        <s v="姓名8"/>
        <s v="姓名9"/>
        <s v="姓名10"/>
        <s v="姓名11"/>
        <s v="姓名12"/>
        <s v="姓名13"/>
        <s v="姓名14"/>
        <s v="姓名15"/>
        <s v="姓名16"/>
        <s v="姓名17"/>
        <s v="姓名18"/>
        <s v="姓名19"/>
        <s v="姓名20"/>
        <s v="姓名21"/>
        <s v="姓名22"/>
        <s v="姓名23"/>
        <s v="姓名24"/>
        <s v="姓名25"/>
        <s v="姓名26"/>
        <s v="姓名27"/>
        <s v="姓名28"/>
        <s v="姓名29"/>
      </sharedItems>
    </cacheField>
    <cacheField name="性别" numFmtId="0">
      <sharedItems count="2">
        <s v="男"/>
        <s v="女"/>
      </sharedItems>
    </cacheField>
    <cacheField name="年龄" numFmtId="0">
      <sharedItems containsSemiMixedTypes="0" containsString="0" containsNumber="1" containsInteger="1" minValue="0" maxValue="40" count="14">
        <n v="25"/>
        <n v="23"/>
        <n v="22"/>
        <n v="40"/>
        <n v="30"/>
        <n v="29"/>
        <n v="32"/>
        <n v="38"/>
        <n v="37"/>
        <n v="35"/>
        <n v="26"/>
        <n v="31"/>
        <n v="28"/>
        <n v="33"/>
      </sharedItems>
    </cacheField>
    <cacheField name="省市" numFmtId="0">
      <sharedItems count="10">
        <s v="湖南省长沙市"/>
        <s v="吉林省长春市"/>
        <s v="辽宁省沈阳市"/>
        <s v="江苏省南京市"/>
        <s v="四川省成都市"/>
        <s v="湖北省武汉市"/>
        <s v="福建省厦门市"/>
        <s v="山东省青岛市"/>
        <s v="贵州省贵阳市"/>
        <s v="广东省深圳市"/>
      </sharedItems>
    </cacheField>
    <cacheField name="部门" numFmtId="0">
      <sharedItems count="4">
        <s v="技术部"/>
        <s v="财务部"/>
        <s v="销售部"/>
        <s v="管理部"/>
      </sharedItems>
    </cacheField>
    <cacheField name="工号" numFmtId="0">
      <sharedItems containsSemiMixedTypes="0" containsString="0" containsNumber="1" containsInteger="1" minValue="0" maxValue="29" count="29">
        <n v="29"/>
        <n v="10"/>
        <n v="2"/>
        <n v="1"/>
        <n v="15"/>
        <n v="22"/>
        <n v="21"/>
        <n v="4"/>
        <n v="17"/>
        <n v="3"/>
        <n v="13"/>
        <n v="8"/>
        <n v="6"/>
        <n v="28"/>
        <n v="20"/>
        <n v="11"/>
        <n v="26"/>
        <n v="19"/>
        <n v="9"/>
        <n v="23"/>
        <n v="27"/>
        <n v="7"/>
        <n v="18"/>
        <n v="5"/>
        <n v="16"/>
        <n v="25"/>
        <n v="24"/>
        <n v="12"/>
        <n v="14"/>
      </sharedItems>
    </cacheField>
    <cacheField name="考核成绩" numFmtId="0">
      <sharedItems containsSemiMixedTypes="0" containsString="0" containsNumber="1" containsInteger="1" minValue="0" maxValue="98" count="27">
        <n v="60"/>
        <n v="88"/>
        <n v="67"/>
        <n v="65"/>
        <n v="94"/>
        <n v="71"/>
        <n v="53"/>
        <n v="85"/>
        <n v="97"/>
        <n v="57"/>
        <n v="89"/>
        <n v="79"/>
        <n v="56"/>
        <n v="84"/>
        <n v="69"/>
        <n v="75"/>
        <n v="81"/>
        <n v="78"/>
        <n v="66"/>
        <n v="51"/>
        <n v="62"/>
        <n v="93"/>
        <n v="98"/>
        <n v="64"/>
        <n v="91"/>
        <n v="58"/>
        <n v="50"/>
      </sharedItems>
    </cacheField>
    <cacheField name="等级" numFmtId="0">
      <sharedItems count="4">
        <s v="C"/>
        <s v="A"/>
        <s v="B"/>
        <s v="D"/>
      </sharedItems>
    </cacheField>
    <cacheField name="出勤天数" numFmtId="0">
      <sharedItems containsSemiMixedTypes="0" containsString="0" containsNumber="1" containsInteger="1" minValue="0" maxValue="24" count="7">
        <n v="21"/>
        <n v="22"/>
        <n v="24"/>
        <n v="20"/>
        <n v="19"/>
        <n v="18"/>
        <n v="23"/>
      </sharedItems>
    </cacheField>
    <cacheField name="奖金" numFmtId="0">
      <sharedItems containsSemiMixedTypes="0" containsString="0" containsNumber="1" containsInteger="1" minValue="0" maxValue="500" count="4">
        <n v="200"/>
        <n v="500"/>
        <n v="300"/>
        <n v="100"/>
      </sharedItems>
    </cacheField>
    <cacheField name="月薪" numFmtId="7">
      <sharedItems containsSemiMixedTypes="0" containsString="0" containsNumber="1" containsInteger="1" minValue="0" maxValue="11180" count="17">
        <n v="9920"/>
        <n v="10540"/>
        <n v="10880"/>
        <n v="11180"/>
        <n v="10340"/>
        <n v="10140"/>
        <n v="9900"/>
        <n v="9580"/>
        <n v="9180"/>
        <n v="8860"/>
        <n v="9600"/>
        <n v="9380"/>
        <n v="10220"/>
        <n v="10020"/>
        <n v="10560"/>
        <n v="9260"/>
        <n v="982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">
  <r>
    <x v="0"/>
    <x v="0"/>
    <x v="0"/>
    <x v="0"/>
    <x v="0"/>
    <x v="0"/>
    <x v="0"/>
    <x v="0"/>
    <x v="0"/>
    <x v="0"/>
    <x v="0"/>
    <x v="0"/>
  </r>
  <r>
    <x v="1"/>
    <x v="1"/>
    <x v="0"/>
    <x v="1"/>
    <x v="1"/>
    <x v="0"/>
    <x v="1"/>
    <x v="1"/>
    <x v="1"/>
    <x v="1"/>
    <x v="1"/>
    <x v="1"/>
  </r>
  <r>
    <x v="2"/>
    <x v="2"/>
    <x v="1"/>
    <x v="2"/>
    <x v="2"/>
    <x v="0"/>
    <x v="2"/>
    <x v="2"/>
    <x v="0"/>
    <x v="2"/>
    <x v="0"/>
    <x v="2"/>
  </r>
  <r>
    <x v="3"/>
    <x v="3"/>
    <x v="0"/>
    <x v="3"/>
    <x v="3"/>
    <x v="0"/>
    <x v="3"/>
    <x v="3"/>
    <x v="0"/>
    <x v="0"/>
    <x v="0"/>
    <x v="0"/>
  </r>
  <r>
    <x v="4"/>
    <x v="4"/>
    <x v="1"/>
    <x v="4"/>
    <x v="4"/>
    <x v="0"/>
    <x v="4"/>
    <x v="4"/>
    <x v="1"/>
    <x v="2"/>
    <x v="1"/>
    <x v="3"/>
  </r>
  <r>
    <x v="5"/>
    <x v="5"/>
    <x v="0"/>
    <x v="5"/>
    <x v="5"/>
    <x v="1"/>
    <x v="5"/>
    <x v="5"/>
    <x v="2"/>
    <x v="1"/>
    <x v="2"/>
    <x v="4"/>
  </r>
  <r>
    <x v="6"/>
    <x v="6"/>
    <x v="0"/>
    <x v="0"/>
    <x v="1"/>
    <x v="1"/>
    <x v="6"/>
    <x v="6"/>
    <x v="3"/>
    <x v="1"/>
    <x v="3"/>
    <x v="5"/>
  </r>
  <r>
    <x v="7"/>
    <x v="7"/>
    <x v="0"/>
    <x v="6"/>
    <x v="4"/>
    <x v="1"/>
    <x v="7"/>
    <x v="7"/>
    <x v="1"/>
    <x v="3"/>
    <x v="1"/>
    <x v="6"/>
  </r>
  <r>
    <x v="8"/>
    <x v="8"/>
    <x v="1"/>
    <x v="1"/>
    <x v="1"/>
    <x v="1"/>
    <x v="8"/>
    <x v="8"/>
    <x v="1"/>
    <x v="4"/>
    <x v="1"/>
    <x v="7"/>
  </r>
  <r>
    <x v="9"/>
    <x v="9"/>
    <x v="1"/>
    <x v="4"/>
    <x v="1"/>
    <x v="1"/>
    <x v="9"/>
    <x v="9"/>
    <x v="3"/>
    <x v="4"/>
    <x v="3"/>
    <x v="8"/>
  </r>
  <r>
    <x v="10"/>
    <x v="10"/>
    <x v="0"/>
    <x v="7"/>
    <x v="4"/>
    <x v="1"/>
    <x v="10"/>
    <x v="10"/>
    <x v="1"/>
    <x v="1"/>
    <x v="1"/>
    <x v="1"/>
  </r>
  <r>
    <x v="11"/>
    <x v="11"/>
    <x v="1"/>
    <x v="8"/>
    <x v="5"/>
    <x v="1"/>
    <x v="11"/>
    <x v="11"/>
    <x v="2"/>
    <x v="1"/>
    <x v="2"/>
    <x v="4"/>
  </r>
  <r>
    <x v="12"/>
    <x v="12"/>
    <x v="0"/>
    <x v="8"/>
    <x v="0"/>
    <x v="1"/>
    <x v="12"/>
    <x v="12"/>
    <x v="3"/>
    <x v="5"/>
    <x v="3"/>
    <x v="9"/>
  </r>
  <r>
    <x v="13"/>
    <x v="13"/>
    <x v="0"/>
    <x v="9"/>
    <x v="2"/>
    <x v="1"/>
    <x v="13"/>
    <x v="13"/>
    <x v="1"/>
    <x v="3"/>
    <x v="1"/>
    <x v="6"/>
  </r>
  <r>
    <x v="14"/>
    <x v="14"/>
    <x v="1"/>
    <x v="0"/>
    <x v="3"/>
    <x v="2"/>
    <x v="14"/>
    <x v="14"/>
    <x v="0"/>
    <x v="3"/>
    <x v="0"/>
    <x v="10"/>
  </r>
  <r>
    <x v="15"/>
    <x v="15"/>
    <x v="1"/>
    <x v="5"/>
    <x v="4"/>
    <x v="2"/>
    <x v="15"/>
    <x v="15"/>
    <x v="2"/>
    <x v="4"/>
    <x v="2"/>
    <x v="11"/>
  </r>
  <r>
    <x v="16"/>
    <x v="16"/>
    <x v="0"/>
    <x v="10"/>
    <x v="6"/>
    <x v="2"/>
    <x v="16"/>
    <x v="16"/>
    <x v="1"/>
    <x v="0"/>
    <x v="1"/>
    <x v="12"/>
  </r>
  <r>
    <x v="17"/>
    <x v="17"/>
    <x v="0"/>
    <x v="11"/>
    <x v="3"/>
    <x v="2"/>
    <x v="17"/>
    <x v="11"/>
    <x v="2"/>
    <x v="4"/>
    <x v="2"/>
    <x v="11"/>
  </r>
  <r>
    <x v="18"/>
    <x v="18"/>
    <x v="0"/>
    <x v="10"/>
    <x v="7"/>
    <x v="2"/>
    <x v="18"/>
    <x v="17"/>
    <x v="2"/>
    <x v="0"/>
    <x v="2"/>
    <x v="13"/>
  </r>
  <r>
    <x v="19"/>
    <x v="19"/>
    <x v="0"/>
    <x v="9"/>
    <x v="7"/>
    <x v="2"/>
    <x v="19"/>
    <x v="18"/>
    <x v="0"/>
    <x v="3"/>
    <x v="0"/>
    <x v="10"/>
  </r>
  <r>
    <x v="20"/>
    <x v="20"/>
    <x v="0"/>
    <x v="12"/>
    <x v="6"/>
    <x v="2"/>
    <x v="20"/>
    <x v="19"/>
    <x v="3"/>
    <x v="5"/>
    <x v="3"/>
    <x v="9"/>
  </r>
  <r>
    <x v="21"/>
    <x v="21"/>
    <x v="0"/>
    <x v="7"/>
    <x v="5"/>
    <x v="2"/>
    <x v="21"/>
    <x v="20"/>
    <x v="0"/>
    <x v="6"/>
    <x v="0"/>
    <x v="14"/>
  </r>
  <r>
    <x v="22"/>
    <x v="22"/>
    <x v="1"/>
    <x v="12"/>
    <x v="8"/>
    <x v="3"/>
    <x v="22"/>
    <x v="21"/>
    <x v="1"/>
    <x v="2"/>
    <x v="1"/>
    <x v="3"/>
  </r>
  <r>
    <x v="23"/>
    <x v="23"/>
    <x v="0"/>
    <x v="6"/>
    <x v="0"/>
    <x v="3"/>
    <x v="23"/>
    <x v="20"/>
    <x v="0"/>
    <x v="6"/>
    <x v="0"/>
    <x v="14"/>
  </r>
  <r>
    <x v="24"/>
    <x v="24"/>
    <x v="1"/>
    <x v="1"/>
    <x v="7"/>
    <x v="3"/>
    <x v="24"/>
    <x v="22"/>
    <x v="1"/>
    <x v="3"/>
    <x v="1"/>
    <x v="6"/>
  </r>
  <r>
    <x v="25"/>
    <x v="25"/>
    <x v="1"/>
    <x v="11"/>
    <x v="5"/>
    <x v="3"/>
    <x v="25"/>
    <x v="23"/>
    <x v="0"/>
    <x v="2"/>
    <x v="0"/>
    <x v="2"/>
  </r>
  <r>
    <x v="26"/>
    <x v="26"/>
    <x v="0"/>
    <x v="12"/>
    <x v="0"/>
    <x v="3"/>
    <x v="26"/>
    <x v="24"/>
    <x v="1"/>
    <x v="5"/>
    <x v="1"/>
    <x v="15"/>
  </r>
  <r>
    <x v="27"/>
    <x v="27"/>
    <x v="0"/>
    <x v="4"/>
    <x v="9"/>
    <x v="3"/>
    <x v="27"/>
    <x v="25"/>
    <x v="3"/>
    <x v="0"/>
    <x v="3"/>
    <x v="16"/>
  </r>
  <r>
    <x v="28"/>
    <x v="28"/>
    <x v="0"/>
    <x v="13"/>
    <x v="4"/>
    <x v="3"/>
    <x v="28"/>
    <x v="26"/>
    <x v="3"/>
    <x v="5"/>
    <x v="3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C2:H14" firstHeaderRow="1" firstDataRow="2" firstDataCol="1"/>
  <pivotFields count="12"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/>
    <pivotField compact="0" showAll="0"/>
    <pivotField compact="0" showAll="0"/>
    <pivotField axis="axisRow" compact="0" showAll="0">
      <items count="11">
        <item x="6"/>
        <item x="9"/>
        <item x="8"/>
        <item x="5"/>
        <item x="0"/>
        <item x="1"/>
        <item x="3"/>
        <item x="2"/>
        <item x="7"/>
        <item x="4"/>
        <item t="default"/>
      </items>
    </pivotField>
    <pivotField axis="axisCol" compact="0" showAll="0">
      <items count="5">
        <item x="0"/>
        <item x="2"/>
        <item x="3"/>
        <item x="1"/>
        <item t="default"/>
      </items>
    </pivotField>
    <pivotField compact="0" showAll="0"/>
    <pivotField compact="0" showAll="0"/>
    <pivotField compact="0" showAll="0">
      <items count="5">
        <item x="1"/>
        <item x="2"/>
        <item x="0"/>
        <item x="3"/>
        <item t="default"/>
      </items>
    </pivotField>
    <pivotField compact="0" showAll="0"/>
    <pivotField compact="0" showAll="0"/>
    <pivotField dataField="1" compact="0" numFmtId="7" showAll="0">
      <items count="18">
        <item x="9"/>
        <item x="8"/>
        <item x="15"/>
        <item x="11"/>
        <item x="7"/>
        <item x="10"/>
        <item x="16"/>
        <item x="6"/>
        <item x="0"/>
        <item x="13"/>
        <item x="5"/>
        <item x="12"/>
        <item x="4"/>
        <item x="1"/>
        <item x="14"/>
        <item x="2"/>
        <item x="3"/>
        <item t="default"/>
      </items>
    </pivotField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求和项:月薪" fld="1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工资表" displayName="工资表" ref="A2:L31" totalsRowShown="0">
  <autoFilter ref="A2:L31"/>
  <tableColumns count="12">
    <tableColumn id="1" name="编号" dataDxfId="0"/>
    <tableColumn id="2" name="姓名" dataDxfId="1"/>
    <tableColumn id="3" name="性别" dataDxfId="2"/>
    <tableColumn id="4" name="年龄" dataDxfId="3"/>
    <tableColumn id="5" name="省市" dataDxfId="4"/>
    <tableColumn id="6" name="部门" dataDxfId="5"/>
    <tableColumn id="7" name="工号" dataDxfId="6"/>
    <tableColumn id="8" name="考核成绩" dataDxfId="7"/>
    <tableColumn id="9" name="等级" dataDxfId="8"/>
    <tableColumn id="10" name="出勤天数" dataDxfId="9"/>
    <tableColumn id="11" name="奖金" dataDxfId="10"/>
    <tableColumn id="12" name="月薪" dataDxfId="11"/>
  </tableColumns>
  <tableStyleInfo name="TableStylePreset3_Dark" showFirstColumn="0" showLastColumn="0" showRowStripes="1" showColumnStripes="0"/>
</table>
</file>

<file path=xl/tables/table2.xml><?xml version="1.0" encoding="utf-8"?>
<table xmlns="http://schemas.openxmlformats.org/spreadsheetml/2006/main" id="3" name="表3" displayName="表3" ref="A1:B5" totalsRowShown="0">
  <tableColumns count="2">
    <tableColumn id="1" name="编号" dataDxfId="12"/>
    <tableColumn id="2" name="部门" dataDxfId="13"/>
  </tableColumns>
  <tableStyleInfo name="TableStylePreset2_Dark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tabSelected="1" topLeftCell="D1" workbookViewId="0">
      <selection activeCell="G11" sqref="G11"/>
    </sheetView>
  </sheetViews>
  <sheetFormatPr defaultColWidth="9" defaultRowHeight="13.5"/>
  <cols>
    <col min="5" max="5" width="14.875" customWidth="1"/>
    <col min="12" max="12" width="12.5"/>
    <col min="15" max="15" width="12.625"/>
  </cols>
  <sheetData>
    <row r="1" s="2" customFormat="1" ht="30" customHeight="1" spans="1:1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15" customHeight="1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ht="15" customHeight="1" spans="1:12">
      <c r="A3" s="1" t="s">
        <v>13</v>
      </c>
      <c r="B3" s="1" t="s">
        <v>14</v>
      </c>
      <c r="C3" s="1" t="s">
        <v>15</v>
      </c>
      <c r="D3" s="1">
        <v>25</v>
      </c>
      <c r="E3" s="1" t="s">
        <v>16</v>
      </c>
      <c r="F3" s="1" t="str">
        <f>VLOOKUP(LEFT(A3,1)&amp;MID(A3,3,1),部门!$A$1:$B$5,2,0)</f>
        <v>技术部</v>
      </c>
      <c r="G3" s="1">
        <v>29</v>
      </c>
      <c r="H3" s="1">
        <v>60</v>
      </c>
      <c r="I3" s="1" t="str">
        <f>IF(H3&lt;60,"D",IF(H3&lt;70,"C",IF(H3&lt;80,"B","A")))</f>
        <v>C</v>
      </c>
      <c r="J3" s="1">
        <v>21</v>
      </c>
      <c r="K3" s="1">
        <f>_xlfn.IFS(I3="A",500,I3="B",300,I3="C",200,I3="D",100)</f>
        <v>200</v>
      </c>
      <c r="L3" s="4">
        <f>3000+J3*320+K3</f>
        <v>9920</v>
      </c>
    </row>
    <row r="4" ht="15" customHeight="1" spans="1:12">
      <c r="A4" s="1" t="s">
        <v>17</v>
      </c>
      <c r="B4" s="1" t="s">
        <v>18</v>
      </c>
      <c r="C4" s="1" t="s">
        <v>15</v>
      </c>
      <c r="D4" s="1">
        <v>23</v>
      </c>
      <c r="E4" s="1" t="s">
        <v>19</v>
      </c>
      <c r="F4" s="1" t="str">
        <f>VLOOKUP(LEFT(A4,1)&amp;MID(A4,3,1),部门!$A$1:$B$5,2,0)</f>
        <v>技术部</v>
      </c>
      <c r="G4" s="1">
        <v>10</v>
      </c>
      <c r="H4" s="1">
        <v>88</v>
      </c>
      <c r="I4" s="1" t="str">
        <f t="shared" ref="I4:I31" si="0">IF(H4&lt;60,"D",IF(H4&lt;70,"C",IF(H4&lt;80,"B","A")))</f>
        <v>A</v>
      </c>
      <c r="J4" s="1">
        <v>22</v>
      </c>
      <c r="K4" s="1">
        <f t="shared" ref="K4:K31" si="1">_xlfn.IFS(I4="A",500,I4="B",300,I4="C",200,I4="D",100)</f>
        <v>500</v>
      </c>
      <c r="L4" s="4">
        <f t="shared" ref="L4:L31" si="2">3000+J4*320+K4</f>
        <v>10540</v>
      </c>
    </row>
    <row r="5" ht="15" customHeight="1" spans="1:12">
      <c r="A5" s="1" t="s">
        <v>20</v>
      </c>
      <c r="B5" s="1" t="s">
        <v>21</v>
      </c>
      <c r="C5" s="1" t="s">
        <v>22</v>
      </c>
      <c r="D5" s="1">
        <v>22</v>
      </c>
      <c r="E5" s="1" t="s">
        <v>23</v>
      </c>
      <c r="F5" s="1" t="str">
        <f>VLOOKUP(LEFT(A5,1)&amp;MID(A5,3,1),部门!$A$1:$B$5,2,0)</f>
        <v>技术部</v>
      </c>
      <c r="G5" s="1">
        <v>2</v>
      </c>
      <c r="H5" s="1">
        <v>67</v>
      </c>
      <c r="I5" s="1" t="str">
        <f t="shared" si="0"/>
        <v>C</v>
      </c>
      <c r="J5" s="1">
        <v>24</v>
      </c>
      <c r="K5" s="1">
        <f t="shared" si="1"/>
        <v>200</v>
      </c>
      <c r="L5" s="4">
        <f t="shared" si="2"/>
        <v>10880</v>
      </c>
    </row>
    <row r="6" ht="15" customHeight="1" spans="1:12">
      <c r="A6" s="1" t="s">
        <v>24</v>
      </c>
      <c r="B6" s="1" t="s">
        <v>25</v>
      </c>
      <c r="C6" s="1" t="s">
        <v>15</v>
      </c>
      <c r="D6" s="1">
        <v>40</v>
      </c>
      <c r="E6" s="1" t="s">
        <v>26</v>
      </c>
      <c r="F6" s="1" t="str">
        <f>VLOOKUP(LEFT(A6,1)&amp;MID(A6,3,1),部门!$A$1:$B$5,2,0)</f>
        <v>技术部</v>
      </c>
      <c r="G6" s="1">
        <v>1</v>
      </c>
      <c r="H6" s="1">
        <v>65</v>
      </c>
      <c r="I6" s="1" t="str">
        <f t="shared" si="0"/>
        <v>C</v>
      </c>
      <c r="J6" s="1">
        <v>21</v>
      </c>
      <c r="K6" s="1">
        <f t="shared" si="1"/>
        <v>200</v>
      </c>
      <c r="L6" s="4">
        <f t="shared" si="2"/>
        <v>9920</v>
      </c>
    </row>
    <row r="7" ht="15" customHeight="1" spans="1:12">
      <c r="A7" s="1" t="s">
        <v>27</v>
      </c>
      <c r="B7" s="1" t="s">
        <v>28</v>
      </c>
      <c r="C7" s="1" t="s">
        <v>22</v>
      </c>
      <c r="D7" s="1">
        <v>30</v>
      </c>
      <c r="E7" s="1" t="s">
        <v>29</v>
      </c>
      <c r="F7" s="1" t="str">
        <f>VLOOKUP(LEFT(A7,1)&amp;MID(A7,3,1),部门!$A$1:$B$5,2,0)</f>
        <v>技术部</v>
      </c>
      <c r="G7" s="1">
        <v>15</v>
      </c>
      <c r="H7" s="1">
        <v>94</v>
      </c>
      <c r="I7" s="1" t="str">
        <f t="shared" si="0"/>
        <v>A</v>
      </c>
      <c r="J7" s="1">
        <v>24</v>
      </c>
      <c r="K7" s="1">
        <f t="shared" si="1"/>
        <v>500</v>
      </c>
      <c r="L7" s="4">
        <f t="shared" si="2"/>
        <v>11180</v>
      </c>
    </row>
    <row r="8" ht="15" customHeight="1" spans="1:12">
      <c r="A8" s="1" t="s">
        <v>30</v>
      </c>
      <c r="B8" s="1" t="s">
        <v>31</v>
      </c>
      <c r="C8" s="1" t="s">
        <v>15</v>
      </c>
      <c r="D8" s="1">
        <v>29</v>
      </c>
      <c r="E8" s="1" t="s">
        <v>32</v>
      </c>
      <c r="F8" s="1" t="str">
        <f>VLOOKUP(LEFT(A8,1)&amp;MID(A8,3,1),部门!$A$1:$B$5,2,0)</f>
        <v>财务部</v>
      </c>
      <c r="G8" s="1">
        <v>22</v>
      </c>
      <c r="H8" s="1">
        <v>71</v>
      </c>
      <c r="I8" s="1" t="str">
        <f t="shared" si="0"/>
        <v>B</v>
      </c>
      <c r="J8" s="1">
        <v>22</v>
      </c>
      <c r="K8" s="1">
        <f t="shared" si="1"/>
        <v>300</v>
      </c>
      <c r="L8" s="4">
        <f t="shared" si="2"/>
        <v>10340</v>
      </c>
    </row>
    <row r="9" ht="15" customHeight="1" spans="1:12">
      <c r="A9" s="1" t="s">
        <v>33</v>
      </c>
      <c r="B9" s="1" t="s">
        <v>34</v>
      </c>
      <c r="C9" s="1" t="s">
        <v>15</v>
      </c>
      <c r="D9" s="1">
        <v>25</v>
      </c>
      <c r="E9" s="1" t="s">
        <v>19</v>
      </c>
      <c r="F9" s="1" t="str">
        <f>VLOOKUP(LEFT(A9,1)&amp;MID(A9,3,1),部门!$A$1:$B$5,2,0)</f>
        <v>财务部</v>
      </c>
      <c r="G9" s="1">
        <v>21</v>
      </c>
      <c r="H9" s="1">
        <v>53</v>
      </c>
      <c r="I9" s="1" t="str">
        <f t="shared" si="0"/>
        <v>D</v>
      </c>
      <c r="J9" s="1">
        <v>22</v>
      </c>
      <c r="K9" s="1">
        <f t="shared" si="1"/>
        <v>100</v>
      </c>
      <c r="L9" s="4">
        <f t="shared" si="2"/>
        <v>10140</v>
      </c>
    </row>
    <row r="10" ht="15" customHeight="1" spans="1:12">
      <c r="A10" s="1" t="s">
        <v>35</v>
      </c>
      <c r="B10" s="1" t="s">
        <v>36</v>
      </c>
      <c r="C10" s="1" t="s">
        <v>15</v>
      </c>
      <c r="D10" s="1">
        <v>32</v>
      </c>
      <c r="E10" s="1" t="s">
        <v>29</v>
      </c>
      <c r="F10" s="1" t="str">
        <f>VLOOKUP(LEFT(A10,1)&amp;MID(A10,3,1),部门!$A$1:$B$5,2,0)</f>
        <v>财务部</v>
      </c>
      <c r="G10" s="1">
        <v>4</v>
      </c>
      <c r="H10" s="1">
        <v>85</v>
      </c>
      <c r="I10" s="1" t="str">
        <f t="shared" si="0"/>
        <v>A</v>
      </c>
      <c r="J10" s="1">
        <v>20</v>
      </c>
      <c r="K10" s="1">
        <f t="shared" si="1"/>
        <v>500</v>
      </c>
      <c r="L10" s="4">
        <f t="shared" si="2"/>
        <v>9900</v>
      </c>
    </row>
    <row r="11" ht="15" customHeight="1" spans="1:12">
      <c r="A11" s="1" t="s">
        <v>37</v>
      </c>
      <c r="B11" s="1" t="s">
        <v>38</v>
      </c>
      <c r="C11" s="1" t="s">
        <v>22</v>
      </c>
      <c r="D11" s="1">
        <v>23</v>
      </c>
      <c r="E11" s="1" t="s">
        <v>19</v>
      </c>
      <c r="F11" s="1" t="str">
        <f>VLOOKUP(LEFT(A11,1)&amp;MID(A11,3,1),部门!$A$1:$B$5,2,0)</f>
        <v>财务部</v>
      </c>
      <c r="G11" s="1">
        <v>17</v>
      </c>
      <c r="H11" s="1">
        <v>97</v>
      </c>
      <c r="I11" s="1" t="str">
        <f t="shared" si="0"/>
        <v>A</v>
      </c>
      <c r="J11" s="1">
        <v>19</v>
      </c>
      <c r="K11" s="1">
        <f t="shared" si="1"/>
        <v>500</v>
      </c>
      <c r="L11" s="4">
        <f t="shared" si="2"/>
        <v>9580</v>
      </c>
    </row>
    <row r="12" ht="15" customHeight="1" spans="1:12">
      <c r="A12" s="1" t="s">
        <v>39</v>
      </c>
      <c r="B12" s="1" t="s">
        <v>40</v>
      </c>
      <c r="C12" s="1" t="s">
        <v>22</v>
      </c>
      <c r="D12" s="1">
        <v>30</v>
      </c>
      <c r="E12" s="1" t="s">
        <v>19</v>
      </c>
      <c r="F12" s="1" t="str">
        <f>VLOOKUP(LEFT(A12,1)&amp;MID(A12,3,1),部门!$A$1:$B$5,2,0)</f>
        <v>财务部</v>
      </c>
      <c r="G12" s="1">
        <v>3</v>
      </c>
      <c r="H12" s="1">
        <v>57</v>
      </c>
      <c r="I12" s="1" t="str">
        <f t="shared" si="0"/>
        <v>D</v>
      </c>
      <c r="J12" s="1">
        <v>19</v>
      </c>
      <c r="K12" s="1">
        <f t="shared" si="1"/>
        <v>100</v>
      </c>
      <c r="L12" s="4">
        <f t="shared" si="2"/>
        <v>9180</v>
      </c>
    </row>
    <row r="13" ht="15" customHeight="1" spans="1:12">
      <c r="A13" s="1" t="s">
        <v>41</v>
      </c>
      <c r="B13" s="1" t="s">
        <v>42</v>
      </c>
      <c r="C13" s="1" t="s">
        <v>15</v>
      </c>
      <c r="D13" s="1">
        <v>38</v>
      </c>
      <c r="E13" s="1" t="s">
        <v>29</v>
      </c>
      <c r="F13" s="1" t="str">
        <f>VLOOKUP(LEFT(A13,1)&amp;MID(A13,3,1),部门!$A$1:$B$5,2,0)</f>
        <v>财务部</v>
      </c>
      <c r="G13" s="1">
        <v>13</v>
      </c>
      <c r="H13" s="1">
        <v>89</v>
      </c>
      <c r="I13" s="1" t="str">
        <f t="shared" si="0"/>
        <v>A</v>
      </c>
      <c r="J13" s="1">
        <v>22</v>
      </c>
      <c r="K13" s="1">
        <f t="shared" si="1"/>
        <v>500</v>
      </c>
      <c r="L13" s="4">
        <f t="shared" si="2"/>
        <v>10540</v>
      </c>
    </row>
    <row r="14" ht="15" customHeight="1" spans="1:12">
      <c r="A14" s="1" t="s">
        <v>43</v>
      </c>
      <c r="B14" s="1" t="s">
        <v>44</v>
      </c>
      <c r="C14" s="1" t="s">
        <v>22</v>
      </c>
      <c r="D14" s="1">
        <v>37</v>
      </c>
      <c r="E14" s="1" t="s">
        <v>32</v>
      </c>
      <c r="F14" s="1" t="str">
        <f>VLOOKUP(LEFT(A14,1)&amp;MID(A14,3,1),部门!$A$1:$B$5,2,0)</f>
        <v>财务部</v>
      </c>
      <c r="G14" s="1">
        <v>8</v>
      </c>
      <c r="H14" s="1">
        <v>79</v>
      </c>
      <c r="I14" s="1" t="str">
        <f t="shared" si="0"/>
        <v>B</v>
      </c>
      <c r="J14" s="1">
        <v>22</v>
      </c>
      <c r="K14" s="1">
        <f t="shared" si="1"/>
        <v>300</v>
      </c>
      <c r="L14" s="4">
        <f t="shared" si="2"/>
        <v>10340</v>
      </c>
    </row>
    <row r="15" ht="15" customHeight="1" spans="1:12">
      <c r="A15" s="1" t="s">
        <v>45</v>
      </c>
      <c r="B15" s="1" t="s">
        <v>46</v>
      </c>
      <c r="C15" s="1" t="s">
        <v>15</v>
      </c>
      <c r="D15" s="1">
        <v>37</v>
      </c>
      <c r="E15" s="1" t="s">
        <v>16</v>
      </c>
      <c r="F15" s="1" t="str">
        <f>VLOOKUP(LEFT(A15,1)&amp;MID(A15,3,1),部门!$A$1:$B$5,2,0)</f>
        <v>财务部</v>
      </c>
      <c r="G15" s="1">
        <v>6</v>
      </c>
      <c r="H15" s="1">
        <v>56</v>
      </c>
      <c r="I15" s="1" t="str">
        <f t="shared" si="0"/>
        <v>D</v>
      </c>
      <c r="J15" s="1">
        <v>18</v>
      </c>
      <c r="K15" s="1">
        <f t="shared" si="1"/>
        <v>100</v>
      </c>
      <c r="L15" s="4">
        <f t="shared" si="2"/>
        <v>8860</v>
      </c>
    </row>
    <row r="16" ht="15" customHeight="1" spans="1:12">
      <c r="A16" s="1" t="s">
        <v>47</v>
      </c>
      <c r="B16" s="1" t="s">
        <v>48</v>
      </c>
      <c r="C16" s="1" t="s">
        <v>15</v>
      </c>
      <c r="D16" s="1">
        <v>35</v>
      </c>
      <c r="E16" s="1" t="s">
        <v>23</v>
      </c>
      <c r="F16" s="1" t="str">
        <f>VLOOKUP(LEFT(A16,1)&amp;MID(A16,3,1),部门!$A$1:$B$5,2,0)</f>
        <v>财务部</v>
      </c>
      <c r="G16" s="1">
        <v>28</v>
      </c>
      <c r="H16" s="1">
        <v>84</v>
      </c>
      <c r="I16" s="1" t="str">
        <f t="shared" si="0"/>
        <v>A</v>
      </c>
      <c r="J16" s="1">
        <v>20</v>
      </c>
      <c r="K16" s="1">
        <f t="shared" si="1"/>
        <v>500</v>
      </c>
      <c r="L16" s="4">
        <f t="shared" si="2"/>
        <v>9900</v>
      </c>
    </row>
    <row r="17" ht="15" customHeight="1" spans="1:12">
      <c r="A17" s="1" t="s">
        <v>49</v>
      </c>
      <c r="B17" s="1" t="s">
        <v>50</v>
      </c>
      <c r="C17" s="1" t="s">
        <v>22</v>
      </c>
      <c r="D17" s="1">
        <v>25</v>
      </c>
      <c r="E17" s="1" t="s">
        <v>26</v>
      </c>
      <c r="F17" s="1" t="str">
        <f>VLOOKUP(LEFT(A17,1)&amp;MID(A17,3,1),部门!$A$1:$B$5,2,0)</f>
        <v>销售部</v>
      </c>
      <c r="G17" s="1">
        <v>20</v>
      </c>
      <c r="H17" s="1">
        <v>69</v>
      </c>
      <c r="I17" s="1" t="str">
        <f t="shared" si="0"/>
        <v>C</v>
      </c>
      <c r="J17" s="1">
        <v>20</v>
      </c>
      <c r="K17" s="1">
        <f t="shared" si="1"/>
        <v>200</v>
      </c>
      <c r="L17" s="4">
        <f t="shared" si="2"/>
        <v>9600</v>
      </c>
    </row>
    <row r="18" ht="15" customHeight="1" spans="1:12">
      <c r="A18" s="1" t="s">
        <v>51</v>
      </c>
      <c r="B18" s="1" t="s">
        <v>52</v>
      </c>
      <c r="C18" s="1" t="s">
        <v>22</v>
      </c>
      <c r="D18" s="1">
        <v>29</v>
      </c>
      <c r="E18" s="1" t="s">
        <v>29</v>
      </c>
      <c r="F18" s="1" t="str">
        <f>VLOOKUP(LEFT(A18,1)&amp;MID(A18,3,1),部门!$A$1:$B$5,2,0)</f>
        <v>销售部</v>
      </c>
      <c r="G18" s="1">
        <v>11</v>
      </c>
      <c r="H18" s="1">
        <v>75</v>
      </c>
      <c r="I18" s="1" t="str">
        <f t="shared" si="0"/>
        <v>B</v>
      </c>
      <c r="J18" s="1">
        <v>19</v>
      </c>
      <c r="K18" s="1">
        <f t="shared" si="1"/>
        <v>300</v>
      </c>
      <c r="L18" s="4">
        <f t="shared" si="2"/>
        <v>9380</v>
      </c>
    </row>
    <row r="19" ht="15" customHeight="1" spans="1:12">
      <c r="A19" s="1" t="s">
        <v>53</v>
      </c>
      <c r="B19" s="1" t="s">
        <v>54</v>
      </c>
      <c r="C19" s="1" t="s">
        <v>15</v>
      </c>
      <c r="D19" s="1">
        <v>26</v>
      </c>
      <c r="E19" s="1" t="s">
        <v>55</v>
      </c>
      <c r="F19" s="1" t="str">
        <f>VLOOKUP(LEFT(A19,1)&amp;MID(A19,3,1),部门!$A$1:$B$5,2,0)</f>
        <v>销售部</v>
      </c>
      <c r="G19" s="1">
        <v>26</v>
      </c>
      <c r="H19" s="1">
        <v>81</v>
      </c>
      <c r="I19" s="1" t="str">
        <f t="shared" si="0"/>
        <v>A</v>
      </c>
      <c r="J19" s="1">
        <v>21</v>
      </c>
      <c r="K19" s="1">
        <f t="shared" si="1"/>
        <v>500</v>
      </c>
      <c r="L19" s="4">
        <f t="shared" si="2"/>
        <v>10220</v>
      </c>
    </row>
    <row r="20" ht="15" customHeight="1" spans="1:12">
      <c r="A20" s="1" t="s">
        <v>56</v>
      </c>
      <c r="B20" s="1" t="s">
        <v>57</v>
      </c>
      <c r="C20" s="1" t="s">
        <v>15</v>
      </c>
      <c r="D20" s="1">
        <v>31</v>
      </c>
      <c r="E20" s="1" t="s">
        <v>26</v>
      </c>
      <c r="F20" s="1" t="str">
        <f>VLOOKUP(LEFT(A20,1)&amp;MID(A20,3,1),部门!$A$1:$B$5,2,0)</f>
        <v>销售部</v>
      </c>
      <c r="G20" s="1">
        <v>19</v>
      </c>
      <c r="H20" s="1">
        <v>79</v>
      </c>
      <c r="I20" s="1" t="str">
        <f t="shared" si="0"/>
        <v>B</v>
      </c>
      <c r="J20" s="1">
        <v>19</v>
      </c>
      <c r="K20" s="1">
        <f t="shared" si="1"/>
        <v>300</v>
      </c>
      <c r="L20" s="4">
        <f t="shared" si="2"/>
        <v>9380</v>
      </c>
    </row>
    <row r="21" ht="15" customHeight="1" spans="1:12">
      <c r="A21" s="1" t="s">
        <v>58</v>
      </c>
      <c r="B21" s="1" t="s">
        <v>59</v>
      </c>
      <c r="C21" s="1" t="s">
        <v>15</v>
      </c>
      <c r="D21" s="1">
        <v>26</v>
      </c>
      <c r="E21" s="1" t="s">
        <v>60</v>
      </c>
      <c r="F21" s="1" t="str">
        <f>VLOOKUP(LEFT(A21,1)&amp;MID(A21,3,1),部门!$A$1:$B$5,2,0)</f>
        <v>销售部</v>
      </c>
      <c r="G21" s="1">
        <v>9</v>
      </c>
      <c r="H21" s="1">
        <v>78</v>
      </c>
      <c r="I21" s="1" t="str">
        <f t="shared" si="0"/>
        <v>B</v>
      </c>
      <c r="J21" s="1">
        <v>21</v>
      </c>
      <c r="K21" s="1">
        <f t="shared" si="1"/>
        <v>300</v>
      </c>
      <c r="L21" s="4">
        <f t="shared" si="2"/>
        <v>10020</v>
      </c>
    </row>
    <row r="22" ht="15" customHeight="1" spans="1:12">
      <c r="A22" s="1" t="s">
        <v>61</v>
      </c>
      <c r="B22" s="1" t="s">
        <v>62</v>
      </c>
      <c r="C22" s="1" t="s">
        <v>15</v>
      </c>
      <c r="D22" s="1">
        <v>35</v>
      </c>
      <c r="E22" s="1" t="s">
        <v>60</v>
      </c>
      <c r="F22" s="1" t="str">
        <f>VLOOKUP(LEFT(A22,1)&amp;MID(A22,3,1),部门!$A$1:$B$5,2,0)</f>
        <v>销售部</v>
      </c>
      <c r="G22" s="1">
        <v>23</v>
      </c>
      <c r="H22" s="1">
        <v>66</v>
      </c>
      <c r="I22" s="1" t="str">
        <f t="shared" si="0"/>
        <v>C</v>
      </c>
      <c r="J22" s="1">
        <v>20</v>
      </c>
      <c r="K22" s="1">
        <f t="shared" si="1"/>
        <v>200</v>
      </c>
      <c r="L22" s="4">
        <f t="shared" si="2"/>
        <v>9600</v>
      </c>
    </row>
    <row r="23" ht="15" customHeight="1" spans="1:12">
      <c r="A23" s="1" t="s">
        <v>63</v>
      </c>
      <c r="B23" s="1" t="s">
        <v>64</v>
      </c>
      <c r="C23" s="1" t="s">
        <v>15</v>
      </c>
      <c r="D23" s="1">
        <v>28</v>
      </c>
      <c r="E23" s="1" t="s">
        <v>55</v>
      </c>
      <c r="F23" s="1" t="str">
        <f>VLOOKUP(LEFT(A23,1)&amp;MID(A23,3,1),部门!$A$1:$B$5,2,0)</f>
        <v>销售部</v>
      </c>
      <c r="G23" s="1">
        <v>27</v>
      </c>
      <c r="H23" s="1">
        <v>51</v>
      </c>
      <c r="I23" s="1" t="str">
        <f t="shared" si="0"/>
        <v>D</v>
      </c>
      <c r="J23" s="1">
        <v>18</v>
      </c>
      <c r="K23" s="1">
        <f t="shared" si="1"/>
        <v>100</v>
      </c>
      <c r="L23" s="4">
        <f t="shared" si="2"/>
        <v>8860</v>
      </c>
    </row>
    <row r="24" ht="15" customHeight="1" spans="1:12">
      <c r="A24" s="1" t="s">
        <v>65</v>
      </c>
      <c r="B24" s="1" t="s">
        <v>66</v>
      </c>
      <c r="C24" s="1" t="s">
        <v>15</v>
      </c>
      <c r="D24" s="1">
        <v>38</v>
      </c>
      <c r="E24" s="1" t="s">
        <v>32</v>
      </c>
      <c r="F24" s="1" t="str">
        <f>VLOOKUP(LEFT(A24,1)&amp;MID(A24,3,1),部门!$A$1:$B$5,2,0)</f>
        <v>销售部</v>
      </c>
      <c r="G24" s="1">
        <v>7</v>
      </c>
      <c r="H24" s="1">
        <v>62</v>
      </c>
      <c r="I24" s="1" t="str">
        <f t="shared" si="0"/>
        <v>C</v>
      </c>
      <c r="J24" s="1">
        <v>23</v>
      </c>
      <c r="K24" s="1">
        <f t="shared" si="1"/>
        <v>200</v>
      </c>
      <c r="L24" s="4">
        <f t="shared" si="2"/>
        <v>10560</v>
      </c>
    </row>
    <row r="25" ht="15" customHeight="1" spans="1:12">
      <c r="A25" s="1" t="s">
        <v>67</v>
      </c>
      <c r="B25" s="1" t="s">
        <v>68</v>
      </c>
      <c r="C25" s="1" t="s">
        <v>22</v>
      </c>
      <c r="D25" s="1">
        <v>28</v>
      </c>
      <c r="E25" s="1" t="s">
        <v>69</v>
      </c>
      <c r="F25" s="1" t="str">
        <f>VLOOKUP(LEFT(A25,1)&amp;MID(A25,3,1),部门!$A$1:$B$5,2,0)</f>
        <v>管理部</v>
      </c>
      <c r="G25" s="1">
        <v>18</v>
      </c>
      <c r="H25" s="1">
        <v>93</v>
      </c>
      <c r="I25" s="1" t="str">
        <f t="shared" si="0"/>
        <v>A</v>
      </c>
      <c r="J25" s="1">
        <v>24</v>
      </c>
      <c r="K25" s="1">
        <f t="shared" si="1"/>
        <v>500</v>
      </c>
      <c r="L25" s="4">
        <f t="shared" si="2"/>
        <v>11180</v>
      </c>
    </row>
    <row r="26" ht="15" customHeight="1" spans="1:12">
      <c r="A26" s="1" t="s">
        <v>70</v>
      </c>
      <c r="B26" s="1" t="s">
        <v>71</v>
      </c>
      <c r="C26" s="1" t="s">
        <v>15</v>
      </c>
      <c r="D26" s="1">
        <v>32</v>
      </c>
      <c r="E26" s="1" t="s">
        <v>16</v>
      </c>
      <c r="F26" s="1" t="str">
        <f>VLOOKUP(LEFT(A26,1)&amp;MID(A26,3,1),部门!$A$1:$B$5,2,0)</f>
        <v>管理部</v>
      </c>
      <c r="G26" s="1">
        <v>5</v>
      </c>
      <c r="H26" s="1">
        <v>62</v>
      </c>
      <c r="I26" s="1" t="str">
        <f t="shared" si="0"/>
        <v>C</v>
      </c>
      <c r="J26" s="1">
        <v>23</v>
      </c>
      <c r="K26" s="1">
        <f t="shared" si="1"/>
        <v>200</v>
      </c>
      <c r="L26" s="4">
        <f t="shared" si="2"/>
        <v>10560</v>
      </c>
    </row>
    <row r="27" ht="15" customHeight="1" spans="1:12">
      <c r="A27" s="1" t="s">
        <v>72</v>
      </c>
      <c r="B27" s="1" t="s">
        <v>73</v>
      </c>
      <c r="C27" s="1" t="s">
        <v>22</v>
      </c>
      <c r="D27" s="1">
        <v>23</v>
      </c>
      <c r="E27" s="1" t="s">
        <v>60</v>
      </c>
      <c r="F27" s="1" t="str">
        <f>VLOOKUP(LEFT(A27,1)&amp;MID(A27,3,1),部门!$A$1:$B$5,2,0)</f>
        <v>管理部</v>
      </c>
      <c r="G27" s="1">
        <v>16</v>
      </c>
      <c r="H27" s="1">
        <v>98</v>
      </c>
      <c r="I27" s="1" t="str">
        <f t="shared" si="0"/>
        <v>A</v>
      </c>
      <c r="J27" s="1">
        <v>20</v>
      </c>
      <c r="K27" s="1">
        <f t="shared" si="1"/>
        <v>500</v>
      </c>
      <c r="L27" s="4">
        <f t="shared" si="2"/>
        <v>9900</v>
      </c>
    </row>
    <row r="28" ht="15" customHeight="1" spans="1:12">
      <c r="A28" s="1" t="s">
        <v>74</v>
      </c>
      <c r="B28" s="1" t="s">
        <v>75</v>
      </c>
      <c r="C28" s="1" t="s">
        <v>22</v>
      </c>
      <c r="D28" s="1">
        <v>31</v>
      </c>
      <c r="E28" s="1" t="s">
        <v>32</v>
      </c>
      <c r="F28" s="1" t="str">
        <f>VLOOKUP(LEFT(A28,1)&amp;MID(A28,3,1),部门!$A$1:$B$5,2,0)</f>
        <v>管理部</v>
      </c>
      <c r="G28" s="1">
        <v>25</v>
      </c>
      <c r="H28" s="1">
        <v>64</v>
      </c>
      <c r="I28" s="1" t="str">
        <f t="shared" si="0"/>
        <v>C</v>
      </c>
      <c r="J28" s="1">
        <v>24</v>
      </c>
      <c r="K28" s="1">
        <f t="shared" si="1"/>
        <v>200</v>
      </c>
      <c r="L28" s="4">
        <f t="shared" si="2"/>
        <v>10880</v>
      </c>
    </row>
    <row r="29" ht="15" customHeight="1" spans="1:12">
      <c r="A29" s="1" t="s">
        <v>76</v>
      </c>
      <c r="B29" s="1" t="s">
        <v>77</v>
      </c>
      <c r="C29" s="1" t="s">
        <v>15</v>
      </c>
      <c r="D29" s="1">
        <v>28</v>
      </c>
      <c r="E29" s="1" t="s">
        <v>16</v>
      </c>
      <c r="F29" s="1" t="str">
        <f>VLOOKUP(LEFT(A29,1)&amp;MID(A29,3,1),部门!$A$1:$B$5,2,0)</f>
        <v>管理部</v>
      </c>
      <c r="G29" s="1">
        <v>24</v>
      </c>
      <c r="H29" s="1">
        <v>91</v>
      </c>
      <c r="I29" s="1" t="str">
        <f t="shared" si="0"/>
        <v>A</v>
      </c>
      <c r="J29" s="1">
        <v>18</v>
      </c>
      <c r="K29" s="1">
        <f t="shared" si="1"/>
        <v>500</v>
      </c>
      <c r="L29" s="4">
        <f t="shared" si="2"/>
        <v>9260</v>
      </c>
    </row>
    <row r="30" ht="15" customHeight="1" spans="1:12">
      <c r="A30" s="1" t="s">
        <v>78</v>
      </c>
      <c r="B30" s="1" t="s">
        <v>79</v>
      </c>
      <c r="C30" s="1" t="s">
        <v>15</v>
      </c>
      <c r="D30" s="1">
        <v>30</v>
      </c>
      <c r="E30" s="1" t="s">
        <v>80</v>
      </c>
      <c r="F30" s="1" t="str">
        <f>VLOOKUP(LEFT(A30,1)&amp;MID(A30,3,1),部门!$A$1:$B$5,2,0)</f>
        <v>管理部</v>
      </c>
      <c r="G30" s="1">
        <v>12</v>
      </c>
      <c r="H30" s="1">
        <v>58</v>
      </c>
      <c r="I30" s="1" t="str">
        <f t="shared" si="0"/>
        <v>D</v>
      </c>
      <c r="J30" s="1">
        <v>21</v>
      </c>
      <c r="K30" s="1">
        <f t="shared" si="1"/>
        <v>100</v>
      </c>
      <c r="L30" s="4">
        <f t="shared" si="2"/>
        <v>9820</v>
      </c>
    </row>
    <row r="31" ht="15" customHeight="1" spans="1:12">
      <c r="A31" s="1" t="s">
        <v>81</v>
      </c>
      <c r="B31" s="1" t="s">
        <v>82</v>
      </c>
      <c r="C31" s="1" t="s">
        <v>15</v>
      </c>
      <c r="D31" s="1">
        <v>33</v>
      </c>
      <c r="E31" s="1" t="s">
        <v>29</v>
      </c>
      <c r="F31" s="1" t="str">
        <f>VLOOKUP(LEFT(A31,1)&amp;MID(A31,3,1),部门!$A$1:$B$5,2,0)</f>
        <v>管理部</v>
      </c>
      <c r="G31" s="1">
        <v>14</v>
      </c>
      <c r="H31" s="1">
        <v>50</v>
      </c>
      <c r="I31" s="1" t="str">
        <f t="shared" si="0"/>
        <v>D</v>
      </c>
      <c r="J31" s="1">
        <v>18</v>
      </c>
      <c r="K31" s="1">
        <f t="shared" si="1"/>
        <v>100</v>
      </c>
      <c r="L31" s="4">
        <f t="shared" si="2"/>
        <v>8860</v>
      </c>
    </row>
  </sheetData>
  <sortState ref="N33:O61">
    <sortCondition ref="O33"/>
  </sortState>
  <mergeCells count="1">
    <mergeCell ref="A1:L1"/>
  </mergeCells>
  <conditionalFormatting sqref="K3:K31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{bf973725-8df5-4079-b2cc-e24e3fda10ca}</x14:id>
        </ext>
      </extLst>
    </cfRule>
  </conditionalFormatting>
  <printOptions horizontalCentered="1" verticalCentered="1"/>
  <pageMargins left="0.700694444444445" right="0.700694444444445" top="0.751388888888889" bottom="0.751388888888889" header="0.298611111111111" footer="0.298611111111111"/>
  <pageSetup paperSize="9" orientation="landscape" horizontalDpi="600"/>
  <headerFooter>
    <oddFooter>&amp;C第 &amp;P 页，共 &amp;N 页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f973725-8df5-4079-b2cc-e24e3fda10c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K3:K31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F13" sqref="F13"/>
    </sheetView>
  </sheetViews>
  <sheetFormatPr defaultColWidth="9" defaultRowHeight="13.5" outlineLevelRow="4" outlineLevelCol="1"/>
  <sheetData>
    <row r="1" spans="1:2">
      <c r="A1" s="1" t="s">
        <v>1</v>
      </c>
      <c r="B1" s="1" t="s">
        <v>6</v>
      </c>
    </row>
    <row r="2" spans="1:2">
      <c r="A2" s="1" t="s">
        <v>83</v>
      </c>
      <c r="B2" s="1" t="s">
        <v>84</v>
      </c>
    </row>
    <row r="3" spans="1:2">
      <c r="A3" s="1" t="s">
        <v>85</v>
      </c>
      <c r="B3" s="1" t="s">
        <v>86</v>
      </c>
    </row>
    <row r="4" spans="1:2">
      <c r="A4" s="1" t="s">
        <v>87</v>
      </c>
      <c r="B4" s="1" t="s">
        <v>88</v>
      </c>
    </row>
    <row r="5" spans="1:2">
      <c r="A5" s="1" t="s">
        <v>89</v>
      </c>
      <c r="B5" s="1" t="s">
        <v>90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H14"/>
  <sheetViews>
    <sheetView workbookViewId="0">
      <selection activeCell="D6" sqref="D6"/>
    </sheetView>
  </sheetViews>
  <sheetFormatPr defaultColWidth="9" defaultRowHeight="13.5" outlineLevelCol="7"/>
  <cols>
    <col min="3" max="3" width="12.875"/>
    <col min="4" max="7" width="7.125"/>
    <col min="8" max="8" width="7.375"/>
    <col min="9" max="9" width="12.625"/>
    <col min="10" max="10" width="18.25"/>
    <col min="11" max="12" width="14.5833333333333"/>
    <col min="13" max="13" width="18.25"/>
    <col min="14" max="16" width="14.5833333333333"/>
    <col min="17" max="17" width="18.25"/>
    <col min="18" max="19" width="14.5833333333333"/>
    <col min="20" max="20" width="18.25"/>
    <col min="21" max="22" width="14.5833333333333"/>
    <col min="23" max="23" width="18.25"/>
    <col min="24" max="25" width="14.5833333333333"/>
    <col min="26" max="26" width="18.25"/>
    <col min="27" max="29" width="14.5833333333333"/>
    <col min="30" max="30" width="18.25"/>
    <col min="31" max="33" width="14.5833333333333"/>
    <col min="34" max="34" width="18.25"/>
    <col min="35" max="35" width="12.625"/>
  </cols>
  <sheetData>
    <row r="2" spans="3:4">
      <c r="C2" t="s">
        <v>91</v>
      </c>
      <c r="D2" t="s">
        <v>6</v>
      </c>
    </row>
    <row r="3" spans="3:8">
      <c r="C3" t="s">
        <v>5</v>
      </c>
      <c r="D3" t="s">
        <v>84</v>
      </c>
      <c r="E3" t="s">
        <v>88</v>
      </c>
      <c r="F3" t="s">
        <v>90</v>
      </c>
      <c r="G3" t="s">
        <v>86</v>
      </c>
      <c r="H3" t="s">
        <v>92</v>
      </c>
    </row>
    <row r="4" spans="3:8">
      <c r="C4" t="s">
        <v>55</v>
      </c>
      <c r="E4">
        <v>19080</v>
      </c>
      <c r="H4">
        <v>19080</v>
      </c>
    </row>
    <row r="5" spans="3:8">
      <c r="C5" t="s">
        <v>80</v>
      </c>
      <c r="F5">
        <v>9820</v>
      </c>
      <c r="H5">
        <v>9820</v>
      </c>
    </row>
    <row r="6" spans="3:8">
      <c r="C6" t="s">
        <v>69</v>
      </c>
      <c r="F6">
        <v>11180</v>
      </c>
      <c r="H6">
        <v>11180</v>
      </c>
    </row>
    <row r="7" spans="3:8">
      <c r="C7" t="s">
        <v>32</v>
      </c>
      <c r="E7">
        <v>10560</v>
      </c>
      <c r="F7">
        <v>10880</v>
      </c>
      <c r="G7">
        <v>20680</v>
      </c>
      <c r="H7">
        <v>42120</v>
      </c>
    </row>
    <row r="8" spans="3:8">
      <c r="C8" t="s">
        <v>16</v>
      </c>
      <c r="D8">
        <v>9920</v>
      </c>
      <c r="F8">
        <v>19820</v>
      </c>
      <c r="G8">
        <v>8860</v>
      </c>
      <c r="H8">
        <v>38600</v>
      </c>
    </row>
    <row r="9" spans="3:8">
      <c r="C9" t="s">
        <v>19</v>
      </c>
      <c r="D9">
        <v>10540</v>
      </c>
      <c r="G9">
        <v>28900</v>
      </c>
      <c r="H9">
        <v>39440</v>
      </c>
    </row>
    <row r="10" spans="3:8">
      <c r="C10" t="s">
        <v>26</v>
      </c>
      <c r="D10">
        <v>9920</v>
      </c>
      <c r="E10">
        <v>18980</v>
      </c>
      <c r="H10">
        <v>28900</v>
      </c>
    </row>
    <row r="11" spans="3:8">
      <c r="C11" t="s">
        <v>23</v>
      </c>
      <c r="D11">
        <v>10880</v>
      </c>
      <c r="G11">
        <v>9900</v>
      </c>
      <c r="H11">
        <v>20780</v>
      </c>
    </row>
    <row r="12" spans="3:8">
      <c r="C12" t="s">
        <v>60</v>
      </c>
      <c r="E12">
        <v>19620</v>
      </c>
      <c r="F12">
        <v>9900</v>
      </c>
      <c r="H12">
        <v>29520</v>
      </c>
    </row>
    <row r="13" spans="3:8">
      <c r="C13" t="s">
        <v>29</v>
      </c>
      <c r="D13">
        <v>11180</v>
      </c>
      <c r="E13">
        <v>9380</v>
      </c>
      <c r="F13">
        <v>8860</v>
      </c>
      <c r="G13">
        <v>20440</v>
      </c>
      <c r="H13">
        <v>49860</v>
      </c>
    </row>
    <row r="14" spans="3:8">
      <c r="C14" t="s">
        <v>92</v>
      </c>
      <c r="D14">
        <v>52440</v>
      </c>
      <c r="E14">
        <v>77620</v>
      </c>
      <c r="F14">
        <v>70460</v>
      </c>
      <c r="G14">
        <v>88780</v>
      </c>
      <c r="H14">
        <v>289300</v>
      </c>
    </row>
  </sheetData>
  <pageMargins left="0.7" right="0.7" top="0.75" bottom="0.75" header="0.3" footer="0.3"/>
  <pageSetup paperSize="9" orientation="portrait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员工信息</vt:lpstr>
      <vt:lpstr>部门</vt:lpstr>
      <vt:lpstr>数据表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2023-05-12T11:15:00Z</dcterms:created>
  <dcterms:modified xsi:type="dcterms:W3CDTF">2025-10-21T07:01:54Z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
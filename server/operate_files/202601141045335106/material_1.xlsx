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销售记录" sheetId="1" r:id="rId1"/>
    <sheet name="筛选" sheetId="2" r:id="rId2"/>
    <sheet name="Sheet3" sheetId="3" r:id="rId3"/>
  </sheets>
  <definedNames>
    <definedName name="_xlnm._FilterDatabase" localSheetId="1" hidden="1">筛选!$A$1:$I$31</definedName>
    <definedName name="ExternalData_1" localSheetId="0">销售记录!$A$2:$I$31</definedName>
  </definedNames>
  <calcPr calcId="144525"/>
  <pivotCaches>
    <pivotCache cacheId="0" r:id="rId5"/>
  </pivotCaches>
</workbook>
</file>

<file path=xl/connections.xml><?xml version="1.0" encoding="utf-8"?>
<connections xmlns="http://schemas.openxmlformats.org/spreadsheetml/2006/main">
  <connection id="1" name="数据源" type="6" background="1" refreshedVersion="2" saveData="1">
    <textPr sourceFile="C:\Users\25472\Desktop\题目\excel\2025\46-月销售记录-已录\数据源.txt">
      <textFields>
        <textField/>
      </textFields>
    </textPr>
  </connection>
</connections>
</file>

<file path=xl/sharedStrings.xml><?xml version="1.0" encoding="utf-8"?>
<sst xmlns="http://schemas.openxmlformats.org/spreadsheetml/2006/main" count="283" uniqueCount="29">
  <si>
    <t>太成销售记录表</t>
  </si>
  <si>
    <t>编号</t>
  </si>
  <si>
    <t>日期</t>
  </si>
  <si>
    <t>季度</t>
  </si>
  <si>
    <t>销售店</t>
  </si>
  <si>
    <t>产品名称</t>
  </si>
  <si>
    <t>单位</t>
  </si>
  <si>
    <t>单价</t>
  </si>
  <si>
    <t>销售量</t>
  </si>
  <si>
    <t>销售额</t>
  </si>
  <si>
    <t>平均销售额</t>
  </si>
  <si>
    <t>打印机</t>
  </si>
  <si>
    <t>DYJ-01</t>
  </si>
  <si>
    <t>城东店</t>
  </si>
  <si>
    <t>台</t>
  </si>
  <si>
    <t>笔记本</t>
  </si>
  <si>
    <t>TSDN-01</t>
  </si>
  <si>
    <t>城西店</t>
  </si>
  <si>
    <t>台式电脑</t>
  </si>
  <si>
    <t>传真机</t>
  </si>
  <si>
    <t>BJP-01</t>
  </si>
  <si>
    <t>城南店</t>
  </si>
  <si>
    <t>CZJ-01</t>
  </si>
  <si>
    <t>城北店</t>
  </si>
  <si>
    <t>扫描仪</t>
  </si>
  <si>
    <t>SMY-01</t>
  </si>
  <si>
    <t>交易季度</t>
  </si>
  <si>
    <t>总销售额</t>
  </si>
  <si>
    <t>总计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</si>
</sst>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[DBNum2][$RMB]General;[Red][DBNum2][$RMB]General"/>
    <numFmt numFmtId="178" formatCode="#,##0.00_ "/>
    <numFmt numFmtId="179" formatCode="[DBNum2][$RMB]General;[Red][DBNum2][$RMB]General"/>
  </numFmts>
  <fonts count="22">
    <font>
      <sz val="11"/>
      <color theme="1"/>
      <name val="宋体"/>
      <charset val="134"/>
      <scheme val="minor"/>
    </font>
    <font>
      <sz val="20"/>
      <color theme="0"/>
      <name val="黑体"/>
      <charset val="134"/>
    </font>
    <font>
      <sz val="14"/>
      <color rgb="FFFFFF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各产品平均销售额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销售记录!$M$2</c:f>
              <c:strCache>
                <c:ptCount val="1"/>
                <c:pt idx="0">
                  <c:v>平均销售额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销售记录!$L$3:$L$7</c:f>
              <c:strCache>
                <c:ptCount val="5"/>
                <c:pt idx="0">
                  <c:v>笔记本</c:v>
                </c:pt>
                <c:pt idx="1">
                  <c:v>传真机</c:v>
                </c:pt>
                <c:pt idx="2">
                  <c:v>打印机</c:v>
                </c:pt>
                <c:pt idx="3">
                  <c:v>扫描仪</c:v>
                </c:pt>
                <c:pt idx="4">
                  <c:v>台式电脑</c:v>
                </c:pt>
              </c:strCache>
            </c:strRef>
          </c:cat>
          <c:val>
            <c:numRef>
              <c:f>销售记录!$M$3:$M$7</c:f>
              <c:numCache>
                <c:formatCode>#,##0.00_ </c:formatCode>
                <c:ptCount val="5"/>
                <c:pt idx="0">
                  <c:v>19980</c:v>
                </c:pt>
                <c:pt idx="1">
                  <c:v>5485.71428571429</c:v>
                </c:pt>
                <c:pt idx="2">
                  <c:v>16290</c:v>
                </c:pt>
                <c:pt idx="3">
                  <c:v>37380</c:v>
                </c:pt>
                <c:pt idx="4">
                  <c:v>17200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901784522"/>
        <c:axId val="193736532"/>
      </c:barChart>
      <c:catAx>
        <c:axId val="90178452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3736532"/>
        <c:crosses val="autoZero"/>
        <c:auto val="1"/>
        <c:lblAlgn val="ctr"/>
        <c:lblOffset val="100"/>
        <c:noMultiLvlLbl val="0"/>
      </c:catAx>
      <c:valAx>
        <c:axId val="193736532"/>
        <c:scaling>
          <c:orientation val="minMax"/>
        </c:scaling>
        <c:delete val="1"/>
        <c:axPos val="l"/>
        <c:numFmt formatCode="#,##0.00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17845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22225</xdr:colOff>
      <xdr:row>10</xdr:row>
      <xdr:rowOff>38100</xdr:rowOff>
    </xdr:from>
    <xdr:to>
      <xdr:col>16</xdr:col>
      <xdr:colOff>542925</xdr:colOff>
      <xdr:row>26</xdr:row>
      <xdr:rowOff>38100</xdr:rowOff>
    </xdr:to>
    <xdr:graphicFrame>
      <xdr:nvGraphicFramePr>
        <xdr:cNvPr id="2" name="图表 1"/>
        <xdr:cNvGraphicFramePr/>
      </xdr:nvGraphicFramePr>
      <xdr:xfrm>
        <a:off x="9490075" y="1981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6.4447800926" refreshedBy="25472" recordCount="29">
  <cacheSource type="worksheet">
    <worksheetSource ref="A2:I31" sheet="销售记录"/>
  </cacheSource>
  <cacheFields count="9">
    <cacheField name="编号" numFmtId="0">
      <sharedItems count="5">
        <s v="DYJ-01"/>
        <s v="TSDN-01"/>
        <s v="BJP-01"/>
        <s v="CZJ-01"/>
        <s v="SMY-01"/>
      </sharedItems>
    </cacheField>
    <cacheField name="日期" numFmtId="176">
      <sharedItems containsSemiMixedTypes="0" containsString="0" containsNonDate="0" containsDate="1" minDate="2007-01-01T00:00:00" maxDate="2007-12-08T00:00:00" count="25">
        <d v="2007-01-01T00:00:00"/>
        <d v="2007-03-01T00:00:00"/>
        <d v="2007-05-02T00:00:00"/>
        <d v="2007-01-02T00:00:00"/>
        <d v="2007-08-03T00:00:00"/>
        <d v="2007-12-03T00:00:00"/>
        <d v="2007-11-03T00:00:00"/>
        <d v="2007-10-04T00:00:00"/>
        <d v="2007-05-05T00:00:00"/>
        <d v="2007-06-05T00:00:00"/>
        <d v="2007-08-06T00:00:00"/>
        <d v="2007-09-06T00:00:00"/>
        <d v="2007-09-07T00:00:00"/>
        <d v="2007-04-07T00:00:00"/>
        <d v="2007-07-08T00:00:00"/>
        <d v="2007-12-08T00:00:00"/>
        <d v="2007-08-09T00:00:00"/>
        <d v="2007-11-09T00:00:00"/>
        <d v="2007-04-09T00:00:00"/>
        <d v="2007-03-10T00:00:00"/>
        <d v="2007-05-10T00:00:00"/>
        <d v="2007-09-11T00:00:00"/>
        <d v="2007-07-11T00:00:00"/>
        <d v="2007-01-12T00:00:00"/>
        <d v="2007-03-12T00:00:00"/>
      </sharedItems>
    </cacheField>
    <cacheField name="交易季度" numFmtId="0">
      <sharedItems containsSemiMixedTypes="0" containsString="0" containsNumber="1" containsInteger="1" minValue="0" maxValue="4" count="4">
        <n v="1"/>
        <n v="2"/>
        <n v="3"/>
        <n v="4"/>
      </sharedItems>
    </cacheField>
    <cacheField name="销售店" numFmtId="0">
      <sharedItems count="4">
        <s v="城东店"/>
        <s v="城西店"/>
        <s v="城南店"/>
        <s v="城北店"/>
      </sharedItems>
    </cacheField>
    <cacheField name="产品名称" numFmtId="0">
      <sharedItems count="5">
        <s v="打印机"/>
        <s v="台式电脑"/>
        <s v="笔记本"/>
        <s v="传真机"/>
        <s v="扫描仪"/>
      </sharedItems>
    </cacheField>
    <cacheField name="单位" numFmtId="0">
      <sharedItems count="1">
        <s v="台"/>
      </sharedItems>
    </cacheField>
    <cacheField name="单价" numFmtId="0">
      <sharedItems containsSemiMixedTypes="0" containsString="0" containsNumber="1" containsInteger="1" minValue="0" maxValue="9990" count="6">
        <n v="3660"/>
        <n v="4800"/>
        <n v="9990"/>
        <n v="1600"/>
        <n v="8900"/>
        <n v="3600"/>
      </sharedItems>
    </cacheField>
    <cacheField name="销售量" numFmtId="0">
      <sharedItems containsSemiMixedTypes="0" containsString="0" containsNumber="1" containsInteger="1" minValue="0" maxValue="7" count="7">
        <n v="3"/>
        <n v="2"/>
        <n v="1"/>
        <n v="5"/>
        <n v="6"/>
        <n v="4"/>
        <n v="7"/>
      </sharedItems>
    </cacheField>
    <cacheField name="销售额" numFmtId="179">
      <sharedItems containsSemiMixedTypes="0" containsString="0" containsNumber="1" containsInteger="1" minValue="0" maxValue="62300" count="18">
        <n v="10980"/>
        <n v="9600"/>
        <n v="9990"/>
        <n v="4800"/>
        <n v="17800"/>
        <n v="24000"/>
        <n v="21600"/>
        <n v="6400"/>
        <n v="14400"/>
        <n v="3200"/>
        <n v="35600"/>
        <n v="19200"/>
        <n v="1600"/>
        <n v="62300"/>
        <n v="53400"/>
        <n v="39960"/>
        <n v="8000"/>
        <n v="288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0"/>
    <x v="0"/>
    <x v="0"/>
    <x v="0"/>
    <x v="0"/>
    <x v="0"/>
    <x v="0"/>
    <x v="0"/>
    <x v="0"/>
  </r>
  <r>
    <x v="1"/>
    <x v="1"/>
    <x v="0"/>
    <x v="1"/>
    <x v="1"/>
    <x v="0"/>
    <x v="1"/>
    <x v="1"/>
    <x v="1"/>
  </r>
  <r>
    <x v="2"/>
    <x v="1"/>
    <x v="0"/>
    <x v="2"/>
    <x v="2"/>
    <x v="0"/>
    <x v="2"/>
    <x v="2"/>
    <x v="2"/>
  </r>
  <r>
    <x v="3"/>
    <x v="2"/>
    <x v="1"/>
    <x v="3"/>
    <x v="3"/>
    <x v="0"/>
    <x v="3"/>
    <x v="0"/>
    <x v="3"/>
  </r>
  <r>
    <x v="4"/>
    <x v="3"/>
    <x v="0"/>
    <x v="2"/>
    <x v="4"/>
    <x v="0"/>
    <x v="4"/>
    <x v="1"/>
    <x v="4"/>
  </r>
  <r>
    <x v="1"/>
    <x v="4"/>
    <x v="2"/>
    <x v="0"/>
    <x v="1"/>
    <x v="0"/>
    <x v="1"/>
    <x v="3"/>
    <x v="5"/>
  </r>
  <r>
    <x v="0"/>
    <x v="5"/>
    <x v="3"/>
    <x v="2"/>
    <x v="0"/>
    <x v="0"/>
    <x v="5"/>
    <x v="4"/>
    <x v="6"/>
  </r>
  <r>
    <x v="3"/>
    <x v="6"/>
    <x v="3"/>
    <x v="1"/>
    <x v="3"/>
    <x v="0"/>
    <x v="3"/>
    <x v="5"/>
    <x v="7"/>
  </r>
  <r>
    <x v="1"/>
    <x v="7"/>
    <x v="3"/>
    <x v="3"/>
    <x v="1"/>
    <x v="0"/>
    <x v="1"/>
    <x v="0"/>
    <x v="8"/>
  </r>
  <r>
    <x v="3"/>
    <x v="7"/>
    <x v="3"/>
    <x v="2"/>
    <x v="3"/>
    <x v="0"/>
    <x v="3"/>
    <x v="0"/>
    <x v="3"/>
  </r>
  <r>
    <x v="1"/>
    <x v="8"/>
    <x v="1"/>
    <x v="1"/>
    <x v="1"/>
    <x v="0"/>
    <x v="1"/>
    <x v="3"/>
    <x v="5"/>
  </r>
  <r>
    <x v="2"/>
    <x v="9"/>
    <x v="1"/>
    <x v="3"/>
    <x v="2"/>
    <x v="0"/>
    <x v="2"/>
    <x v="2"/>
    <x v="2"/>
  </r>
  <r>
    <x v="1"/>
    <x v="9"/>
    <x v="1"/>
    <x v="2"/>
    <x v="1"/>
    <x v="0"/>
    <x v="1"/>
    <x v="0"/>
    <x v="8"/>
  </r>
  <r>
    <x v="3"/>
    <x v="10"/>
    <x v="2"/>
    <x v="0"/>
    <x v="3"/>
    <x v="0"/>
    <x v="3"/>
    <x v="1"/>
    <x v="9"/>
  </r>
  <r>
    <x v="4"/>
    <x v="11"/>
    <x v="2"/>
    <x v="1"/>
    <x v="4"/>
    <x v="0"/>
    <x v="4"/>
    <x v="5"/>
    <x v="10"/>
  </r>
  <r>
    <x v="1"/>
    <x v="12"/>
    <x v="2"/>
    <x v="0"/>
    <x v="1"/>
    <x v="0"/>
    <x v="1"/>
    <x v="0"/>
    <x v="8"/>
  </r>
  <r>
    <x v="4"/>
    <x v="13"/>
    <x v="1"/>
    <x v="2"/>
    <x v="4"/>
    <x v="0"/>
    <x v="4"/>
    <x v="1"/>
    <x v="4"/>
  </r>
  <r>
    <x v="1"/>
    <x v="14"/>
    <x v="2"/>
    <x v="0"/>
    <x v="1"/>
    <x v="0"/>
    <x v="1"/>
    <x v="5"/>
    <x v="11"/>
  </r>
  <r>
    <x v="1"/>
    <x v="15"/>
    <x v="3"/>
    <x v="2"/>
    <x v="1"/>
    <x v="0"/>
    <x v="1"/>
    <x v="1"/>
    <x v="1"/>
  </r>
  <r>
    <x v="3"/>
    <x v="16"/>
    <x v="2"/>
    <x v="1"/>
    <x v="3"/>
    <x v="0"/>
    <x v="3"/>
    <x v="2"/>
    <x v="12"/>
  </r>
  <r>
    <x v="1"/>
    <x v="17"/>
    <x v="3"/>
    <x v="3"/>
    <x v="1"/>
    <x v="0"/>
    <x v="1"/>
    <x v="0"/>
    <x v="8"/>
  </r>
  <r>
    <x v="3"/>
    <x v="18"/>
    <x v="1"/>
    <x v="0"/>
    <x v="3"/>
    <x v="0"/>
    <x v="3"/>
    <x v="4"/>
    <x v="1"/>
  </r>
  <r>
    <x v="1"/>
    <x v="19"/>
    <x v="0"/>
    <x v="1"/>
    <x v="1"/>
    <x v="0"/>
    <x v="1"/>
    <x v="1"/>
    <x v="1"/>
  </r>
  <r>
    <x v="4"/>
    <x v="20"/>
    <x v="1"/>
    <x v="3"/>
    <x v="4"/>
    <x v="0"/>
    <x v="4"/>
    <x v="6"/>
    <x v="13"/>
  </r>
  <r>
    <x v="1"/>
    <x v="21"/>
    <x v="2"/>
    <x v="2"/>
    <x v="1"/>
    <x v="0"/>
    <x v="1"/>
    <x v="3"/>
    <x v="5"/>
  </r>
  <r>
    <x v="4"/>
    <x v="22"/>
    <x v="2"/>
    <x v="0"/>
    <x v="4"/>
    <x v="0"/>
    <x v="4"/>
    <x v="4"/>
    <x v="14"/>
  </r>
  <r>
    <x v="2"/>
    <x v="22"/>
    <x v="2"/>
    <x v="3"/>
    <x v="2"/>
    <x v="0"/>
    <x v="2"/>
    <x v="5"/>
    <x v="15"/>
  </r>
  <r>
    <x v="3"/>
    <x v="23"/>
    <x v="0"/>
    <x v="1"/>
    <x v="3"/>
    <x v="0"/>
    <x v="3"/>
    <x v="3"/>
    <x v="16"/>
  </r>
  <r>
    <x v="1"/>
    <x v="24"/>
    <x v="0"/>
    <x v="0"/>
    <x v="1"/>
    <x v="0"/>
    <x v="1"/>
    <x v="4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B2:D23" firstHeaderRow="1" firstDataRow="1" firstDataCol="2"/>
  <pivotFields count="9">
    <pivotField compact="0" showAll="0">
      <items count="6">
        <item x="2"/>
        <item x="3"/>
        <item x="0"/>
        <item x="4"/>
        <item x="1"/>
        <item t="default"/>
      </items>
    </pivotField>
    <pivotField compact="0" numFmtId="176" showAll="0"/>
    <pivotField compact="0" showAll="0"/>
    <pivotField axis="axisRow" compact="0" showAll="0">
      <items count="5">
        <item x="3"/>
        <item x="0"/>
        <item x="2"/>
        <item x="1"/>
        <item t="default"/>
      </items>
    </pivotField>
    <pivotField axis="axisRow" compact="0" showAll="0">
      <items count="6">
        <item x="2"/>
        <item x="3"/>
        <item x="0"/>
        <item x="4"/>
        <item x="1"/>
        <item t="default"/>
      </items>
    </pivotField>
    <pivotField compact="0" showAll="0"/>
    <pivotField compact="0" showAll="0"/>
    <pivotField compact="0" showAll="0"/>
    <pivotField dataField="1" compact="0" numFmtId="177" showAll="0">
      <items count="19">
        <item x="12"/>
        <item x="9"/>
        <item x="3"/>
        <item x="7"/>
        <item x="16"/>
        <item x="1"/>
        <item x="2"/>
        <item x="0"/>
        <item x="8"/>
        <item x="4"/>
        <item x="11"/>
        <item x="6"/>
        <item x="5"/>
        <item x="17"/>
        <item x="10"/>
        <item x="15"/>
        <item x="14"/>
        <item x="13"/>
        <item t="default"/>
      </items>
    </pivotField>
  </pivotFields>
  <rowFields count="2">
    <field x="3"/>
    <field x="4"/>
  </rowFields>
  <rowItems count="21">
    <i>
      <x/>
    </i>
    <i r="1">
      <x/>
    </i>
    <i r="1">
      <x v="1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 v="1"/>
    </i>
    <i r="1">
      <x v="3"/>
    </i>
    <i r="1">
      <x v="4"/>
    </i>
    <i t="grand">
      <x/>
    </i>
  </rowItems>
  <colItems count="1">
    <i/>
  </colItems>
  <dataFields count="1">
    <dataField name="总销售额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O31"/>
  <sheetViews>
    <sheetView tabSelected="1" workbookViewId="0">
      <selection activeCell="D9" sqref="D9"/>
    </sheetView>
  </sheetViews>
  <sheetFormatPr defaultColWidth="9" defaultRowHeight="13.5"/>
  <cols>
    <col min="1" max="1" width="10.5" customWidth="1"/>
    <col min="2" max="2" width="12.875" customWidth="1"/>
    <col min="3" max="3" width="10.25" customWidth="1"/>
    <col min="4" max="4" width="11.25" customWidth="1"/>
    <col min="5" max="5" width="12.375" customWidth="1"/>
    <col min="6" max="6" width="6" customWidth="1"/>
    <col min="7" max="7" width="8.625" customWidth="1"/>
    <col min="8" max="8" width="10" customWidth="1"/>
    <col min="9" max="9" width="24.375" customWidth="1"/>
    <col min="12" max="12" width="15.625" customWidth="1"/>
    <col min="13" max="13" width="13.875" customWidth="1"/>
  </cols>
  <sheetData>
    <row r="1" ht="26.25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8.75" spans="1: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12" t="s">
        <v>9</v>
      </c>
      <c r="L2" s="7" t="s">
        <v>5</v>
      </c>
      <c r="M2" s="7" t="s">
        <v>10</v>
      </c>
      <c r="O2" t="s">
        <v>11</v>
      </c>
    </row>
    <row r="3" spans="1:13">
      <c r="A3" s="4" t="s">
        <v>12</v>
      </c>
      <c r="B3" s="5">
        <v>39083</v>
      </c>
      <c r="C3" s="6">
        <f>_xlfn.IFS(MONTH(B3)&lt;=3,1,MONTH(B3)&lt;=6,2,MONTH(B3)&lt;=9,3,MONTH(B3)&lt;=12,4)</f>
        <v>1</v>
      </c>
      <c r="D3" s="7" t="s">
        <v>13</v>
      </c>
      <c r="E3" s="7" t="s">
        <v>11</v>
      </c>
      <c r="F3" s="7" t="s">
        <v>14</v>
      </c>
      <c r="G3" s="7">
        <v>3660</v>
      </c>
      <c r="H3" s="7">
        <v>3</v>
      </c>
      <c r="I3" s="13">
        <f>G3*H3</f>
        <v>10980</v>
      </c>
      <c r="L3" s="7" t="s">
        <v>15</v>
      </c>
      <c r="M3" s="14">
        <f>AVERAGEIF($E$3:$E$31,L3,$I$3:$I$31)</f>
        <v>19980</v>
      </c>
    </row>
    <row r="4" spans="1:13">
      <c r="A4" s="4" t="s">
        <v>16</v>
      </c>
      <c r="B4" s="5">
        <v>39142</v>
      </c>
      <c r="C4" s="6">
        <f t="shared" ref="C4:C31" si="0">_xlfn.IFS(MONTH(B4)&lt;=3,1,MONTH(B4)&lt;=6,2,MONTH(B4)&lt;=9,3,MONTH(B4)&lt;=12,4)</f>
        <v>1</v>
      </c>
      <c r="D4" s="7" t="s">
        <v>17</v>
      </c>
      <c r="E4" s="7" t="s">
        <v>18</v>
      </c>
      <c r="F4" s="7" t="s">
        <v>14</v>
      </c>
      <c r="G4" s="7">
        <v>4800</v>
      </c>
      <c r="H4" s="7">
        <v>2</v>
      </c>
      <c r="I4" s="13">
        <f t="shared" ref="I4:I31" si="1">G4*H4</f>
        <v>9600</v>
      </c>
      <c r="L4" s="7" t="s">
        <v>19</v>
      </c>
      <c r="M4" s="14">
        <f>AVERAGEIF($E$3:$E$31,L4,$I$3:$I$31)</f>
        <v>5485.71428571429</v>
      </c>
    </row>
    <row r="5" spans="1:13">
      <c r="A5" s="4" t="s">
        <v>20</v>
      </c>
      <c r="B5" s="5">
        <v>39142</v>
      </c>
      <c r="C5" s="6">
        <f t="shared" si="0"/>
        <v>1</v>
      </c>
      <c r="D5" s="7" t="s">
        <v>21</v>
      </c>
      <c r="E5" s="7" t="s">
        <v>15</v>
      </c>
      <c r="F5" s="7" t="s">
        <v>14</v>
      </c>
      <c r="G5" s="7">
        <v>9990</v>
      </c>
      <c r="H5" s="7">
        <v>1</v>
      </c>
      <c r="I5" s="13">
        <f t="shared" si="1"/>
        <v>9990</v>
      </c>
      <c r="L5" s="7" t="s">
        <v>11</v>
      </c>
      <c r="M5" s="14">
        <f>AVERAGEIF($E$3:$E$31,L5,$I$3:$I$31)</f>
        <v>16290</v>
      </c>
    </row>
    <row r="6" spans="1:13">
      <c r="A6" s="4" t="s">
        <v>22</v>
      </c>
      <c r="B6" s="5">
        <v>39204</v>
      </c>
      <c r="C6" s="6">
        <f t="shared" si="0"/>
        <v>2</v>
      </c>
      <c r="D6" s="7" t="s">
        <v>23</v>
      </c>
      <c r="E6" s="7" t="s">
        <v>19</v>
      </c>
      <c r="F6" s="7" t="s">
        <v>14</v>
      </c>
      <c r="G6" s="7">
        <v>1600</v>
      </c>
      <c r="H6" s="7">
        <v>3</v>
      </c>
      <c r="I6" s="13">
        <f t="shared" si="1"/>
        <v>4800</v>
      </c>
      <c r="L6" s="7" t="s">
        <v>24</v>
      </c>
      <c r="M6" s="14">
        <f>AVERAGEIF($E$3:$E$31,L6,$I$3:$I$31)</f>
        <v>37380</v>
      </c>
    </row>
    <row r="7" spans="1:13">
      <c r="A7" s="4" t="s">
        <v>25</v>
      </c>
      <c r="B7" s="5">
        <v>39084</v>
      </c>
      <c r="C7" s="6">
        <f t="shared" si="0"/>
        <v>1</v>
      </c>
      <c r="D7" s="7" t="s">
        <v>21</v>
      </c>
      <c r="E7" s="7" t="s">
        <v>24</v>
      </c>
      <c r="F7" s="7" t="s">
        <v>14</v>
      </c>
      <c r="G7" s="7">
        <v>8900</v>
      </c>
      <c r="H7" s="7">
        <v>2</v>
      </c>
      <c r="I7" s="13">
        <f t="shared" si="1"/>
        <v>17800</v>
      </c>
      <c r="L7" s="7" t="s">
        <v>18</v>
      </c>
      <c r="M7" s="14">
        <f>AVERAGEIF($E$3:$E$31,L7,$I$3:$I$31)</f>
        <v>17200</v>
      </c>
    </row>
    <row r="8" spans="1:9">
      <c r="A8" s="4" t="s">
        <v>16</v>
      </c>
      <c r="B8" s="5">
        <v>39297</v>
      </c>
      <c r="C8" s="6">
        <f t="shared" si="0"/>
        <v>3</v>
      </c>
      <c r="D8" s="7" t="s">
        <v>13</v>
      </c>
      <c r="E8" s="7" t="s">
        <v>18</v>
      </c>
      <c r="F8" s="7" t="s">
        <v>14</v>
      </c>
      <c r="G8" s="7">
        <v>4800</v>
      </c>
      <c r="H8" s="7">
        <v>5</v>
      </c>
      <c r="I8" s="13">
        <f t="shared" si="1"/>
        <v>24000</v>
      </c>
    </row>
    <row r="9" spans="1:9">
      <c r="A9" s="4" t="s">
        <v>12</v>
      </c>
      <c r="B9" s="5">
        <v>39419</v>
      </c>
      <c r="C9" s="6">
        <f t="shared" si="0"/>
        <v>4</v>
      </c>
      <c r="D9" s="7" t="s">
        <v>21</v>
      </c>
      <c r="E9" s="7" t="s">
        <v>11</v>
      </c>
      <c r="F9" s="7" t="s">
        <v>14</v>
      </c>
      <c r="G9" s="7">
        <v>3600</v>
      </c>
      <c r="H9" s="7">
        <v>6</v>
      </c>
      <c r="I9" s="13">
        <f t="shared" si="1"/>
        <v>21600</v>
      </c>
    </row>
    <row r="10" spans="1:9">
      <c r="A10" s="4" t="s">
        <v>22</v>
      </c>
      <c r="B10" s="5">
        <v>39389</v>
      </c>
      <c r="C10" s="6">
        <f t="shared" si="0"/>
        <v>4</v>
      </c>
      <c r="D10" s="7" t="s">
        <v>17</v>
      </c>
      <c r="E10" s="7" t="s">
        <v>19</v>
      </c>
      <c r="F10" s="7" t="s">
        <v>14</v>
      </c>
      <c r="G10" s="7">
        <v>1600</v>
      </c>
      <c r="H10" s="7">
        <v>4</v>
      </c>
      <c r="I10" s="13">
        <f t="shared" si="1"/>
        <v>6400</v>
      </c>
    </row>
    <row r="11" spans="1:9">
      <c r="A11" s="4" t="s">
        <v>16</v>
      </c>
      <c r="B11" s="5">
        <v>39359</v>
      </c>
      <c r="C11" s="6">
        <f t="shared" si="0"/>
        <v>4</v>
      </c>
      <c r="D11" s="7" t="s">
        <v>23</v>
      </c>
      <c r="E11" s="7" t="s">
        <v>18</v>
      </c>
      <c r="F11" s="7" t="s">
        <v>14</v>
      </c>
      <c r="G11" s="7">
        <v>4800</v>
      </c>
      <c r="H11" s="7">
        <v>3</v>
      </c>
      <c r="I11" s="13">
        <f t="shared" si="1"/>
        <v>14400</v>
      </c>
    </row>
    <row r="12" spans="1:9">
      <c r="A12" s="4" t="s">
        <v>22</v>
      </c>
      <c r="B12" s="5">
        <v>39359</v>
      </c>
      <c r="C12" s="6">
        <f t="shared" si="0"/>
        <v>4</v>
      </c>
      <c r="D12" s="7" t="s">
        <v>21</v>
      </c>
      <c r="E12" s="7" t="s">
        <v>19</v>
      </c>
      <c r="F12" s="7" t="s">
        <v>14</v>
      </c>
      <c r="G12" s="7">
        <v>1600</v>
      </c>
      <c r="H12" s="7">
        <v>3</v>
      </c>
      <c r="I12" s="13">
        <f t="shared" si="1"/>
        <v>4800</v>
      </c>
    </row>
    <row r="13" spans="1:9">
      <c r="A13" s="4" t="s">
        <v>16</v>
      </c>
      <c r="B13" s="5">
        <v>39207</v>
      </c>
      <c r="C13" s="6">
        <f t="shared" si="0"/>
        <v>2</v>
      </c>
      <c r="D13" s="7" t="s">
        <v>17</v>
      </c>
      <c r="E13" s="7" t="s">
        <v>18</v>
      </c>
      <c r="F13" s="7" t="s">
        <v>14</v>
      </c>
      <c r="G13" s="7">
        <v>4800</v>
      </c>
      <c r="H13" s="7">
        <v>5</v>
      </c>
      <c r="I13" s="13">
        <f t="shared" si="1"/>
        <v>24000</v>
      </c>
    </row>
    <row r="14" spans="1:9">
      <c r="A14" s="4" t="s">
        <v>20</v>
      </c>
      <c r="B14" s="5">
        <v>39238</v>
      </c>
      <c r="C14" s="6">
        <f t="shared" si="0"/>
        <v>2</v>
      </c>
      <c r="D14" s="7" t="s">
        <v>23</v>
      </c>
      <c r="E14" s="7" t="s">
        <v>15</v>
      </c>
      <c r="F14" s="7" t="s">
        <v>14</v>
      </c>
      <c r="G14" s="7">
        <v>9990</v>
      </c>
      <c r="H14" s="7">
        <v>1</v>
      </c>
      <c r="I14" s="13">
        <f t="shared" si="1"/>
        <v>9990</v>
      </c>
    </row>
    <row r="15" spans="1:9">
      <c r="A15" s="4" t="s">
        <v>16</v>
      </c>
      <c r="B15" s="5">
        <v>39238</v>
      </c>
      <c r="C15" s="6">
        <f t="shared" si="0"/>
        <v>2</v>
      </c>
      <c r="D15" s="7" t="s">
        <v>21</v>
      </c>
      <c r="E15" s="7" t="s">
        <v>18</v>
      </c>
      <c r="F15" s="7" t="s">
        <v>14</v>
      </c>
      <c r="G15" s="7">
        <v>4800</v>
      </c>
      <c r="H15" s="7">
        <v>3</v>
      </c>
      <c r="I15" s="13">
        <f t="shared" si="1"/>
        <v>14400</v>
      </c>
    </row>
    <row r="16" spans="1:9">
      <c r="A16" s="4" t="s">
        <v>22</v>
      </c>
      <c r="B16" s="5">
        <v>39300</v>
      </c>
      <c r="C16" s="6">
        <f t="shared" si="0"/>
        <v>3</v>
      </c>
      <c r="D16" s="7" t="s">
        <v>13</v>
      </c>
      <c r="E16" s="7" t="s">
        <v>19</v>
      </c>
      <c r="F16" s="7" t="s">
        <v>14</v>
      </c>
      <c r="G16" s="7">
        <v>1600</v>
      </c>
      <c r="H16" s="7">
        <v>2</v>
      </c>
      <c r="I16" s="13">
        <f t="shared" si="1"/>
        <v>3200</v>
      </c>
    </row>
    <row r="17" spans="1:9">
      <c r="A17" s="4" t="s">
        <v>25</v>
      </c>
      <c r="B17" s="5">
        <v>39331</v>
      </c>
      <c r="C17" s="6">
        <f t="shared" si="0"/>
        <v>3</v>
      </c>
      <c r="D17" s="7" t="s">
        <v>17</v>
      </c>
      <c r="E17" s="7" t="s">
        <v>24</v>
      </c>
      <c r="F17" s="7" t="s">
        <v>14</v>
      </c>
      <c r="G17" s="7">
        <v>8900</v>
      </c>
      <c r="H17" s="7">
        <v>4</v>
      </c>
      <c r="I17" s="13">
        <f t="shared" si="1"/>
        <v>35600</v>
      </c>
    </row>
    <row r="18" spans="1:9">
      <c r="A18" s="4" t="s">
        <v>16</v>
      </c>
      <c r="B18" s="5">
        <v>39332</v>
      </c>
      <c r="C18" s="6">
        <f t="shared" si="0"/>
        <v>3</v>
      </c>
      <c r="D18" s="7" t="s">
        <v>13</v>
      </c>
      <c r="E18" s="7" t="s">
        <v>18</v>
      </c>
      <c r="F18" s="7" t="s">
        <v>14</v>
      </c>
      <c r="G18" s="7">
        <v>4800</v>
      </c>
      <c r="H18" s="7">
        <v>3</v>
      </c>
      <c r="I18" s="13">
        <f t="shared" si="1"/>
        <v>14400</v>
      </c>
    </row>
    <row r="19" spans="1:9">
      <c r="A19" s="4" t="s">
        <v>25</v>
      </c>
      <c r="B19" s="5">
        <v>39179</v>
      </c>
      <c r="C19" s="6">
        <f t="shared" si="0"/>
        <v>2</v>
      </c>
      <c r="D19" s="7" t="s">
        <v>21</v>
      </c>
      <c r="E19" s="7" t="s">
        <v>24</v>
      </c>
      <c r="F19" s="7" t="s">
        <v>14</v>
      </c>
      <c r="G19" s="7">
        <v>8900</v>
      </c>
      <c r="H19" s="7">
        <v>2</v>
      </c>
      <c r="I19" s="13">
        <f t="shared" si="1"/>
        <v>17800</v>
      </c>
    </row>
    <row r="20" spans="1:9">
      <c r="A20" s="4" t="s">
        <v>16</v>
      </c>
      <c r="B20" s="5">
        <v>39271</v>
      </c>
      <c r="C20" s="6">
        <f t="shared" si="0"/>
        <v>3</v>
      </c>
      <c r="D20" s="7" t="s">
        <v>13</v>
      </c>
      <c r="E20" s="7" t="s">
        <v>18</v>
      </c>
      <c r="F20" s="7" t="s">
        <v>14</v>
      </c>
      <c r="G20" s="7">
        <v>4800</v>
      </c>
      <c r="H20" s="7">
        <v>4</v>
      </c>
      <c r="I20" s="13">
        <f t="shared" si="1"/>
        <v>19200</v>
      </c>
    </row>
    <row r="21" spans="1:9">
      <c r="A21" s="4" t="s">
        <v>16</v>
      </c>
      <c r="B21" s="5">
        <v>39424</v>
      </c>
      <c r="C21" s="6">
        <f t="shared" si="0"/>
        <v>4</v>
      </c>
      <c r="D21" s="7" t="s">
        <v>21</v>
      </c>
      <c r="E21" s="7" t="s">
        <v>18</v>
      </c>
      <c r="F21" s="7" t="s">
        <v>14</v>
      </c>
      <c r="G21" s="7">
        <v>4800</v>
      </c>
      <c r="H21" s="7">
        <v>2</v>
      </c>
      <c r="I21" s="13">
        <f t="shared" si="1"/>
        <v>9600</v>
      </c>
    </row>
    <row r="22" spans="1:9">
      <c r="A22" s="4" t="s">
        <v>22</v>
      </c>
      <c r="B22" s="5">
        <v>39303</v>
      </c>
      <c r="C22" s="6">
        <f t="shared" si="0"/>
        <v>3</v>
      </c>
      <c r="D22" s="7" t="s">
        <v>17</v>
      </c>
      <c r="E22" s="7" t="s">
        <v>19</v>
      </c>
      <c r="F22" s="7" t="s">
        <v>14</v>
      </c>
      <c r="G22" s="7">
        <v>1600</v>
      </c>
      <c r="H22" s="7">
        <v>1</v>
      </c>
      <c r="I22" s="13">
        <f t="shared" si="1"/>
        <v>1600</v>
      </c>
    </row>
    <row r="23" spans="1:9">
      <c r="A23" s="4" t="s">
        <v>16</v>
      </c>
      <c r="B23" s="5">
        <v>39395</v>
      </c>
      <c r="C23" s="6">
        <f t="shared" si="0"/>
        <v>4</v>
      </c>
      <c r="D23" s="7" t="s">
        <v>23</v>
      </c>
      <c r="E23" s="7" t="s">
        <v>18</v>
      </c>
      <c r="F23" s="7" t="s">
        <v>14</v>
      </c>
      <c r="G23" s="7">
        <v>4800</v>
      </c>
      <c r="H23" s="7">
        <v>3</v>
      </c>
      <c r="I23" s="13">
        <f t="shared" si="1"/>
        <v>14400</v>
      </c>
    </row>
    <row r="24" spans="1:9">
      <c r="A24" s="4" t="s">
        <v>22</v>
      </c>
      <c r="B24" s="5">
        <v>39181</v>
      </c>
      <c r="C24" s="6">
        <f t="shared" si="0"/>
        <v>2</v>
      </c>
      <c r="D24" s="7" t="s">
        <v>13</v>
      </c>
      <c r="E24" s="7" t="s">
        <v>19</v>
      </c>
      <c r="F24" s="7" t="s">
        <v>14</v>
      </c>
      <c r="G24" s="7">
        <v>1600</v>
      </c>
      <c r="H24" s="7">
        <v>6</v>
      </c>
      <c r="I24" s="13">
        <f t="shared" si="1"/>
        <v>9600</v>
      </c>
    </row>
    <row r="25" spans="1:9">
      <c r="A25" s="4" t="s">
        <v>16</v>
      </c>
      <c r="B25" s="5">
        <v>39151</v>
      </c>
      <c r="C25" s="6">
        <f t="shared" si="0"/>
        <v>1</v>
      </c>
      <c r="D25" s="7" t="s">
        <v>17</v>
      </c>
      <c r="E25" s="7" t="s">
        <v>18</v>
      </c>
      <c r="F25" s="7" t="s">
        <v>14</v>
      </c>
      <c r="G25" s="7">
        <v>4800</v>
      </c>
      <c r="H25" s="7">
        <v>2</v>
      </c>
      <c r="I25" s="13">
        <f t="shared" si="1"/>
        <v>9600</v>
      </c>
    </row>
    <row r="26" spans="1:9">
      <c r="A26" s="4" t="s">
        <v>25</v>
      </c>
      <c r="B26" s="5">
        <v>39212</v>
      </c>
      <c r="C26" s="6">
        <f t="shared" si="0"/>
        <v>2</v>
      </c>
      <c r="D26" s="7" t="s">
        <v>23</v>
      </c>
      <c r="E26" s="7" t="s">
        <v>24</v>
      </c>
      <c r="F26" s="7" t="s">
        <v>14</v>
      </c>
      <c r="G26" s="7">
        <v>8900</v>
      </c>
      <c r="H26" s="7">
        <v>7</v>
      </c>
      <c r="I26" s="13">
        <f t="shared" si="1"/>
        <v>62300</v>
      </c>
    </row>
    <row r="27" spans="1:9">
      <c r="A27" s="4" t="s">
        <v>16</v>
      </c>
      <c r="B27" s="5">
        <v>39336</v>
      </c>
      <c r="C27" s="6">
        <f t="shared" si="0"/>
        <v>3</v>
      </c>
      <c r="D27" s="7" t="s">
        <v>21</v>
      </c>
      <c r="E27" s="7" t="s">
        <v>18</v>
      </c>
      <c r="F27" s="7" t="s">
        <v>14</v>
      </c>
      <c r="G27" s="7">
        <v>4800</v>
      </c>
      <c r="H27" s="7">
        <v>5</v>
      </c>
      <c r="I27" s="13">
        <f t="shared" si="1"/>
        <v>24000</v>
      </c>
    </row>
    <row r="28" spans="1:9">
      <c r="A28" s="4" t="s">
        <v>25</v>
      </c>
      <c r="B28" s="5">
        <v>39274</v>
      </c>
      <c r="C28" s="6">
        <f t="shared" si="0"/>
        <v>3</v>
      </c>
      <c r="D28" s="7" t="s">
        <v>13</v>
      </c>
      <c r="E28" s="7" t="s">
        <v>24</v>
      </c>
      <c r="F28" s="7" t="s">
        <v>14</v>
      </c>
      <c r="G28" s="7">
        <v>8900</v>
      </c>
      <c r="H28" s="7">
        <v>6</v>
      </c>
      <c r="I28" s="13">
        <f t="shared" si="1"/>
        <v>53400</v>
      </c>
    </row>
    <row r="29" spans="1:9">
      <c r="A29" s="4" t="s">
        <v>20</v>
      </c>
      <c r="B29" s="5">
        <v>39274</v>
      </c>
      <c r="C29" s="6">
        <f t="shared" si="0"/>
        <v>3</v>
      </c>
      <c r="D29" s="7" t="s">
        <v>23</v>
      </c>
      <c r="E29" s="7" t="s">
        <v>15</v>
      </c>
      <c r="F29" s="7" t="s">
        <v>14</v>
      </c>
      <c r="G29" s="7">
        <v>9990</v>
      </c>
      <c r="H29" s="7">
        <v>4</v>
      </c>
      <c r="I29" s="13">
        <f t="shared" si="1"/>
        <v>39960</v>
      </c>
    </row>
    <row r="30" spans="1:9">
      <c r="A30" s="4" t="s">
        <v>22</v>
      </c>
      <c r="B30" s="5">
        <v>39094</v>
      </c>
      <c r="C30" s="6">
        <f t="shared" si="0"/>
        <v>1</v>
      </c>
      <c r="D30" s="7" t="s">
        <v>17</v>
      </c>
      <c r="E30" s="7" t="s">
        <v>19</v>
      </c>
      <c r="F30" s="7" t="s">
        <v>14</v>
      </c>
      <c r="G30" s="7">
        <v>1600</v>
      </c>
      <c r="H30" s="7">
        <v>5</v>
      </c>
      <c r="I30" s="13">
        <f t="shared" si="1"/>
        <v>8000</v>
      </c>
    </row>
    <row r="31" ht="14.25" spans="1:9">
      <c r="A31" s="8" t="s">
        <v>16</v>
      </c>
      <c r="B31" s="9">
        <v>39153</v>
      </c>
      <c r="C31" s="10">
        <f t="shared" si="0"/>
        <v>1</v>
      </c>
      <c r="D31" s="11" t="s">
        <v>13</v>
      </c>
      <c r="E31" s="11" t="s">
        <v>18</v>
      </c>
      <c r="F31" s="11" t="s">
        <v>14</v>
      </c>
      <c r="G31" s="11">
        <v>4800</v>
      </c>
      <c r="H31" s="11">
        <v>6</v>
      </c>
      <c r="I31" s="15">
        <f t="shared" si="1"/>
        <v>28800</v>
      </c>
    </row>
  </sheetData>
  <mergeCells count="1">
    <mergeCell ref="A1:I1"/>
  </mergeCells>
  <conditionalFormatting sqref="D3:D31">
    <cfRule type="notContainsText" dxfId="0" priority="2" operator="notContains" text="城南店">
      <formula>ISERROR(SEARCH("城南店",D3))</formula>
    </cfRule>
  </conditionalFormatting>
  <conditionalFormatting sqref="H3:H31">
    <cfRule type="dataBar" priority="1">
      <dataBar showValue="0">
        <cfvo type="min"/>
        <cfvo type="max"/>
        <color rgb="FFFFB628"/>
      </dataBar>
      <extLst>
        <ext xmlns:x14="http://schemas.microsoft.com/office/spreadsheetml/2009/9/main" uri="{B025F937-C7B1-47D3-B67F-A62EFF666E3E}">
          <x14:id>{742016a3-0ea3-4512-aff3-4c8e072ca0e9}</x14:id>
        </ext>
      </extLst>
    </cfRule>
  </conditionalFormatting>
  <dataValidations count="1">
    <dataValidation type="list" allowBlank="1" showInputMessage="1" showErrorMessage="1" sqref="O2">
      <formula1>"笔记本,传真机,打印机,扫描仪,台式电脑"</formula1>
    </dataValidation>
  </dataValidations>
  <pageMargins left="0.7" right="0.7" top="0.75" bottom="0.75" header="0.3" footer="0.3"/>
  <pageSetup paperSize="9" orientation="portrait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2016a3-0ea3-4512-aff3-4c8e072ca0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H3:H31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31"/>
  <sheetViews>
    <sheetView workbookViewId="0">
      <selection activeCell="H32" sqref="H32"/>
    </sheetView>
  </sheetViews>
  <sheetFormatPr defaultColWidth="9" defaultRowHeight="13.5"/>
  <sheetData>
    <row r="1" spans="1:9">
      <c r="A1" t="s">
        <v>1</v>
      </c>
      <c r="B1" t="s">
        <v>2</v>
      </c>
      <c r="C1" t="s">
        <v>26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hidden="1" spans="1:9">
      <c r="A2" t="s">
        <v>12</v>
      </c>
      <c r="B2">
        <v>39083</v>
      </c>
      <c r="C2">
        <v>1</v>
      </c>
      <c r="D2" t="s">
        <v>13</v>
      </c>
      <c r="E2" t="s">
        <v>11</v>
      </c>
      <c r="F2" t="s">
        <v>14</v>
      </c>
      <c r="G2">
        <v>3660</v>
      </c>
      <c r="H2">
        <v>3</v>
      </c>
      <c r="I2">
        <v>10980</v>
      </c>
    </row>
    <row r="3" hidden="1" spans="1:9">
      <c r="A3" t="s">
        <v>16</v>
      </c>
      <c r="B3">
        <v>39142</v>
      </c>
      <c r="C3">
        <v>1</v>
      </c>
      <c r="D3" t="s">
        <v>17</v>
      </c>
      <c r="E3" t="s">
        <v>18</v>
      </c>
      <c r="F3" t="s">
        <v>14</v>
      </c>
      <c r="G3">
        <v>4800</v>
      </c>
      <c r="H3">
        <v>2</v>
      </c>
      <c r="I3">
        <v>9600</v>
      </c>
    </row>
    <row r="4" spans="1:9">
      <c r="A4" t="s">
        <v>20</v>
      </c>
      <c r="B4">
        <v>39142</v>
      </c>
      <c r="C4">
        <v>1</v>
      </c>
      <c r="D4" t="s">
        <v>21</v>
      </c>
      <c r="E4" t="s">
        <v>15</v>
      </c>
      <c r="F4" t="s">
        <v>14</v>
      </c>
      <c r="G4">
        <v>9990</v>
      </c>
      <c r="H4">
        <v>1</v>
      </c>
      <c r="I4">
        <v>9990</v>
      </c>
    </row>
    <row r="5" hidden="1" spans="1:9">
      <c r="A5" t="s">
        <v>22</v>
      </c>
      <c r="B5">
        <v>39204</v>
      </c>
      <c r="C5">
        <v>2</v>
      </c>
      <c r="D5" t="s">
        <v>23</v>
      </c>
      <c r="E5" t="s">
        <v>19</v>
      </c>
      <c r="F5" t="s">
        <v>14</v>
      </c>
      <c r="G5">
        <v>1600</v>
      </c>
      <c r="H5">
        <v>3</v>
      </c>
      <c r="I5">
        <v>4800</v>
      </c>
    </row>
    <row r="6" spans="1:9">
      <c r="A6" t="s">
        <v>25</v>
      </c>
      <c r="B6">
        <v>39084</v>
      </c>
      <c r="C6">
        <v>1</v>
      </c>
      <c r="D6" t="s">
        <v>21</v>
      </c>
      <c r="E6" t="s">
        <v>24</v>
      </c>
      <c r="F6" t="s">
        <v>14</v>
      </c>
      <c r="G6">
        <v>8900</v>
      </c>
      <c r="H6">
        <v>2</v>
      </c>
      <c r="I6">
        <v>17800</v>
      </c>
    </row>
    <row r="7" hidden="1" spans="1:9">
      <c r="A7" t="s">
        <v>16</v>
      </c>
      <c r="B7">
        <v>39297</v>
      </c>
      <c r="C7">
        <v>3</v>
      </c>
      <c r="D7" t="s">
        <v>13</v>
      </c>
      <c r="E7" t="s">
        <v>18</v>
      </c>
      <c r="F7" t="s">
        <v>14</v>
      </c>
      <c r="G7">
        <v>4800</v>
      </c>
      <c r="H7">
        <v>5</v>
      </c>
      <c r="I7">
        <v>24000</v>
      </c>
    </row>
    <row r="8" spans="1:9">
      <c r="A8" t="s">
        <v>12</v>
      </c>
      <c r="B8">
        <v>39419</v>
      </c>
      <c r="C8">
        <v>4</v>
      </c>
      <c r="D8" t="s">
        <v>21</v>
      </c>
      <c r="E8" t="s">
        <v>11</v>
      </c>
      <c r="F8" t="s">
        <v>14</v>
      </c>
      <c r="G8">
        <v>3600</v>
      </c>
      <c r="H8">
        <v>6</v>
      </c>
      <c r="I8">
        <v>21600</v>
      </c>
    </row>
    <row r="9" hidden="1" spans="1:9">
      <c r="A9" t="s">
        <v>22</v>
      </c>
      <c r="B9">
        <v>39389</v>
      </c>
      <c r="C9">
        <v>4</v>
      </c>
      <c r="D9" t="s">
        <v>17</v>
      </c>
      <c r="E9" t="s">
        <v>19</v>
      </c>
      <c r="F9" t="s">
        <v>14</v>
      </c>
      <c r="G9">
        <v>1600</v>
      </c>
      <c r="H9">
        <v>4</v>
      </c>
      <c r="I9">
        <v>6400</v>
      </c>
    </row>
    <row r="10" hidden="1" spans="1:9">
      <c r="A10" t="s">
        <v>16</v>
      </c>
      <c r="B10">
        <v>39359</v>
      </c>
      <c r="C10">
        <v>4</v>
      </c>
      <c r="D10" t="s">
        <v>23</v>
      </c>
      <c r="E10" t="s">
        <v>18</v>
      </c>
      <c r="F10" t="s">
        <v>14</v>
      </c>
      <c r="G10">
        <v>4800</v>
      </c>
      <c r="H10">
        <v>3</v>
      </c>
      <c r="I10">
        <v>14400</v>
      </c>
    </row>
    <row r="11" spans="1:9">
      <c r="A11" t="s">
        <v>22</v>
      </c>
      <c r="B11">
        <v>39359</v>
      </c>
      <c r="C11">
        <v>4</v>
      </c>
      <c r="D11" t="s">
        <v>21</v>
      </c>
      <c r="E11" t="s">
        <v>19</v>
      </c>
      <c r="F11" t="s">
        <v>14</v>
      </c>
      <c r="G11">
        <v>1600</v>
      </c>
      <c r="H11">
        <v>3</v>
      </c>
      <c r="I11">
        <v>4800</v>
      </c>
    </row>
    <row r="12" hidden="1" spans="1:9">
      <c r="A12" t="s">
        <v>16</v>
      </c>
      <c r="B12">
        <v>39207</v>
      </c>
      <c r="C12">
        <v>2</v>
      </c>
      <c r="D12" t="s">
        <v>17</v>
      </c>
      <c r="E12" t="s">
        <v>18</v>
      </c>
      <c r="F12" t="s">
        <v>14</v>
      </c>
      <c r="G12">
        <v>4800</v>
      </c>
      <c r="H12">
        <v>5</v>
      </c>
      <c r="I12">
        <v>24000</v>
      </c>
    </row>
    <row r="13" hidden="1" spans="1:9">
      <c r="A13" t="s">
        <v>20</v>
      </c>
      <c r="B13">
        <v>39238</v>
      </c>
      <c r="C13">
        <v>2</v>
      </c>
      <c r="D13" t="s">
        <v>23</v>
      </c>
      <c r="E13" t="s">
        <v>15</v>
      </c>
      <c r="F13" t="s">
        <v>14</v>
      </c>
      <c r="G13">
        <v>9990</v>
      </c>
      <c r="H13">
        <v>1</v>
      </c>
      <c r="I13">
        <v>9990</v>
      </c>
    </row>
    <row r="14" spans="1:9">
      <c r="A14" t="s">
        <v>16</v>
      </c>
      <c r="B14">
        <v>39238</v>
      </c>
      <c r="C14">
        <v>2</v>
      </c>
      <c r="D14" t="s">
        <v>21</v>
      </c>
      <c r="E14" t="s">
        <v>18</v>
      </c>
      <c r="F14" t="s">
        <v>14</v>
      </c>
      <c r="G14">
        <v>4800</v>
      </c>
      <c r="H14">
        <v>3</v>
      </c>
      <c r="I14">
        <v>14400</v>
      </c>
    </row>
    <row r="15" hidden="1" spans="1:9">
      <c r="A15" t="s">
        <v>22</v>
      </c>
      <c r="B15">
        <v>39300</v>
      </c>
      <c r="C15">
        <v>3</v>
      </c>
      <c r="D15" t="s">
        <v>13</v>
      </c>
      <c r="E15" t="s">
        <v>19</v>
      </c>
      <c r="F15" t="s">
        <v>14</v>
      </c>
      <c r="G15">
        <v>1600</v>
      </c>
      <c r="H15">
        <v>2</v>
      </c>
      <c r="I15">
        <v>3200</v>
      </c>
    </row>
    <row r="16" hidden="1" spans="1:9">
      <c r="A16" t="s">
        <v>25</v>
      </c>
      <c r="B16">
        <v>39331</v>
      </c>
      <c r="C16">
        <v>3</v>
      </c>
      <c r="D16" t="s">
        <v>17</v>
      </c>
      <c r="E16" t="s">
        <v>24</v>
      </c>
      <c r="F16" t="s">
        <v>14</v>
      </c>
      <c r="G16">
        <v>8900</v>
      </c>
      <c r="H16">
        <v>4</v>
      </c>
      <c r="I16">
        <v>35600</v>
      </c>
    </row>
    <row r="17" hidden="1" spans="1:9">
      <c r="A17" t="s">
        <v>16</v>
      </c>
      <c r="B17">
        <v>39332</v>
      </c>
      <c r="C17">
        <v>3</v>
      </c>
      <c r="D17" t="s">
        <v>13</v>
      </c>
      <c r="E17" t="s">
        <v>18</v>
      </c>
      <c r="F17" t="s">
        <v>14</v>
      </c>
      <c r="G17">
        <v>4800</v>
      </c>
      <c r="H17">
        <v>3</v>
      </c>
      <c r="I17">
        <v>14400</v>
      </c>
    </row>
    <row r="18" spans="1:9">
      <c r="A18" t="s">
        <v>25</v>
      </c>
      <c r="B18">
        <v>39179</v>
      </c>
      <c r="C18">
        <v>2</v>
      </c>
      <c r="D18" t="s">
        <v>21</v>
      </c>
      <c r="E18" t="s">
        <v>24</v>
      </c>
      <c r="F18" t="s">
        <v>14</v>
      </c>
      <c r="G18">
        <v>8900</v>
      </c>
      <c r="H18">
        <v>2</v>
      </c>
      <c r="I18">
        <v>17800</v>
      </c>
    </row>
    <row r="19" hidden="1" spans="1:9">
      <c r="A19" t="s">
        <v>16</v>
      </c>
      <c r="B19">
        <v>39271</v>
      </c>
      <c r="C19">
        <v>3</v>
      </c>
      <c r="D19" t="s">
        <v>13</v>
      </c>
      <c r="E19" t="s">
        <v>18</v>
      </c>
      <c r="F19" t="s">
        <v>14</v>
      </c>
      <c r="G19">
        <v>4800</v>
      </c>
      <c r="H19">
        <v>4</v>
      </c>
      <c r="I19">
        <v>19200</v>
      </c>
    </row>
    <row r="20" spans="1:9">
      <c r="A20" t="s">
        <v>16</v>
      </c>
      <c r="B20">
        <v>39424</v>
      </c>
      <c r="C20">
        <v>4</v>
      </c>
      <c r="D20" t="s">
        <v>21</v>
      </c>
      <c r="E20" t="s">
        <v>18</v>
      </c>
      <c r="F20" t="s">
        <v>14</v>
      </c>
      <c r="G20">
        <v>4800</v>
      </c>
      <c r="H20">
        <v>2</v>
      </c>
      <c r="I20">
        <v>9600</v>
      </c>
    </row>
    <row r="21" hidden="1" spans="1:9">
      <c r="A21" t="s">
        <v>22</v>
      </c>
      <c r="B21">
        <v>39303</v>
      </c>
      <c r="C21">
        <v>3</v>
      </c>
      <c r="D21" t="s">
        <v>17</v>
      </c>
      <c r="E21" t="s">
        <v>19</v>
      </c>
      <c r="F21" t="s">
        <v>14</v>
      </c>
      <c r="G21">
        <v>1600</v>
      </c>
      <c r="H21">
        <v>1</v>
      </c>
      <c r="I21">
        <v>1600</v>
      </c>
    </row>
    <row r="22" hidden="1" spans="1:9">
      <c r="A22" t="s">
        <v>16</v>
      </c>
      <c r="B22">
        <v>39395</v>
      </c>
      <c r="C22">
        <v>4</v>
      </c>
      <c r="D22" t="s">
        <v>23</v>
      </c>
      <c r="E22" t="s">
        <v>18</v>
      </c>
      <c r="F22" t="s">
        <v>14</v>
      </c>
      <c r="G22">
        <v>4800</v>
      </c>
      <c r="H22">
        <v>3</v>
      </c>
      <c r="I22">
        <v>14400</v>
      </c>
    </row>
    <row r="23" hidden="1" spans="1:9">
      <c r="A23" t="s">
        <v>22</v>
      </c>
      <c r="B23">
        <v>39181</v>
      </c>
      <c r="C23">
        <v>2</v>
      </c>
      <c r="D23" t="s">
        <v>13</v>
      </c>
      <c r="E23" t="s">
        <v>19</v>
      </c>
      <c r="F23" t="s">
        <v>14</v>
      </c>
      <c r="G23">
        <v>1600</v>
      </c>
      <c r="H23">
        <v>6</v>
      </c>
      <c r="I23">
        <v>9600</v>
      </c>
    </row>
    <row r="24" hidden="1" spans="1:9">
      <c r="A24" t="s">
        <v>16</v>
      </c>
      <c r="B24">
        <v>39151</v>
      </c>
      <c r="C24">
        <v>1</v>
      </c>
      <c r="D24" t="s">
        <v>17</v>
      </c>
      <c r="E24" t="s">
        <v>18</v>
      </c>
      <c r="F24" t="s">
        <v>14</v>
      </c>
      <c r="G24">
        <v>4800</v>
      </c>
      <c r="H24">
        <v>2</v>
      </c>
      <c r="I24">
        <v>9600</v>
      </c>
    </row>
    <row r="25" hidden="1" spans="1:9">
      <c r="A25" t="s">
        <v>25</v>
      </c>
      <c r="B25">
        <v>39212</v>
      </c>
      <c r="C25">
        <v>2</v>
      </c>
      <c r="D25" t="s">
        <v>23</v>
      </c>
      <c r="E25" t="s">
        <v>24</v>
      </c>
      <c r="F25" t="s">
        <v>14</v>
      </c>
      <c r="G25">
        <v>8900</v>
      </c>
      <c r="H25">
        <v>7</v>
      </c>
      <c r="I25">
        <v>62300</v>
      </c>
    </row>
    <row r="26" spans="1:9">
      <c r="A26" t="s">
        <v>16</v>
      </c>
      <c r="B26">
        <v>39336</v>
      </c>
      <c r="C26">
        <v>3</v>
      </c>
      <c r="D26" t="s">
        <v>21</v>
      </c>
      <c r="E26" t="s">
        <v>18</v>
      </c>
      <c r="F26" t="s">
        <v>14</v>
      </c>
      <c r="G26">
        <v>4800</v>
      </c>
      <c r="H26">
        <v>5</v>
      </c>
      <c r="I26">
        <v>24000</v>
      </c>
    </row>
    <row r="27" hidden="1" spans="1:9">
      <c r="A27" t="s">
        <v>25</v>
      </c>
      <c r="B27">
        <v>39274</v>
      </c>
      <c r="C27">
        <v>3</v>
      </c>
      <c r="D27" t="s">
        <v>13</v>
      </c>
      <c r="E27" t="s">
        <v>24</v>
      </c>
      <c r="F27" t="s">
        <v>14</v>
      </c>
      <c r="G27">
        <v>8900</v>
      </c>
      <c r="H27">
        <v>6</v>
      </c>
      <c r="I27">
        <v>53400</v>
      </c>
    </row>
    <row r="28" hidden="1" spans="1:9">
      <c r="A28" t="s">
        <v>20</v>
      </c>
      <c r="B28">
        <v>39274</v>
      </c>
      <c r="C28">
        <v>3</v>
      </c>
      <c r="D28" t="s">
        <v>23</v>
      </c>
      <c r="E28" t="s">
        <v>15</v>
      </c>
      <c r="F28" t="s">
        <v>14</v>
      </c>
      <c r="G28">
        <v>9990</v>
      </c>
      <c r="H28">
        <v>4</v>
      </c>
      <c r="I28">
        <v>39960</v>
      </c>
    </row>
    <row r="29" hidden="1" spans="1:9">
      <c r="A29" t="s">
        <v>22</v>
      </c>
      <c r="B29">
        <v>39094</v>
      </c>
      <c r="C29">
        <v>1</v>
      </c>
      <c r="D29" t="s">
        <v>17</v>
      </c>
      <c r="E29" t="s">
        <v>19</v>
      </c>
      <c r="F29" t="s">
        <v>14</v>
      </c>
      <c r="G29">
        <v>1600</v>
      </c>
      <c r="H29">
        <v>5</v>
      </c>
      <c r="I29">
        <v>8000</v>
      </c>
    </row>
    <row r="30" hidden="1" spans="1:9">
      <c r="A30" t="s">
        <v>16</v>
      </c>
      <c r="B30">
        <v>39153</v>
      </c>
      <c r="C30">
        <v>1</v>
      </c>
      <c r="D30" t="s">
        <v>13</v>
      </c>
      <c r="E30" t="s">
        <v>18</v>
      </c>
      <c r="F30" t="s">
        <v>14</v>
      </c>
      <c r="G30">
        <v>4800</v>
      </c>
      <c r="H30">
        <v>6</v>
      </c>
      <c r="I30">
        <v>28800</v>
      </c>
    </row>
    <row r="31" spans="8:8">
      <c r="H31">
        <f>SUM(H4,H6,H8,H11,H14,H18,H20,H26)</f>
        <v>24</v>
      </c>
    </row>
  </sheetData>
  <autoFilter ref="A1:I31">
    <filterColumn colId="3">
      <customFilters>
        <customFilter operator="equal" val="城南店"/>
      </customFilters>
    </filterColumn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3"/>
  <sheetViews>
    <sheetView workbookViewId="0">
      <selection activeCell="G13" sqref="G13"/>
    </sheetView>
  </sheetViews>
  <sheetFormatPr defaultColWidth="9" defaultRowHeight="13.5" outlineLevelCol="3"/>
  <cols>
    <col min="2" max="2" width="9.375"/>
    <col min="3" max="3" width="11.375"/>
    <col min="4" max="4" width="9.375"/>
  </cols>
  <sheetData>
    <row r="2" spans="2:4">
      <c r="B2" t="s">
        <v>4</v>
      </c>
      <c r="C2" t="s">
        <v>5</v>
      </c>
      <c r="D2" t="s">
        <v>27</v>
      </c>
    </row>
    <row r="3" spans="2:4">
      <c r="B3" t="s">
        <v>23</v>
      </c>
      <c r="D3">
        <v>145850</v>
      </c>
    </row>
    <row r="4" spans="3:4">
      <c r="C4" t="s">
        <v>15</v>
      </c>
      <c r="D4">
        <v>49950</v>
      </c>
    </row>
    <row r="5" spans="3:4">
      <c r="C5" t="s">
        <v>19</v>
      </c>
      <c r="D5">
        <v>4800</v>
      </c>
    </row>
    <row r="6" spans="3:4">
      <c r="C6" t="s">
        <v>24</v>
      </c>
      <c r="D6">
        <v>62300</v>
      </c>
    </row>
    <row r="7" spans="3:4">
      <c r="C7" t="s">
        <v>18</v>
      </c>
      <c r="D7">
        <v>28800</v>
      </c>
    </row>
    <row r="8" spans="2:4">
      <c r="B8" t="s">
        <v>13</v>
      </c>
      <c r="D8">
        <v>163580</v>
      </c>
    </row>
    <row r="9" spans="3:4">
      <c r="C9" t="s">
        <v>19</v>
      </c>
      <c r="D9">
        <v>12800</v>
      </c>
    </row>
    <row r="10" spans="3:4">
      <c r="C10" t="s">
        <v>11</v>
      </c>
      <c r="D10">
        <v>10980</v>
      </c>
    </row>
    <row r="11" spans="3:4">
      <c r="C11" t="s">
        <v>24</v>
      </c>
      <c r="D11">
        <v>53400</v>
      </c>
    </row>
    <row r="12" spans="3:4">
      <c r="C12" t="s">
        <v>18</v>
      </c>
      <c r="D12">
        <v>86400</v>
      </c>
    </row>
    <row r="13" spans="2:4">
      <c r="B13" t="s">
        <v>21</v>
      </c>
      <c r="D13">
        <v>119990</v>
      </c>
    </row>
    <row r="14" spans="3:4">
      <c r="C14" t="s">
        <v>15</v>
      </c>
      <c r="D14">
        <v>9990</v>
      </c>
    </row>
    <row r="15" spans="3:4">
      <c r="C15" t="s">
        <v>19</v>
      </c>
      <c r="D15">
        <v>4800</v>
      </c>
    </row>
    <row r="16" spans="3:4">
      <c r="C16" t="s">
        <v>11</v>
      </c>
      <c r="D16">
        <v>21600</v>
      </c>
    </row>
    <row r="17" spans="3:4">
      <c r="C17" t="s">
        <v>24</v>
      </c>
      <c r="D17">
        <v>35600</v>
      </c>
    </row>
    <row r="18" spans="3:4">
      <c r="C18" t="s">
        <v>18</v>
      </c>
      <c r="D18">
        <v>48000</v>
      </c>
    </row>
    <row r="19" spans="2:4">
      <c r="B19" t="s">
        <v>17</v>
      </c>
      <c r="D19">
        <v>94800</v>
      </c>
    </row>
    <row r="20" spans="3:4">
      <c r="C20" t="s">
        <v>19</v>
      </c>
      <c r="D20">
        <v>16000</v>
      </c>
    </row>
    <row r="21" spans="3:4">
      <c r="C21" t="s">
        <v>24</v>
      </c>
      <c r="D21">
        <v>35600</v>
      </c>
    </row>
    <row r="22" spans="3:4">
      <c r="C22" t="s">
        <v>18</v>
      </c>
      <c r="D22">
        <v>43200</v>
      </c>
    </row>
    <row r="23" spans="2:4">
      <c r="B23" t="s">
        <v>28</v>
      </c>
      <c r="D23">
        <v>524220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销售记录</vt:lpstr>
      <vt:lpstr>筛选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2026-01-14T02:45:14Z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
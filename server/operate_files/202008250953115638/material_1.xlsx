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上升案例数统计表" sheetId="1" r:id="rId1"/>
  </sheets>
  <calcPr calcId="144525"/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<sst xmlns="http://schemas.openxmlformats.org/spreadsheetml/2006/main" count="12" uniqueCount="12">
  <si>
    <t>某地区案例情况表</t>
  </si>
  <si>
    <r>
      <rPr>
        <sz val="12"/>
        <rFont val="Times New Roman"/>
        <family val="1"/>
      </rPr>
      <t xml:space="preserve"> </t>
    </r>
    <r>
      <rPr>
        <sz val="12"/>
        <rFont val="宋体"/>
        <charset val="134"/>
      </rPr>
      <t>序号</t>
    </r>
  </si>
  <si>
    <t xml:space="preserve"> 地区</t>
  </si>
  <si>
    <t>去年案例数</t>
  </si>
  <si>
    <t>上升比率</t>
  </si>
  <si>
    <t>上升案例数</t>
  </si>
  <si>
    <t>备注</t>
  </si>
  <si>
    <t>A地区</t>
  </si>
  <si>
    <r>
      <rPr>
        <sz val="12"/>
        <rFont val="宋体"/>
        <charset val="134"/>
      </rPr>
      <t>B</t>
    </r>
    <r>
      <rPr>
        <sz val="12"/>
        <rFont val="宋体"/>
        <charset val="134"/>
      </rPr>
      <t>地区</t>
    </r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</si>
  <si>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地区</t>
    </r>
  </si>
  <si>
    <r>
      <rPr>
        <sz val="12"/>
        <rFont val="宋体"/>
        <charset val="134"/>
      </rPr>
      <t>D</t>
    </r>
    <r>
      <rPr>
        <sz val="12"/>
        <rFont val="宋体"/>
        <charset val="134"/>
      </rPr>
      <t>地区</t>
    </r>
  </si>
  <si>
    <t>E地区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</si>
</sst>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2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left"/>
    </xf>
    <xf numFmtId="10" fontId="0" fillId="0" borderId="0" xfId="0" applyNumberFormat="1"/>
    <xf numFmtId="10" fontId="0" fillId="0" borderId="0" xfId="0" applyNumberFormat="1" applyFont="1"/>
    <xf numFmtId="176" fontId="0" fillId="0" borderId="0" xfId="0" applyNumberFormat="1"/>
    <xf numFmtId="0" fontId="0" fillId="0" borderId="0" xfId="0" applyFont="1" applyAlignment="1">
      <alignment horizontal="center"/>
    </xf>
  </cellXfs>
  <cellStyles count="2">
    <cellStyle name="常规" xfId="0" builtinId="0"/>
    <cellStyle name="常规 2" xfId="1"/>
  </cellStyles>
  <dxfs count="4">
    <dxf>
      <numFmt numFmtId="176" formatCode="0_ 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上升案例数统计图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上升案例数统计表!$E$2</c:f>
              <c:strCache>
                <c:ptCount val="1"/>
                <c:pt idx="0">
                  <c:v>上升案例数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上升案例数统计表!$B$3:$B$7</c:f>
              <c:strCache>
                <c:ptCount val="5"/>
                <c:pt idx="0">
                  <c:v>A地区</c:v>
                </c:pt>
                <c:pt idx="1">
                  <c:v>B地区</c:v>
                </c:pt>
                <c:pt idx="2">
                  <c:v>C地区</c:v>
                </c:pt>
                <c:pt idx="3">
                  <c:v>D地区</c:v>
                </c:pt>
                <c:pt idx="4">
                  <c:v>E地区</c:v>
                </c:pt>
              </c:strCache>
            </c:strRef>
          </c:cat>
          <c:val>
            <c:numRef>
              <c:f>上升案例数统计表!$E$3:$E$7</c:f>
              <c:numCache>
                <c:formatCode>0_ </c:formatCode>
                <c:ptCount val="5"/>
                <c:pt idx="0">
                  <c:v>26.5</c:v>
                </c:pt>
                <c:pt idx="1">
                  <c:v>160.14000000000001</c:v>
                </c:pt>
                <c:pt idx="2">
                  <c:v>71.400000000000006</c:v>
                </c:pt>
                <c:pt idx="3">
                  <c:v>61.050000000000004</c:v>
                </c:pt>
                <c:pt idx="4">
                  <c:v>56.064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351936"/>
        <c:axId val="243353472"/>
      </c:barChart>
      <c:catAx>
        <c:axId val="24335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43353472"/>
        <c:crosses val="autoZero"/>
        <c:auto val="1"/>
        <c:lblAlgn val="ctr"/>
        <c:lblOffset val="100"/>
        <c:noMultiLvlLbl val="0"/>
      </c:catAx>
      <c:valAx>
        <c:axId val="243353472"/>
        <c:scaling>
          <c:orientation val="minMax"/>
        </c:scaling>
        <c:delete val="0"/>
        <c:axPos val="l"/>
        <c:majorGridlines/>
        <c:numFmt formatCode="0_ " sourceLinked="1"/>
        <c:majorTickMark val="out"/>
        <c:minorTickMark val="none"/>
        <c:tickLblPos val="nextTo"/>
        <c:crossAx val="243351936"/>
        <c:crosses val="autoZero"/>
        <c:crossBetween val="between"/>
      </c:valAx>
    </c:plotArea>
    <c:legend>
      <c:legendPos val="l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</xdr:row>
      <xdr:rowOff>57150</xdr:rowOff>
    </xdr:from>
    <xdr:to>
      <xdr:col>5</xdr:col>
      <xdr:colOff>428625</xdr:colOff>
      <xdr:row>24</xdr:row>
      <xdr:rowOff>85725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F7" totalsRowShown="0">
  <autoFilter ref="A2:F7"/>
  <tableColumns count="6">
    <tableColumn id="1" name=" 序号" dataDxfId="3"/>
    <tableColumn id="2" name=" 地区" dataDxfId="2"/>
    <tableColumn id="3" name="去年案例数"/>
    <tableColumn id="4" name="上升比率" dataDxfId="1"/>
    <tableColumn id="5" name="上升案例数" dataDxfId="0">
      <calculatedColumnFormula>C3*D3</calculatedColumnFormula>
    </tableColumn>
    <tableColumn id="6" name="备注">
      <calculatedColumnFormula>IF(E3&gt;50,"重点关注","关注")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10" sqref="A10"/>
    </sheetView>
  </sheetViews>
  <sheetFormatPr defaultColWidth="9" defaultRowHeight="14.25" x14ac:dyDescent="0.15"/>
  <cols>
    <col min="2" max="2" width="10.125" customWidth="1"/>
    <col min="3" max="3" width="12.75" customWidth="1"/>
    <col min="4" max="4" width="11.75" customWidth="1"/>
    <col min="5" max="5" width="12.75" customWidth="1"/>
  </cols>
  <sheetData>
    <row r="1" spans="1:6" x14ac:dyDescent="0.15">
      <c r="A1" s="7" t="s">
        <v>0</v>
      </c>
      <c r="B1" s="7"/>
      <c r="C1" s="7"/>
      <c r="D1" s="7"/>
      <c r="E1" s="7"/>
      <c r="F1" s="7"/>
    </row>
    <row r="2" spans="1:6" ht="15.75" x14ac:dyDescent="0.25">
      <c r="A2" s="2" t="s">
        <v>1</v>
      </c>
      <c r="B2" t="s">
        <v>2</v>
      </c>
      <c r="C2" s="3" t="s">
        <v>3</v>
      </c>
      <c r="D2" s="1" t="s">
        <v>4</v>
      </c>
      <c r="E2" t="s">
        <v>5</v>
      </c>
      <c r="F2" s="1" t="s">
        <v>6</v>
      </c>
    </row>
    <row r="3" spans="1:6" ht="15.75" x14ac:dyDescent="0.25">
      <c r="A3" s="2">
        <v>1</v>
      </c>
      <c r="B3" s="1" t="s">
        <v>7</v>
      </c>
      <c r="C3">
        <v>5300</v>
      </c>
      <c r="D3" s="4">
        <v>5.0000000000000001E-3</v>
      </c>
      <c r="E3" s="6">
        <f>C3*D3</f>
        <v>26.5</v>
      </c>
      <c r="F3" t="str">
        <f>IF(E3&gt;50,"重点关注","关注")</f>
        <v>关注</v>
      </c>
    </row>
    <row r="4" spans="1:6" ht="15.75" x14ac:dyDescent="0.25">
      <c r="A4" s="2">
        <v>2</v>
      </c>
      <c r="B4" s="1" t="s">
        <v>8</v>
      </c>
      <c r="C4">
        <v>8007</v>
      </c>
      <c r="D4" s="4">
        <v>0.02</v>
      </c>
      <c r="E4" s="6">
        <f t="shared" ref="E4:E7" si="0">C4*D4</f>
        <v>160.14000000000001</v>
      </c>
      <c r="F4" t="str">
        <f t="shared" ref="F4:F7" si="1">IF(E4&gt;50,"重点关注","关注")</f>
        <v>重点关注</v>
      </c>
    </row>
    <row r="5" spans="1:6" x14ac:dyDescent="0.15">
      <c r="A5">
        <v>3</v>
      </c>
      <c r="B5" s="1" t="s">
        <v>9</v>
      </c>
      <c r="C5">
        <v>3400</v>
      </c>
      <c r="D5" s="4">
        <v>2.1000000000000001E-2</v>
      </c>
      <c r="E5" s="6">
        <f t="shared" si="0"/>
        <v>71.400000000000006</v>
      </c>
      <c r="F5" t="str">
        <f t="shared" si="1"/>
        <v>重点关注</v>
      </c>
    </row>
    <row r="6" spans="1:6" ht="15.75" x14ac:dyDescent="0.25">
      <c r="A6" s="2">
        <v>4</v>
      </c>
      <c r="B6" s="1" t="s">
        <v>10</v>
      </c>
      <c r="C6">
        <v>6105</v>
      </c>
      <c r="D6" s="5">
        <v>0.01</v>
      </c>
      <c r="E6" s="6">
        <f t="shared" si="0"/>
        <v>61.050000000000004</v>
      </c>
      <c r="F6" t="str">
        <f t="shared" si="1"/>
        <v>重点关注</v>
      </c>
    </row>
    <row r="7" spans="1:6" ht="15.75" x14ac:dyDescent="0.25">
      <c r="A7" s="2">
        <v>5</v>
      </c>
      <c r="B7" s="1" t="s">
        <v>11</v>
      </c>
      <c r="C7">
        <v>4672</v>
      </c>
      <c r="D7" s="4">
        <v>1.2E-2</v>
      </c>
      <c r="E7" s="6">
        <f t="shared" si="0"/>
        <v>56.064</v>
      </c>
      <c r="F7" t="str">
        <f t="shared" si="1"/>
        <v>重点关注</v>
      </c>
    </row>
  </sheetData>
  <mergeCells count="1">
    <mergeCell ref="A1:F1"/>
  </mergeCells>
  <phoneticPr fontId="3" type="noConversion"/>
  <pageMargins left="0.75" right="0.75" top="1" bottom="1" header="0.5" footer="0.5"/>
  <pageSetup paperSize="9" orientation="portrait" horizontalDpi="200" verticalDpi="300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上升案例数统计表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86133</cp:lastModifiedBy>
  <dcterms:created xsi:type="dcterms:W3CDTF">2004-07-20T07:46:00Z</dcterms:created>
  <dcterms:modified xsi:type="dcterms:W3CDTF">2021-05-31T07:02:41Z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
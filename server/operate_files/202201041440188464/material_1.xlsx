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员工培训成绩表" sheetId="1" r:id="rId1"/>
    <sheet name="分类汇总" sheetId="2" r:id="rId2"/>
    <sheet name="筛选" sheetId="3" r:id="rId3"/>
    <sheet name="图表" sheetId="4" r:id="rId4"/>
  </sheets>
  <definedNames>
    <definedName name="_xlnm._FilterDatabase" localSheetId="2" hidden="1">筛选!$A$3:$L$32</definedName>
    <definedName name="_xlnm.Criteria" localSheetId="2">筛选!$A$1:$B$2</definedName>
  </definedNames>
  <calcPr calcId="145621"/>
</workbook>
</file>

<file path=xl/calcChain.xml><?xml version="1.0" encoding="utf-8"?>
<calcChain xmlns="http://schemas.openxmlformats.org/spreadsheetml/2006/main">
  <c r="I34" i="2" l="1"/>
  <c r="I33" i="2"/>
  <c r="H33" i="2"/>
  <c r="I20" i="2"/>
  <c r="H20" i="2"/>
  <c r="I10" i="2"/>
  <c r="H10" i="2"/>
  <c r="H34" i="2" s="1"/>
  <c r="K32" i="3"/>
  <c r="J32" i="3"/>
  <c r="K31" i="3"/>
  <c r="J31" i="3"/>
  <c r="K30" i="3"/>
  <c r="J30" i="3"/>
  <c r="K29" i="3"/>
  <c r="J29" i="3"/>
  <c r="K28" i="3"/>
  <c r="J28" i="3"/>
  <c r="K27" i="3"/>
  <c r="J27" i="3"/>
  <c r="L27" i="3" s="1"/>
  <c r="K26" i="3"/>
  <c r="J26" i="3"/>
  <c r="K25" i="3"/>
  <c r="J25" i="3"/>
  <c r="K24" i="3"/>
  <c r="J24" i="3"/>
  <c r="K23" i="3"/>
  <c r="J23" i="3"/>
  <c r="K22" i="3"/>
  <c r="J22" i="3"/>
  <c r="K21" i="3"/>
  <c r="J21" i="3"/>
  <c r="L21" i="3" s="1"/>
  <c r="K20" i="3"/>
  <c r="J20" i="3"/>
  <c r="K19" i="3"/>
  <c r="J19" i="3"/>
  <c r="K18" i="3"/>
  <c r="J18" i="3"/>
  <c r="K17" i="3"/>
  <c r="J17" i="3"/>
  <c r="K16" i="3"/>
  <c r="J16" i="3"/>
  <c r="K15" i="3"/>
  <c r="J15" i="3"/>
  <c r="L15" i="3" s="1"/>
  <c r="K14" i="3"/>
  <c r="J14" i="3"/>
  <c r="K13" i="3"/>
  <c r="J13" i="3"/>
  <c r="K12" i="3"/>
  <c r="J12" i="3"/>
  <c r="K11" i="3"/>
  <c r="J11" i="3"/>
  <c r="K10" i="3"/>
  <c r="J10" i="3"/>
  <c r="K9" i="3"/>
  <c r="J9" i="3"/>
  <c r="L9" i="3" s="1"/>
  <c r="K8" i="3"/>
  <c r="J8" i="3"/>
  <c r="K7" i="3"/>
  <c r="J7" i="3"/>
  <c r="K6" i="3"/>
  <c r="J6" i="3"/>
  <c r="K5" i="3"/>
  <c r="J5" i="3"/>
  <c r="K4" i="3"/>
  <c r="J4" i="3"/>
  <c r="L28" i="2"/>
  <c r="L30" i="2"/>
  <c r="L21" i="2"/>
  <c r="L6" i="2"/>
  <c r="L9" i="2"/>
  <c r="L15" i="2"/>
  <c r="K12" i="2"/>
  <c r="L12" i="2" s="1"/>
  <c r="J12" i="2"/>
  <c r="K15" i="2"/>
  <c r="J15" i="2"/>
  <c r="K9" i="2"/>
  <c r="J9" i="2"/>
  <c r="K18" i="2"/>
  <c r="L18" i="2" s="1"/>
  <c r="J18" i="2"/>
  <c r="K6" i="2"/>
  <c r="J6" i="2"/>
  <c r="K32" i="2"/>
  <c r="L32" i="2" s="1"/>
  <c r="J32" i="2"/>
  <c r="K31" i="2"/>
  <c r="L31" i="2" s="1"/>
  <c r="J31" i="2"/>
  <c r="K17" i="2"/>
  <c r="L17" i="2" s="1"/>
  <c r="J17" i="2"/>
  <c r="K5" i="2"/>
  <c r="L5" i="2" s="1"/>
  <c r="J5" i="2"/>
  <c r="K26" i="2"/>
  <c r="L26" i="2" s="1"/>
  <c r="J26" i="2"/>
  <c r="K4" i="2"/>
  <c r="L4" i="2" s="1"/>
  <c r="J4" i="2"/>
  <c r="K25" i="2"/>
  <c r="L25" i="2" s="1"/>
  <c r="J25" i="2"/>
  <c r="K11" i="2"/>
  <c r="L11" i="2" s="1"/>
  <c r="J11" i="2"/>
  <c r="K21" i="2"/>
  <c r="J21" i="2"/>
  <c r="K2" i="2"/>
  <c r="L2" i="2" s="1"/>
  <c r="J2" i="2"/>
  <c r="K22" i="2"/>
  <c r="L22" i="2" s="1"/>
  <c r="J22" i="2"/>
  <c r="K27" i="2"/>
  <c r="L27" i="2" s="1"/>
  <c r="J27" i="2"/>
  <c r="K14" i="2"/>
  <c r="L14" i="2" s="1"/>
  <c r="J14" i="2"/>
  <c r="K24" i="2"/>
  <c r="L24" i="2" s="1"/>
  <c r="J24" i="2"/>
  <c r="K16" i="2"/>
  <c r="L16" i="2" s="1"/>
  <c r="J16" i="2"/>
  <c r="K3" i="2"/>
  <c r="L3" i="2" s="1"/>
  <c r="J3" i="2"/>
  <c r="K23" i="2"/>
  <c r="L23" i="2" s="1"/>
  <c r="J23" i="2"/>
  <c r="K30" i="2"/>
  <c r="J30" i="2"/>
  <c r="K19" i="2"/>
  <c r="L19" i="2" s="1"/>
  <c r="J19" i="2"/>
  <c r="K8" i="2"/>
  <c r="L8" i="2" s="1"/>
  <c r="J8" i="2"/>
  <c r="K28" i="2"/>
  <c r="J28" i="2"/>
  <c r="K7" i="2"/>
  <c r="L7" i="2" s="1"/>
  <c r="J7" i="2"/>
  <c r="K29" i="2"/>
  <c r="L29" i="2" s="1"/>
  <c r="J29" i="2"/>
  <c r="K13" i="2"/>
  <c r="L13" i="2" s="1"/>
  <c r="J13" i="2"/>
  <c r="L22" i="3" l="1"/>
  <c r="L28" i="3"/>
  <c r="L29" i="3"/>
  <c r="L17" i="3"/>
  <c r="L4" i="3"/>
  <c r="L11" i="3"/>
  <c r="L6" i="3"/>
  <c r="L18" i="3"/>
  <c r="L24" i="3"/>
  <c r="L30" i="3"/>
  <c r="L12" i="3"/>
  <c r="L10" i="3"/>
  <c r="L23" i="3"/>
  <c r="L7" i="3"/>
  <c r="L19" i="3"/>
  <c r="L25" i="3"/>
  <c r="L31" i="3"/>
  <c r="L16" i="3"/>
  <c r="L5" i="3"/>
  <c r="L13" i="3"/>
  <c r="L8" i="3"/>
  <c r="L20" i="3"/>
  <c r="L26" i="3"/>
  <c r="L32" i="3"/>
  <c r="L14" i="3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" i="1"/>
  <c r="J4" i="1"/>
  <c r="L6" i="1" s="1"/>
  <c r="J5" i="1"/>
  <c r="L5" i="1" s="1"/>
  <c r="J6" i="1"/>
  <c r="J7" i="1"/>
  <c r="L7" i="1" s="1"/>
  <c r="J8" i="1"/>
  <c r="L8" i="1" s="1"/>
  <c r="J9" i="1"/>
  <c r="J10" i="1"/>
  <c r="J11" i="1"/>
  <c r="J12" i="1"/>
  <c r="J13" i="1"/>
  <c r="L13" i="1" s="1"/>
  <c r="J14" i="1"/>
  <c r="L14" i="1" s="1"/>
  <c r="J15" i="1"/>
  <c r="L15" i="1" s="1"/>
  <c r="J16" i="1"/>
  <c r="L16" i="1" s="1"/>
  <c r="J17" i="1"/>
  <c r="L17" i="1" s="1"/>
  <c r="J18" i="1"/>
  <c r="J19" i="1"/>
  <c r="L19" i="1" s="1"/>
  <c r="J20" i="1"/>
  <c r="L20" i="1" s="1"/>
  <c r="J21" i="1"/>
  <c r="J22" i="1"/>
  <c r="L22" i="1" s="1"/>
  <c r="J23" i="1"/>
  <c r="L23" i="1" s="1"/>
  <c r="J24" i="1"/>
  <c r="J25" i="1"/>
  <c r="L25" i="1" s="1"/>
  <c r="J26" i="1"/>
  <c r="L26" i="1" s="1"/>
  <c r="J27" i="1"/>
  <c r="L27" i="1" s="1"/>
  <c r="J28" i="1"/>
  <c r="L28" i="1" s="1"/>
  <c r="J29" i="1"/>
  <c r="L29" i="1" s="1"/>
  <c r="J30" i="1"/>
  <c r="J31" i="1"/>
  <c r="L31" i="1" s="1"/>
  <c r="J3" i="1"/>
  <c r="L9" i="1" l="1"/>
  <c r="L21" i="1"/>
  <c r="L10" i="1"/>
  <c r="L11" i="1"/>
  <c r="L12" i="1"/>
  <c r="L24" i="1"/>
  <c r="L4" i="1"/>
  <c r="L3" i="1"/>
  <c r="L18" i="1"/>
  <c r="L30" i="1"/>
</calcChain>
</file>

<file path=xl/sharedStrings.xml><?xml version="1.0" encoding="utf-8"?>
<sst xmlns="http://schemas.openxmlformats.org/spreadsheetml/2006/main" count="306" uniqueCount="99">
  <si>
    <t>员工编号</t>
    <phoneticPr fontId="1" type="noConversion"/>
  </si>
  <si>
    <t>姓名</t>
    <phoneticPr fontId="1" type="noConversion"/>
  </si>
  <si>
    <t>促销手段</t>
    <phoneticPr fontId="1" type="noConversion"/>
  </si>
  <si>
    <t>营销策略</t>
    <phoneticPr fontId="1" type="noConversion"/>
  </si>
  <si>
    <t>采购</t>
    <phoneticPr fontId="1" type="noConversion"/>
  </si>
  <si>
    <t>沟通</t>
    <phoneticPr fontId="1" type="noConversion"/>
  </si>
  <si>
    <t>顾客心理</t>
    <phoneticPr fontId="1" type="noConversion"/>
  </si>
  <si>
    <t>市场开拓</t>
    <phoneticPr fontId="1" type="noConversion"/>
  </si>
  <si>
    <t>总分</t>
    <phoneticPr fontId="1" type="noConversion"/>
  </si>
  <si>
    <t>平均分</t>
    <phoneticPr fontId="1" type="noConversion"/>
  </si>
  <si>
    <t>名次</t>
    <phoneticPr fontId="1" type="noConversion"/>
  </si>
  <si>
    <t>PX01</t>
    <phoneticPr fontId="1" type="noConversion"/>
  </si>
  <si>
    <t>PX02</t>
  </si>
  <si>
    <t>PX03</t>
  </si>
  <si>
    <t>PX04</t>
  </si>
  <si>
    <t>PX05</t>
  </si>
  <si>
    <t>PX06</t>
  </si>
  <si>
    <t>PX07</t>
  </si>
  <si>
    <t>PX08</t>
  </si>
  <si>
    <t>PX09</t>
  </si>
  <si>
    <t>PX10</t>
  </si>
  <si>
    <t>PX11</t>
  </si>
  <si>
    <t>PX12</t>
  </si>
  <si>
    <t>PX13</t>
  </si>
  <si>
    <t>PX14</t>
  </si>
  <si>
    <t>PX15</t>
  </si>
  <si>
    <t>PX16</t>
  </si>
  <si>
    <t>PX17</t>
  </si>
  <si>
    <t>PX18</t>
  </si>
  <si>
    <t>PX19</t>
  </si>
  <si>
    <t>PX20</t>
  </si>
  <si>
    <t>PX21</t>
  </si>
  <si>
    <t>PX22</t>
  </si>
  <si>
    <t>PX23</t>
  </si>
  <si>
    <t>PX24</t>
  </si>
  <si>
    <t>PX25</t>
  </si>
  <si>
    <t>PX26</t>
  </si>
  <si>
    <t>PX27</t>
  </si>
  <si>
    <t>PX28</t>
  </si>
  <si>
    <t>PX29</t>
  </si>
  <si>
    <t>熊赞悦</t>
  </si>
  <si>
    <t>龙合瑞</t>
  </si>
  <si>
    <t>高思若</t>
  </si>
  <si>
    <t>毛昕昕</t>
  </si>
  <si>
    <t>戴暖瞳</t>
  </si>
  <si>
    <t>程贤惠</t>
  </si>
  <si>
    <t>黄一璇</t>
  </si>
  <si>
    <t>吴晓洁</t>
  </si>
  <si>
    <t>许格格</t>
  </si>
  <si>
    <t>赖好洁</t>
  </si>
  <si>
    <t>史景焕</t>
  </si>
  <si>
    <t>魏立诚</t>
  </si>
  <si>
    <t>秦乐悦</t>
  </si>
  <si>
    <t>阎正诚</t>
  </si>
  <si>
    <t>杨正平</t>
  </si>
  <si>
    <t>叶修贤</t>
  </si>
  <si>
    <t>钟玉宇</t>
  </si>
  <si>
    <t>任飞跃</t>
  </si>
  <si>
    <t>萧高歌</t>
  </si>
  <si>
    <t>秦烨霖</t>
  </si>
  <si>
    <t>孙英范</t>
  </si>
  <si>
    <t>孔锐锋</t>
  </si>
  <si>
    <t>郝冠玉</t>
  </si>
  <si>
    <t>冯锐思</t>
  </si>
  <si>
    <t>胡康裕</t>
  </si>
  <si>
    <t>金学英</t>
  </si>
  <si>
    <t>漕凡双</t>
  </si>
  <si>
    <t>唐孟乐</t>
  </si>
  <si>
    <t>许靖柏</t>
  </si>
  <si>
    <t>员工部门</t>
    <phoneticPr fontId="1" type="noConversion"/>
  </si>
  <si>
    <t>人事部</t>
    <phoneticPr fontId="1" type="noConversion"/>
  </si>
  <si>
    <t>财务部</t>
    <phoneticPr fontId="1" type="noConversion"/>
  </si>
  <si>
    <t>市场经营部</t>
    <phoneticPr fontId="1" type="noConversion"/>
  </si>
  <si>
    <t>2021年员工培训成绩表</t>
    <phoneticPr fontId="1" type="noConversion"/>
  </si>
  <si>
    <t>员工编号</t>
  </si>
  <si>
    <t>姓名</t>
  </si>
  <si>
    <t>员工部门</t>
  </si>
  <si>
    <t>促销手段</t>
  </si>
  <si>
    <t>营销策略</t>
  </si>
  <si>
    <t>采购</t>
  </si>
  <si>
    <t>沟通</t>
  </si>
  <si>
    <t>顾客心理</t>
  </si>
  <si>
    <t>市场开拓</t>
  </si>
  <si>
    <t>总分</t>
  </si>
  <si>
    <t>平均分</t>
  </si>
  <si>
    <t>PX01</t>
  </si>
  <si>
    <t>人事部</t>
  </si>
  <si>
    <t>财务部</t>
  </si>
  <si>
    <t>市场经营部</t>
  </si>
  <si>
    <t>备注</t>
    <phoneticPr fontId="1" type="noConversion"/>
  </si>
  <si>
    <t>总分</t>
    <phoneticPr fontId="1" type="noConversion"/>
  </si>
  <si>
    <t>平均分</t>
    <phoneticPr fontId="1" type="noConversion"/>
  </si>
  <si>
    <t>&gt;=450</t>
    <phoneticPr fontId="1" type="noConversion"/>
  </si>
  <si>
    <t>&gt;=80</t>
    <phoneticPr fontId="1" type="noConversion"/>
  </si>
  <si>
    <t>名次</t>
  </si>
  <si>
    <t>市场经营部 平均值</t>
  </si>
  <si>
    <t>人事部 平均值</t>
  </si>
  <si>
    <t>财务部 平均值</t>
  </si>
  <si>
    <t>总计平均值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</si>
</sst>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0_ "/>
  </numFmts>
  <fonts count="5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20"/>
      <color rgb="FFFF0000"/>
      <name val="华文行楷"/>
      <family val="3"/>
      <charset val="134"/>
    </font>
    <font>
      <sz val="12"/>
      <color theme="1"/>
      <name val="华文宋体"/>
      <family val="3"/>
      <charset val="134"/>
    </font>
    <font>
      <b/>
      <sz val="12"/>
      <color theme="1"/>
      <name val="华文宋体"/>
      <family val="3"/>
      <charset val="134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ck">
        <color rgb="FFFF0000"/>
      </left>
      <right style="double">
        <color rgb="FF7030A0"/>
      </right>
      <top style="thick">
        <color rgb="FFFF0000"/>
      </top>
      <bottom style="double">
        <color rgb="FF7030A0"/>
      </bottom>
      <diagonal/>
    </border>
    <border>
      <left style="double">
        <color rgb="FF7030A0"/>
      </left>
      <right style="double">
        <color rgb="FF7030A0"/>
      </right>
      <top style="thick">
        <color rgb="FFFF0000"/>
      </top>
      <bottom style="double">
        <color rgb="FF7030A0"/>
      </bottom>
      <diagonal/>
    </border>
    <border>
      <left style="double">
        <color rgb="FF7030A0"/>
      </left>
      <right style="thick">
        <color rgb="FFFF0000"/>
      </right>
      <top style="thick">
        <color rgb="FFFF0000"/>
      </top>
      <bottom style="double">
        <color rgb="FF7030A0"/>
      </bottom>
      <diagonal/>
    </border>
    <border>
      <left style="thick">
        <color rgb="FFFF0000"/>
      </left>
      <right style="double">
        <color rgb="FF7030A0"/>
      </right>
      <top style="double">
        <color rgb="FF7030A0"/>
      </top>
      <bottom style="double">
        <color rgb="FF7030A0"/>
      </bottom>
      <diagonal/>
    </border>
    <border>
      <left style="double">
        <color rgb="FF7030A0"/>
      </left>
      <right style="double">
        <color rgb="FF7030A0"/>
      </right>
      <top style="double">
        <color rgb="FF7030A0"/>
      </top>
      <bottom style="double">
        <color rgb="FF7030A0"/>
      </bottom>
      <diagonal/>
    </border>
    <border>
      <left style="double">
        <color rgb="FF7030A0"/>
      </left>
      <right style="thick">
        <color rgb="FFFF0000"/>
      </right>
      <top style="double">
        <color rgb="FF7030A0"/>
      </top>
      <bottom style="double">
        <color rgb="FF7030A0"/>
      </bottom>
      <diagonal/>
    </border>
    <border>
      <left style="thick">
        <color rgb="FFFF0000"/>
      </left>
      <right style="double">
        <color rgb="FF7030A0"/>
      </right>
      <top style="double">
        <color rgb="FF7030A0"/>
      </top>
      <bottom style="thick">
        <color rgb="FFFF0000"/>
      </bottom>
      <diagonal/>
    </border>
    <border>
      <left style="double">
        <color rgb="FF7030A0"/>
      </left>
      <right style="double">
        <color rgb="FF7030A0"/>
      </right>
      <top style="double">
        <color rgb="FF7030A0"/>
      </top>
      <bottom style="thick">
        <color rgb="FFFF0000"/>
      </bottom>
      <diagonal/>
    </border>
    <border>
      <left style="double">
        <color rgb="FF7030A0"/>
      </left>
      <right style="thick">
        <color rgb="FFFF0000"/>
      </right>
      <top style="double">
        <color rgb="FF7030A0"/>
      </top>
      <bottom style="thick">
        <color rgb="FFFF0000"/>
      </bottom>
      <diagonal/>
    </border>
    <border>
      <left style="double">
        <color rgb="FF7030A0"/>
      </left>
      <right style="double">
        <color rgb="FF7030A0"/>
      </right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176" fontId="3" fillId="0" borderId="5" xfId="0" applyNumberFormat="1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176" fontId="3" fillId="0" borderId="8" xfId="0" applyNumberFormat="1" applyFont="1" applyBorder="1" applyAlignment="1">
      <alignment horizontal="center"/>
    </xf>
    <xf numFmtId="176" fontId="0" fillId="0" borderId="0" xfId="0" applyNumberFormat="1"/>
    <xf numFmtId="0" fontId="3" fillId="0" borderId="0" xfId="0" applyFont="1" applyBorder="1" applyAlignment="1">
      <alignment horizontal="center"/>
    </xf>
    <xf numFmtId="176" fontId="3" fillId="0" borderId="0" xfId="0" applyNumberFormat="1" applyFont="1" applyBorder="1" applyAlignment="1">
      <alignment horizontal="center"/>
    </xf>
    <xf numFmtId="0" fontId="3" fillId="0" borderId="10" xfId="0" applyFont="1" applyFill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176" fontId="3" fillId="0" borderId="5" xfId="0" applyNumberFormat="1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176" fontId="3" fillId="0" borderId="8" xfId="0" applyNumberFormat="1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zh-CN" altLang="zh-CN" sz="1200" b="1" i="0" u="none" strike="noStrike" baseline="0">
                <a:effectLst/>
                <a:latin typeface="楷体" pitchFamily="49" charset="-122"/>
                <a:ea typeface="楷体" pitchFamily="49" charset="-122"/>
              </a:rPr>
              <a:t>员工平均分统计图</a:t>
            </a:r>
            <a:endParaRPr lang="zh-CN" altLang="en-US" sz="1200">
              <a:latin typeface="楷体" pitchFamily="49" charset="-122"/>
              <a:ea typeface="楷体" pitchFamily="49" charset="-122"/>
            </a:endParaRP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员工培训成绩表!$K$2</c:f>
              <c:strCache>
                <c:ptCount val="1"/>
                <c:pt idx="0">
                  <c:v>平均分</c:v>
                </c:pt>
              </c:strCache>
            </c:strRef>
          </c:tx>
          <c:cat>
            <c:strRef>
              <c:f>员工培训成绩表!$B$3:$B$31</c:f>
              <c:strCache>
                <c:ptCount val="29"/>
                <c:pt idx="0">
                  <c:v>熊赞悦</c:v>
                </c:pt>
                <c:pt idx="1">
                  <c:v>龙合瑞</c:v>
                </c:pt>
                <c:pt idx="2">
                  <c:v>高思若</c:v>
                </c:pt>
                <c:pt idx="3">
                  <c:v>毛昕昕</c:v>
                </c:pt>
                <c:pt idx="4">
                  <c:v>戴暖瞳</c:v>
                </c:pt>
                <c:pt idx="5">
                  <c:v>程贤惠</c:v>
                </c:pt>
                <c:pt idx="6">
                  <c:v>黄一璇</c:v>
                </c:pt>
                <c:pt idx="7">
                  <c:v>吴晓洁</c:v>
                </c:pt>
                <c:pt idx="8">
                  <c:v>许格格</c:v>
                </c:pt>
                <c:pt idx="9">
                  <c:v>赖好洁</c:v>
                </c:pt>
                <c:pt idx="10">
                  <c:v>史景焕</c:v>
                </c:pt>
                <c:pt idx="11">
                  <c:v>魏立诚</c:v>
                </c:pt>
                <c:pt idx="12">
                  <c:v>秦乐悦</c:v>
                </c:pt>
                <c:pt idx="13">
                  <c:v>阎正诚</c:v>
                </c:pt>
                <c:pt idx="14">
                  <c:v>杨正平</c:v>
                </c:pt>
                <c:pt idx="15">
                  <c:v>叶修贤</c:v>
                </c:pt>
                <c:pt idx="16">
                  <c:v>钟玉宇</c:v>
                </c:pt>
                <c:pt idx="17">
                  <c:v>任飞跃</c:v>
                </c:pt>
                <c:pt idx="18">
                  <c:v>萧高歌</c:v>
                </c:pt>
                <c:pt idx="19">
                  <c:v>秦烨霖</c:v>
                </c:pt>
                <c:pt idx="20">
                  <c:v>孙英范</c:v>
                </c:pt>
                <c:pt idx="21">
                  <c:v>孔锐锋</c:v>
                </c:pt>
                <c:pt idx="22">
                  <c:v>郝冠玉</c:v>
                </c:pt>
                <c:pt idx="23">
                  <c:v>冯锐思</c:v>
                </c:pt>
                <c:pt idx="24">
                  <c:v>胡康裕</c:v>
                </c:pt>
                <c:pt idx="25">
                  <c:v>金学英</c:v>
                </c:pt>
                <c:pt idx="26">
                  <c:v>漕凡双</c:v>
                </c:pt>
                <c:pt idx="27">
                  <c:v>唐孟乐</c:v>
                </c:pt>
                <c:pt idx="28">
                  <c:v>许靖柏</c:v>
                </c:pt>
              </c:strCache>
            </c:strRef>
          </c:cat>
          <c:val>
            <c:numRef>
              <c:f>员工培训成绩表!$K$3:$K$31</c:f>
              <c:numCache>
                <c:formatCode>0.00_ </c:formatCode>
                <c:ptCount val="29"/>
                <c:pt idx="0">
                  <c:v>79</c:v>
                </c:pt>
                <c:pt idx="1">
                  <c:v>78.833333333333329</c:v>
                </c:pt>
                <c:pt idx="2">
                  <c:v>68</c:v>
                </c:pt>
                <c:pt idx="3">
                  <c:v>76</c:v>
                </c:pt>
                <c:pt idx="4">
                  <c:v>69.166666666666671</c:v>
                </c:pt>
                <c:pt idx="5">
                  <c:v>79.333333333333329</c:v>
                </c:pt>
                <c:pt idx="6">
                  <c:v>79.833333333333329</c:v>
                </c:pt>
                <c:pt idx="7">
                  <c:v>75</c:v>
                </c:pt>
                <c:pt idx="8">
                  <c:v>80</c:v>
                </c:pt>
                <c:pt idx="9">
                  <c:v>81</c:v>
                </c:pt>
                <c:pt idx="10">
                  <c:v>76.666666666666671</c:v>
                </c:pt>
                <c:pt idx="11">
                  <c:v>83.333333333333329</c:v>
                </c:pt>
                <c:pt idx="12">
                  <c:v>81.833333333333329</c:v>
                </c:pt>
                <c:pt idx="13">
                  <c:v>82.333333333333329</c:v>
                </c:pt>
                <c:pt idx="14">
                  <c:v>78.833333333333329</c:v>
                </c:pt>
                <c:pt idx="15">
                  <c:v>80.833333333333329</c:v>
                </c:pt>
                <c:pt idx="16">
                  <c:v>79.5</c:v>
                </c:pt>
                <c:pt idx="17">
                  <c:v>72.5</c:v>
                </c:pt>
                <c:pt idx="18">
                  <c:v>75</c:v>
                </c:pt>
                <c:pt idx="19">
                  <c:v>69.5</c:v>
                </c:pt>
                <c:pt idx="20">
                  <c:v>84</c:v>
                </c:pt>
                <c:pt idx="21">
                  <c:v>83.166666666666671</c:v>
                </c:pt>
                <c:pt idx="22">
                  <c:v>76.166666666666671</c:v>
                </c:pt>
                <c:pt idx="23">
                  <c:v>77.166666666666671</c:v>
                </c:pt>
                <c:pt idx="24">
                  <c:v>80</c:v>
                </c:pt>
                <c:pt idx="25">
                  <c:v>83.666666666666671</c:v>
                </c:pt>
                <c:pt idx="26">
                  <c:v>77.833333333333329</c:v>
                </c:pt>
                <c:pt idx="27">
                  <c:v>70.333333333333329</c:v>
                </c:pt>
                <c:pt idx="28">
                  <c:v>75.666666666666671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7206144"/>
        <c:axId val="237212032"/>
      </c:lineChart>
      <c:catAx>
        <c:axId val="237206144"/>
        <c:scaling>
          <c:orientation val="minMax"/>
        </c:scaling>
        <c:delete val="0"/>
        <c:axPos val="b"/>
        <c:majorTickMark val="out"/>
        <c:minorTickMark val="none"/>
        <c:tickLblPos val="nextTo"/>
        <c:crossAx val="237212032"/>
        <c:crosses val="autoZero"/>
        <c:auto val="1"/>
        <c:lblAlgn val="ctr"/>
        <c:lblOffset val="100"/>
        <c:noMultiLvlLbl val="0"/>
      </c:catAx>
      <c:valAx>
        <c:axId val="237212032"/>
        <c:scaling>
          <c:orientation val="minMax"/>
        </c:scaling>
        <c:delete val="0"/>
        <c:axPos val="l"/>
        <c:majorGridlines/>
        <c:numFmt formatCode="0.00_ " sourceLinked="1"/>
        <c:majorTickMark val="out"/>
        <c:minorTickMark val="none"/>
        <c:tickLblPos val="nextTo"/>
        <c:crossAx val="23720614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623887</xdr:colOff>
      <xdr:row>14</xdr:row>
      <xdr:rowOff>76200</xdr:rowOff>
    </xdr:from>
    <xdr:to>
      <xdr:col>11</xdr:col>
      <xdr:colOff>395287</xdr:colOff>
      <xdr:row>30</xdr:row>
      <xdr:rowOff>76200</xdr:rowOff>
    </xdr:to>
    <xdr:graphicFrame macro="">
      <xdr:nvGraphicFramePr>
        <xdr:cNvPr id="2" name="图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2"/>
  <sheetViews>
    <sheetView tabSelected="1" view="pageLayout" zoomScaleNormal="100" workbookViewId="0">
      <selection activeCell="A2" sqref="A2:M31"/>
    </sheetView>
  </sheetViews>
  <sheetFormatPr defaultRowHeight="13.5" x14ac:dyDescent="0.15"/>
  <cols>
    <col min="1" max="1" width="9.5" bestFit="1" customWidth="1"/>
    <col min="2" max="2" width="7.5" bestFit="1" customWidth="1"/>
    <col min="3" max="3" width="11.625" bestFit="1" customWidth="1"/>
    <col min="4" max="5" width="9.5" bestFit="1" customWidth="1"/>
    <col min="6" max="7" width="5.5" bestFit="1" customWidth="1"/>
    <col min="8" max="9" width="9.5" bestFit="1" customWidth="1"/>
    <col min="10" max="10" width="5.5" bestFit="1" customWidth="1"/>
    <col min="11" max="11" width="7.5" bestFit="1" customWidth="1"/>
    <col min="12" max="12" width="5.5" bestFit="1" customWidth="1"/>
  </cols>
  <sheetData>
    <row r="1" spans="1:13" ht="30" customHeight="1" thickBot="1" x14ac:dyDescent="0.2">
      <c r="A1" s="15" t="s">
        <v>73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</row>
    <row r="2" spans="1:13" ht="18.75" thickTop="1" thickBot="1" x14ac:dyDescent="0.2">
      <c r="A2" s="16" t="s">
        <v>0</v>
      </c>
      <c r="B2" s="17" t="s">
        <v>1</v>
      </c>
      <c r="C2" s="17" t="s">
        <v>69</v>
      </c>
      <c r="D2" s="17" t="s">
        <v>2</v>
      </c>
      <c r="E2" s="17" t="s">
        <v>3</v>
      </c>
      <c r="F2" s="17" t="s">
        <v>4</v>
      </c>
      <c r="G2" s="17" t="s">
        <v>5</v>
      </c>
      <c r="H2" s="17" t="s">
        <v>6</v>
      </c>
      <c r="I2" s="17" t="s">
        <v>7</v>
      </c>
      <c r="J2" s="17" t="s">
        <v>8</v>
      </c>
      <c r="K2" s="17" t="s">
        <v>9</v>
      </c>
      <c r="L2" s="18" t="s">
        <v>10</v>
      </c>
      <c r="M2" s="19"/>
    </row>
    <row r="3" spans="1:13" ht="18.75" thickTop="1" thickBot="1" x14ac:dyDescent="0.2">
      <c r="A3" s="20" t="s">
        <v>11</v>
      </c>
      <c r="B3" s="21" t="s">
        <v>40</v>
      </c>
      <c r="C3" s="21" t="s">
        <v>70</v>
      </c>
      <c r="D3" s="21">
        <v>85</v>
      </c>
      <c r="E3" s="21">
        <v>84</v>
      </c>
      <c r="F3" s="21">
        <v>75</v>
      </c>
      <c r="G3" s="21">
        <v>55</v>
      </c>
      <c r="H3" s="21">
        <v>98</v>
      </c>
      <c r="I3" s="21">
        <v>77</v>
      </c>
      <c r="J3" s="21">
        <f>SUM(D3:I3)</f>
        <v>474</v>
      </c>
      <c r="K3" s="22">
        <f>AVERAGE(D3:I3)</f>
        <v>79</v>
      </c>
      <c r="L3" s="23">
        <f>RANK(J3,J3:J31)</f>
        <v>14</v>
      </c>
      <c r="M3" s="19"/>
    </row>
    <row r="4" spans="1:13" ht="18.75" thickTop="1" thickBot="1" x14ac:dyDescent="0.2">
      <c r="A4" s="20" t="s">
        <v>12</v>
      </c>
      <c r="B4" s="21" t="s">
        <v>41</v>
      </c>
      <c r="C4" s="21" t="s">
        <v>71</v>
      </c>
      <c r="D4" s="21">
        <v>75</v>
      </c>
      <c r="E4" s="21">
        <v>56</v>
      </c>
      <c r="F4" s="21">
        <v>84</v>
      </c>
      <c r="G4" s="21">
        <v>85</v>
      </c>
      <c r="H4" s="21">
        <v>88</v>
      </c>
      <c r="I4" s="21">
        <v>85</v>
      </c>
      <c r="J4" s="21">
        <f t="shared" ref="J4:J31" si="0">SUM(D4:I4)</f>
        <v>473</v>
      </c>
      <c r="K4" s="22">
        <f>AVERAGE(D4:I4)</f>
        <v>78.833333333333329</v>
      </c>
      <c r="L4" s="23">
        <f>RANK(J4,J3:J31)</f>
        <v>15</v>
      </c>
      <c r="M4" s="19"/>
    </row>
    <row r="5" spans="1:13" ht="18.75" thickTop="1" thickBot="1" x14ac:dyDescent="0.2">
      <c r="A5" s="20" t="s">
        <v>13</v>
      </c>
      <c r="B5" s="21" t="s">
        <v>42</v>
      </c>
      <c r="C5" s="21" t="s">
        <v>72</v>
      </c>
      <c r="D5" s="21">
        <v>45</v>
      </c>
      <c r="E5" s="21">
        <v>57</v>
      </c>
      <c r="F5" s="21">
        <v>55</v>
      </c>
      <c r="G5" s="21">
        <v>85</v>
      </c>
      <c r="H5" s="21">
        <v>81</v>
      </c>
      <c r="I5" s="21">
        <v>85</v>
      </c>
      <c r="J5" s="21">
        <f t="shared" si="0"/>
        <v>408</v>
      </c>
      <c r="K5" s="22">
        <f t="shared" ref="K5:K31" si="1">AVERAGE(D5:I5)</f>
        <v>68</v>
      </c>
      <c r="L5" s="23">
        <f>RANK(J5,J3:J31)</f>
        <v>29</v>
      </c>
      <c r="M5" s="19"/>
    </row>
    <row r="6" spans="1:13" ht="18.75" thickTop="1" thickBot="1" x14ac:dyDescent="0.2">
      <c r="A6" s="20" t="s">
        <v>14</v>
      </c>
      <c r="B6" s="21" t="s">
        <v>43</v>
      </c>
      <c r="C6" s="21" t="s">
        <v>71</v>
      </c>
      <c r="D6" s="21">
        <v>65</v>
      </c>
      <c r="E6" s="21">
        <v>48</v>
      </c>
      <c r="F6" s="21">
        <v>85</v>
      </c>
      <c r="G6" s="21">
        <v>85</v>
      </c>
      <c r="H6" s="21">
        <v>88</v>
      </c>
      <c r="I6" s="21">
        <v>85</v>
      </c>
      <c r="J6" s="21">
        <f t="shared" si="0"/>
        <v>456</v>
      </c>
      <c r="K6" s="22">
        <f t="shared" si="1"/>
        <v>76</v>
      </c>
      <c r="L6" s="23">
        <f>RANK(J6,J3:J31)</f>
        <v>21</v>
      </c>
      <c r="M6" s="19"/>
    </row>
    <row r="7" spans="1:13" ht="18.75" thickTop="1" thickBot="1" x14ac:dyDescent="0.2">
      <c r="A7" s="20" t="s">
        <v>15</v>
      </c>
      <c r="B7" s="21" t="s">
        <v>44</v>
      </c>
      <c r="C7" s="21" t="s">
        <v>72</v>
      </c>
      <c r="D7" s="21">
        <v>66</v>
      </c>
      <c r="E7" s="21">
        <v>58</v>
      </c>
      <c r="F7" s="21">
        <v>86</v>
      </c>
      <c r="G7" s="21">
        <v>86</v>
      </c>
      <c r="H7" s="21">
        <v>47</v>
      </c>
      <c r="I7" s="21">
        <v>72</v>
      </c>
      <c r="J7" s="21">
        <f t="shared" si="0"/>
        <v>415</v>
      </c>
      <c r="K7" s="22">
        <f t="shared" si="1"/>
        <v>69.166666666666671</v>
      </c>
      <c r="L7" s="23">
        <f>RANK(J7,J3:J31)</f>
        <v>28</v>
      </c>
      <c r="M7" s="19"/>
    </row>
    <row r="8" spans="1:13" ht="18.75" thickTop="1" thickBot="1" x14ac:dyDescent="0.2">
      <c r="A8" s="20" t="s">
        <v>16</v>
      </c>
      <c r="B8" s="21" t="s">
        <v>45</v>
      </c>
      <c r="C8" s="21" t="s">
        <v>70</v>
      </c>
      <c r="D8" s="21">
        <v>88</v>
      </c>
      <c r="E8" s="21">
        <v>58</v>
      </c>
      <c r="F8" s="21">
        <v>74</v>
      </c>
      <c r="G8" s="21">
        <v>98</v>
      </c>
      <c r="H8" s="21">
        <v>77</v>
      </c>
      <c r="I8" s="21">
        <v>81</v>
      </c>
      <c r="J8" s="21">
        <f t="shared" si="0"/>
        <v>476</v>
      </c>
      <c r="K8" s="22">
        <f t="shared" si="1"/>
        <v>79.333333333333329</v>
      </c>
      <c r="L8" s="23">
        <f>RANK(J8,J3:J31)</f>
        <v>13</v>
      </c>
      <c r="M8" s="19"/>
    </row>
    <row r="9" spans="1:13" ht="18.75" thickTop="1" thickBot="1" x14ac:dyDescent="0.2">
      <c r="A9" s="20" t="s">
        <v>17</v>
      </c>
      <c r="B9" s="21" t="s">
        <v>46</v>
      </c>
      <c r="C9" s="21" t="s">
        <v>71</v>
      </c>
      <c r="D9" s="21">
        <v>77</v>
      </c>
      <c r="E9" s="21">
        <v>68</v>
      </c>
      <c r="F9" s="21">
        <v>75</v>
      </c>
      <c r="G9" s="21">
        <v>88</v>
      </c>
      <c r="H9" s="21">
        <v>85</v>
      </c>
      <c r="I9" s="21">
        <v>86</v>
      </c>
      <c r="J9" s="21">
        <f t="shared" si="0"/>
        <v>479</v>
      </c>
      <c r="K9" s="22">
        <f t="shared" si="1"/>
        <v>79.833333333333329</v>
      </c>
      <c r="L9" s="23">
        <f>RANK(J9,J3:J31)</f>
        <v>11</v>
      </c>
      <c r="M9" s="19"/>
    </row>
    <row r="10" spans="1:13" ht="18.75" thickTop="1" thickBot="1" x14ac:dyDescent="0.2">
      <c r="A10" s="20" t="s">
        <v>18</v>
      </c>
      <c r="B10" s="21" t="s">
        <v>47</v>
      </c>
      <c r="C10" s="21" t="s">
        <v>71</v>
      </c>
      <c r="D10" s="21">
        <v>85</v>
      </c>
      <c r="E10" s="21">
        <v>85</v>
      </c>
      <c r="F10" s="21">
        <v>77</v>
      </c>
      <c r="G10" s="21">
        <v>47</v>
      </c>
      <c r="H10" s="21">
        <v>72</v>
      </c>
      <c r="I10" s="21">
        <v>84</v>
      </c>
      <c r="J10" s="21">
        <f t="shared" si="0"/>
        <v>450</v>
      </c>
      <c r="K10" s="22">
        <f t="shared" si="1"/>
        <v>75</v>
      </c>
      <c r="L10" s="23">
        <f>RANK(J10,J3:J31)</f>
        <v>23</v>
      </c>
      <c r="M10" s="19"/>
    </row>
    <row r="11" spans="1:13" ht="18.75" thickTop="1" thickBot="1" x14ac:dyDescent="0.2">
      <c r="A11" s="20" t="s">
        <v>19</v>
      </c>
      <c r="B11" s="21" t="s">
        <v>48</v>
      </c>
      <c r="C11" s="21" t="s">
        <v>72</v>
      </c>
      <c r="D11" s="21">
        <v>72</v>
      </c>
      <c r="E11" s="21">
        <v>68</v>
      </c>
      <c r="F11" s="21">
        <v>88</v>
      </c>
      <c r="G11" s="21">
        <v>85</v>
      </c>
      <c r="H11" s="21">
        <v>81</v>
      </c>
      <c r="I11" s="21">
        <v>86</v>
      </c>
      <c r="J11" s="21">
        <f t="shared" si="0"/>
        <v>480</v>
      </c>
      <c r="K11" s="22">
        <f t="shared" si="1"/>
        <v>80</v>
      </c>
      <c r="L11" s="23">
        <f>RANK(J11,J3:J31)</f>
        <v>9</v>
      </c>
      <c r="M11" s="19"/>
    </row>
    <row r="12" spans="1:13" ht="18.75" thickTop="1" thickBot="1" x14ac:dyDescent="0.2">
      <c r="A12" s="20" t="s">
        <v>20</v>
      </c>
      <c r="B12" s="21" t="s">
        <v>49</v>
      </c>
      <c r="C12" s="21" t="s">
        <v>70</v>
      </c>
      <c r="D12" s="21">
        <v>81</v>
      </c>
      <c r="E12" s="21">
        <v>95</v>
      </c>
      <c r="F12" s="21">
        <v>66</v>
      </c>
      <c r="G12" s="21">
        <v>84</v>
      </c>
      <c r="H12" s="21">
        <v>85</v>
      </c>
      <c r="I12" s="21">
        <v>75</v>
      </c>
      <c r="J12" s="21">
        <f t="shared" si="0"/>
        <v>486</v>
      </c>
      <c r="K12" s="22">
        <f t="shared" si="1"/>
        <v>81</v>
      </c>
      <c r="L12" s="23">
        <f>RANK(J12,J3:J31)</f>
        <v>7</v>
      </c>
      <c r="M12" s="19"/>
    </row>
    <row r="13" spans="1:13" ht="18.75" thickTop="1" thickBot="1" x14ac:dyDescent="0.2">
      <c r="A13" s="20" t="s">
        <v>21</v>
      </c>
      <c r="B13" s="21" t="s">
        <v>50</v>
      </c>
      <c r="C13" s="21" t="s">
        <v>71</v>
      </c>
      <c r="D13" s="21">
        <v>84</v>
      </c>
      <c r="E13" s="21">
        <v>84</v>
      </c>
      <c r="F13" s="21">
        <v>85</v>
      </c>
      <c r="G13" s="21">
        <v>47</v>
      </c>
      <c r="H13" s="21">
        <v>72</v>
      </c>
      <c r="I13" s="21">
        <v>88</v>
      </c>
      <c r="J13" s="21">
        <f t="shared" si="0"/>
        <v>460</v>
      </c>
      <c r="K13" s="22">
        <f t="shared" si="1"/>
        <v>76.666666666666671</v>
      </c>
      <c r="L13" s="23">
        <f>RANK(J13,J3:J31)</f>
        <v>19</v>
      </c>
      <c r="M13" s="19"/>
    </row>
    <row r="14" spans="1:13" ht="18.75" thickTop="1" thickBot="1" x14ac:dyDescent="0.2">
      <c r="A14" s="20" t="s">
        <v>22</v>
      </c>
      <c r="B14" s="21" t="s">
        <v>51</v>
      </c>
      <c r="C14" s="21" t="s">
        <v>70</v>
      </c>
      <c r="D14" s="21">
        <v>86</v>
      </c>
      <c r="E14" s="21">
        <v>85</v>
      </c>
      <c r="F14" s="21">
        <v>77</v>
      </c>
      <c r="G14" s="21">
        <v>85</v>
      </c>
      <c r="H14" s="21">
        <v>81</v>
      </c>
      <c r="I14" s="21">
        <v>86</v>
      </c>
      <c r="J14" s="21">
        <f t="shared" si="0"/>
        <v>500</v>
      </c>
      <c r="K14" s="22">
        <f t="shared" si="1"/>
        <v>83.333333333333329</v>
      </c>
      <c r="L14" s="23">
        <f>RANK(J14,J3:J31)</f>
        <v>3</v>
      </c>
      <c r="M14" s="19"/>
    </row>
    <row r="15" spans="1:13" ht="18.75" thickTop="1" thickBot="1" x14ac:dyDescent="0.2">
      <c r="A15" s="20" t="s">
        <v>23</v>
      </c>
      <c r="B15" s="21" t="s">
        <v>52</v>
      </c>
      <c r="C15" s="21" t="s">
        <v>71</v>
      </c>
      <c r="D15" s="21">
        <v>87</v>
      </c>
      <c r="E15" s="21">
        <v>75</v>
      </c>
      <c r="F15" s="21">
        <v>85</v>
      </c>
      <c r="G15" s="21">
        <v>84</v>
      </c>
      <c r="H15" s="21">
        <v>85</v>
      </c>
      <c r="I15" s="21">
        <v>75</v>
      </c>
      <c r="J15" s="21">
        <f t="shared" si="0"/>
        <v>491</v>
      </c>
      <c r="K15" s="22">
        <f t="shared" si="1"/>
        <v>81.833333333333329</v>
      </c>
      <c r="L15" s="23">
        <f>RANK(J15,J3:J31)</f>
        <v>6</v>
      </c>
      <c r="M15" s="19"/>
    </row>
    <row r="16" spans="1:13" ht="18.75" thickTop="1" thickBot="1" x14ac:dyDescent="0.2">
      <c r="A16" s="20" t="s">
        <v>24</v>
      </c>
      <c r="B16" s="21" t="s">
        <v>53</v>
      </c>
      <c r="C16" s="21" t="s">
        <v>71</v>
      </c>
      <c r="D16" s="21">
        <v>88</v>
      </c>
      <c r="E16" s="21">
        <v>76</v>
      </c>
      <c r="F16" s="21">
        <v>78</v>
      </c>
      <c r="G16" s="21">
        <v>85</v>
      </c>
      <c r="H16" s="21">
        <v>81</v>
      </c>
      <c r="I16" s="21">
        <v>86</v>
      </c>
      <c r="J16" s="21">
        <f t="shared" si="0"/>
        <v>494</v>
      </c>
      <c r="K16" s="22">
        <f t="shared" si="1"/>
        <v>82.333333333333329</v>
      </c>
      <c r="L16" s="23">
        <f>RANK(J16,J3:J31)</f>
        <v>5</v>
      </c>
      <c r="M16" s="19"/>
    </row>
    <row r="17" spans="1:13" ht="18.75" thickTop="1" thickBot="1" x14ac:dyDescent="0.2">
      <c r="A17" s="20" t="s">
        <v>25</v>
      </c>
      <c r="B17" s="21" t="s">
        <v>54</v>
      </c>
      <c r="C17" s="21" t="s">
        <v>72</v>
      </c>
      <c r="D17" s="21">
        <v>76</v>
      </c>
      <c r="E17" s="21">
        <v>55</v>
      </c>
      <c r="F17" s="21">
        <v>98</v>
      </c>
      <c r="G17" s="21">
        <v>84</v>
      </c>
      <c r="H17" s="21">
        <v>85</v>
      </c>
      <c r="I17" s="21">
        <v>75</v>
      </c>
      <c r="J17" s="21">
        <f t="shared" si="0"/>
        <v>473</v>
      </c>
      <c r="K17" s="22">
        <f t="shared" si="1"/>
        <v>78.833333333333329</v>
      </c>
      <c r="L17" s="23">
        <f>RANK(J17,J3:J31)</f>
        <v>15</v>
      </c>
      <c r="M17" s="19"/>
    </row>
    <row r="18" spans="1:13" ht="18.75" thickTop="1" thickBot="1" x14ac:dyDescent="0.2">
      <c r="A18" s="20" t="s">
        <v>26</v>
      </c>
      <c r="B18" s="21" t="s">
        <v>55</v>
      </c>
      <c r="C18" s="21" t="s">
        <v>71</v>
      </c>
      <c r="D18" s="21">
        <v>82</v>
      </c>
      <c r="E18" s="21">
        <v>85</v>
      </c>
      <c r="F18" s="21">
        <v>88</v>
      </c>
      <c r="G18" s="21">
        <v>55</v>
      </c>
      <c r="H18" s="21">
        <v>98</v>
      </c>
      <c r="I18" s="21">
        <v>77</v>
      </c>
      <c r="J18" s="21">
        <f t="shared" si="0"/>
        <v>485</v>
      </c>
      <c r="K18" s="22">
        <f t="shared" si="1"/>
        <v>80.833333333333329</v>
      </c>
      <c r="L18" s="23">
        <f>RANK(J18,J3:J31)</f>
        <v>8</v>
      </c>
      <c r="M18" s="19"/>
    </row>
    <row r="19" spans="1:13" ht="18.75" thickTop="1" thickBot="1" x14ac:dyDescent="0.2">
      <c r="A19" s="20" t="s">
        <v>27</v>
      </c>
      <c r="B19" s="21" t="s">
        <v>56</v>
      </c>
      <c r="C19" s="21" t="s">
        <v>70</v>
      </c>
      <c r="D19" s="21">
        <v>83</v>
      </c>
      <c r="E19" s="21">
        <v>86</v>
      </c>
      <c r="F19" s="21">
        <v>47</v>
      </c>
      <c r="G19" s="21">
        <v>85</v>
      </c>
      <c r="H19" s="21">
        <v>88</v>
      </c>
      <c r="I19" s="21">
        <v>88</v>
      </c>
      <c r="J19" s="21">
        <f t="shared" si="0"/>
        <v>477</v>
      </c>
      <c r="K19" s="22">
        <f t="shared" si="1"/>
        <v>79.5</v>
      </c>
      <c r="L19" s="23">
        <f>RANK(J19,J3:J31)</f>
        <v>12</v>
      </c>
      <c r="M19" s="19"/>
    </row>
    <row r="20" spans="1:13" ht="18.75" thickTop="1" thickBot="1" x14ac:dyDescent="0.2">
      <c r="A20" s="20" t="s">
        <v>28</v>
      </c>
      <c r="B20" s="21" t="s">
        <v>57</v>
      </c>
      <c r="C20" s="21" t="s">
        <v>71</v>
      </c>
      <c r="D20" s="21">
        <v>77</v>
      </c>
      <c r="E20" s="21">
        <v>74</v>
      </c>
      <c r="F20" s="21">
        <v>85</v>
      </c>
      <c r="G20" s="21">
        <v>86</v>
      </c>
      <c r="H20" s="21">
        <v>47</v>
      </c>
      <c r="I20" s="21">
        <v>66</v>
      </c>
      <c r="J20" s="21">
        <f t="shared" si="0"/>
        <v>435</v>
      </c>
      <c r="K20" s="22">
        <f t="shared" si="1"/>
        <v>72.5</v>
      </c>
      <c r="L20" s="23">
        <f>RANK(J20,J3:J31)</f>
        <v>25</v>
      </c>
      <c r="M20" s="19"/>
    </row>
    <row r="21" spans="1:13" ht="18.75" thickTop="1" thickBot="1" x14ac:dyDescent="0.2">
      <c r="A21" s="20" t="s">
        <v>29</v>
      </c>
      <c r="B21" s="21" t="s">
        <v>58</v>
      </c>
      <c r="C21" s="21" t="s">
        <v>72</v>
      </c>
      <c r="D21" s="21">
        <v>51</v>
      </c>
      <c r="E21" s="21">
        <v>84</v>
      </c>
      <c r="F21" s="21">
        <v>68</v>
      </c>
      <c r="G21" s="21">
        <v>74</v>
      </c>
      <c r="H21" s="21">
        <v>85</v>
      </c>
      <c r="I21" s="21">
        <v>88</v>
      </c>
      <c r="J21" s="21">
        <f t="shared" si="0"/>
        <v>450</v>
      </c>
      <c r="K21" s="22">
        <f t="shared" si="1"/>
        <v>75</v>
      </c>
      <c r="L21" s="23">
        <f>RANK(J21,J3:J31)</f>
        <v>23</v>
      </c>
      <c r="M21" s="19"/>
    </row>
    <row r="22" spans="1:13" ht="18.75" thickTop="1" thickBot="1" x14ac:dyDescent="0.2">
      <c r="A22" s="20" t="s">
        <v>30</v>
      </c>
      <c r="B22" s="21" t="s">
        <v>59</v>
      </c>
      <c r="C22" s="21" t="s">
        <v>71</v>
      </c>
      <c r="D22" s="21">
        <v>48</v>
      </c>
      <c r="E22" s="21">
        <v>95</v>
      </c>
      <c r="F22" s="21">
        <v>75</v>
      </c>
      <c r="G22" s="21">
        <v>84</v>
      </c>
      <c r="H22" s="21">
        <v>68</v>
      </c>
      <c r="I22" s="21">
        <v>47</v>
      </c>
      <c r="J22" s="21">
        <f t="shared" si="0"/>
        <v>417</v>
      </c>
      <c r="K22" s="22">
        <f t="shared" si="1"/>
        <v>69.5</v>
      </c>
      <c r="L22" s="23">
        <f>RANK(J22,J3:J31)</f>
        <v>27</v>
      </c>
      <c r="M22" s="19"/>
    </row>
    <row r="23" spans="1:13" ht="18.75" thickTop="1" thickBot="1" x14ac:dyDescent="0.2">
      <c r="A23" s="20" t="s">
        <v>31</v>
      </c>
      <c r="B23" s="21" t="s">
        <v>60</v>
      </c>
      <c r="C23" s="21" t="s">
        <v>72</v>
      </c>
      <c r="D23" s="21">
        <v>90</v>
      </c>
      <c r="E23" s="21">
        <v>75</v>
      </c>
      <c r="F23" s="21">
        <v>84</v>
      </c>
      <c r="G23" s="21">
        <v>95</v>
      </c>
      <c r="H23" s="21">
        <v>75</v>
      </c>
      <c r="I23" s="21">
        <v>85</v>
      </c>
      <c r="J23" s="21">
        <f t="shared" si="0"/>
        <v>504</v>
      </c>
      <c r="K23" s="22">
        <f t="shared" si="1"/>
        <v>84</v>
      </c>
      <c r="L23" s="23">
        <f>RANK(J23,J3:J31)</f>
        <v>1</v>
      </c>
      <c r="M23" s="19"/>
    </row>
    <row r="24" spans="1:13" ht="18.75" thickTop="1" thickBot="1" x14ac:dyDescent="0.2">
      <c r="A24" s="20" t="s">
        <v>32</v>
      </c>
      <c r="B24" s="21" t="s">
        <v>61</v>
      </c>
      <c r="C24" s="21" t="s">
        <v>70</v>
      </c>
      <c r="D24" s="21">
        <v>74</v>
      </c>
      <c r="E24" s="21">
        <v>84</v>
      </c>
      <c r="F24" s="21">
        <v>98</v>
      </c>
      <c r="G24" s="21">
        <v>75</v>
      </c>
      <c r="H24" s="21">
        <v>84</v>
      </c>
      <c r="I24" s="21">
        <v>84</v>
      </c>
      <c r="J24" s="21">
        <f t="shared" si="0"/>
        <v>499</v>
      </c>
      <c r="K24" s="22">
        <f t="shared" si="1"/>
        <v>83.166666666666671</v>
      </c>
      <c r="L24" s="23">
        <f>RANK(J24,J3:J31)</f>
        <v>4</v>
      </c>
      <c r="M24" s="19"/>
    </row>
    <row r="25" spans="1:13" ht="18.75" thickTop="1" thickBot="1" x14ac:dyDescent="0.2">
      <c r="A25" s="20" t="s">
        <v>33</v>
      </c>
      <c r="B25" s="21" t="s">
        <v>62</v>
      </c>
      <c r="C25" s="21" t="s">
        <v>71</v>
      </c>
      <c r="D25" s="21">
        <v>58</v>
      </c>
      <c r="E25" s="21">
        <v>95</v>
      </c>
      <c r="F25" s="21">
        <v>75</v>
      </c>
      <c r="G25" s="21">
        <v>84</v>
      </c>
      <c r="H25" s="21">
        <v>98</v>
      </c>
      <c r="I25" s="21">
        <v>47</v>
      </c>
      <c r="J25" s="21">
        <f t="shared" si="0"/>
        <v>457</v>
      </c>
      <c r="K25" s="22">
        <f t="shared" si="1"/>
        <v>76.166666666666671</v>
      </c>
      <c r="L25" s="23">
        <f>RANK(J25,J3:J31)</f>
        <v>20</v>
      </c>
      <c r="M25" s="19"/>
    </row>
    <row r="26" spans="1:13" ht="18.75" thickTop="1" thickBot="1" x14ac:dyDescent="0.2">
      <c r="A26" s="20" t="s">
        <v>34</v>
      </c>
      <c r="B26" s="21" t="s">
        <v>63</v>
      </c>
      <c r="C26" s="21" t="s">
        <v>71</v>
      </c>
      <c r="D26" s="21">
        <v>65</v>
      </c>
      <c r="E26" s="21">
        <v>75</v>
      </c>
      <c r="F26" s="21">
        <v>68</v>
      </c>
      <c r="G26" s="21">
        <v>95</v>
      </c>
      <c r="H26" s="21">
        <v>75</v>
      </c>
      <c r="I26" s="21">
        <v>85</v>
      </c>
      <c r="J26" s="21">
        <f t="shared" si="0"/>
        <v>463</v>
      </c>
      <c r="K26" s="22">
        <f t="shared" si="1"/>
        <v>77.166666666666671</v>
      </c>
      <c r="L26" s="23">
        <f>RANK(J26,J3:J31)</f>
        <v>18</v>
      </c>
      <c r="M26" s="19"/>
    </row>
    <row r="27" spans="1:13" ht="18.75" thickTop="1" thickBot="1" x14ac:dyDescent="0.2">
      <c r="A27" s="20" t="s">
        <v>35</v>
      </c>
      <c r="B27" s="21" t="s">
        <v>64</v>
      </c>
      <c r="C27" s="21" t="s">
        <v>72</v>
      </c>
      <c r="D27" s="21">
        <v>85</v>
      </c>
      <c r="E27" s="21">
        <v>84</v>
      </c>
      <c r="F27" s="21">
        <v>84</v>
      </c>
      <c r="G27" s="21">
        <v>75</v>
      </c>
      <c r="H27" s="21">
        <v>68</v>
      </c>
      <c r="I27" s="21">
        <v>84</v>
      </c>
      <c r="J27" s="21">
        <f t="shared" si="0"/>
        <v>480</v>
      </c>
      <c r="K27" s="22">
        <f t="shared" si="1"/>
        <v>80</v>
      </c>
      <c r="L27" s="23">
        <f>RANK(J27,J3:J31)</f>
        <v>9</v>
      </c>
      <c r="M27" s="19"/>
    </row>
    <row r="28" spans="1:13" ht="18.75" thickTop="1" thickBot="1" x14ac:dyDescent="0.2">
      <c r="A28" s="20" t="s">
        <v>36</v>
      </c>
      <c r="B28" s="21" t="s">
        <v>65</v>
      </c>
      <c r="C28" s="21" t="s">
        <v>70</v>
      </c>
      <c r="D28" s="21">
        <v>72</v>
      </c>
      <c r="E28" s="21">
        <v>95</v>
      </c>
      <c r="F28" s="21">
        <v>82</v>
      </c>
      <c r="G28" s="21">
        <v>84</v>
      </c>
      <c r="H28" s="21">
        <v>84</v>
      </c>
      <c r="I28" s="21">
        <v>85</v>
      </c>
      <c r="J28" s="21">
        <f t="shared" si="0"/>
        <v>502</v>
      </c>
      <c r="K28" s="22">
        <f t="shared" si="1"/>
        <v>83.666666666666671</v>
      </c>
      <c r="L28" s="23">
        <f>RANK(J28,J3:J31)</f>
        <v>2</v>
      </c>
      <c r="M28" s="19"/>
    </row>
    <row r="29" spans="1:13" ht="18.75" thickTop="1" thickBot="1" x14ac:dyDescent="0.2">
      <c r="A29" s="20" t="s">
        <v>37</v>
      </c>
      <c r="B29" s="21" t="s">
        <v>66</v>
      </c>
      <c r="C29" s="21" t="s">
        <v>72</v>
      </c>
      <c r="D29" s="21">
        <v>48</v>
      </c>
      <c r="E29" s="21">
        <v>75</v>
      </c>
      <c r="F29" s="21">
        <v>83</v>
      </c>
      <c r="G29" s="21">
        <v>95</v>
      </c>
      <c r="H29" s="21">
        <v>82</v>
      </c>
      <c r="I29" s="21">
        <v>84</v>
      </c>
      <c r="J29" s="21">
        <f t="shared" si="0"/>
        <v>467</v>
      </c>
      <c r="K29" s="22">
        <f t="shared" si="1"/>
        <v>77.833333333333329</v>
      </c>
      <c r="L29" s="23">
        <f>RANK(J29,J3:J31)</f>
        <v>17</v>
      </c>
      <c r="M29" s="19"/>
    </row>
    <row r="30" spans="1:13" ht="18.75" thickTop="1" thickBot="1" x14ac:dyDescent="0.2">
      <c r="A30" s="20" t="s">
        <v>38</v>
      </c>
      <c r="B30" s="21" t="s">
        <v>67</v>
      </c>
      <c r="C30" s="21" t="s">
        <v>70</v>
      </c>
      <c r="D30" s="21">
        <v>57</v>
      </c>
      <c r="E30" s="21">
        <v>65</v>
      </c>
      <c r="F30" s="21">
        <v>75</v>
      </c>
      <c r="G30" s="21">
        <v>95</v>
      </c>
      <c r="H30" s="21">
        <v>75</v>
      </c>
      <c r="I30" s="21">
        <v>55</v>
      </c>
      <c r="J30" s="21">
        <f t="shared" si="0"/>
        <v>422</v>
      </c>
      <c r="K30" s="22">
        <f t="shared" si="1"/>
        <v>70.333333333333329</v>
      </c>
      <c r="L30" s="23">
        <f>RANK(J30,J3:J31)</f>
        <v>26</v>
      </c>
      <c r="M30" s="19"/>
    </row>
    <row r="31" spans="1:13" ht="18.75" thickTop="1" thickBot="1" x14ac:dyDescent="0.2">
      <c r="A31" s="24" t="s">
        <v>39</v>
      </c>
      <c r="B31" s="25" t="s">
        <v>68</v>
      </c>
      <c r="C31" s="25" t="s">
        <v>70</v>
      </c>
      <c r="D31" s="25">
        <v>68</v>
      </c>
      <c r="E31" s="25">
        <v>84</v>
      </c>
      <c r="F31" s="25">
        <v>74</v>
      </c>
      <c r="G31" s="25">
        <v>75</v>
      </c>
      <c r="H31" s="25">
        <v>68</v>
      </c>
      <c r="I31" s="25">
        <v>85</v>
      </c>
      <c r="J31" s="25">
        <f t="shared" si="0"/>
        <v>454</v>
      </c>
      <c r="K31" s="26">
        <f t="shared" si="1"/>
        <v>75.666666666666671</v>
      </c>
      <c r="L31" s="27">
        <f>RANK(J31,J3:J31)</f>
        <v>22</v>
      </c>
      <c r="M31" s="19"/>
    </row>
    <row r="32" spans="1:13" ht="14.25" thickTop="1" x14ac:dyDescent="0.15"/>
  </sheetData>
  <mergeCells count="1">
    <mergeCell ref="A1:M1"/>
  </mergeCells>
  <phoneticPr fontId="1" type="noConversion"/>
  <printOptions horizontalCentered="1" verticalCentered="1"/>
  <pageMargins left="0.70866141732283472" right="0.70866141732283472" top="0.74803149606299213" bottom="0.74803149606299213" header="0.31496062992125984" footer="0.31496062992125984"/>
  <pageSetup paperSize="9" orientation="portrait" r:id="rId1"/>
  <headerFooter>
    <oddHeader>&amp;C&amp;12&amp;KFF0000员工培训成绩表</oddHeader>
    <oddFooter>&amp;R&amp;P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4"/>
  <sheetViews>
    <sheetView workbookViewId="0">
      <selection activeCell="H34" sqref="H34"/>
    </sheetView>
  </sheetViews>
  <sheetFormatPr defaultRowHeight="13.5" outlineLevelRow="2" x14ac:dyDescent="0.15"/>
  <cols>
    <col min="1" max="1" width="9.5" bestFit="1" customWidth="1"/>
    <col min="2" max="2" width="7.5" bestFit="1" customWidth="1"/>
    <col min="3" max="3" width="11.625" bestFit="1" customWidth="1"/>
    <col min="4" max="5" width="9.5" bestFit="1" customWidth="1"/>
    <col min="6" max="7" width="5.5" bestFit="1" customWidth="1"/>
    <col min="8" max="9" width="9.5" bestFit="1" customWidth="1"/>
    <col min="10" max="10" width="5.5" bestFit="1" customWidth="1"/>
    <col min="11" max="11" width="7.5" bestFit="1" customWidth="1"/>
  </cols>
  <sheetData>
    <row r="1" spans="1:12" ht="18.75" thickTop="1" thickBot="1" x14ac:dyDescent="0.35">
      <c r="A1" s="1" t="s">
        <v>0</v>
      </c>
      <c r="B1" s="2" t="s">
        <v>1</v>
      </c>
      <c r="C1" s="2" t="s">
        <v>69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12" t="s">
        <v>89</v>
      </c>
    </row>
    <row r="2" spans="1:12" ht="18.75" outlineLevel="2" thickTop="1" thickBot="1" x14ac:dyDescent="0.35">
      <c r="A2" s="3" t="s">
        <v>25</v>
      </c>
      <c r="B2" s="4" t="s">
        <v>54</v>
      </c>
      <c r="C2" s="4" t="s">
        <v>72</v>
      </c>
      <c r="D2" s="4">
        <v>76</v>
      </c>
      <c r="E2" s="4">
        <v>55</v>
      </c>
      <c r="F2" s="4">
        <v>98</v>
      </c>
      <c r="G2" s="4">
        <v>84</v>
      </c>
      <c r="H2" s="4">
        <v>85</v>
      </c>
      <c r="I2" s="4">
        <v>75</v>
      </c>
      <c r="J2" s="4">
        <f t="shared" ref="J2:J9" si="0">SUM(D2:I2)</f>
        <v>473</v>
      </c>
      <c r="K2" s="5">
        <f t="shared" ref="K2:K9" si="1">AVERAGE(D2:I2)</f>
        <v>78.833333333333329</v>
      </c>
      <c r="L2" t="str">
        <f t="shared" ref="L2:L9" si="2">IF(K2&gt;=80,"优秀","努力")</f>
        <v>努力</v>
      </c>
    </row>
    <row r="3" spans="1:12" ht="18.75" outlineLevel="2" thickTop="1" thickBot="1" x14ac:dyDescent="0.35">
      <c r="A3" s="3" t="s">
        <v>19</v>
      </c>
      <c r="B3" s="4" t="s">
        <v>48</v>
      </c>
      <c r="C3" s="4" t="s">
        <v>72</v>
      </c>
      <c r="D3" s="4">
        <v>72</v>
      </c>
      <c r="E3" s="4">
        <v>68</v>
      </c>
      <c r="F3" s="4">
        <v>88</v>
      </c>
      <c r="G3" s="4">
        <v>85</v>
      </c>
      <c r="H3" s="4">
        <v>81</v>
      </c>
      <c r="I3" s="4">
        <v>86</v>
      </c>
      <c r="J3" s="4">
        <f t="shared" si="0"/>
        <v>480</v>
      </c>
      <c r="K3" s="5">
        <f t="shared" si="1"/>
        <v>80</v>
      </c>
      <c r="L3" t="str">
        <f t="shared" si="2"/>
        <v>优秀</v>
      </c>
    </row>
    <row r="4" spans="1:12" ht="18.75" outlineLevel="2" thickTop="1" thickBot="1" x14ac:dyDescent="0.35">
      <c r="A4" s="3" t="s">
        <v>29</v>
      </c>
      <c r="B4" s="4" t="s">
        <v>58</v>
      </c>
      <c r="C4" s="4" t="s">
        <v>72</v>
      </c>
      <c r="D4" s="4">
        <v>51</v>
      </c>
      <c r="E4" s="4">
        <v>84</v>
      </c>
      <c r="F4" s="4">
        <v>68</v>
      </c>
      <c r="G4" s="4">
        <v>74</v>
      </c>
      <c r="H4" s="4">
        <v>85</v>
      </c>
      <c r="I4" s="4">
        <v>88</v>
      </c>
      <c r="J4" s="4">
        <f t="shared" si="0"/>
        <v>450</v>
      </c>
      <c r="K4" s="5">
        <f t="shared" si="1"/>
        <v>75</v>
      </c>
      <c r="L4" t="str">
        <f t="shared" si="2"/>
        <v>努力</v>
      </c>
    </row>
    <row r="5" spans="1:12" ht="18.75" outlineLevel="2" thickTop="1" thickBot="1" x14ac:dyDescent="0.35">
      <c r="A5" s="3" t="s">
        <v>31</v>
      </c>
      <c r="B5" s="4" t="s">
        <v>60</v>
      </c>
      <c r="C5" s="4" t="s">
        <v>72</v>
      </c>
      <c r="D5" s="4">
        <v>90</v>
      </c>
      <c r="E5" s="4">
        <v>75</v>
      </c>
      <c r="F5" s="4">
        <v>84</v>
      </c>
      <c r="G5" s="4">
        <v>95</v>
      </c>
      <c r="H5" s="4">
        <v>75</v>
      </c>
      <c r="I5" s="4">
        <v>85</v>
      </c>
      <c r="J5" s="4">
        <f t="shared" si="0"/>
        <v>504</v>
      </c>
      <c r="K5" s="5">
        <f t="shared" si="1"/>
        <v>84</v>
      </c>
      <c r="L5" t="str">
        <f t="shared" si="2"/>
        <v>优秀</v>
      </c>
    </row>
    <row r="6" spans="1:12" ht="18.75" outlineLevel="2" thickTop="1" thickBot="1" x14ac:dyDescent="0.35">
      <c r="A6" s="3" t="s">
        <v>35</v>
      </c>
      <c r="B6" s="4" t="s">
        <v>64</v>
      </c>
      <c r="C6" s="4" t="s">
        <v>72</v>
      </c>
      <c r="D6" s="4">
        <v>85</v>
      </c>
      <c r="E6" s="4">
        <v>84</v>
      </c>
      <c r="F6" s="4">
        <v>84</v>
      </c>
      <c r="G6" s="4">
        <v>75</v>
      </c>
      <c r="H6" s="4">
        <v>68</v>
      </c>
      <c r="I6" s="4">
        <v>84</v>
      </c>
      <c r="J6" s="4">
        <f t="shared" si="0"/>
        <v>480</v>
      </c>
      <c r="K6" s="5">
        <f t="shared" si="1"/>
        <v>80</v>
      </c>
      <c r="L6" t="str">
        <f t="shared" si="2"/>
        <v>优秀</v>
      </c>
    </row>
    <row r="7" spans="1:12" ht="18.75" outlineLevel="2" thickTop="1" thickBot="1" x14ac:dyDescent="0.35">
      <c r="A7" s="3" t="s">
        <v>13</v>
      </c>
      <c r="B7" s="4" t="s">
        <v>42</v>
      </c>
      <c r="C7" s="4" t="s">
        <v>72</v>
      </c>
      <c r="D7" s="4">
        <v>45</v>
      </c>
      <c r="E7" s="4">
        <v>57</v>
      </c>
      <c r="F7" s="4">
        <v>55</v>
      </c>
      <c r="G7" s="4">
        <v>85</v>
      </c>
      <c r="H7" s="4">
        <v>81</v>
      </c>
      <c r="I7" s="4">
        <v>85</v>
      </c>
      <c r="J7" s="4">
        <f t="shared" si="0"/>
        <v>408</v>
      </c>
      <c r="K7" s="5">
        <f t="shared" si="1"/>
        <v>68</v>
      </c>
      <c r="L7" t="str">
        <f t="shared" si="2"/>
        <v>努力</v>
      </c>
    </row>
    <row r="8" spans="1:12" ht="18.75" outlineLevel="2" thickTop="1" thickBot="1" x14ac:dyDescent="0.35">
      <c r="A8" s="3" t="s">
        <v>15</v>
      </c>
      <c r="B8" s="4" t="s">
        <v>44</v>
      </c>
      <c r="C8" s="4" t="s">
        <v>72</v>
      </c>
      <c r="D8" s="4">
        <v>66</v>
      </c>
      <c r="E8" s="4">
        <v>58</v>
      </c>
      <c r="F8" s="4">
        <v>86</v>
      </c>
      <c r="G8" s="4">
        <v>86</v>
      </c>
      <c r="H8" s="4">
        <v>47</v>
      </c>
      <c r="I8" s="4">
        <v>72</v>
      </c>
      <c r="J8" s="4">
        <f t="shared" si="0"/>
        <v>415</v>
      </c>
      <c r="K8" s="5">
        <f t="shared" si="1"/>
        <v>69.166666666666671</v>
      </c>
      <c r="L8" t="str">
        <f t="shared" si="2"/>
        <v>努力</v>
      </c>
    </row>
    <row r="9" spans="1:12" ht="18.75" outlineLevel="2" thickTop="1" thickBot="1" x14ac:dyDescent="0.35">
      <c r="A9" s="3" t="s">
        <v>37</v>
      </c>
      <c r="B9" s="4" t="s">
        <v>66</v>
      </c>
      <c r="C9" s="4" t="s">
        <v>72</v>
      </c>
      <c r="D9" s="4">
        <v>48</v>
      </c>
      <c r="E9" s="4">
        <v>75</v>
      </c>
      <c r="F9" s="4">
        <v>83</v>
      </c>
      <c r="G9" s="4">
        <v>95</v>
      </c>
      <c r="H9" s="4">
        <v>82</v>
      </c>
      <c r="I9" s="4">
        <v>84</v>
      </c>
      <c r="J9" s="4">
        <f t="shared" si="0"/>
        <v>467</v>
      </c>
      <c r="K9" s="5">
        <f t="shared" si="1"/>
        <v>77.833333333333329</v>
      </c>
      <c r="L9" t="str">
        <f t="shared" si="2"/>
        <v>努力</v>
      </c>
    </row>
    <row r="10" spans="1:12" ht="18.75" outlineLevel="1" thickTop="1" thickBot="1" x14ac:dyDescent="0.35">
      <c r="A10" s="3"/>
      <c r="B10" s="4"/>
      <c r="C10" s="13" t="s">
        <v>95</v>
      </c>
      <c r="D10" s="4"/>
      <c r="E10" s="4"/>
      <c r="F10" s="4"/>
      <c r="G10" s="4"/>
      <c r="H10" s="5">
        <f>SUBTOTAL(1,H2:H9)</f>
        <v>75.5</v>
      </c>
      <c r="I10" s="5">
        <f>SUBTOTAL(1,I2:I9)</f>
        <v>82.375</v>
      </c>
      <c r="J10" s="4"/>
      <c r="K10" s="5"/>
    </row>
    <row r="11" spans="1:12" ht="18.75" outlineLevel="2" thickTop="1" thickBot="1" x14ac:dyDescent="0.35">
      <c r="A11" s="3" t="s">
        <v>27</v>
      </c>
      <c r="B11" s="4" t="s">
        <v>56</v>
      </c>
      <c r="C11" s="4" t="s">
        <v>70</v>
      </c>
      <c r="D11" s="4">
        <v>83</v>
      </c>
      <c r="E11" s="4">
        <v>86</v>
      </c>
      <c r="F11" s="4">
        <v>47</v>
      </c>
      <c r="G11" s="4">
        <v>85</v>
      </c>
      <c r="H11" s="4">
        <v>88</v>
      </c>
      <c r="I11" s="4">
        <v>88</v>
      </c>
      <c r="J11" s="4">
        <f t="shared" ref="J11:J19" si="3">SUM(D11:I11)</f>
        <v>477</v>
      </c>
      <c r="K11" s="5">
        <f t="shared" ref="K11:K19" si="4">AVERAGE(D11:I11)</f>
        <v>79.5</v>
      </c>
      <c r="L11" t="str">
        <f t="shared" ref="L11:L19" si="5">IF(K11&gt;=80,"优秀","努力")</f>
        <v>努力</v>
      </c>
    </row>
    <row r="12" spans="1:12" ht="18.75" outlineLevel="2" thickTop="1" thickBot="1" x14ac:dyDescent="0.35">
      <c r="A12" s="3" t="s">
        <v>39</v>
      </c>
      <c r="B12" s="4" t="s">
        <v>68</v>
      </c>
      <c r="C12" s="4" t="s">
        <v>70</v>
      </c>
      <c r="D12" s="4">
        <v>68</v>
      </c>
      <c r="E12" s="4">
        <v>84</v>
      </c>
      <c r="F12" s="4">
        <v>74</v>
      </c>
      <c r="G12" s="4">
        <v>75</v>
      </c>
      <c r="H12" s="4">
        <v>68</v>
      </c>
      <c r="I12" s="4">
        <v>85</v>
      </c>
      <c r="J12" s="4">
        <f t="shared" si="3"/>
        <v>454</v>
      </c>
      <c r="K12" s="5">
        <f t="shared" si="4"/>
        <v>75.666666666666671</v>
      </c>
      <c r="L12" t="str">
        <f t="shared" si="5"/>
        <v>努力</v>
      </c>
    </row>
    <row r="13" spans="1:12" ht="18.75" outlineLevel="2" thickTop="1" thickBot="1" x14ac:dyDescent="0.35">
      <c r="A13" s="3" t="s">
        <v>11</v>
      </c>
      <c r="B13" s="4" t="s">
        <v>40</v>
      </c>
      <c r="C13" s="4" t="s">
        <v>70</v>
      </c>
      <c r="D13" s="4">
        <v>85</v>
      </c>
      <c r="E13" s="4">
        <v>84</v>
      </c>
      <c r="F13" s="4">
        <v>75</v>
      </c>
      <c r="G13" s="4">
        <v>55</v>
      </c>
      <c r="H13" s="4">
        <v>98</v>
      </c>
      <c r="I13" s="4">
        <v>77</v>
      </c>
      <c r="J13" s="4">
        <f t="shared" si="3"/>
        <v>474</v>
      </c>
      <c r="K13" s="5">
        <f t="shared" si="4"/>
        <v>79</v>
      </c>
      <c r="L13" t="str">
        <f t="shared" si="5"/>
        <v>努力</v>
      </c>
    </row>
    <row r="14" spans="1:12" ht="18.75" outlineLevel="2" thickTop="1" thickBot="1" x14ac:dyDescent="0.35">
      <c r="A14" s="3" t="s">
        <v>22</v>
      </c>
      <c r="B14" s="4" t="s">
        <v>51</v>
      </c>
      <c r="C14" s="4" t="s">
        <v>70</v>
      </c>
      <c r="D14" s="4">
        <v>86</v>
      </c>
      <c r="E14" s="4">
        <v>85</v>
      </c>
      <c r="F14" s="4">
        <v>77</v>
      </c>
      <c r="G14" s="4">
        <v>85</v>
      </c>
      <c r="H14" s="4">
        <v>81</v>
      </c>
      <c r="I14" s="4">
        <v>86</v>
      </c>
      <c r="J14" s="4">
        <f t="shared" si="3"/>
        <v>500</v>
      </c>
      <c r="K14" s="5">
        <f t="shared" si="4"/>
        <v>83.333333333333329</v>
      </c>
      <c r="L14" t="str">
        <f t="shared" si="5"/>
        <v>优秀</v>
      </c>
    </row>
    <row r="15" spans="1:12" ht="18.75" outlineLevel="2" thickTop="1" thickBot="1" x14ac:dyDescent="0.35">
      <c r="A15" s="3" t="s">
        <v>38</v>
      </c>
      <c r="B15" s="4" t="s">
        <v>67</v>
      </c>
      <c r="C15" s="4" t="s">
        <v>70</v>
      </c>
      <c r="D15" s="4">
        <v>57</v>
      </c>
      <c r="E15" s="4">
        <v>65</v>
      </c>
      <c r="F15" s="4">
        <v>75</v>
      </c>
      <c r="G15" s="4">
        <v>95</v>
      </c>
      <c r="H15" s="4">
        <v>75</v>
      </c>
      <c r="I15" s="4">
        <v>55</v>
      </c>
      <c r="J15" s="4">
        <f t="shared" si="3"/>
        <v>422</v>
      </c>
      <c r="K15" s="5">
        <f t="shared" si="4"/>
        <v>70.333333333333329</v>
      </c>
      <c r="L15" t="str">
        <f t="shared" si="5"/>
        <v>努力</v>
      </c>
    </row>
    <row r="16" spans="1:12" ht="18.75" outlineLevel="2" thickTop="1" thickBot="1" x14ac:dyDescent="0.35">
      <c r="A16" s="3" t="s">
        <v>20</v>
      </c>
      <c r="B16" s="4" t="s">
        <v>49</v>
      </c>
      <c r="C16" s="4" t="s">
        <v>70</v>
      </c>
      <c r="D16" s="4">
        <v>81</v>
      </c>
      <c r="E16" s="4">
        <v>95</v>
      </c>
      <c r="F16" s="4">
        <v>66</v>
      </c>
      <c r="G16" s="4">
        <v>84</v>
      </c>
      <c r="H16" s="4">
        <v>85</v>
      </c>
      <c r="I16" s="4">
        <v>75</v>
      </c>
      <c r="J16" s="4">
        <f t="shared" si="3"/>
        <v>486</v>
      </c>
      <c r="K16" s="5">
        <f t="shared" si="4"/>
        <v>81</v>
      </c>
      <c r="L16" t="str">
        <f t="shared" si="5"/>
        <v>优秀</v>
      </c>
    </row>
    <row r="17" spans="1:12" ht="18.75" outlineLevel="2" thickTop="1" thickBot="1" x14ac:dyDescent="0.35">
      <c r="A17" s="3" t="s">
        <v>32</v>
      </c>
      <c r="B17" s="4" t="s">
        <v>61</v>
      </c>
      <c r="C17" s="4" t="s">
        <v>70</v>
      </c>
      <c r="D17" s="4">
        <v>74</v>
      </c>
      <c r="E17" s="4">
        <v>84</v>
      </c>
      <c r="F17" s="4">
        <v>98</v>
      </c>
      <c r="G17" s="4">
        <v>75</v>
      </c>
      <c r="H17" s="4">
        <v>84</v>
      </c>
      <c r="I17" s="4">
        <v>84</v>
      </c>
      <c r="J17" s="4">
        <f t="shared" si="3"/>
        <v>499</v>
      </c>
      <c r="K17" s="5">
        <f t="shared" si="4"/>
        <v>83.166666666666671</v>
      </c>
      <c r="L17" t="str">
        <f t="shared" si="5"/>
        <v>优秀</v>
      </c>
    </row>
    <row r="18" spans="1:12" ht="18.75" outlineLevel="2" thickTop="1" thickBot="1" x14ac:dyDescent="0.35">
      <c r="A18" s="3" t="s">
        <v>36</v>
      </c>
      <c r="B18" s="4" t="s">
        <v>65</v>
      </c>
      <c r="C18" s="4" t="s">
        <v>70</v>
      </c>
      <c r="D18" s="4">
        <v>72</v>
      </c>
      <c r="E18" s="4">
        <v>95</v>
      </c>
      <c r="F18" s="4">
        <v>82</v>
      </c>
      <c r="G18" s="4">
        <v>84</v>
      </c>
      <c r="H18" s="4">
        <v>84</v>
      </c>
      <c r="I18" s="4">
        <v>85</v>
      </c>
      <c r="J18" s="4">
        <f t="shared" si="3"/>
        <v>502</v>
      </c>
      <c r="K18" s="5">
        <f t="shared" si="4"/>
        <v>83.666666666666671</v>
      </c>
      <c r="L18" t="str">
        <f t="shared" si="5"/>
        <v>优秀</v>
      </c>
    </row>
    <row r="19" spans="1:12" ht="18.75" outlineLevel="2" thickTop="1" thickBot="1" x14ac:dyDescent="0.35">
      <c r="A19" s="3" t="s">
        <v>16</v>
      </c>
      <c r="B19" s="4" t="s">
        <v>45</v>
      </c>
      <c r="C19" s="4" t="s">
        <v>70</v>
      </c>
      <c r="D19" s="4">
        <v>88</v>
      </c>
      <c r="E19" s="4">
        <v>58</v>
      </c>
      <c r="F19" s="4">
        <v>74</v>
      </c>
      <c r="G19" s="4">
        <v>98</v>
      </c>
      <c r="H19" s="4">
        <v>77</v>
      </c>
      <c r="I19" s="4">
        <v>81</v>
      </c>
      <c r="J19" s="4">
        <f t="shared" si="3"/>
        <v>476</v>
      </c>
      <c r="K19" s="5">
        <f t="shared" si="4"/>
        <v>79.333333333333329</v>
      </c>
      <c r="L19" t="str">
        <f t="shared" si="5"/>
        <v>努力</v>
      </c>
    </row>
    <row r="20" spans="1:12" ht="18.75" outlineLevel="1" thickTop="1" thickBot="1" x14ac:dyDescent="0.35">
      <c r="A20" s="3"/>
      <c r="B20" s="4"/>
      <c r="C20" s="13" t="s">
        <v>96</v>
      </c>
      <c r="D20" s="4"/>
      <c r="E20" s="4"/>
      <c r="F20" s="4"/>
      <c r="G20" s="4"/>
      <c r="H20" s="5">
        <f>SUBTOTAL(1,H11:H19)</f>
        <v>82.222222222222229</v>
      </c>
      <c r="I20" s="5">
        <f>SUBTOTAL(1,I11:I19)</f>
        <v>79.555555555555557</v>
      </c>
      <c r="J20" s="4"/>
      <c r="K20" s="5"/>
    </row>
    <row r="21" spans="1:12" ht="18.75" outlineLevel="2" thickTop="1" thickBot="1" x14ac:dyDescent="0.35">
      <c r="A21" s="3" t="s">
        <v>26</v>
      </c>
      <c r="B21" s="4" t="s">
        <v>55</v>
      </c>
      <c r="C21" s="4" t="s">
        <v>71</v>
      </c>
      <c r="D21" s="4">
        <v>82</v>
      </c>
      <c r="E21" s="4">
        <v>85</v>
      </c>
      <c r="F21" s="4">
        <v>88</v>
      </c>
      <c r="G21" s="4">
        <v>55</v>
      </c>
      <c r="H21" s="4">
        <v>98</v>
      </c>
      <c r="I21" s="4">
        <v>77</v>
      </c>
      <c r="J21" s="4">
        <f t="shared" ref="J21:J32" si="6">SUM(D21:I21)</f>
        <v>485</v>
      </c>
      <c r="K21" s="5">
        <f t="shared" ref="K21:K32" si="7">AVERAGE(D21:I21)</f>
        <v>80.833333333333329</v>
      </c>
      <c r="L21" t="str">
        <f t="shared" ref="L21:L32" si="8">IF(K21&gt;=80,"优秀","努力")</f>
        <v>优秀</v>
      </c>
    </row>
    <row r="22" spans="1:12" ht="18.75" outlineLevel="2" thickTop="1" thickBot="1" x14ac:dyDescent="0.35">
      <c r="A22" s="3" t="s">
        <v>24</v>
      </c>
      <c r="B22" s="4" t="s">
        <v>53</v>
      </c>
      <c r="C22" s="4" t="s">
        <v>71</v>
      </c>
      <c r="D22" s="4">
        <v>88</v>
      </c>
      <c r="E22" s="4">
        <v>76</v>
      </c>
      <c r="F22" s="4">
        <v>78</v>
      </c>
      <c r="G22" s="4">
        <v>85</v>
      </c>
      <c r="H22" s="4">
        <v>81</v>
      </c>
      <c r="I22" s="4">
        <v>86</v>
      </c>
      <c r="J22" s="4">
        <f t="shared" si="6"/>
        <v>494</v>
      </c>
      <c r="K22" s="5">
        <f t="shared" si="7"/>
        <v>82.333333333333329</v>
      </c>
      <c r="L22" t="str">
        <f t="shared" si="8"/>
        <v>优秀</v>
      </c>
    </row>
    <row r="23" spans="1:12" ht="18.75" outlineLevel="2" thickTop="1" thickBot="1" x14ac:dyDescent="0.35">
      <c r="A23" s="3" t="s">
        <v>18</v>
      </c>
      <c r="B23" s="4" t="s">
        <v>47</v>
      </c>
      <c r="C23" s="4" t="s">
        <v>71</v>
      </c>
      <c r="D23" s="4">
        <v>85</v>
      </c>
      <c r="E23" s="4">
        <v>85</v>
      </c>
      <c r="F23" s="4">
        <v>77</v>
      </c>
      <c r="G23" s="4">
        <v>47</v>
      </c>
      <c r="H23" s="4">
        <v>72</v>
      </c>
      <c r="I23" s="4">
        <v>84</v>
      </c>
      <c r="J23" s="4">
        <f t="shared" si="6"/>
        <v>450</v>
      </c>
      <c r="K23" s="5">
        <f t="shared" si="7"/>
        <v>75</v>
      </c>
      <c r="L23" t="str">
        <f t="shared" si="8"/>
        <v>努力</v>
      </c>
    </row>
    <row r="24" spans="1:12" ht="18.75" outlineLevel="2" thickTop="1" thickBot="1" x14ac:dyDescent="0.35">
      <c r="A24" s="3" t="s">
        <v>21</v>
      </c>
      <c r="B24" s="4" t="s">
        <v>50</v>
      </c>
      <c r="C24" s="4" t="s">
        <v>71</v>
      </c>
      <c r="D24" s="4">
        <v>84</v>
      </c>
      <c r="E24" s="4">
        <v>84</v>
      </c>
      <c r="F24" s="4">
        <v>85</v>
      </c>
      <c r="G24" s="4">
        <v>47</v>
      </c>
      <c r="H24" s="4">
        <v>72</v>
      </c>
      <c r="I24" s="4">
        <v>88</v>
      </c>
      <c r="J24" s="4">
        <f t="shared" si="6"/>
        <v>460</v>
      </c>
      <c r="K24" s="5">
        <f t="shared" si="7"/>
        <v>76.666666666666671</v>
      </c>
      <c r="L24" t="str">
        <f t="shared" si="8"/>
        <v>努力</v>
      </c>
    </row>
    <row r="25" spans="1:12" ht="18.75" outlineLevel="2" thickTop="1" thickBot="1" x14ac:dyDescent="0.35">
      <c r="A25" s="3" t="s">
        <v>28</v>
      </c>
      <c r="B25" s="4" t="s">
        <v>57</v>
      </c>
      <c r="C25" s="4" t="s">
        <v>71</v>
      </c>
      <c r="D25" s="4">
        <v>77</v>
      </c>
      <c r="E25" s="4">
        <v>74</v>
      </c>
      <c r="F25" s="4">
        <v>85</v>
      </c>
      <c r="G25" s="4">
        <v>86</v>
      </c>
      <c r="H25" s="4">
        <v>47</v>
      </c>
      <c r="I25" s="4">
        <v>66</v>
      </c>
      <c r="J25" s="4">
        <f t="shared" si="6"/>
        <v>435</v>
      </c>
      <c r="K25" s="5">
        <f t="shared" si="7"/>
        <v>72.5</v>
      </c>
      <c r="L25" t="str">
        <f t="shared" si="8"/>
        <v>努力</v>
      </c>
    </row>
    <row r="26" spans="1:12" ht="18.75" outlineLevel="2" thickTop="1" thickBot="1" x14ac:dyDescent="0.35">
      <c r="A26" s="3" t="s">
        <v>30</v>
      </c>
      <c r="B26" s="4" t="s">
        <v>59</v>
      </c>
      <c r="C26" s="4" t="s">
        <v>71</v>
      </c>
      <c r="D26" s="4">
        <v>48</v>
      </c>
      <c r="E26" s="4">
        <v>95</v>
      </c>
      <c r="F26" s="4">
        <v>75</v>
      </c>
      <c r="G26" s="4">
        <v>84</v>
      </c>
      <c r="H26" s="4">
        <v>68</v>
      </c>
      <c r="I26" s="4">
        <v>47</v>
      </c>
      <c r="J26" s="4">
        <f t="shared" si="6"/>
        <v>417</v>
      </c>
      <c r="K26" s="5">
        <f t="shared" si="7"/>
        <v>69.5</v>
      </c>
      <c r="L26" t="str">
        <f t="shared" si="8"/>
        <v>努力</v>
      </c>
    </row>
    <row r="27" spans="1:12" ht="18.75" outlineLevel="2" thickTop="1" thickBot="1" x14ac:dyDescent="0.35">
      <c r="A27" s="3" t="s">
        <v>23</v>
      </c>
      <c r="B27" s="4" t="s">
        <v>52</v>
      </c>
      <c r="C27" s="4" t="s">
        <v>71</v>
      </c>
      <c r="D27" s="4">
        <v>87</v>
      </c>
      <c r="E27" s="4">
        <v>75</v>
      </c>
      <c r="F27" s="4">
        <v>85</v>
      </c>
      <c r="G27" s="4">
        <v>84</v>
      </c>
      <c r="H27" s="4">
        <v>85</v>
      </c>
      <c r="I27" s="4">
        <v>75</v>
      </c>
      <c r="J27" s="4">
        <f t="shared" si="6"/>
        <v>491</v>
      </c>
      <c r="K27" s="5">
        <f t="shared" si="7"/>
        <v>81.833333333333329</v>
      </c>
      <c r="L27" t="str">
        <f t="shared" si="8"/>
        <v>优秀</v>
      </c>
    </row>
    <row r="28" spans="1:12" ht="18.75" outlineLevel="2" thickTop="1" thickBot="1" x14ac:dyDescent="0.35">
      <c r="A28" s="3" t="s">
        <v>14</v>
      </c>
      <c r="B28" s="4" t="s">
        <v>43</v>
      </c>
      <c r="C28" s="4" t="s">
        <v>71</v>
      </c>
      <c r="D28" s="4">
        <v>65</v>
      </c>
      <c r="E28" s="4">
        <v>48</v>
      </c>
      <c r="F28" s="4">
        <v>85</v>
      </c>
      <c r="G28" s="4">
        <v>85</v>
      </c>
      <c r="H28" s="4">
        <v>88</v>
      </c>
      <c r="I28" s="4">
        <v>85</v>
      </c>
      <c r="J28" s="4">
        <f t="shared" si="6"/>
        <v>456</v>
      </c>
      <c r="K28" s="5">
        <f t="shared" si="7"/>
        <v>76</v>
      </c>
      <c r="L28" t="str">
        <f t="shared" si="8"/>
        <v>努力</v>
      </c>
    </row>
    <row r="29" spans="1:12" ht="18.75" outlineLevel="2" thickTop="1" thickBot="1" x14ac:dyDescent="0.35">
      <c r="A29" s="3" t="s">
        <v>12</v>
      </c>
      <c r="B29" s="4" t="s">
        <v>41</v>
      </c>
      <c r="C29" s="4" t="s">
        <v>71</v>
      </c>
      <c r="D29" s="4">
        <v>75</v>
      </c>
      <c r="E29" s="4">
        <v>56</v>
      </c>
      <c r="F29" s="4">
        <v>84</v>
      </c>
      <c r="G29" s="4">
        <v>85</v>
      </c>
      <c r="H29" s="4">
        <v>88</v>
      </c>
      <c r="I29" s="4">
        <v>85</v>
      </c>
      <c r="J29" s="4">
        <f t="shared" si="6"/>
        <v>473</v>
      </c>
      <c r="K29" s="5">
        <f t="shared" si="7"/>
        <v>78.833333333333329</v>
      </c>
      <c r="L29" t="str">
        <f t="shared" si="8"/>
        <v>努力</v>
      </c>
    </row>
    <row r="30" spans="1:12" ht="18.75" outlineLevel="2" thickTop="1" thickBot="1" x14ac:dyDescent="0.35">
      <c r="A30" s="3" t="s">
        <v>17</v>
      </c>
      <c r="B30" s="4" t="s">
        <v>46</v>
      </c>
      <c r="C30" s="4" t="s">
        <v>71</v>
      </c>
      <c r="D30" s="4">
        <v>77</v>
      </c>
      <c r="E30" s="4">
        <v>68</v>
      </c>
      <c r="F30" s="4">
        <v>75</v>
      </c>
      <c r="G30" s="4">
        <v>88</v>
      </c>
      <c r="H30" s="4">
        <v>85</v>
      </c>
      <c r="I30" s="4">
        <v>86</v>
      </c>
      <c r="J30" s="4">
        <f t="shared" si="6"/>
        <v>479</v>
      </c>
      <c r="K30" s="5">
        <f t="shared" si="7"/>
        <v>79.833333333333329</v>
      </c>
      <c r="L30" t="str">
        <f t="shared" si="8"/>
        <v>努力</v>
      </c>
    </row>
    <row r="31" spans="1:12" ht="18.75" outlineLevel="2" thickTop="1" thickBot="1" x14ac:dyDescent="0.35">
      <c r="A31" s="3" t="s">
        <v>33</v>
      </c>
      <c r="B31" s="4" t="s">
        <v>62</v>
      </c>
      <c r="C31" s="4" t="s">
        <v>71</v>
      </c>
      <c r="D31" s="4">
        <v>58</v>
      </c>
      <c r="E31" s="4">
        <v>95</v>
      </c>
      <c r="F31" s="4">
        <v>75</v>
      </c>
      <c r="G31" s="4">
        <v>84</v>
      </c>
      <c r="H31" s="4">
        <v>98</v>
      </c>
      <c r="I31" s="4">
        <v>47</v>
      </c>
      <c r="J31" s="4">
        <f t="shared" si="6"/>
        <v>457</v>
      </c>
      <c r="K31" s="5">
        <f t="shared" si="7"/>
        <v>76.166666666666671</v>
      </c>
      <c r="L31" t="str">
        <f t="shared" si="8"/>
        <v>努力</v>
      </c>
    </row>
    <row r="32" spans="1:12" ht="18.75" outlineLevel="2" thickTop="1" thickBot="1" x14ac:dyDescent="0.35">
      <c r="A32" s="6" t="s">
        <v>34</v>
      </c>
      <c r="B32" s="7" t="s">
        <v>63</v>
      </c>
      <c r="C32" s="7" t="s">
        <v>71</v>
      </c>
      <c r="D32" s="7">
        <v>65</v>
      </c>
      <c r="E32" s="7">
        <v>75</v>
      </c>
      <c r="F32" s="7">
        <v>68</v>
      </c>
      <c r="G32" s="7">
        <v>95</v>
      </c>
      <c r="H32" s="7">
        <v>75</v>
      </c>
      <c r="I32" s="7">
        <v>85</v>
      </c>
      <c r="J32" s="7">
        <f t="shared" si="6"/>
        <v>463</v>
      </c>
      <c r="K32" s="8">
        <f t="shared" si="7"/>
        <v>77.166666666666671</v>
      </c>
      <c r="L32" t="str">
        <f t="shared" si="8"/>
        <v>努力</v>
      </c>
    </row>
    <row r="33" spans="1:11" ht="18" outlineLevel="1" thickTop="1" x14ac:dyDescent="0.3">
      <c r="A33" s="10"/>
      <c r="B33" s="10"/>
      <c r="C33" s="14" t="s">
        <v>97</v>
      </c>
      <c r="D33" s="10"/>
      <c r="E33" s="10"/>
      <c r="F33" s="10"/>
      <c r="G33" s="10"/>
      <c r="H33" s="11">
        <f>SUBTOTAL(1,H21:H32)</f>
        <v>79.75</v>
      </c>
      <c r="I33" s="11">
        <f>SUBTOTAL(1,I21:I32)</f>
        <v>75.916666666666671</v>
      </c>
      <c r="J33" s="10"/>
      <c r="K33" s="11"/>
    </row>
    <row r="34" spans="1:11" ht="17.25" x14ac:dyDescent="0.3">
      <c r="A34" s="10"/>
      <c r="B34" s="10"/>
      <c r="C34" s="14" t="s">
        <v>98</v>
      </c>
      <c r="D34" s="10"/>
      <c r="E34" s="10"/>
      <c r="F34" s="10"/>
      <c r="G34" s="10"/>
      <c r="H34" s="11">
        <f>SUBTOTAL(1,H2:H32)</f>
        <v>79.34482758620689</v>
      </c>
      <c r="I34" s="11">
        <f>SUBTOTAL(1,I2:I32)</f>
        <v>78.827586206896555</v>
      </c>
      <c r="J34" s="10"/>
      <c r="K34" s="11"/>
    </row>
  </sheetData>
  <sortState ref="A2:L30">
    <sortCondition descending="1" ref="C2:C30"/>
    <sortCondition descending="1" ref="B2:B30"/>
  </sortState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L32"/>
  <sheetViews>
    <sheetView workbookViewId="0">
      <selection activeCell="A12" sqref="A12"/>
    </sheetView>
  </sheetViews>
  <sheetFormatPr defaultRowHeight="13.5" x14ac:dyDescent="0.15"/>
  <sheetData>
    <row r="1" spans="1:12" x14ac:dyDescent="0.15">
      <c r="A1" t="s">
        <v>90</v>
      </c>
      <c r="B1" t="s">
        <v>91</v>
      </c>
    </row>
    <row r="2" spans="1:12" x14ac:dyDescent="0.15">
      <c r="A2" t="s">
        <v>92</v>
      </c>
      <c r="B2" t="s">
        <v>93</v>
      </c>
    </row>
    <row r="3" spans="1:12" x14ac:dyDescent="0.15">
      <c r="A3" t="s">
        <v>74</v>
      </c>
      <c r="B3" t="s">
        <v>75</v>
      </c>
      <c r="C3" t="s">
        <v>76</v>
      </c>
      <c r="D3" t="s">
        <v>77</v>
      </c>
      <c r="E3" t="s">
        <v>78</v>
      </c>
      <c r="F3" t="s">
        <v>79</v>
      </c>
      <c r="G3" t="s">
        <v>80</v>
      </c>
      <c r="H3" t="s">
        <v>81</v>
      </c>
      <c r="I3" t="s">
        <v>82</v>
      </c>
      <c r="J3" t="s">
        <v>83</v>
      </c>
      <c r="K3" t="s">
        <v>84</v>
      </c>
      <c r="L3" t="s">
        <v>94</v>
      </c>
    </row>
    <row r="4" spans="1:12" hidden="1" x14ac:dyDescent="0.15">
      <c r="A4" t="s">
        <v>85</v>
      </c>
      <c r="B4" t="s">
        <v>40</v>
      </c>
      <c r="C4" t="s">
        <v>86</v>
      </c>
      <c r="D4">
        <v>85</v>
      </c>
      <c r="E4">
        <v>84</v>
      </c>
      <c r="F4">
        <v>75</v>
      </c>
      <c r="G4">
        <v>55</v>
      </c>
      <c r="H4">
        <v>98</v>
      </c>
      <c r="I4">
        <v>77</v>
      </c>
      <c r="J4">
        <f>SUM(D4:I4)</f>
        <v>474</v>
      </c>
      <c r="K4" s="9">
        <f>AVERAGE(D4:I4)</f>
        <v>79</v>
      </c>
      <c r="L4">
        <f>RANK(J4,J4:J32)</f>
        <v>14</v>
      </c>
    </row>
    <row r="5" spans="1:12" hidden="1" x14ac:dyDescent="0.15">
      <c r="A5" t="s">
        <v>12</v>
      </c>
      <c r="B5" t="s">
        <v>41</v>
      </c>
      <c r="C5" t="s">
        <v>87</v>
      </c>
      <c r="D5">
        <v>75</v>
      </c>
      <c r="E5">
        <v>56</v>
      </c>
      <c r="F5">
        <v>84</v>
      </c>
      <c r="G5">
        <v>85</v>
      </c>
      <c r="H5">
        <v>88</v>
      </c>
      <c r="I5">
        <v>85</v>
      </c>
      <c r="J5">
        <f t="shared" ref="J5:J32" si="0">SUM(D5:I5)</f>
        <v>473</v>
      </c>
      <c r="K5" s="9">
        <f>AVERAGE(D5:I5)</f>
        <v>78.833333333333329</v>
      </c>
      <c r="L5">
        <f>RANK(J5,J4:J32)</f>
        <v>15</v>
      </c>
    </row>
    <row r="6" spans="1:12" hidden="1" x14ac:dyDescent="0.15">
      <c r="A6" t="s">
        <v>13</v>
      </c>
      <c r="B6" t="s">
        <v>42</v>
      </c>
      <c r="C6" t="s">
        <v>88</v>
      </c>
      <c r="D6">
        <v>45</v>
      </c>
      <c r="E6">
        <v>57</v>
      </c>
      <c r="F6">
        <v>55</v>
      </c>
      <c r="G6">
        <v>85</v>
      </c>
      <c r="H6">
        <v>81</v>
      </c>
      <c r="I6">
        <v>85</v>
      </c>
      <c r="J6">
        <f t="shared" si="0"/>
        <v>408</v>
      </c>
      <c r="K6" s="9">
        <f t="shared" ref="K6:K32" si="1">AVERAGE(D6:I6)</f>
        <v>68</v>
      </c>
      <c r="L6">
        <f>RANK(J6,J4:J32)</f>
        <v>29</v>
      </c>
    </row>
    <row r="7" spans="1:12" hidden="1" x14ac:dyDescent="0.15">
      <c r="A7" t="s">
        <v>14</v>
      </c>
      <c r="B7" t="s">
        <v>43</v>
      </c>
      <c r="C7" t="s">
        <v>87</v>
      </c>
      <c r="D7">
        <v>65</v>
      </c>
      <c r="E7">
        <v>48</v>
      </c>
      <c r="F7">
        <v>85</v>
      </c>
      <c r="G7">
        <v>85</v>
      </c>
      <c r="H7">
        <v>88</v>
      </c>
      <c r="I7">
        <v>85</v>
      </c>
      <c r="J7">
        <f t="shared" si="0"/>
        <v>456</v>
      </c>
      <c r="K7" s="9">
        <f t="shared" si="1"/>
        <v>76</v>
      </c>
      <c r="L7">
        <f>RANK(J7,J4:J32)</f>
        <v>21</v>
      </c>
    </row>
    <row r="8" spans="1:12" hidden="1" x14ac:dyDescent="0.15">
      <c r="A8" t="s">
        <v>15</v>
      </c>
      <c r="B8" t="s">
        <v>44</v>
      </c>
      <c r="C8" t="s">
        <v>88</v>
      </c>
      <c r="D8">
        <v>66</v>
      </c>
      <c r="E8">
        <v>58</v>
      </c>
      <c r="F8">
        <v>86</v>
      </c>
      <c r="G8">
        <v>86</v>
      </c>
      <c r="H8">
        <v>47</v>
      </c>
      <c r="I8">
        <v>72</v>
      </c>
      <c r="J8">
        <f t="shared" si="0"/>
        <v>415</v>
      </c>
      <c r="K8" s="9">
        <f t="shared" si="1"/>
        <v>69.166666666666671</v>
      </c>
      <c r="L8">
        <f>RANK(J8,J4:J32)</f>
        <v>28</v>
      </c>
    </row>
    <row r="9" spans="1:12" hidden="1" x14ac:dyDescent="0.15">
      <c r="A9" t="s">
        <v>16</v>
      </c>
      <c r="B9" t="s">
        <v>45</v>
      </c>
      <c r="C9" t="s">
        <v>86</v>
      </c>
      <c r="D9">
        <v>88</v>
      </c>
      <c r="E9">
        <v>58</v>
      </c>
      <c r="F9">
        <v>74</v>
      </c>
      <c r="G9">
        <v>98</v>
      </c>
      <c r="H9">
        <v>77</v>
      </c>
      <c r="I9">
        <v>81</v>
      </c>
      <c r="J9">
        <f t="shared" si="0"/>
        <v>476</v>
      </c>
      <c r="K9" s="9">
        <f t="shared" si="1"/>
        <v>79.333333333333329</v>
      </c>
      <c r="L9">
        <f>RANK(J9,J4:J32)</f>
        <v>13</v>
      </c>
    </row>
    <row r="10" spans="1:12" hidden="1" x14ac:dyDescent="0.15">
      <c r="A10" t="s">
        <v>17</v>
      </c>
      <c r="B10" t="s">
        <v>46</v>
      </c>
      <c r="C10" t="s">
        <v>87</v>
      </c>
      <c r="D10">
        <v>77</v>
      </c>
      <c r="E10">
        <v>68</v>
      </c>
      <c r="F10">
        <v>75</v>
      </c>
      <c r="G10">
        <v>88</v>
      </c>
      <c r="H10">
        <v>85</v>
      </c>
      <c r="I10">
        <v>86</v>
      </c>
      <c r="J10">
        <f t="shared" si="0"/>
        <v>479</v>
      </c>
      <c r="K10" s="9">
        <f t="shared" si="1"/>
        <v>79.833333333333329</v>
      </c>
      <c r="L10">
        <f>RANK(J10,J4:J32)</f>
        <v>11</v>
      </c>
    </row>
    <row r="11" spans="1:12" hidden="1" x14ac:dyDescent="0.15">
      <c r="A11" t="s">
        <v>18</v>
      </c>
      <c r="B11" t="s">
        <v>47</v>
      </c>
      <c r="C11" t="s">
        <v>87</v>
      </c>
      <c r="D11">
        <v>85</v>
      </c>
      <c r="E11">
        <v>85</v>
      </c>
      <c r="F11">
        <v>77</v>
      </c>
      <c r="G11">
        <v>47</v>
      </c>
      <c r="H11">
        <v>72</v>
      </c>
      <c r="I11">
        <v>84</v>
      </c>
      <c r="J11">
        <f t="shared" si="0"/>
        <v>450</v>
      </c>
      <c r="K11" s="9">
        <f t="shared" si="1"/>
        <v>75</v>
      </c>
      <c r="L11">
        <f>RANK(J11,J4:J32)</f>
        <v>23</v>
      </c>
    </row>
    <row r="12" spans="1:12" x14ac:dyDescent="0.15">
      <c r="A12" t="s">
        <v>19</v>
      </c>
      <c r="B12" t="s">
        <v>48</v>
      </c>
      <c r="C12" t="s">
        <v>88</v>
      </c>
      <c r="D12">
        <v>72</v>
      </c>
      <c r="E12">
        <v>68</v>
      </c>
      <c r="F12">
        <v>88</v>
      </c>
      <c r="G12">
        <v>85</v>
      </c>
      <c r="H12">
        <v>81</v>
      </c>
      <c r="I12">
        <v>86</v>
      </c>
      <c r="J12">
        <f t="shared" si="0"/>
        <v>480</v>
      </c>
      <c r="K12" s="9">
        <f t="shared" si="1"/>
        <v>80</v>
      </c>
      <c r="L12">
        <f>RANK(J12,J4:J32)</f>
        <v>9</v>
      </c>
    </row>
    <row r="13" spans="1:12" x14ac:dyDescent="0.15">
      <c r="A13" t="s">
        <v>20</v>
      </c>
      <c r="B13" t="s">
        <v>49</v>
      </c>
      <c r="C13" t="s">
        <v>86</v>
      </c>
      <c r="D13">
        <v>81</v>
      </c>
      <c r="E13">
        <v>95</v>
      </c>
      <c r="F13">
        <v>66</v>
      </c>
      <c r="G13">
        <v>84</v>
      </c>
      <c r="H13">
        <v>85</v>
      </c>
      <c r="I13">
        <v>75</v>
      </c>
      <c r="J13">
        <f t="shared" si="0"/>
        <v>486</v>
      </c>
      <c r="K13" s="9">
        <f t="shared" si="1"/>
        <v>81</v>
      </c>
      <c r="L13">
        <f>RANK(J13,J4:J32)</f>
        <v>7</v>
      </c>
    </row>
    <row r="14" spans="1:12" hidden="1" x14ac:dyDescent="0.15">
      <c r="A14" t="s">
        <v>21</v>
      </c>
      <c r="B14" t="s">
        <v>50</v>
      </c>
      <c r="C14" t="s">
        <v>87</v>
      </c>
      <c r="D14">
        <v>84</v>
      </c>
      <c r="E14">
        <v>84</v>
      </c>
      <c r="F14">
        <v>85</v>
      </c>
      <c r="G14">
        <v>47</v>
      </c>
      <c r="H14">
        <v>72</v>
      </c>
      <c r="I14">
        <v>88</v>
      </c>
      <c r="J14">
        <f t="shared" si="0"/>
        <v>460</v>
      </c>
      <c r="K14" s="9">
        <f t="shared" si="1"/>
        <v>76.666666666666671</v>
      </c>
      <c r="L14">
        <f>RANK(J14,J4:J32)</f>
        <v>19</v>
      </c>
    </row>
    <row r="15" spans="1:12" x14ac:dyDescent="0.15">
      <c r="A15" t="s">
        <v>22</v>
      </c>
      <c r="B15" t="s">
        <v>51</v>
      </c>
      <c r="C15" t="s">
        <v>86</v>
      </c>
      <c r="D15">
        <v>86</v>
      </c>
      <c r="E15">
        <v>85</v>
      </c>
      <c r="F15">
        <v>77</v>
      </c>
      <c r="G15">
        <v>85</v>
      </c>
      <c r="H15">
        <v>81</v>
      </c>
      <c r="I15">
        <v>86</v>
      </c>
      <c r="J15">
        <f t="shared" si="0"/>
        <v>500</v>
      </c>
      <c r="K15" s="9">
        <f t="shared" si="1"/>
        <v>83.333333333333329</v>
      </c>
      <c r="L15">
        <f>RANK(J15,J4:J32)</f>
        <v>3</v>
      </c>
    </row>
    <row r="16" spans="1:12" x14ac:dyDescent="0.15">
      <c r="A16" t="s">
        <v>23</v>
      </c>
      <c r="B16" t="s">
        <v>52</v>
      </c>
      <c r="C16" t="s">
        <v>87</v>
      </c>
      <c r="D16">
        <v>87</v>
      </c>
      <c r="E16">
        <v>75</v>
      </c>
      <c r="F16">
        <v>85</v>
      </c>
      <c r="G16">
        <v>84</v>
      </c>
      <c r="H16">
        <v>85</v>
      </c>
      <c r="I16">
        <v>75</v>
      </c>
      <c r="J16">
        <f t="shared" si="0"/>
        <v>491</v>
      </c>
      <c r="K16" s="9">
        <f t="shared" si="1"/>
        <v>81.833333333333329</v>
      </c>
      <c r="L16">
        <f>RANK(J16,J4:J32)</f>
        <v>6</v>
      </c>
    </row>
    <row r="17" spans="1:12" x14ac:dyDescent="0.15">
      <c r="A17" t="s">
        <v>24</v>
      </c>
      <c r="B17" t="s">
        <v>53</v>
      </c>
      <c r="C17" t="s">
        <v>87</v>
      </c>
      <c r="D17">
        <v>88</v>
      </c>
      <c r="E17">
        <v>76</v>
      </c>
      <c r="F17">
        <v>78</v>
      </c>
      <c r="G17">
        <v>85</v>
      </c>
      <c r="H17">
        <v>81</v>
      </c>
      <c r="I17">
        <v>86</v>
      </c>
      <c r="J17">
        <f t="shared" si="0"/>
        <v>494</v>
      </c>
      <c r="K17" s="9">
        <f t="shared" si="1"/>
        <v>82.333333333333329</v>
      </c>
      <c r="L17">
        <f>RANK(J17,J4:J32)</f>
        <v>5</v>
      </c>
    </row>
    <row r="18" spans="1:12" hidden="1" x14ac:dyDescent="0.15">
      <c r="A18" t="s">
        <v>25</v>
      </c>
      <c r="B18" t="s">
        <v>54</v>
      </c>
      <c r="C18" t="s">
        <v>88</v>
      </c>
      <c r="D18">
        <v>76</v>
      </c>
      <c r="E18">
        <v>55</v>
      </c>
      <c r="F18">
        <v>98</v>
      </c>
      <c r="G18">
        <v>84</v>
      </c>
      <c r="H18">
        <v>85</v>
      </c>
      <c r="I18">
        <v>75</v>
      </c>
      <c r="J18">
        <f t="shared" si="0"/>
        <v>473</v>
      </c>
      <c r="K18" s="9">
        <f t="shared" si="1"/>
        <v>78.833333333333329</v>
      </c>
      <c r="L18">
        <f>RANK(J18,J4:J32)</f>
        <v>15</v>
      </c>
    </row>
    <row r="19" spans="1:12" x14ac:dyDescent="0.15">
      <c r="A19" t="s">
        <v>26</v>
      </c>
      <c r="B19" t="s">
        <v>55</v>
      </c>
      <c r="C19" t="s">
        <v>87</v>
      </c>
      <c r="D19">
        <v>82</v>
      </c>
      <c r="E19">
        <v>85</v>
      </c>
      <c r="F19">
        <v>88</v>
      </c>
      <c r="G19">
        <v>55</v>
      </c>
      <c r="H19">
        <v>98</v>
      </c>
      <c r="I19">
        <v>77</v>
      </c>
      <c r="J19">
        <f t="shared" si="0"/>
        <v>485</v>
      </c>
      <c r="K19" s="9">
        <f t="shared" si="1"/>
        <v>80.833333333333329</v>
      </c>
      <c r="L19">
        <f>RANK(J19,J4:J32)</f>
        <v>8</v>
      </c>
    </row>
    <row r="20" spans="1:12" hidden="1" x14ac:dyDescent="0.15">
      <c r="A20" t="s">
        <v>27</v>
      </c>
      <c r="B20" t="s">
        <v>56</v>
      </c>
      <c r="C20" t="s">
        <v>86</v>
      </c>
      <c r="D20">
        <v>83</v>
      </c>
      <c r="E20">
        <v>86</v>
      </c>
      <c r="F20">
        <v>47</v>
      </c>
      <c r="G20">
        <v>85</v>
      </c>
      <c r="H20">
        <v>88</v>
      </c>
      <c r="I20">
        <v>88</v>
      </c>
      <c r="J20">
        <f t="shared" si="0"/>
        <v>477</v>
      </c>
      <c r="K20" s="9">
        <f t="shared" si="1"/>
        <v>79.5</v>
      </c>
      <c r="L20">
        <f>RANK(J20,J4:J32)</f>
        <v>12</v>
      </c>
    </row>
    <row r="21" spans="1:12" hidden="1" x14ac:dyDescent="0.15">
      <c r="A21" t="s">
        <v>28</v>
      </c>
      <c r="B21" t="s">
        <v>57</v>
      </c>
      <c r="C21" t="s">
        <v>87</v>
      </c>
      <c r="D21">
        <v>77</v>
      </c>
      <c r="E21">
        <v>74</v>
      </c>
      <c r="F21">
        <v>85</v>
      </c>
      <c r="G21">
        <v>86</v>
      </c>
      <c r="H21">
        <v>47</v>
      </c>
      <c r="I21">
        <v>66</v>
      </c>
      <c r="J21">
        <f t="shared" si="0"/>
        <v>435</v>
      </c>
      <c r="K21" s="9">
        <f t="shared" si="1"/>
        <v>72.5</v>
      </c>
      <c r="L21">
        <f>RANK(J21,J4:J32)</f>
        <v>25</v>
      </c>
    </row>
    <row r="22" spans="1:12" hidden="1" x14ac:dyDescent="0.15">
      <c r="A22" t="s">
        <v>29</v>
      </c>
      <c r="B22" t="s">
        <v>58</v>
      </c>
      <c r="C22" t="s">
        <v>88</v>
      </c>
      <c r="D22">
        <v>51</v>
      </c>
      <c r="E22">
        <v>84</v>
      </c>
      <c r="F22">
        <v>68</v>
      </c>
      <c r="G22">
        <v>74</v>
      </c>
      <c r="H22">
        <v>85</v>
      </c>
      <c r="I22">
        <v>88</v>
      </c>
      <c r="J22">
        <f t="shared" si="0"/>
        <v>450</v>
      </c>
      <c r="K22" s="9">
        <f t="shared" si="1"/>
        <v>75</v>
      </c>
      <c r="L22">
        <f>RANK(J22,J4:J32)</f>
        <v>23</v>
      </c>
    </row>
    <row r="23" spans="1:12" hidden="1" x14ac:dyDescent="0.15">
      <c r="A23" t="s">
        <v>30</v>
      </c>
      <c r="B23" t="s">
        <v>59</v>
      </c>
      <c r="C23" t="s">
        <v>87</v>
      </c>
      <c r="D23">
        <v>48</v>
      </c>
      <c r="E23">
        <v>95</v>
      </c>
      <c r="F23">
        <v>75</v>
      </c>
      <c r="G23">
        <v>84</v>
      </c>
      <c r="H23">
        <v>68</v>
      </c>
      <c r="I23">
        <v>47</v>
      </c>
      <c r="J23">
        <f t="shared" si="0"/>
        <v>417</v>
      </c>
      <c r="K23" s="9">
        <f t="shared" si="1"/>
        <v>69.5</v>
      </c>
      <c r="L23">
        <f>RANK(J23,J4:J32)</f>
        <v>27</v>
      </c>
    </row>
    <row r="24" spans="1:12" x14ac:dyDescent="0.15">
      <c r="A24" t="s">
        <v>31</v>
      </c>
      <c r="B24" t="s">
        <v>60</v>
      </c>
      <c r="C24" t="s">
        <v>88</v>
      </c>
      <c r="D24">
        <v>90</v>
      </c>
      <c r="E24">
        <v>75</v>
      </c>
      <c r="F24">
        <v>84</v>
      </c>
      <c r="G24">
        <v>95</v>
      </c>
      <c r="H24">
        <v>75</v>
      </c>
      <c r="I24">
        <v>85</v>
      </c>
      <c r="J24">
        <f t="shared" si="0"/>
        <v>504</v>
      </c>
      <c r="K24" s="9">
        <f t="shared" si="1"/>
        <v>84</v>
      </c>
      <c r="L24">
        <f>RANK(J24,J4:J32)</f>
        <v>1</v>
      </c>
    </row>
    <row r="25" spans="1:12" x14ac:dyDescent="0.15">
      <c r="A25" t="s">
        <v>32</v>
      </c>
      <c r="B25" t="s">
        <v>61</v>
      </c>
      <c r="C25" t="s">
        <v>86</v>
      </c>
      <c r="D25">
        <v>74</v>
      </c>
      <c r="E25">
        <v>84</v>
      </c>
      <c r="F25">
        <v>98</v>
      </c>
      <c r="G25">
        <v>75</v>
      </c>
      <c r="H25">
        <v>84</v>
      </c>
      <c r="I25">
        <v>84</v>
      </c>
      <c r="J25">
        <f t="shared" si="0"/>
        <v>499</v>
      </c>
      <c r="K25" s="9">
        <f t="shared" si="1"/>
        <v>83.166666666666671</v>
      </c>
      <c r="L25">
        <f>RANK(J25,J4:J32)</f>
        <v>4</v>
      </c>
    </row>
    <row r="26" spans="1:12" hidden="1" x14ac:dyDescent="0.15">
      <c r="A26" t="s">
        <v>33</v>
      </c>
      <c r="B26" t="s">
        <v>62</v>
      </c>
      <c r="C26" t="s">
        <v>87</v>
      </c>
      <c r="D26">
        <v>58</v>
      </c>
      <c r="E26">
        <v>95</v>
      </c>
      <c r="F26">
        <v>75</v>
      </c>
      <c r="G26">
        <v>84</v>
      </c>
      <c r="H26">
        <v>98</v>
      </c>
      <c r="I26">
        <v>47</v>
      </c>
      <c r="J26">
        <f t="shared" si="0"/>
        <v>457</v>
      </c>
      <c r="K26" s="9">
        <f t="shared" si="1"/>
        <v>76.166666666666671</v>
      </c>
      <c r="L26">
        <f>RANK(J26,J4:J32)</f>
        <v>20</v>
      </c>
    </row>
    <row r="27" spans="1:12" hidden="1" x14ac:dyDescent="0.15">
      <c r="A27" t="s">
        <v>34</v>
      </c>
      <c r="B27" t="s">
        <v>63</v>
      </c>
      <c r="C27" t="s">
        <v>87</v>
      </c>
      <c r="D27">
        <v>65</v>
      </c>
      <c r="E27">
        <v>75</v>
      </c>
      <c r="F27">
        <v>68</v>
      </c>
      <c r="G27">
        <v>95</v>
      </c>
      <c r="H27">
        <v>75</v>
      </c>
      <c r="I27">
        <v>85</v>
      </c>
      <c r="J27">
        <f t="shared" si="0"/>
        <v>463</v>
      </c>
      <c r="K27" s="9">
        <f t="shared" si="1"/>
        <v>77.166666666666671</v>
      </c>
      <c r="L27">
        <f>RANK(J27,J4:J32)</f>
        <v>18</v>
      </c>
    </row>
    <row r="28" spans="1:12" x14ac:dyDescent="0.15">
      <c r="A28" t="s">
        <v>35</v>
      </c>
      <c r="B28" t="s">
        <v>64</v>
      </c>
      <c r="C28" t="s">
        <v>88</v>
      </c>
      <c r="D28">
        <v>85</v>
      </c>
      <c r="E28">
        <v>84</v>
      </c>
      <c r="F28">
        <v>84</v>
      </c>
      <c r="G28">
        <v>75</v>
      </c>
      <c r="H28">
        <v>68</v>
      </c>
      <c r="I28">
        <v>84</v>
      </c>
      <c r="J28">
        <f t="shared" si="0"/>
        <v>480</v>
      </c>
      <c r="K28" s="9">
        <f t="shared" si="1"/>
        <v>80</v>
      </c>
      <c r="L28">
        <f>RANK(J28,J4:J32)</f>
        <v>9</v>
      </c>
    </row>
    <row r="29" spans="1:12" x14ac:dyDescent="0.15">
      <c r="A29" t="s">
        <v>36</v>
      </c>
      <c r="B29" t="s">
        <v>65</v>
      </c>
      <c r="C29" t="s">
        <v>86</v>
      </c>
      <c r="D29">
        <v>72</v>
      </c>
      <c r="E29">
        <v>95</v>
      </c>
      <c r="F29">
        <v>82</v>
      </c>
      <c r="G29">
        <v>84</v>
      </c>
      <c r="H29">
        <v>84</v>
      </c>
      <c r="I29">
        <v>85</v>
      </c>
      <c r="J29">
        <f t="shared" si="0"/>
        <v>502</v>
      </c>
      <c r="K29" s="9">
        <f t="shared" si="1"/>
        <v>83.666666666666671</v>
      </c>
      <c r="L29">
        <f>RANK(J29,J4:J32)</f>
        <v>2</v>
      </c>
    </row>
    <row r="30" spans="1:12" hidden="1" x14ac:dyDescent="0.15">
      <c r="A30" t="s">
        <v>37</v>
      </c>
      <c r="B30" t="s">
        <v>66</v>
      </c>
      <c r="C30" t="s">
        <v>88</v>
      </c>
      <c r="D30">
        <v>48</v>
      </c>
      <c r="E30">
        <v>75</v>
      </c>
      <c r="F30">
        <v>83</v>
      </c>
      <c r="G30">
        <v>95</v>
      </c>
      <c r="H30">
        <v>82</v>
      </c>
      <c r="I30">
        <v>84</v>
      </c>
      <c r="J30">
        <f t="shared" si="0"/>
        <v>467</v>
      </c>
      <c r="K30" s="9">
        <f t="shared" si="1"/>
        <v>77.833333333333329</v>
      </c>
      <c r="L30">
        <f>RANK(J30,J4:J32)</f>
        <v>17</v>
      </c>
    </row>
    <row r="31" spans="1:12" hidden="1" x14ac:dyDescent="0.15">
      <c r="A31" t="s">
        <v>38</v>
      </c>
      <c r="B31" t="s">
        <v>67</v>
      </c>
      <c r="C31" t="s">
        <v>86</v>
      </c>
      <c r="D31">
        <v>57</v>
      </c>
      <c r="E31">
        <v>65</v>
      </c>
      <c r="F31">
        <v>75</v>
      </c>
      <c r="G31">
        <v>95</v>
      </c>
      <c r="H31">
        <v>75</v>
      </c>
      <c r="I31">
        <v>55</v>
      </c>
      <c r="J31">
        <f t="shared" si="0"/>
        <v>422</v>
      </c>
      <c r="K31" s="9">
        <f t="shared" si="1"/>
        <v>70.333333333333329</v>
      </c>
      <c r="L31">
        <f>RANK(J31,J4:J32)</f>
        <v>26</v>
      </c>
    </row>
    <row r="32" spans="1:12" hidden="1" x14ac:dyDescent="0.15">
      <c r="A32" t="s">
        <v>39</v>
      </c>
      <c r="B32" t="s">
        <v>68</v>
      </c>
      <c r="C32" t="s">
        <v>86</v>
      </c>
      <c r="D32">
        <v>68</v>
      </c>
      <c r="E32">
        <v>84</v>
      </c>
      <c r="F32">
        <v>74</v>
      </c>
      <c r="G32">
        <v>75</v>
      </c>
      <c r="H32">
        <v>68</v>
      </c>
      <c r="I32">
        <v>85</v>
      </c>
      <c r="J32">
        <f t="shared" si="0"/>
        <v>454</v>
      </c>
      <c r="K32" s="9">
        <f t="shared" si="1"/>
        <v>75.666666666666671</v>
      </c>
      <c r="L32">
        <f>RANK(J32,J4:J32)</f>
        <v>22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E34" sqref="E34"/>
    </sheetView>
  </sheetViews>
  <sheetFormatPr defaultRowHeight="13.5" x14ac:dyDescent="0.15"/>
  <sheetData/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4</vt:i4>
      </vt:variant>
      <vt:variant>
        <vt:lpstr>命名范围</vt:lpstr>
      </vt:variant>
      <vt:variant>
        <vt:i4>1</vt:i4>
      </vt:variant>
    </vt:vector>
  </HeadingPairs>
  <TitlesOfParts>
    <vt:vector size="5" baseType="lpstr">
      <vt:lpstr>员工培训成绩表</vt:lpstr>
      <vt:lpstr>分类汇总</vt:lpstr>
      <vt:lpstr>筛选</vt:lpstr>
      <vt:lpstr>图表</vt:lpstr>
      <vt:lpstr>筛选!Criteria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2022-03-04T03:32:08Z</dcterms:modified>
</cp:coreProperties>
</file>
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45" windowHeight="10020" activeTab="4"/>
  </bookViews>
  <sheets>
    <sheet name="城市月平均气温统计表" sheetId="1" r:id="rId1"/>
    <sheet name="Sheet2" sheetId="2" r:id="rId2"/>
    <sheet name="筛选" sheetId="3" r:id="rId3"/>
    <sheet name="分类汇总" sheetId="4" r:id="rId4"/>
    <sheet name="图表" sheetId="5" r:id="rId5"/>
  </sheets>
  <definedNames>
    <definedName name="_xlnm.Criteria" localSheetId="2">筛选!$A$1:$B$2</definedName>
    <definedName name="_xlnm.Extract" localSheetId="2">筛选!$A$5</definedName>
  </definedNames>
  <calcPr calcId="144525"/>
</workbook>
</file>

<file path=xl/sharedStrings.xml><?xml version="1.0" encoding="utf-8"?>
<sst xmlns="http://schemas.openxmlformats.org/spreadsheetml/2006/main" count="190" uniqueCount="56">
  <si>
    <t>2017主要城市上半年月平均气温统计</t>
  </si>
  <si>
    <t>城市</t>
  </si>
  <si>
    <t>1月</t>
  </si>
  <si>
    <t>2月</t>
  </si>
  <si>
    <t>3月</t>
  </si>
  <si>
    <t>4月</t>
  </si>
  <si>
    <t>5月</t>
  </si>
  <si>
    <t>6月</t>
  </si>
  <si>
    <t>北京</t>
  </si>
  <si>
    <t>天津</t>
  </si>
  <si>
    <t>石家庄</t>
  </si>
  <si>
    <t>太原</t>
  </si>
  <si>
    <t>呼和浩特</t>
  </si>
  <si>
    <t>沈阳</t>
  </si>
  <si>
    <t>长春</t>
  </si>
  <si>
    <t>哈尔滨</t>
  </si>
  <si>
    <t>上海</t>
  </si>
  <si>
    <t>南京</t>
  </si>
  <si>
    <t>杭州</t>
  </si>
  <si>
    <t>合肥</t>
  </si>
  <si>
    <t>福州</t>
  </si>
  <si>
    <t>南昌</t>
  </si>
  <si>
    <t>济南</t>
  </si>
  <si>
    <t>郑州</t>
  </si>
  <si>
    <t>武汉</t>
  </si>
  <si>
    <t>长沙</t>
  </si>
  <si>
    <t>广州</t>
  </si>
  <si>
    <t>南宁</t>
  </si>
  <si>
    <t>海口</t>
  </si>
  <si>
    <t>重庆</t>
  </si>
  <si>
    <t>温江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</si>
  <si>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</si>
  <si>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</si>
  <si>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</si>
  <si>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</si>
  <si>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</si>
  <si>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</si>
  <si>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</si>
  <si>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</si>
  <si>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最高值</t>
  </si>
  <si>
    <t>最低值</t>
  </si>
  <si>
    <t>半年平均气温</t>
  </si>
  <si>
    <t>&lt;5.0</t>
  </si>
  <si>
    <t>&gt;15.0</t>
  </si>
  <si>
    <t>区域</t>
  </si>
  <si>
    <t>中部</t>
  </si>
  <si>
    <t>中部 最小值</t>
  </si>
  <si>
    <t>西北</t>
  </si>
  <si>
    <t>西北 最小值</t>
  </si>
  <si>
    <t>南部</t>
  </si>
  <si>
    <t>南部 最小值</t>
  </si>
  <si>
    <t>东北部</t>
  </si>
  <si>
    <t>东北部 最小值</t>
  </si>
  <si>
    <t>北部</t>
  </si>
  <si>
    <t>北部 最小值</t>
  </si>
  <si>
    <t>总最小值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</si>
</sst>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5">
    <font>
      <sz val="12"/>
      <name val="宋体"/>
      <charset val="134"/>
    </font>
    <font>
      <sz val="10"/>
      <name val="黑体"/>
      <charset val="134"/>
    </font>
    <font>
      <sz val="10"/>
      <name val="楷体"/>
      <charset val="134"/>
    </font>
    <font>
      <b/>
      <sz val="10"/>
      <name val="黑体"/>
      <charset val="134"/>
    </font>
    <font>
      <b/>
      <sz val="14"/>
      <color rgb="FF0070C0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/>
      <top/>
      <bottom/>
      <diagonal/>
    </border>
    <border>
      <left/>
      <right style="thick">
        <color rgb="FF0070C0"/>
      </right>
      <top/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2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76" fontId="0" fillId="0" borderId="0" xfId="0" applyNumberForma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部分城市上半年月平均气温统计图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城市月平均气温统计表!$B$2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城市月平均气温统计表!$A$3:$A$14</c:f>
              <c:strCache>
                <c:ptCount val="12"/>
                <c:pt idx="0">
                  <c:v>北京</c:v>
                </c:pt>
                <c:pt idx="1">
                  <c:v>天津</c:v>
                </c:pt>
                <c:pt idx="2">
                  <c:v>石家庄</c:v>
                </c:pt>
                <c:pt idx="3">
                  <c:v>太原</c:v>
                </c:pt>
                <c:pt idx="4">
                  <c:v>呼和浩特</c:v>
                </c:pt>
                <c:pt idx="5">
                  <c:v>沈阳</c:v>
                </c:pt>
                <c:pt idx="6">
                  <c:v>长春</c:v>
                </c:pt>
                <c:pt idx="7">
                  <c:v>哈尔滨</c:v>
                </c:pt>
                <c:pt idx="8">
                  <c:v>上海</c:v>
                </c:pt>
                <c:pt idx="9">
                  <c:v>南京</c:v>
                </c:pt>
                <c:pt idx="10">
                  <c:v>杭州</c:v>
                </c:pt>
                <c:pt idx="11">
                  <c:v>合肥</c:v>
                </c:pt>
              </c:strCache>
            </c:strRef>
          </c:cat>
          <c:val>
            <c:numRef>
              <c:f>城市月平均气温统计表!$B$3:$B$14</c:f>
              <c:numCache>
                <c:formatCode>General</c:formatCode>
                <c:ptCount val="12"/>
                <c:pt idx="0">
                  <c:v>-1.9</c:v>
                </c:pt>
                <c:pt idx="1">
                  <c:v>-2.7</c:v>
                </c:pt>
                <c:pt idx="2">
                  <c:v>-0.9</c:v>
                </c:pt>
                <c:pt idx="3">
                  <c:v>-3.6</c:v>
                </c:pt>
                <c:pt idx="4">
                  <c:v>-9.2</c:v>
                </c:pt>
                <c:pt idx="5">
                  <c:v>-12.7</c:v>
                </c:pt>
                <c:pt idx="6">
                  <c:v>-14.5</c:v>
                </c:pt>
                <c:pt idx="7">
                  <c:v>-17.7</c:v>
                </c:pt>
                <c:pt idx="8">
                  <c:v>5.7</c:v>
                </c:pt>
                <c:pt idx="9">
                  <c:v>3.9</c:v>
                </c:pt>
                <c:pt idx="10">
                  <c:v>5.8</c:v>
                </c:pt>
                <c:pt idx="11">
                  <c:v>3.4</c:v>
                </c:pt>
              </c:numCache>
            </c:numRef>
          </c:val>
        </c:ser>
        <c:ser>
          <c:idx val="1"/>
          <c:order val="1"/>
          <c:tx>
            <c:strRef>
              <c:f>城市月平均气温统计表!$C$2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城市月平均气温统计表!$A$3:$A$14</c:f>
              <c:strCache>
                <c:ptCount val="12"/>
                <c:pt idx="0">
                  <c:v>北京</c:v>
                </c:pt>
                <c:pt idx="1">
                  <c:v>天津</c:v>
                </c:pt>
                <c:pt idx="2">
                  <c:v>石家庄</c:v>
                </c:pt>
                <c:pt idx="3">
                  <c:v>太原</c:v>
                </c:pt>
                <c:pt idx="4">
                  <c:v>呼和浩特</c:v>
                </c:pt>
                <c:pt idx="5">
                  <c:v>沈阳</c:v>
                </c:pt>
                <c:pt idx="6">
                  <c:v>长春</c:v>
                </c:pt>
                <c:pt idx="7">
                  <c:v>哈尔滨</c:v>
                </c:pt>
                <c:pt idx="8">
                  <c:v>上海</c:v>
                </c:pt>
                <c:pt idx="9">
                  <c:v>南京</c:v>
                </c:pt>
                <c:pt idx="10">
                  <c:v>杭州</c:v>
                </c:pt>
                <c:pt idx="11">
                  <c:v>合肥</c:v>
                </c:pt>
              </c:strCache>
            </c:strRef>
          </c:cat>
          <c:val>
            <c:numRef>
              <c:f>城市月平均气温统计表!$C$3:$C$14</c:f>
              <c:numCache>
                <c:formatCode>General</c:formatCode>
                <c:ptCount val="12"/>
                <c:pt idx="0">
                  <c:v>-0.9</c:v>
                </c:pt>
                <c:pt idx="1">
                  <c:v>-1.4</c:v>
                </c:pt>
                <c:pt idx="2">
                  <c:v>1.6</c:v>
                </c:pt>
                <c:pt idx="3">
                  <c:v>-0.4</c:v>
                </c:pt>
                <c:pt idx="4">
                  <c:v>-7</c:v>
                </c:pt>
                <c:pt idx="5">
                  <c:v>-8.1</c:v>
                </c:pt>
                <c:pt idx="6">
                  <c:v>-10.6</c:v>
                </c:pt>
                <c:pt idx="7">
                  <c:v>-12.6</c:v>
                </c:pt>
                <c:pt idx="8">
                  <c:v>5.6</c:v>
                </c:pt>
                <c:pt idx="9">
                  <c:v>4.3</c:v>
                </c:pt>
                <c:pt idx="10">
                  <c:v>6.1</c:v>
                </c:pt>
                <c:pt idx="11">
                  <c:v>4.5</c:v>
                </c:pt>
              </c:numCache>
            </c:numRef>
          </c:val>
        </c:ser>
        <c:ser>
          <c:idx val="2"/>
          <c:order val="2"/>
          <c:tx>
            <c:strRef>
              <c:f>城市月平均气温统计表!$D$2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城市月平均气温统计表!$A$3:$A$14</c:f>
              <c:strCache>
                <c:ptCount val="12"/>
                <c:pt idx="0">
                  <c:v>北京</c:v>
                </c:pt>
                <c:pt idx="1">
                  <c:v>天津</c:v>
                </c:pt>
                <c:pt idx="2">
                  <c:v>石家庄</c:v>
                </c:pt>
                <c:pt idx="3">
                  <c:v>太原</c:v>
                </c:pt>
                <c:pt idx="4">
                  <c:v>呼和浩特</c:v>
                </c:pt>
                <c:pt idx="5">
                  <c:v>沈阳</c:v>
                </c:pt>
                <c:pt idx="6">
                  <c:v>长春</c:v>
                </c:pt>
                <c:pt idx="7">
                  <c:v>哈尔滨</c:v>
                </c:pt>
                <c:pt idx="8">
                  <c:v>上海</c:v>
                </c:pt>
                <c:pt idx="9">
                  <c:v>南京</c:v>
                </c:pt>
                <c:pt idx="10">
                  <c:v>杭州</c:v>
                </c:pt>
                <c:pt idx="11">
                  <c:v>合肥</c:v>
                </c:pt>
              </c:strCache>
            </c:strRef>
          </c:cat>
          <c:val>
            <c:numRef>
              <c:f>城市月平均气温统计表!$D$3:$D$14</c:f>
              <c:numCache>
                <c:formatCode>General</c:formatCode>
                <c:ptCount val="12"/>
                <c:pt idx="0">
                  <c:v>8</c:v>
                </c:pt>
                <c:pt idx="1">
                  <c:v>7.5</c:v>
                </c:pt>
                <c:pt idx="2">
                  <c:v>10.3</c:v>
                </c:pt>
                <c:pt idx="3">
                  <c:v>6.8</c:v>
                </c:pt>
                <c:pt idx="4">
                  <c:v>2.2</c:v>
                </c:pt>
                <c:pt idx="5">
                  <c:v>0.5</c:v>
                </c:pt>
                <c:pt idx="6">
                  <c:v>-1.3</c:v>
                </c:pt>
                <c:pt idx="7">
                  <c:v>-2.8</c:v>
                </c:pt>
                <c:pt idx="8">
                  <c:v>11.1</c:v>
                </c:pt>
                <c:pt idx="9">
                  <c:v>11.3</c:v>
                </c:pt>
                <c:pt idx="10">
                  <c:v>12.4</c:v>
                </c:pt>
                <c:pt idx="11">
                  <c:v>11.7</c:v>
                </c:pt>
              </c:numCache>
            </c:numRef>
          </c:val>
        </c:ser>
        <c:ser>
          <c:idx val="3"/>
          <c:order val="3"/>
          <c:tx>
            <c:strRef>
              <c:f>城市月平均气温统计表!$E$2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城市月平均气温统计表!$A$3:$A$14</c:f>
              <c:strCache>
                <c:ptCount val="12"/>
                <c:pt idx="0">
                  <c:v>北京</c:v>
                </c:pt>
                <c:pt idx="1">
                  <c:v>天津</c:v>
                </c:pt>
                <c:pt idx="2">
                  <c:v>石家庄</c:v>
                </c:pt>
                <c:pt idx="3">
                  <c:v>太原</c:v>
                </c:pt>
                <c:pt idx="4">
                  <c:v>呼和浩特</c:v>
                </c:pt>
                <c:pt idx="5">
                  <c:v>沈阳</c:v>
                </c:pt>
                <c:pt idx="6">
                  <c:v>长春</c:v>
                </c:pt>
                <c:pt idx="7">
                  <c:v>哈尔滨</c:v>
                </c:pt>
                <c:pt idx="8">
                  <c:v>上海</c:v>
                </c:pt>
                <c:pt idx="9">
                  <c:v>南京</c:v>
                </c:pt>
                <c:pt idx="10">
                  <c:v>杭州</c:v>
                </c:pt>
                <c:pt idx="11">
                  <c:v>合肥</c:v>
                </c:pt>
              </c:strCache>
            </c:strRef>
          </c:cat>
          <c:val>
            <c:numRef>
              <c:f>城市月平均气温统计表!$E$3:$E$14</c:f>
              <c:numCache>
                <c:formatCode>General</c:formatCode>
                <c:ptCount val="12"/>
                <c:pt idx="0">
                  <c:v>13.5</c:v>
                </c:pt>
                <c:pt idx="1">
                  <c:v>13.2</c:v>
                </c:pt>
                <c:pt idx="2">
                  <c:v>15.1</c:v>
                </c:pt>
                <c:pt idx="3">
                  <c:v>14.5</c:v>
                </c:pt>
                <c:pt idx="4">
                  <c:v>10.3</c:v>
                </c:pt>
                <c:pt idx="5">
                  <c:v>8</c:v>
                </c:pt>
                <c:pt idx="6">
                  <c:v>6.1</c:v>
                </c:pt>
                <c:pt idx="7">
                  <c:v>5.9</c:v>
                </c:pt>
                <c:pt idx="8">
                  <c:v>16.6</c:v>
                </c:pt>
                <c:pt idx="9">
                  <c:v>17.1</c:v>
                </c:pt>
                <c:pt idx="10">
                  <c:v>18.3</c:v>
                </c:pt>
                <c:pt idx="11">
                  <c:v>17.2</c:v>
                </c:pt>
              </c:numCache>
            </c:numRef>
          </c:val>
        </c:ser>
        <c:ser>
          <c:idx val="4"/>
          <c:order val="4"/>
          <c:tx>
            <c:strRef>
              <c:f>城市月平均气温统计表!$F$2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城市月平均气温统计表!$A$3:$A$14</c:f>
              <c:strCache>
                <c:ptCount val="12"/>
                <c:pt idx="0">
                  <c:v>北京</c:v>
                </c:pt>
                <c:pt idx="1">
                  <c:v>天津</c:v>
                </c:pt>
                <c:pt idx="2">
                  <c:v>石家庄</c:v>
                </c:pt>
                <c:pt idx="3">
                  <c:v>太原</c:v>
                </c:pt>
                <c:pt idx="4">
                  <c:v>呼和浩特</c:v>
                </c:pt>
                <c:pt idx="5">
                  <c:v>沈阳</c:v>
                </c:pt>
                <c:pt idx="6">
                  <c:v>长春</c:v>
                </c:pt>
                <c:pt idx="7">
                  <c:v>哈尔滨</c:v>
                </c:pt>
                <c:pt idx="8">
                  <c:v>上海</c:v>
                </c:pt>
                <c:pt idx="9">
                  <c:v>南京</c:v>
                </c:pt>
                <c:pt idx="10">
                  <c:v>杭州</c:v>
                </c:pt>
                <c:pt idx="11">
                  <c:v>合肥</c:v>
                </c:pt>
              </c:strCache>
            </c:strRef>
          </c:cat>
          <c:val>
            <c:numRef>
              <c:f>城市月平均气温统计表!$F$3:$F$14</c:f>
              <c:numCache>
                <c:formatCode>General</c:formatCode>
                <c:ptCount val="12"/>
                <c:pt idx="0">
                  <c:v>20.4</c:v>
                </c:pt>
                <c:pt idx="1">
                  <c:v>20.3</c:v>
                </c:pt>
                <c:pt idx="2">
                  <c:v>21.3</c:v>
                </c:pt>
                <c:pt idx="3">
                  <c:v>19.1</c:v>
                </c:pt>
                <c:pt idx="4">
                  <c:v>17.4</c:v>
                </c:pt>
                <c:pt idx="5">
                  <c:v>18.3</c:v>
                </c:pt>
                <c:pt idx="6">
                  <c:v>17</c:v>
                </c:pt>
                <c:pt idx="7">
                  <c:v>17.1</c:v>
                </c:pt>
                <c:pt idx="8">
                  <c:v>20.8</c:v>
                </c:pt>
                <c:pt idx="9">
                  <c:v>21.2</c:v>
                </c:pt>
                <c:pt idx="10">
                  <c:v>21.5</c:v>
                </c:pt>
                <c:pt idx="11">
                  <c:v>21.7</c:v>
                </c:pt>
              </c:numCache>
            </c:numRef>
          </c:val>
        </c:ser>
        <c:ser>
          <c:idx val="5"/>
          <c:order val="5"/>
          <c:tx>
            <c:strRef>
              <c:f>城市月平均气温统计表!$G$2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城市月平均气温统计表!$A$3:$A$14</c:f>
              <c:strCache>
                <c:ptCount val="12"/>
                <c:pt idx="0">
                  <c:v>北京</c:v>
                </c:pt>
                <c:pt idx="1">
                  <c:v>天津</c:v>
                </c:pt>
                <c:pt idx="2">
                  <c:v>石家庄</c:v>
                </c:pt>
                <c:pt idx="3">
                  <c:v>太原</c:v>
                </c:pt>
                <c:pt idx="4">
                  <c:v>呼和浩特</c:v>
                </c:pt>
                <c:pt idx="5">
                  <c:v>沈阳</c:v>
                </c:pt>
                <c:pt idx="6">
                  <c:v>长春</c:v>
                </c:pt>
                <c:pt idx="7">
                  <c:v>哈尔滨</c:v>
                </c:pt>
                <c:pt idx="8">
                  <c:v>上海</c:v>
                </c:pt>
                <c:pt idx="9">
                  <c:v>南京</c:v>
                </c:pt>
                <c:pt idx="10">
                  <c:v>杭州</c:v>
                </c:pt>
                <c:pt idx="11">
                  <c:v>合肥</c:v>
                </c:pt>
              </c:strCache>
            </c:strRef>
          </c:cat>
          <c:val>
            <c:numRef>
              <c:f>城市月平均气温统计表!$G$3:$G$14</c:f>
              <c:numCache>
                <c:formatCode>General</c:formatCode>
                <c:ptCount val="12"/>
                <c:pt idx="0">
                  <c:v>25.9</c:v>
                </c:pt>
                <c:pt idx="1">
                  <c:v>26.4</c:v>
                </c:pt>
                <c:pt idx="2">
                  <c:v>27.4</c:v>
                </c:pt>
                <c:pt idx="3">
                  <c:v>23.2</c:v>
                </c:pt>
                <c:pt idx="4">
                  <c:v>21.8</c:v>
                </c:pt>
                <c:pt idx="5">
                  <c:v>21.6</c:v>
                </c:pt>
                <c:pt idx="6">
                  <c:v>20.2</c:v>
                </c:pt>
                <c:pt idx="7">
                  <c:v>19.9</c:v>
                </c:pt>
                <c:pt idx="8">
                  <c:v>25.6</c:v>
                </c:pt>
                <c:pt idx="9">
                  <c:v>26.5</c:v>
                </c:pt>
                <c:pt idx="10">
                  <c:v>25.9</c:v>
                </c:pt>
                <c:pt idx="11">
                  <c:v>26.7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557290313"/>
        <c:axId val="368709344"/>
      </c:barChart>
      <c:catAx>
        <c:axId val="5572903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8709344"/>
        <c:crosses val="autoZero"/>
        <c:auto val="1"/>
        <c:lblAlgn val="ctr"/>
        <c:lblOffset val="100"/>
        <c:noMultiLvlLbl val="0"/>
      </c:catAx>
      <c:valAx>
        <c:axId val="36870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72903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673100</xdr:colOff>
      <xdr:row>8</xdr:row>
      <xdr:rowOff>127000</xdr:rowOff>
    </xdr:from>
    <xdr:to>
      <xdr:col>10</xdr:col>
      <xdr:colOff>12700</xdr:colOff>
      <xdr:row>23</xdr:row>
      <xdr:rowOff>155575</xdr:rowOff>
    </xdr:to>
    <xdr:graphicFrame>
      <xdr:nvGraphicFramePr>
        <xdr:cNvPr id="2" name="图表 1"/>
        <xdr:cNvGraphicFramePr/>
      </xdr:nvGraphicFramePr>
      <xdr:xfrm>
        <a:off x="2044700" y="1574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workbookViewId="0">
      <selection activeCell="A2" sqref="A2:G33"/>
    </sheetView>
  </sheetViews>
  <sheetFormatPr defaultColWidth="9" defaultRowHeight="14.25" outlineLevelCol="6"/>
  <sheetData>
    <row r="1" ht="18.75" spans="1:7">
      <c r="A1" s="14" t="s">
        <v>0</v>
      </c>
      <c r="B1" s="15"/>
      <c r="C1" s="15"/>
      <c r="D1" s="15"/>
      <c r="E1" s="15"/>
      <c r="F1" s="15"/>
      <c r="G1" s="15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2" t="s">
        <v>8</v>
      </c>
      <c r="B3" s="3">
        <v>-1.9</v>
      </c>
      <c r="C3" s="3">
        <v>-0.9</v>
      </c>
      <c r="D3" s="3">
        <v>8</v>
      </c>
      <c r="E3" s="3">
        <v>13.5</v>
      </c>
      <c r="F3" s="3">
        <v>20.4</v>
      </c>
      <c r="G3" s="3">
        <v>25.9</v>
      </c>
    </row>
    <row r="4" spans="1:7">
      <c r="A4" s="2" t="s">
        <v>9</v>
      </c>
      <c r="B4" s="3">
        <v>-2.7</v>
      </c>
      <c r="C4" s="3">
        <v>-1.4</v>
      </c>
      <c r="D4" s="3">
        <v>7.5</v>
      </c>
      <c r="E4" s="3">
        <v>13.2</v>
      </c>
      <c r="F4" s="3">
        <v>20.3</v>
      </c>
      <c r="G4" s="3">
        <v>26.4</v>
      </c>
    </row>
    <row r="5" spans="1:7">
      <c r="A5" s="2" t="s">
        <v>10</v>
      </c>
      <c r="B5" s="3">
        <v>-0.9</v>
      </c>
      <c r="C5" s="3">
        <v>1.6</v>
      </c>
      <c r="D5" s="3">
        <v>10.3</v>
      </c>
      <c r="E5" s="3">
        <v>15.1</v>
      </c>
      <c r="F5" s="3">
        <v>21.3</v>
      </c>
      <c r="G5" s="3">
        <v>27.4</v>
      </c>
    </row>
    <row r="6" spans="1:7">
      <c r="A6" s="2" t="s">
        <v>11</v>
      </c>
      <c r="B6" s="3">
        <v>-3.6</v>
      </c>
      <c r="C6" s="3">
        <v>-0.4</v>
      </c>
      <c r="D6" s="3">
        <v>6.8</v>
      </c>
      <c r="E6" s="3">
        <v>14.5</v>
      </c>
      <c r="F6" s="3">
        <v>19.1</v>
      </c>
      <c r="G6" s="3">
        <v>23.2</v>
      </c>
    </row>
    <row r="7" spans="1:7">
      <c r="A7" s="2" t="s">
        <v>12</v>
      </c>
      <c r="B7" s="3">
        <v>-9.2</v>
      </c>
      <c r="C7" s="3">
        <v>-7</v>
      </c>
      <c r="D7" s="3">
        <v>2.2</v>
      </c>
      <c r="E7" s="3">
        <v>10.3</v>
      </c>
      <c r="F7" s="3">
        <v>17.4</v>
      </c>
      <c r="G7" s="3">
        <v>21.8</v>
      </c>
    </row>
    <row r="8" spans="1:7">
      <c r="A8" s="2" t="s">
        <v>13</v>
      </c>
      <c r="B8" s="3">
        <v>-12.7</v>
      </c>
      <c r="C8" s="3">
        <v>-8.1</v>
      </c>
      <c r="D8" s="3">
        <v>0.5</v>
      </c>
      <c r="E8" s="3">
        <v>8</v>
      </c>
      <c r="F8" s="3">
        <v>18.3</v>
      </c>
      <c r="G8" s="3">
        <v>21.6</v>
      </c>
    </row>
    <row r="9" spans="1:7">
      <c r="A9" s="2" t="s">
        <v>14</v>
      </c>
      <c r="B9" s="3">
        <v>-14.5</v>
      </c>
      <c r="C9" s="3">
        <v>-10.6</v>
      </c>
      <c r="D9" s="3">
        <v>-1.3</v>
      </c>
      <c r="E9" s="3">
        <v>6.1</v>
      </c>
      <c r="F9" s="3">
        <v>17</v>
      </c>
      <c r="G9" s="3">
        <v>20.2</v>
      </c>
    </row>
    <row r="10" spans="1:7">
      <c r="A10" s="2" t="s">
        <v>15</v>
      </c>
      <c r="B10" s="3">
        <v>-17.7</v>
      </c>
      <c r="C10" s="3">
        <v>-12.6</v>
      </c>
      <c r="D10" s="3">
        <v>-2.8</v>
      </c>
      <c r="E10" s="3">
        <v>5.9</v>
      </c>
      <c r="F10" s="3">
        <v>17.1</v>
      </c>
      <c r="G10" s="3">
        <v>19.9</v>
      </c>
    </row>
    <row r="11" spans="1:7">
      <c r="A11" s="2" t="s">
        <v>16</v>
      </c>
      <c r="B11" s="3">
        <v>5.7</v>
      </c>
      <c r="C11" s="3">
        <v>5.6</v>
      </c>
      <c r="D11" s="3">
        <v>11.1</v>
      </c>
      <c r="E11" s="3">
        <v>16.6</v>
      </c>
      <c r="F11" s="3">
        <v>20.8</v>
      </c>
      <c r="G11" s="3">
        <v>25.6</v>
      </c>
    </row>
    <row r="12" spans="1:7">
      <c r="A12" s="2" t="s">
        <v>17</v>
      </c>
      <c r="B12" s="3">
        <v>3.9</v>
      </c>
      <c r="C12" s="3">
        <v>4.3</v>
      </c>
      <c r="D12" s="3">
        <v>11.3</v>
      </c>
      <c r="E12" s="3">
        <v>17.1</v>
      </c>
      <c r="F12" s="3">
        <v>21.2</v>
      </c>
      <c r="G12" s="3">
        <v>26.5</v>
      </c>
    </row>
    <row r="13" spans="1:7">
      <c r="A13" s="2" t="s">
        <v>18</v>
      </c>
      <c r="B13" s="3">
        <v>5.8</v>
      </c>
      <c r="C13" s="3">
        <v>6.1</v>
      </c>
      <c r="D13" s="3">
        <v>12.4</v>
      </c>
      <c r="E13" s="3">
        <v>18.3</v>
      </c>
      <c r="F13" s="3">
        <v>21.5</v>
      </c>
      <c r="G13" s="3">
        <v>25.9</v>
      </c>
    </row>
    <row r="14" spans="1:7">
      <c r="A14" s="2" t="s">
        <v>19</v>
      </c>
      <c r="B14" s="3">
        <v>3.4</v>
      </c>
      <c r="C14" s="3">
        <v>4.5</v>
      </c>
      <c r="D14" s="3">
        <v>11.7</v>
      </c>
      <c r="E14" s="3">
        <v>17.2</v>
      </c>
      <c r="F14" s="3">
        <v>21.7</v>
      </c>
      <c r="G14" s="3">
        <v>26.7</v>
      </c>
    </row>
    <row r="15" spans="1:7">
      <c r="A15" s="2" t="s">
        <v>20</v>
      </c>
      <c r="B15" s="3">
        <v>12.5</v>
      </c>
      <c r="C15" s="3">
        <v>12.5</v>
      </c>
      <c r="D15" s="3">
        <v>14</v>
      </c>
      <c r="E15" s="3">
        <v>19.4</v>
      </c>
      <c r="F15" s="3">
        <v>22.3</v>
      </c>
      <c r="G15" s="3">
        <v>26.5</v>
      </c>
    </row>
    <row r="16" spans="1:7">
      <c r="A16" s="2" t="s">
        <v>21</v>
      </c>
      <c r="B16" s="3">
        <v>6.6</v>
      </c>
      <c r="C16" s="3">
        <v>6.5</v>
      </c>
      <c r="D16" s="3">
        <v>12.7</v>
      </c>
      <c r="E16" s="3">
        <v>19.3</v>
      </c>
      <c r="F16" s="3">
        <v>22.7</v>
      </c>
      <c r="G16" s="3">
        <v>26</v>
      </c>
    </row>
    <row r="17" spans="1:7">
      <c r="A17" s="2" t="s">
        <v>22</v>
      </c>
      <c r="B17" s="3">
        <v>0</v>
      </c>
      <c r="C17" s="3">
        <v>2.1</v>
      </c>
      <c r="D17" s="3">
        <v>10.2</v>
      </c>
      <c r="E17" s="3">
        <v>16.5</v>
      </c>
      <c r="F17" s="3">
        <v>21.5</v>
      </c>
      <c r="G17" s="3">
        <v>26.9</v>
      </c>
    </row>
    <row r="18" spans="1:7">
      <c r="A18" s="2" t="s">
        <v>23</v>
      </c>
      <c r="B18" s="3">
        <v>0.3</v>
      </c>
      <c r="C18" s="3">
        <v>3.9</v>
      </c>
      <c r="D18" s="3">
        <v>11.5</v>
      </c>
      <c r="E18" s="3">
        <v>17.1</v>
      </c>
      <c r="F18" s="3">
        <v>21.8</v>
      </c>
      <c r="G18" s="3">
        <v>27.8</v>
      </c>
    </row>
    <row r="19" spans="1:7">
      <c r="A19" s="2" t="s">
        <v>24</v>
      </c>
      <c r="B19" s="3">
        <v>4.2</v>
      </c>
      <c r="C19" s="3">
        <v>5.8</v>
      </c>
      <c r="D19" s="3">
        <v>12.8</v>
      </c>
      <c r="E19" s="3">
        <v>19</v>
      </c>
      <c r="F19" s="3">
        <v>23.9</v>
      </c>
      <c r="G19" s="3">
        <v>28.4</v>
      </c>
    </row>
    <row r="20" spans="1:7">
      <c r="A20" s="2" t="s">
        <v>25</v>
      </c>
      <c r="B20" s="3">
        <v>5.3</v>
      </c>
      <c r="C20" s="3">
        <v>6.2</v>
      </c>
      <c r="D20" s="3">
        <v>12.5</v>
      </c>
      <c r="E20" s="3">
        <v>19.9</v>
      </c>
      <c r="F20" s="3">
        <v>23.6</v>
      </c>
      <c r="G20" s="3">
        <v>27</v>
      </c>
    </row>
    <row r="21" spans="1:7">
      <c r="A21" s="2" t="s">
        <v>26</v>
      </c>
      <c r="B21" s="3">
        <v>15.8</v>
      </c>
      <c r="C21" s="3">
        <v>17.3</v>
      </c>
      <c r="D21" s="3">
        <v>17.9</v>
      </c>
      <c r="E21" s="3">
        <v>23.6</v>
      </c>
      <c r="F21" s="3">
        <v>25.3</v>
      </c>
      <c r="G21" s="3">
        <v>27.8</v>
      </c>
    </row>
    <row r="22" spans="1:7">
      <c r="A22" s="2" t="s">
        <v>27</v>
      </c>
      <c r="B22" s="3">
        <v>14.3</v>
      </c>
      <c r="C22" s="3">
        <v>14.3</v>
      </c>
      <c r="D22" s="3">
        <v>17.5</v>
      </c>
      <c r="E22" s="3">
        <v>23.9</v>
      </c>
      <c r="F22" s="3">
        <v>25.2</v>
      </c>
      <c r="G22" s="3">
        <v>27.6</v>
      </c>
    </row>
    <row r="23" spans="1:7">
      <c r="A23" s="2" t="s">
        <v>28</v>
      </c>
      <c r="B23" s="3">
        <v>18.5</v>
      </c>
      <c r="C23" s="3">
        <v>20.5</v>
      </c>
      <c r="D23" s="3">
        <v>21.8</v>
      </c>
      <c r="E23" s="3">
        <v>26.7</v>
      </c>
      <c r="F23" s="3">
        <v>28.3</v>
      </c>
      <c r="G23" s="3">
        <v>29.4</v>
      </c>
    </row>
    <row r="24" spans="1:7">
      <c r="A24" s="2" t="s">
        <v>29</v>
      </c>
      <c r="B24" s="3">
        <v>7.8</v>
      </c>
      <c r="C24" s="3">
        <v>9</v>
      </c>
      <c r="D24" s="3">
        <v>13.3</v>
      </c>
      <c r="E24" s="3">
        <v>19.2</v>
      </c>
      <c r="F24" s="3">
        <v>22.9</v>
      </c>
      <c r="G24" s="3">
        <v>25.4</v>
      </c>
    </row>
    <row r="25" spans="1:7">
      <c r="A25" s="2" t="s">
        <v>30</v>
      </c>
      <c r="B25" s="3">
        <v>5.8</v>
      </c>
      <c r="C25" s="3">
        <v>7.5</v>
      </c>
      <c r="D25" s="3">
        <v>12.1</v>
      </c>
      <c r="E25" s="3">
        <v>17.9</v>
      </c>
      <c r="F25" s="3">
        <v>21.6</v>
      </c>
      <c r="G25" s="3">
        <v>24</v>
      </c>
    </row>
    <row r="26" spans="1:7">
      <c r="A26" s="2" t="s">
        <v>31</v>
      </c>
      <c r="B26" s="3">
        <v>4.3</v>
      </c>
      <c r="C26" s="3">
        <v>5.4</v>
      </c>
      <c r="D26" s="3">
        <v>10.2</v>
      </c>
      <c r="E26" s="3">
        <v>17</v>
      </c>
      <c r="F26" s="3">
        <v>18.9</v>
      </c>
      <c r="G26" s="3">
        <v>21.1</v>
      </c>
    </row>
    <row r="27" spans="1:7">
      <c r="A27" s="2" t="s">
        <v>32</v>
      </c>
      <c r="B27" s="3">
        <v>10.8</v>
      </c>
      <c r="C27" s="3">
        <v>13.2</v>
      </c>
      <c r="D27" s="3">
        <v>15.9</v>
      </c>
      <c r="E27" s="3">
        <v>18</v>
      </c>
      <c r="F27" s="3">
        <v>18</v>
      </c>
      <c r="G27" s="3">
        <v>20.4</v>
      </c>
    </row>
    <row r="28" spans="1:7">
      <c r="A28" s="2" t="s">
        <v>33</v>
      </c>
      <c r="B28" s="3">
        <v>2.7</v>
      </c>
      <c r="C28" s="3">
        <v>5</v>
      </c>
      <c r="D28" s="3">
        <v>6.2</v>
      </c>
      <c r="E28" s="3">
        <v>8.3</v>
      </c>
      <c r="F28" s="3">
        <v>12.8</v>
      </c>
      <c r="G28" s="3">
        <v>17.8</v>
      </c>
    </row>
    <row r="29" spans="1:7">
      <c r="A29" s="2" t="s">
        <v>34</v>
      </c>
      <c r="B29" s="3">
        <v>-0.2</v>
      </c>
      <c r="C29" s="3">
        <v>4.3</v>
      </c>
      <c r="D29" s="3">
        <v>10.8</v>
      </c>
      <c r="E29" s="3">
        <v>16.8</v>
      </c>
      <c r="F29" s="3">
        <v>21.4</v>
      </c>
      <c r="G29" s="3">
        <v>26.5</v>
      </c>
    </row>
    <row r="30" spans="1:7">
      <c r="A30" s="2" t="s">
        <v>35</v>
      </c>
      <c r="B30" s="3">
        <v>-6.9</v>
      </c>
      <c r="C30" s="3">
        <v>-2.6</v>
      </c>
      <c r="D30" s="3">
        <v>3.2</v>
      </c>
      <c r="E30" s="3">
        <v>10.3</v>
      </c>
      <c r="F30" s="3">
        <v>15.6</v>
      </c>
      <c r="G30" s="3">
        <v>20</v>
      </c>
    </row>
    <row r="31" spans="1:7">
      <c r="A31" s="2" t="s">
        <v>36</v>
      </c>
      <c r="B31" s="3">
        <v>-6.5</v>
      </c>
      <c r="C31" s="3">
        <v>-3</v>
      </c>
      <c r="D31" s="3">
        <v>1.4</v>
      </c>
      <c r="E31" s="3">
        <v>7.1</v>
      </c>
      <c r="F31" s="3">
        <v>12</v>
      </c>
      <c r="G31" s="3">
        <v>15.5</v>
      </c>
    </row>
    <row r="32" spans="1:7">
      <c r="A32" s="2" t="s">
        <v>37</v>
      </c>
      <c r="B32" s="3">
        <v>-7.4</v>
      </c>
      <c r="C32" s="3">
        <v>-2.2</v>
      </c>
      <c r="D32" s="3">
        <v>4.9</v>
      </c>
      <c r="E32" s="3">
        <v>13.6</v>
      </c>
      <c r="F32" s="3">
        <v>18.8</v>
      </c>
      <c r="G32" s="3">
        <v>23.7</v>
      </c>
    </row>
    <row r="33" spans="1:7">
      <c r="A33" s="2" t="s">
        <v>38</v>
      </c>
      <c r="B33" s="3">
        <v>-14.2</v>
      </c>
      <c r="C33" s="3">
        <v>-6.7</v>
      </c>
      <c r="D33" s="3">
        <v>1.2</v>
      </c>
      <c r="E33" s="3">
        <v>12</v>
      </c>
      <c r="F33" s="3">
        <v>16.8</v>
      </c>
      <c r="G33" s="3">
        <v>23.2</v>
      </c>
    </row>
    <row r="34" spans="1:7">
      <c r="A34" s="2" t="s">
        <v>39</v>
      </c>
      <c r="B34" s="3"/>
      <c r="C34" s="3"/>
      <c r="D34" s="3"/>
      <c r="E34" s="3"/>
      <c r="F34" s="3"/>
      <c r="G34" s="3"/>
    </row>
    <row r="35" spans="1:7">
      <c r="A35" s="2" t="s">
        <v>40</v>
      </c>
      <c r="B35" s="3"/>
      <c r="C35" s="3"/>
      <c r="D35" s="3"/>
      <c r="E35" s="3"/>
      <c r="F35" s="3"/>
      <c r="G35" s="3"/>
    </row>
  </sheetData>
  <mergeCells count="1">
    <mergeCell ref="A1:G1"/>
  </mergeCell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view="pageLayout" zoomScaleNormal="100" workbookViewId="0">
      <selection activeCell="F22" sqref="F22"/>
    </sheetView>
  </sheetViews>
  <sheetFormatPr defaultColWidth="9" defaultRowHeight="14.25" outlineLevelCol="7"/>
  <cols>
    <col min="8" max="8" width="13.75" customWidth="1"/>
  </cols>
  <sheetData>
    <row r="1" spans="1:1">
      <c r="A1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41</v>
      </c>
    </row>
    <row r="3" spans="1:8">
      <c r="A3" t="s">
        <v>8</v>
      </c>
      <c r="B3">
        <v>-1.9</v>
      </c>
      <c r="C3">
        <v>-0.9</v>
      </c>
      <c r="D3">
        <v>8</v>
      </c>
      <c r="E3">
        <v>13.5</v>
      </c>
      <c r="F3">
        <v>20.4</v>
      </c>
      <c r="G3">
        <v>25.9</v>
      </c>
      <c r="H3" s="13">
        <f>AVERAGE(B3:G3)</f>
        <v>10.8333333333333</v>
      </c>
    </row>
    <row r="4" spans="1:8">
      <c r="A4" t="s">
        <v>9</v>
      </c>
      <c r="B4">
        <v>-2.7</v>
      </c>
      <c r="C4">
        <v>-1.4</v>
      </c>
      <c r="D4">
        <v>7.5</v>
      </c>
      <c r="E4">
        <v>13.2</v>
      </c>
      <c r="F4">
        <v>20.3</v>
      </c>
      <c r="G4">
        <v>26.4</v>
      </c>
      <c r="H4" s="13">
        <f t="shared" ref="H4:H35" si="0">AVERAGE(B4:G4)</f>
        <v>10.55</v>
      </c>
    </row>
    <row r="5" spans="1:8">
      <c r="A5" t="s">
        <v>10</v>
      </c>
      <c r="B5">
        <v>-0.9</v>
      </c>
      <c r="C5">
        <v>1.6</v>
      </c>
      <c r="D5">
        <v>10.3</v>
      </c>
      <c r="E5">
        <v>15.1</v>
      </c>
      <c r="F5">
        <v>21.3</v>
      </c>
      <c r="G5">
        <v>27.4</v>
      </c>
      <c r="H5" s="13">
        <f t="shared" si="0"/>
        <v>12.4666666666667</v>
      </c>
    </row>
    <row r="6" spans="1:8">
      <c r="A6" t="s">
        <v>11</v>
      </c>
      <c r="B6">
        <v>-3.6</v>
      </c>
      <c r="C6">
        <v>-0.4</v>
      </c>
      <c r="D6">
        <v>6.8</v>
      </c>
      <c r="E6">
        <v>14.5</v>
      </c>
      <c r="F6">
        <v>19.1</v>
      </c>
      <c r="G6">
        <v>23.2</v>
      </c>
      <c r="H6" s="13">
        <f t="shared" si="0"/>
        <v>9.93333333333334</v>
      </c>
    </row>
    <row r="7" spans="1:8">
      <c r="A7" t="s">
        <v>12</v>
      </c>
      <c r="B7">
        <v>-9.2</v>
      </c>
      <c r="C7">
        <v>-7</v>
      </c>
      <c r="D7">
        <v>2.2</v>
      </c>
      <c r="E7">
        <v>10.3</v>
      </c>
      <c r="F7">
        <v>17.4</v>
      </c>
      <c r="G7">
        <v>21.8</v>
      </c>
      <c r="H7" s="13">
        <f t="shared" si="0"/>
        <v>5.91666666666667</v>
      </c>
    </row>
    <row r="8" spans="1:8">
      <c r="A8" t="s">
        <v>13</v>
      </c>
      <c r="B8">
        <v>-12.7</v>
      </c>
      <c r="C8">
        <v>-8.1</v>
      </c>
      <c r="D8">
        <v>0.5</v>
      </c>
      <c r="E8">
        <v>8</v>
      </c>
      <c r="F8">
        <v>18.3</v>
      </c>
      <c r="G8">
        <v>21.6</v>
      </c>
      <c r="H8" s="13">
        <f t="shared" si="0"/>
        <v>4.6</v>
      </c>
    </row>
    <row r="9" spans="1:8">
      <c r="A9" t="s">
        <v>14</v>
      </c>
      <c r="B9">
        <v>-14.5</v>
      </c>
      <c r="C9">
        <v>-10.6</v>
      </c>
      <c r="D9">
        <v>-1.3</v>
      </c>
      <c r="E9">
        <v>6.1</v>
      </c>
      <c r="F9">
        <v>17</v>
      </c>
      <c r="G9">
        <v>20.2</v>
      </c>
      <c r="H9" s="13">
        <f t="shared" si="0"/>
        <v>2.81666666666667</v>
      </c>
    </row>
    <row r="10" spans="1:8">
      <c r="A10" t="s">
        <v>15</v>
      </c>
      <c r="B10">
        <v>-17.7</v>
      </c>
      <c r="C10">
        <v>-12.6</v>
      </c>
      <c r="D10">
        <v>-2.8</v>
      </c>
      <c r="E10">
        <v>5.9</v>
      </c>
      <c r="F10">
        <v>17.1</v>
      </c>
      <c r="G10">
        <v>19.9</v>
      </c>
      <c r="H10" s="13">
        <f t="shared" si="0"/>
        <v>1.63333333333333</v>
      </c>
    </row>
    <row r="11" spans="1:8">
      <c r="A11" t="s">
        <v>16</v>
      </c>
      <c r="B11">
        <v>5.7</v>
      </c>
      <c r="C11">
        <v>5.6</v>
      </c>
      <c r="D11">
        <v>11.1</v>
      </c>
      <c r="E11">
        <v>16.6</v>
      </c>
      <c r="F11">
        <v>20.8</v>
      </c>
      <c r="G11">
        <v>25.6</v>
      </c>
      <c r="H11" s="13">
        <f t="shared" si="0"/>
        <v>14.2333333333333</v>
      </c>
    </row>
    <row r="12" spans="1:8">
      <c r="A12" t="s">
        <v>17</v>
      </c>
      <c r="B12">
        <v>3.9</v>
      </c>
      <c r="C12">
        <v>4.3</v>
      </c>
      <c r="D12">
        <v>11.3</v>
      </c>
      <c r="E12">
        <v>17.1</v>
      </c>
      <c r="F12">
        <v>21.2</v>
      </c>
      <c r="G12">
        <v>26.5</v>
      </c>
      <c r="H12" s="13">
        <f t="shared" si="0"/>
        <v>14.05</v>
      </c>
    </row>
    <row r="13" spans="1:8">
      <c r="A13" t="s">
        <v>18</v>
      </c>
      <c r="B13">
        <v>5.8</v>
      </c>
      <c r="C13">
        <v>6.1</v>
      </c>
      <c r="D13">
        <v>12.4</v>
      </c>
      <c r="E13">
        <v>18.3</v>
      </c>
      <c r="F13">
        <v>21.5</v>
      </c>
      <c r="G13">
        <v>25.9</v>
      </c>
      <c r="H13" s="13">
        <f t="shared" si="0"/>
        <v>15</v>
      </c>
    </row>
    <row r="14" spans="1:8">
      <c r="A14" t="s">
        <v>19</v>
      </c>
      <c r="B14">
        <v>3.4</v>
      </c>
      <c r="C14">
        <v>4.5</v>
      </c>
      <c r="D14">
        <v>11.7</v>
      </c>
      <c r="E14">
        <v>17.2</v>
      </c>
      <c r="F14">
        <v>21.7</v>
      </c>
      <c r="G14">
        <v>26.7</v>
      </c>
      <c r="H14" s="13">
        <f t="shared" si="0"/>
        <v>14.2</v>
      </c>
    </row>
    <row r="15" spans="1:8">
      <c r="A15" t="s">
        <v>20</v>
      </c>
      <c r="B15">
        <v>12.5</v>
      </c>
      <c r="C15">
        <v>12.5</v>
      </c>
      <c r="D15">
        <v>14</v>
      </c>
      <c r="E15">
        <v>19.4</v>
      </c>
      <c r="F15">
        <v>22.3</v>
      </c>
      <c r="G15">
        <v>26.5</v>
      </c>
      <c r="H15" s="13">
        <f t="shared" si="0"/>
        <v>17.8666666666667</v>
      </c>
    </row>
    <row r="16" spans="1:8">
      <c r="A16" t="s">
        <v>21</v>
      </c>
      <c r="B16">
        <v>6.6</v>
      </c>
      <c r="C16">
        <v>6.5</v>
      </c>
      <c r="D16">
        <v>12.7</v>
      </c>
      <c r="E16">
        <v>19.3</v>
      </c>
      <c r="F16">
        <v>22.7</v>
      </c>
      <c r="G16">
        <v>26</v>
      </c>
      <c r="H16" s="13">
        <f t="shared" si="0"/>
        <v>15.6333333333333</v>
      </c>
    </row>
    <row r="17" spans="1:8">
      <c r="A17" t="s">
        <v>22</v>
      </c>
      <c r="B17">
        <v>0</v>
      </c>
      <c r="C17">
        <v>2.1</v>
      </c>
      <c r="D17">
        <v>10.2</v>
      </c>
      <c r="E17">
        <v>16.5</v>
      </c>
      <c r="F17">
        <v>21.5</v>
      </c>
      <c r="G17">
        <v>26.9</v>
      </c>
      <c r="H17" s="13">
        <f t="shared" si="0"/>
        <v>12.8666666666667</v>
      </c>
    </row>
    <row r="18" spans="1:8">
      <c r="A18" t="s">
        <v>23</v>
      </c>
      <c r="B18">
        <v>0.3</v>
      </c>
      <c r="C18">
        <v>3.9</v>
      </c>
      <c r="D18">
        <v>11.5</v>
      </c>
      <c r="E18">
        <v>17.1</v>
      </c>
      <c r="F18">
        <v>21.8</v>
      </c>
      <c r="G18">
        <v>27.8</v>
      </c>
      <c r="H18" s="13">
        <f t="shared" si="0"/>
        <v>13.7333333333333</v>
      </c>
    </row>
    <row r="19" spans="1:8">
      <c r="A19" t="s">
        <v>24</v>
      </c>
      <c r="B19">
        <v>4.2</v>
      </c>
      <c r="C19">
        <v>5.8</v>
      </c>
      <c r="D19">
        <v>12.8</v>
      </c>
      <c r="E19">
        <v>19</v>
      </c>
      <c r="F19">
        <v>23.9</v>
      </c>
      <c r="G19">
        <v>28.4</v>
      </c>
      <c r="H19" s="13">
        <f t="shared" si="0"/>
        <v>15.6833333333333</v>
      </c>
    </row>
    <row r="20" spans="1:8">
      <c r="A20" t="s">
        <v>25</v>
      </c>
      <c r="B20">
        <v>5.3</v>
      </c>
      <c r="C20">
        <v>6.2</v>
      </c>
      <c r="D20">
        <v>12.5</v>
      </c>
      <c r="E20">
        <v>19.9</v>
      </c>
      <c r="F20">
        <v>23.6</v>
      </c>
      <c r="G20">
        <v>27</v>
      </c>
      <c r="H20" s="13">
        <f t="shared" si="0"/>
        <v>15.75</v>
      </c>
    </row>
    <row r="21" spans="1:8">
      <c r="A21" t="s">
        <v>26</v>
      </c>
      <c r="B21">
        <v>15.8</v>
      </c>
      <c r="C21">
        <v>17.3</v>
      </c>
      <c r="D21">
        <v>17.9</v>
      </c>
      <c r="E21">
        <v>23.6</v>
      </c>
      <c r="F21">
        <v>25.3</v>
      </c>
      <c r="G21">
        <v>27.8</v>
      </c>
      <c r="H21" s="13">
        <f t="shared" si="0"/>
        <v>21.2833333333333</v>
      </c>
    </row>
    <row r="22" spans="1:8">
      <c r="A22" t="s">
        <v>27</v>
      </c>
      <c r="B22">
        <v>14.3</v>
      </c>
      <c r="C22">
        <v>14.3</v>
      </c>
      <c r="D22">
        <v>17.5</v>
      </c>
      <c r="E22">
        <v>23.9</v>
      </c>
      <c r="F22">
        <v>25.2</v>
      </c>
      <c r="G22">
        <v>27.6</v>
      </c>
      <c r="H22" s="13">
        <f t="shared" si="0"/>
        <v>20.4666666666667</v>
      </c>
    </row>
    <row r="23" spans="1:8">
      <c r="A23" t="s">
        <v>28</v>
      </c>
      <c r="B23">
        <v>18.5</v>
      </c>
      <c r="C23">
        <v>20.5</v>
      </c>
      <c r="D23">
        <v>21.8</v>
      </c>
      <c r="E23">
        <v>26.7</v>
      </c>
      <c r="F23">
        <v>28.3</v>
      </c>
      <c r="G23">
        <v>29.4</v>
      </c>
      <c r="H23" s="13">
        <f t="shared" si="0"/>
        <v>24.2</v>
      </c>
    </row>
    <row r="24" spans="1:8">
      <c r="A24" t="s">
        <v>29</v>
      </c>
      <c r="B24">
        <v>7.8</v>
      </c>
      <c r="C24">
        <v>9</v>
      </c>
      <c r="D24">
        <v>13.3</v>
      </c>
      <c r="E24">
        <v>19.2</v>
      </c>
      <c r="F24">
        <v>22.9</v>
      </c>
      <c r="G24">
        <v>25.4</v>
      </c>
      <c r="H24" s="13">
        <f t="shared" si="0"/>
        <v>16.2666666666667</v>
      </c>
    </row>
    <row r="25" spans="1:8">
      <c r="A25" t="s">
        <v>30</v>
      </c>
      <c r="B25">
        <v>5.8</v>
      </c>
      <c r="C25">
        <v>7.5</v>
      </c>
      <c r="D25">
        <v>12.1</v>
      </c>
      <c r="E25">
        <v>17.9</v>
      </c>
      <c r="F25">
        <v>21.6</v>
      </c>
      <c r="G25">
        <v>24</v>
      </c>
      <c r="H25" s="13">
        <f t="shared" si="0"/>
        <v>14.8166666666667</v>
      </c>
    </row>
    <row r="26" spans="1:8">
      <c r="A26" t="s">
        <v>31</v>
      </c>
      <c r="B26">
        <v>4.3</v>
      </c>
      <c r="C26">
        <v>5.4</v>
      </c>
      <c r="D26">
        <v>10.2</v>
      </c>
      <c r="E26">
        <v>17</v>
      </c>
      <c r="F26">
        <v>18.9</v>
      </c>
      <c r="G26">
        <v>21.1</v>
      </c>
      <c r="H26" s="13">
        <f t="shared" si="0"/>
        <v>12.8166666666667</v>
      </c>
    </row>
    <row r="27" spans="1:8">
      <c r="A27" t="s">
        <v>32</v>
      </c>
      <c r="B27">
        <v>10.8</v>
      </c>
      <c r="C27">
        <v>13.2</v>
      </c>
      <c r="D27">
        <v>15.9</v>
      </c>
      <c r="E27">
        <v>18</v>
      </c>
      <c r="F27">
        <v>18</v>
      </c>
      <c r="G27">
        <v>20.4</v>
      </c>
      <c r="H27" s="13">
        <f t="shared" si="0"/>
        <v>16.05</v>
      </c>
    </row>
    <row r="28" spans="1:8">
      <c r="A28" t="s">
        <v>33</v>
      </c>
      <c r="B28">
        <v>2.7</v>
      </c>
      <c r="C28">
        <v>5</v>
      </c>
      <c r="D28">
        <v>6.2</v>
      </c>
      <c r="E28">
        <v>8.3</v>
      </c>
      <c r="F28">
        <v>12.8</v>
      </c>
      <c r="G28">
        <v>17.8</v>
      </c>
      <c r="H28" s="13">
        <f t="shared" si="0"/>
        <v>8.8</v>
      </c>
    </row>
    <row r="29" spans="1:8">
      <c r="A29" t="s">
        <v>34</v>
      </c>
      <c r="B29">
        <v>-0.2</v>
      </c>
      <c r="C29">
        <v>4.3</v>
      </c>
      <c r="D29">
        <v>10.8</v>
      </c>
      <c r="E29">
        <v>16.8</v>
      </c>
      <c r="F29">
        <v>21.4</v>
      </c>
      <c r="G29">
        <v>26.5</v>
      </c>
      <c r="H29" s="13">
        <f t="shared" si="0"/>
        <v>13.2666666666667</v>
      </c>
    </row>
    <row r="30" spans="1:8">
      <c r="A30" t="s">
        <v>35</v>
      </c>
      <c r="B30">
        <v>-6.9</v>
      </c>
      <c r="C30">
        <v>-2.6</v>
      </c>
      <c r="D30">
        <v>3.2</v>
      </c>
      <c r="E30">
        <v>10.3</v>
      </c>
      <c r="F30">
        <v>15.6</v>
      </c>
      <c r="G30">
        <v>20</v>
      </c>
      <c r="H30" s="13">
        <f t="shared" si="0"/>
        <v>6.6</v>
      </c>
    </row>
    <row r="31" spans="1:8">
      <c r="A31" t="s">
        <v>36</v>
      </c>
      <c r="B31">
        <v>-6.5</v>
      </c>
      <c r="C31">
        <v>-3</v>
      </c>
      <c r="D31">
        <v>1.4</v>
      </c>
      <c r="E31">
        <v>7.1</v>
      </c>
      <c r="F31">
        <v>12</v>
      </c>
      <c r="G31">
        <v>15.5</v>
      </c>
      <c r="H31" s="13">
        <f t="shared" si="0"/>
        <v>4.41666666666667</v>
      </c>
    </row>
    <row r="32" spans="1:8">
      <c r="A32" t="s">
        <v>37</v>
      </c>
      <c r="B32">
        <v>-7.4</v>
      </c>
      <c r="C32">
        <v>-2.2</v>
      </c>
      <c r="D32">
        <v>4.9</v>
      </c>
      <c r="E32">
        <v>13.6</v>
      </c>
      <c r="F32">
        <v>18.8</v>
      </c>
      <c r="G32">
        <v>23.7</v>
      </c>
      <c r="H32" s="13">
        <f t="shared" si="0"/>
        <v>8.56666666666667</v>
      </c>
    </row>
    <row r="33" spans="1:8">
      <c r="A33" t="s">
        <v>38</v>
      </c>
      <c r="B33">
        <v>-14.2</v>
      </c>
      <c r="C33">
        <v>-6.7</v>
      </c>
      <c r="D33">
        <v>1.2</v>
      </c>
      <c r="E33">
        <v>12</v>
      </c>
      <c r="F33">
        <v>16.8</v>
      </c>
      <c r="G33">
        <v>23.2</v>
      </c>
      <c r="H33" s="13">
        <f t="shared" si="0"/>
        <v>5.38333333333333</v>
      </c>
    </row>
    <row r="34" spans="1:8">
      <c r="A34" t="s">
        <v>39</v>
      </c>
      <c r="B34" s="13">
        <f>MAX(B3:B33)</f>
        <v>18.5</v>
      </c>
      <c r="C34" s="13">
        <f>MAX(C3:C33)</f>
        <v>20.5</v>
      </c>
      <c r="D34" s="13">
        <f>MAX(D3:D33)</f>
        <v>21.8</v>
      </c>
      <c r="E34" s="13">
        <f>MAX(E3:E33)</f>
        <v>26.7</v>
      </c>
      <c r="F34" s="13">
        <f>MAX(F3:F33)</f>
        <v>28.3</v>
      </c>
      <c r="G34" s="13">
        <f>MAX(G3:G33)</f>
        <v>29.4</v>
      </c>
      <c r="H34" s="13"/>
    </row>
    <row r="35" spans="1:8">
      <c r="A35" t="s">
        <v>40</v>
      </c>
      <c r="B35" s="13">
        <f>MIN(B3:B33)</f>
        <v>-17.7</v>
      </c>
      <c r="C35" s="13">
        <f>MIN(C3:C33)</f>
        <v>-12.6</v>
      </c>
      <c r="D35" s="13">
        <f>MIN(D3:D33)</f>
        <v>-2.8</v>
      </c>
      <c r="E35" s="13">
        <f>MIN(E3:E33)</f>
        <v>5.9</v>
      </c>
      <c r="F35" s="13">
        <f>MIN(F3:F33)</f>
        <v>12</v>
      </c>
      <c r="G35" s="13">
        <f>MIN(G3:G33)</f>
        <v>15.5</v>
      </c>
      <c r="H35" s="13"/>
    </row>
  </sheetData>
  <conditionalFormatting sqref="H3:H33">
    <cfRule type="cellIs" dxfId="0" priority="1" operator="greaterThan">
      <formula>10</formula>
    </cfRule>
  </conditionalFormatting>
  <printOptions horizontalCentered="1"/>
  <pageMargins left="0.751388888888889" right="0.751388888888889" top="1" bottom="1" header="0.5" footer="0.5"/>
  <pageSetup paperSize="9" firstPageNumber="3" orientation="portrait" useFirstPageNumber="1" horizontalDpi="600"/>
  <headerFooter alignWithMargins="0">
    <oddFooter>&amp;R&amp;14&amp;P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I12" sqref="I12"/>
    </sheetView>
  </sheetViews>
  <sheetFormatPr defaultColWidth="9" defaultRowHeight="14.25" outlineLevelCol="6"/>
  <sheetData>
    <row r="1" spans="1:2">
      <c r="A1" t="s">
        <v>2</v>
      </c>
      <c r="B1" t="s">
        <v>7</v>
      </c>
    </row>
    <row r="2" spans="1:2">
      <c r="A2" t="s">
        <v>42</v>
      </c>
      <c r="B2" t="s">
        <v>43</v>
      </c>
    </row>
    <row r="5" spans="1:7">
      <c r="A5" s="5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7" t="s">
        <v>7</v>
      </c>
    </row>
    <row r="6" spans="1:7">
      <c r="A6" s="8" t="s">
        <v>8</v>
      </c>
      <c r="B6" s="3">
        <v>-1.9</v>
      </c>
      <c r="C6" s="3">
        <v>-0.9</v>
      </c>
      <c r="D6" s="3">
        <v>8</v>
      </c>
      <c r="E6" s="3">
        <v>13.5</v>
      </c>
      <c r="F6" s="3">
        <v>20.4</v>
      </c>
      <c r="G6" s="9">
        <v>25.9</v>
      </c>
    </row>
    <row r="7" spans="1:7">
      <c r="A7" s="8" t="s">
        <v>9</v>
      </c>
      <c r="B7" s="3">
        <v>-2.7</v>
      </c>
      <c r="C7" s="3">
        <v>-1.4</v>
      </c>
      <c r="D7" s="3">
        <v>7.5</v>
      </c>
      <c r="E7" s="3">
        <v>13.2</v>
      </c>
      <c r="F7" s="3">
        <v>20.3</v>
      </c>
      <c r="G7" s="9">
        <v>26.4</v>
      </c>
    </row>
    <row r="8" spans="1:7">
      <c r="A8" s="8" t="s">
        <v>10</v>
      </c>
      <c r="B8" s="3">
        <v>-0.9</v>
      </c>
      <c r="C8" s="3">
        <v>1.6</v>
      </c>
      <c r="D8" s="3">
        <v>10.3</v>
      </c>
      <c r="E8" s="3">
        <v>15.1</v>
      </c>
      <c r="F8" s="3">
        <v>21.3</v>
      </c>
      <c r="G8" s="9">
        <v>27.4</v>
      </c>
    </row>
    <row r="9" spans="1:7">
      <c r="A9" s="8" t="s">
        <v>11</v>
      </c>
      <c r="B9" s="3">
        <v>-3.6</v>
      </c>
      <c r="C9" s="3">
        <v>-0.4</v>
      </c>
      <c r="D9" s="3">
        <v>6.8</v>
      </c>
      <c r="E9" s="3">
        <v>14.5</v>
      </c>
      <c r="F9" s="3">
        <v>19.1</v>
      </c>
      <c r="G9" s="9">
        <v>23.2</v>
      </c>
    </row>
    <row r="10" spans="1:7">
      <c r="A10" s="8" t="s">
        <v>12</v>
      </c>
      <c r="B10" s="3">
        <v>-9.2</v>
      </c>
      <c r="C10" s="3">
        <v>-7</v>
      </c>
      <c r="D10" s="3">
        <v>2.2</v>
      </c>
      <c r="E10" s="3">
        <v>10.3</v>
      </c>
      <c r="F10" s="3">
        <v>17.4</v>
      </c>
      <c r="G10" s="9">
        <v>21.8</v>
      </c>
    </row>
    <row r="11" spans="1:7">
      <c r="A11" s="8" t="s">
        <v>13</v>
      </c>
      <c r="B11" s="3">
        <v>-12.7</v>
      </c>
      <c r="C11" s="3">
        <v>-8.1</v>
      </c>
      <c r="D11" s="3">
        <v>0.5</v>
      </c>
      <c r="E11" s="3">
        <v>8</v>
      </c>
      <c r="F11" s="3">
        <v>18.3</v>
      </c>
      <c r="G11" s="9">
        <v>21.6</v>
      </c>
    </row>
    <row r="12" spans="1:7">
      <c r="A12" s="8" t="s">
        <v>14</v>
      </c>
      <c r="B12" s="3">
        <v>-14.5</v>
      </c>
      <c r="C12" s="3">
        <v>-10.6</v>
      </c>
      <c r="D12" s="3">
        <v>-1.3</v>
      </c>
      <c r="E12" s="3">
        <v>6.1</v>
      </c>
      <c r="F12" s="3">
        <v>17</v>
      </c>
      <c r="G12" s="9">
        <v>20.2</v>
      </c>
    </row>
    <row r="13" spans="1:7">
      <c r="A13" s="8" t="s">
        <v>15</v>
      </c>
      <c r="B13" s="3">
        <v>-17.7</v>
      </c>
      <c r="C13" s="3">
        <v>-12.6</v>
      </c>
      <c r="D13" s="3">
        <v>-2.8</v>
      </c>
      <c r="E13" s="3">
        <v>5.9</v>
      </c>
      <c r="F13" s="3">
        <v>17.1</v>
      </c>
      <c r="G13" s="9">
        <v>19.9</v>
      </c>
    </row>
    <row r="14" spans="1:7">
      <c r="A14" s="8" t="s">
        <v>17</v>
      </c>
      <c r="B14" s="3">
        <v>3.9</v>
      </c>
      <c r="C14" s="3">
        <v>4.3</v>
      </c>
      <c r="D14" s="3">
        <v>11.3</v>
      </c>
      <c r="E14" s="3">
        <v>17.1</v>
      </c>
      <c r="F14" s="3">
        <v>21.2</v>
      </c>
      <c r="G14" s="9">
        <v>26.5</v>
      </c>
    </row>
    <row r="15" spans="1:7">
      <c r="A15" s="8" t="s">
        <v>19</v>
      </c>
      <c r="B15" s="3">
        <v>3.4</v>
      </c>
      <c r="C15" s="3">
        <v>4.5</v>
      </c>
      <c r="D15" s="3">
        <v>11.7</v>
      </c>
      <c r="E15" s="3">
        <v>17.2</v>
      </c>
      <c r="F15" s="3">
        <v>21.7</v>
      </c>
      <c r="G15" s="9">
        <v>26.7</v>
      </c>
    </row>
    <row r="16" spans="1:7">
      <c r="A16" s="8" t="s">
        <v>22</v>
      </c>
      <c r="B16" s="3">
        <v>0</v>
      </c>
      <c r="C16" s="3">
        <v>2.1</v>
      </c>
      <c r="D16" s="3">
        <v>10.2</v>
      </c>
      <c r="E16" s="3">
        <v>16.5</v>
      </c>
      <c r="F16" s="3">
        <v>21.5</v>
      </c>
      <c r="G16" s="9">
        <v>26.9</v>
      </c>
    </row>
    <row r="17" spans="1:7">
      <c r="A17" s="8" t="s">
        <v>23</v>
      </c>
      <c r="B17" s="3">
        <v>0.3</v>
      </c>
      <c r="C17" s="3">
        <v>3.9</v>
      </c>
      <c r="D17" s="3">
        <v>11.5</v>
      </c>
      <c r="E17" s="3">
        <v>17.1</v>
      </c>
      <c r="F17" s="3">
        <v>21.8</v>
      </c>
      <c r="G17" s="9">
        <v>27.8</v>
      </c>
    </row>
    <row r="18" spans="1:7">
      <c r="A18" s="8" t="s">
        <v>24</v>
      </c>
      <c r="B18" s="3">
        <v>4.2</v>
      </c>
      <c r="C18" s="3">
        <v>5.8</v>
      </c>
      <c r="D18" s="3">
        <v>12.8</v>
      </c>
      <c r="E18" s="3">
        <v>19</v>
      </c>
      <c r="F18" s="3">
        <v>23.9</v>
      </c>
      <c r="G18" s="9">
        <v>28.4</v>
      </c>
    </row>
    <row r="19" spans="1:7">
      <c r="A19" s="8" t="s">
        <v>31</v>
      </c>
      <c r="B19" s="3">
        <v>4.3</v>
      </c>
      <c r="C19" s="3">
        <v>5.4</v>
      </c>
      <c r="D19" s="3">
        <v>10.2</v>
      </c>
      <c r="E19" s="3">
        <v>17</v>
      </c>
      <c r="F19" s="3">
        <v>18.9</v>
      </c>
      <c r="G19" s="9">
        <v>21.1</v>
      </c>
    </row>
    <row r="20" spans="1:7">
      <c r="A20" s="8" t="s">
        <v>33</v>
      </c>
      <c r="B20" s="3">
        <v>2.7</v>
      </c>
      <c r="C20" s="3">
        <v>5</v>
      </c>
      <c r="D20" s="3">
        <v>6.2</v>
      </c>
      <c r="E20" s="3">
        <v>8.3</v>
      </c>
      <c r="F20" s="3">
        <v>12.8</v>
      </c>
      <c r="G20" s="9">
        <v>17.8</v>
      </c>
    </row>
    <row r="21" spans="1:7">
      <c r="A21" s="8" t="s">
        <v>34</v>
      </c>
      <c r="B21" s="3">
        <v>-0.2</v>
      </c>
      <c r="C21" s="3">
        <v>4.3</v>
      </c>
      <c r="D21" s="3">
        <v>10.8</v>
      </c>
      <c r="E21" s="3">
        <v>16.8</v>
      </c>
      <c r="F21" s="3">
        <v>21.4</v>
      </c>
      <c r="G21" s="9">
        <v>26.5</v>
      </c>
    </row>
    <row r="22" spans="1:7">
      <c r="A22" s="8" t="s">
        <v>35</v>
      </c>
      <c r="B22" s="3">
        <v>-6.9</v>
      </c>
      <c r="C22" s="3">
        <v>-2.6</v>
      </c>
      <c r="D22" s="3">
        <v>3.2</v>
      </c>
      <c r="E22" s="3">
        <v>10.3</v>
      </c>
      <c r="F22" s="3">
        <v>15.6</v>
      </c>
      <c r="G22" s="9">
        <v>20</v>
      </c>
    </row>
    <row r="23" spans="1:7">
      <c r="A23" s="8" t="s">
        <v>36</v>
      </c>
      <c r="B23" s="3">
        <v>-6.5</v>
      </c>
      <c r="C23" s="3">
        <v>-3</v>
      </c>
      <c r="D23" s="3">
        <v>1.4</v>
      </c>
      <c r="E23" s="3">
        <v>7.1</v>
      </c>
      <c r="F23" s="3">
        <v>12</v>
      </c>
      <c r="G23" s="9">
        <v>15.5</v>
      </c>
    </row>
    <row r="24" spans="1:7">
      <c r="A24" s="8" t="s">
        <v>37</v>
      </c>
      <c r="B24" s="3">
        <v>-7.4</v>
      </c>
      <c r="C24" s="3">
        <v>-2.2</v>
      </c>
      <c r="D24" s="3">
        <v>4.9</v>
      </c>
      <c r="E24" s="3">
        <v>13.6</v>
      </c>
      <c r="F24" s="3">
        <v>18.8</v>
      </c>
      <c r="G24" s="9">
        <v>23.7</v>
      </c>
    </row>
    <row r="25" spans="1:7">
      <c r="A25" s="10" t="s">
        <v>38</v>
      </c>
      <c r="B25" s="11">
        <v>-14.2</v>
      </c>
      <c r="C25" s="11">
        <v>-6.7</v>
      </c>
      <c r="D25" s="11">
        <v>1.2</v>
      </c>
      <c r="E25" s="11">
        <v>12</v>
      </c>
      <c r="F25" s="11">
        <v>16.8</v>
      </c>
      <c r="G25" s="12">
        <v>23.2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opLeftCell="A10" workbookViewId="0">
      <selection activeCell="J16" sqref="J16"/>
    </sheetView>
  </sheetViews>
  <sheetFormatPr defaultColWidth="9" defaultRowHeight="14.25" outlineLevelCol="7"/>
  <sheetData>
    <row r="1" spans="1:8">
      <c r="A1" s="1" t="s">
        <v>44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outlineLevel="2" spans="1:8">
      <c r="A2" s="1" t="s">
        <v>45</v>
      </c>
      <c r="B2" s="2" t="s">
        <v>11</v>
      </c>
      <c r="C2" s="3">
        <v>-3.6</v>
      </c>
      <c r="D2" s="3">
        <v>-0.4</v>
      </c>
      <c r="E2" s="3">
        <v>6.8</v>
      </c>
      <c r="F2" s="3">
        <v>14.5</v>
      </c>
      <c r="G2" s="3">
        <v>19.1</v>
      </c>
      <c r="H2" s="3">
        <v>23.2</v>
      </c>
    </row>
    <row r="3" outlineLevel="2" spans="1:8">
      <c r="A3" s="1" t="s">
        <v>45</v>
      </c>
      <c r="B3" s="2" t="s">
        <v>23</v>
      </c>
      <c r="C3" s="3">
        <v>0.3</v>
      </c>
      <c r="D3" s="3">
        <v>3.9</v>
      </c>
      <c r="E3" s="3">
        <v>11.5</v>
      </c>
      <c r="F3" s="3">
        <v>17.1</v>
      </c>
      <c r="G3" s="3">
        <v>21.8</v>
      </c>
      <c r="H3" s="3">
        <v>27.8</v>
      </c>
    </row>
    <row r="4" outlineLevel="2" spans="1:8">
      <c r="A4" s="1" t="s">
        <v>45</v>
      </c>
      <c r="B4" s="2" t="s">
        <v>24</v>
      </c>
      <c r="C4" s="3">
        <v>4.2</v>
      </c>
      <c r="D4" s="3">
        <v>5.8</v>
      </c>
      <c r="E4" s="3">
        <v>12.8</v>
      </c>
      <c r="F4" s="3">
        <v>19</v>
      </c>
      <c r="G4" s="3">
        <v>23.9</v>
      </c>
      <c r="H4" s="3">
        <v>28.4</v>
      </c>
    </row>
    <row r="5" outlineLevel="2" spans="1:8">
      <c r="A5" s="1" t="s">
        <v>45</v>
      </c>
      <c r="B5" s="2" t="s">
        <v>25</v>
      </c>
      <c r="C5" s="3">
        <v>5.3</v>
      </c>
      <c r="D5" s="3">
        <v>6.2</v>
      </c>
      <c r="E5" s="3">
        <v>12.5</v>
      </c>
      <c r="F5" s="3">
        <v>19.9</v>
      </c>
      <c r="G5" s="3">
        <v>23.6</v>
      </c>
      <c r="H5" s="3">
        <v>27</v>
      </c>
    </row>
    <row r="6" outlineLevel="2" spans="1:8">
      <c r="A6" s="1" t="s">
        <v>45</v>
      </c>
      <c r="B6" s="2" t="s">
        <v>29</v>
      </c>
      <c r="C6" s="3">
        <v>7.8</v>
      </c>
      <c r="D6" s="3">
        <v>9</v>
      </c>
      <c r="E6" s="3">
        <v>13.3</v>
      </c>
      <c r="F6" s="3">
        <v>19.2</v>
      </c>
      <c r="G6" s="3">
        <v>22.9</v>
      </c>
      <c r="H6" s="3">
        <v>25.4</v>
      </c>
    </row>
    <row r="7" outlineLevel="1" spans="1:8">
      <c r="A7" s="4" t="s">
        <v>46</v>
      </c>
      <c r="B7" s="2"/>
      <c r="C7" s="3">
        <f>SUBTOTAL(5,C2:C6)</f>
        <v>-3.6</v>
      </c>
      <c r="D7" s="3">
        <f>SUBTOTAL(5,D2:D6)</f>
        <v>-0.4</v>
      </c>
      <c r="E7" s="3">
        <f>SUBTOTAL(5,E2:E6)</f>
        <v>6.8</v>
      </c>
      <c r="F7" s="3">
        <f>SUBTOTAL(5,F2:F6)</f>
        <v>14.5</v>
      </c>
      <c r="G7" s="3">
        <f>SUBTOTAL(5,G2:G6)</f>
        <v>19.1</v>
      </c>
      <c r="H7" s="3">
        <f>SUBTOTAL(5,H2:H6)</f>
        <v>23.2</v>
      </c>
    </row>
    <row r="8" outlineLevel="2" spans="1:8">
      <c r="A8" s="1" t="s">
        <v>47</v>
      </c>
      <c r="B8" s="2" t="s">
        <v>33</v>
      </c>
      <c r="C8" s="3">
        <v>2.7</v>
      </c>
      <c r="D8" s="3">
        <v>5</v>
      </c>
      <c r="E8" s="3">
        <v>6.2</v>
      </c>
      <c r="F8" s="3">
        <v>8.3</v>
      </c>
      <c r="G8" s="3">
        <v>12.8</v>
      </c>
      <c r="H8" s="3">
        <v>17.8</v>
      </c>
    </row>
    <row r="9" outlineLevel="2" spans="1:8">
      <c r="A9" s="1" t="s">
        <v>47</v>
      </c>
      <c r="B9" s="2" t="s">
        <v>34</v>
      </c>
      <c r="C9" s="3">
        <v>-0.2</v>
      </c>
      <c r="D9" s="3">
        <v>4.3</v>
      </c>
      <c r="E9" s="3">
        <v>10.8</v>
      </c>
      <c r="F9" s="3">
        <v>16.8</v>
      </c>
      <c r="G9" s="3">
        <v>21.4</v>
      </c>
      <c r="H9" s="3">
        <v>26.5</v>
      </c>
    </row>
    <row r="10" outlineLevel="2" spans="1:8">
      <c r="A10" s="1" t="s">
        <v>47</v>
      </c>
      <c r="B10" s="2" t="s">
        <v>35</v>
      </c>
      <c r="C10" s="3">
        <v>-6.9</v>
      </c>
      <c r="D10" s="3">
        <v>-2.6</v>
      </c>
      <c r="E10" s="3">
        <v>3.2</v>
      </c>
      <c r="F10" s="3">
        <v>10.3</v>
      </c>
      <c r="G10" s="3">
        <v>15.6</v>
      </c>
      <c r="H10" s="3">
        <v>20</v>
      </c>
    </row>
    <row r="11" outlineLevel="2" spans="1:8">
      <c r="A11" s="1" t="s">
        <v>47</v>
      </c>
      <c r="B11" s="2" t="s">
        <v>36</v>
      </c>
      <c r="C11" s="3">
        <v>-6.5</v>
      </c>
      <c r="D11" s="3">
        <v>-3</v>
      </c>
      <c r="E11" s="3">
        <v>1.4</v>
      </c>
      <c r="F11" s="3">
        <v>7.1</v>
      </c>
      <c r="G11" s="3">
        <v>12</v>
      </c>
      <c r="H11" s="3">
        <v>15.5</v>
      </c>
    </row>
    <row r="12" outlineLevel="2" spans="1:8">
      <c r="A12" s="1" t="s">
        <v>47</v>
      </c>
      <c r="B12" s="2" t="s">
        <v>37</v>
      </c>
      <c r="C12" s="3">
        <v>-7.4</v>
      </c>
      <c r="D12" s="3">
        <v>-2.2</v>
      </c>
      <c r="E12" s="3">
        <v>4.9</v>
      </c>
      <c r="F12" s="3">
        <v>13.6</v>
      </c>
      <c r="G12" s="3">
        <v>18.8</v>
      </c>
      <c r="H12" s="3">
        <v>23.7</v>
      </c>
    </row>
    <row r="13" outlineLevel="1" spans="1:8">
      <c r="A13" s="4" t="s">
        <v>48</v>
      </c>
      <c r="B13" s="2"/>
      <c r="C13" s="3">
        <f>SUBTOTAL(5,C8:C12)</f>
        <v>-7.4</v>
      </c>
      <c r="D13" s="3">
        <f>SUBTOTAL(5,D8:D12)</f>
        <v>-3</v>
      </c>
      <c r="E13" s="3">
        <f>SUBTOTAL(5,E8:E12)</f>
        <v>1.4</v>
      </c>
      <c r="F13" s="3">
        <f>SUBTOTAL(5,F8:F12)</f>
        <v>7.1</v>
      </c>
      <c r="G13" s="3">
        <f>SUBTOTAL(5,G8:G12)</f>
        <v>12</v>
      </c>
      <c r="H13" s="3">
        <f>SUBTOTAL(5,H8:H12)</f>
        <v>15.5</v>
      </c>
    </row>
    <row r="14" outlineLevel="2" spans="1:8">
      <c r="A14" s="1" t="s">
        <v>49</v>
      </c>
      <c r="B14" s="2" t="s">
        <v>16</v>
      </c>
      <c r="C14" s="3">
        <v>5.7</v>
      </c>
      <c r="D14" s="3">
        <v>5.6</v>
      </c>
      <c r="E14" s="3">
        <v>11.1</v>
      </c>
      <c r="F14" s="3">
        <v>16.6</v>
      </c>
      <c r="G14" s="3">
        <v>20.8</v>
      </c>
      <c r="H14" s="3">
        <v>25.6</v>
      </c>
    </row>
    <row r="15" outlineLevel="2" spans="1:8">
      <c r="A15" s="1" t="s">
        <v>49</v>
      </c>
      <c r="B15" s="2" t="s">
        <v>17</v>
      </c>
      <c r="C15" s="3">
        <v>3.9</v>
      </c>
      <c r="D15" s="3">
        <v>4.3</v>
      </c>
      <c r="E15" s="3">
        <v>11.3</v>
      </c>
      <c r="F15" s="3">
        <v>17.1</v>
      </c>
      <c r="G15" s="3">
        <v>21.2</v>
      </c>
      <c r="H15" s="3">
        <v>26.5</v>
      </c>
    </row>
    <row r="16" outlineLevel="2" spans="1:8">
      <c r="A16" s="1" t="s">
        <v>49</v>
      </c>
      <c r="B16" s="2" t="s">
        <v>18</v>
      </c>
      <c r="C16" s="3">
        <v>5.8</v>
      </c>
      <c r="D16" s="3">
        <v>6.1</v>
      </c>
      <c r="E16" s="3">
        <v>12.4</v>
      </c>
      <c r="F16" s="3">
        <v>18.3</v>
      </c>
      <c r="G16" s="3">
        <v>21.5</v>
      </c>
      <c r="H16" s="3">
        <v>25.9</v>
      </c>
    </row>
    <row r="17" outlineLevel="2" spans="1:8">
      <c r="A17" s="1" t="s">
        <v>49</v>
      </c>
      <c r="B17" s="2" t="s">
        <v>19</v>
      </c>
      <c r="C17" s="3">
        <v>3.4</v>
      </c>
      <c r="D17" s="3">
        <v>4.5</v>
      </c>
      <c r="E17" s="3">
        <v>11.7</v>
      </c>
      <c r="F17" s="3">
        <v>17.2</v>
      </c>
      <c r="G17" s="3">
        <v>21.7</v>
      </c>
      <c r="H17" s="3">
        <v>26.7</v>
      </c>
    </row>
    <row r="18" outlineLevel="2" spans="1:8">
      <c r="A18" s="1" t="s">
        <v>49</v>
      </c>
      <c r="B18" s="2" t="s">
        <v>20</v>
      </c>
      <c r="C18" s="3">
        <v>12.5</v>
      </c>
      <c r="D18" s="3">
        <v>12.5</v>
      </c>
      <c r="E18" s="3">
        <v>14</v>
      </c>
      <c r="F18" s="3">
        <v>19.4</v>
      </c>
      <c r="G18" s="3">
        <v>22.3</v>
      </c>
      <c r="H18" s="3">
        <v>26.5</v>
      </c>
    </row>
    <row r="19" outlineLevel="2" spans="1:8">
      <c r="A19" s="1" t="s">
        <v>49</v>
      </c>
      <c r="B19" s="2" t="s">
        <v>21</v>
      </c>
      <c r="C19" s="3">
        <v>6.6</v>
      </c>
      <c r="D19" s="3">
        <v>6.5</v>
      </c>
      <c r="E19" s="3">
        <v>12.7</v>
      </c>
      <c r="F19" s="3">
        <v>19.3</v>
      </c>
      <c r="G19" s="3">
        <v>22.7</v>
      </c>
      <c r="H19" s="3">
        <v>26</v>
      </c>
    </row>
    <row r="20" outlineLevel="2" spans="1:8">
      <c r="A20" s="1" t="s">
        <v>49</v>
      </c>
      <c r="B20" s="2" t="s">
        <v>22</v>
      </c>
      <c r="C20" s="3">
        <v>0</v>
      </c>
      <c r="D20" s="3">
        <v>2.1</v>
      </c>
      <c r="E20" s="3">
        <v>10.2</v>
      </c>
      <c r="F20" s="3">
        <v>16.5</v>
      </c>
      <c r="G20" s="3">
        <v>21.5</v>
      </c>
      <c r="H20" s="3">
        <v>26.9</v>
      </c>
    </row>
    <row r="21" outlineLevel="2" spans="1:8">
      <c r="A21" s="1" t="s">
        <v>49</v>
      </c>
      <c r="B21" s="2" t="s">
        <v>26</v>
      </c>
      <c r="C21" s="3">
        <v>15.8</v>
      </c>
      <c r="D21" s="3">
        <v>17.3</v>
      </c>
      <c r="E21" s="3">
        <v>17.9</v>
      </c>
      <c r="F21" s="3">
        <v>23.6</v>
      </c>
      <c r="G21" s="3">
        <v>25.3</v>
      </c>
      <c r="H21" s="3">
        <v>27.8</v>
      </c>
    </row>
    <row r="22" outlineLevel="2" spans="1:8">
      <c r="A22" s="1" t="s">
        <v>49</v>
      </c>
      <c r="B22" s="2" t="s">
        <v>27</v>
      </c>
      <c r="C22" s="3">
        <v>14.3</v>
      </c>
      <c r="D22" s="3">
        <v>14.3</v>
      </c>
      <c r="E22" s="3">
        <v>17.5</v>
      </c>
      <c r="F22" s="3">
        <v>23.9</v>
      </c>
      <c r="G22" s="3">
        <v>25.2</v>
      </c>
      <c r="H22" s="3">
        <v>27.6</v>
      </c>
    </row>
    <row r="23" outlineLevel="2" spans="1:8">
      <c r="A23" s="1" t="s">
        <v>49</v>
      </c>
      <c r="B23" s="2" t="s">
        <v>28</v>
      </c>
      <c r="C23" s="3">
        <v>18.5</v>
      </c>
      <c r="D23" s="3">
        <v>20.5</v>
      </c>
      <c r="E23" s="3">
        <v>21.8</v>
      </c>
      <c r="F23" s="3">
        <v>26.7</v>
      </c>
      <c r="G23" s="3">
        <v>28.3</v>
      </c>
      <c r="H23" s="3">
        <v>29.4</v>
      </c>
    </row>
    <row r="24" outlineLevel="2" spans="1:8">
      <c r="A24" s="1" t="s">
        <v>49</v>
      </c>
      <c r="B24" s="2" t="s">
        <v>30</v>
      </c>
      <c r="C24" s="3">
        <v>5.8</v>
      </c>
      <c r="D24" s="3">
        <v>7.5</v>
      </c>
      <c r="E24" s="3">
        <v>12.1</v>
      </c>
      <c r="F24" s="3">
        <v>17.9</v>
      </c>
      <c r="G24" s="3">
        <v>21.6</v>
      </c>
      <c r="H24" s="3">
        <v>24</v>
      </c>
    </row>
    <row r="25" outlineLevel="2" spans="1:8">
      <c r="A25" s="1" t="s">
        <v>49</v>
      </c>
      <c r="B25" s="2" t="s">
        <v>31</v>
      </c>
      <c r="C25" s="3">
        <v>4.3</v>
      </c>
      <c r="D25" s="3">
        <v>5.4</v>
      </c>
      <c r="E25" s="3">
        <v>10.2</v>
      </c>
      <c r="F25" s="3">
        <v>17</v>
      </c>
      <c r="G25" s="3">
        <v>18.9</v>
      </c>
      <c r="H25" s="3">
        <v>21.1</v>
      </c>
    </row>
    <row r="26" outlineLevel="2" spans="1:8">
      <c r="A26" s="1" t="s">
        <v>49</v>
      </c>
      <c r="B26" s="2" t="s">
        <v>32</v>
      </c>
      <c r="C26" s="3">
        <v>10.8</v>
      </c>
      <c r="D26" s="3">
        <v>13.2</v>
      </c>
      <c r="E26" s="3">
        <v>15.9</v>
      </c>
      <c r="F26" s="3">
        <v>18</v>
      </c>
      <c r="G26" s="3">
        <v>18</v>
      </c>
      <c r="H26" s="3">
        <v>20.4</v>
      </c>
    </row>
    <row r="27" outlineLevel="1" spans="1:8">
      <c r="A27" s="4" t="s">
        <v>50</v>
      </c>
      <c r="B27" s="2"/>
      <c r="C27" s="3">
        <f>SUBTOTAL(5,C14:C26)</f>
        <v>0</v>
      </c>
      <c r="D27" s="3">
        <f>SUBTOTAL(5,D14:D26)</f>
        <v>2.1</v>
      </c>
      <c r="E27" s="3">
        <f>SUBTOTAL(5,E14:E26)</f>
        <v>10.2</v>
      </c>
      <c r="F27" s="3">
        <f>SUBTOTAL(5,F14:F26)</f>
        <v>16.5</v>
      </c>
      <c r="G27" s="3">
        <f>SUBTOTAL(5,G14:G26)</f>
        <v>18</v>
      </c>
      <c r="H27" s="3">
        <f>SUBTOTAL(5,H14:H26)</f>
        <v>20.4</v>
      </c>
    </row>
    <row r="28" outlineLevel="2" spans="1:8">
      <c r="A28" s="1" t="s">
        <v>51</v>
      </c>
      <c r="B28" s="2" t="s">
        <v>13</v>
      </c>
      <c r="C28" s="3">
        <v>-12.7</v>
      </c>
      <c r="D28" s="3">
        <v>-8.1</v>
      </c>
      <c r="E28" s="3">
        <v>0.5</v>
      </c>
      <c r="F28" s="3">
        <v>8</v>
      </c>
      <c r="G28" s="3">
        <v>18.3</v>
      </c>
      <c r="H28" s="3">
        <v>21.6</v>
      </c>
    </row>
    <row r="29" outlineLevel="2" spans="1:8">
      <c r="A29" s="1" t="s">
        <v>51</v>
      </c>
      <c r="B29" s="2" t="s">
        <v>14</v>
      </c>
      <c r="C29" s="3">
        <v>-14.5</v>
      </c>
      <c r="D29" s="3">
        <v>-10.6</v>
      </c>
      <c r="E29" s="3">
        <v>-1.3</v>
      </c>
      <c r="F29" s="3">
        <v>6.1</v>
      </c>
      <c r="G29" s="3">
        <v>17</v>
      </c>
      <c r="H29" s="3">
        <v>20.2</v>
      </c>
    </row>
    <row r="30" outlineLevel="2" spans="1:8">
      <c r="A30" s="1" t="s">
        <v>51</v>
      </c>
      <c r="B30" s="2" t="s">
        <v>15</v>
      </c>
      <c r="C30" s="3">
        <v>-17.7</v>
      </c>
      <c r="D30" s="3">
        <v>-12.6</v>
      </c>
      <c r="E30" s="3">
        <v>-2.8</v>
      </c>
      <c r="F30" s="3">
        <v>5.9</v>
      </c>
      <c r="G30" s="3">
        <v>17.1</v>
      </c>
      <c r="H30" s="3">
        <v>19.9</v>
      </c>
    </row>
    <row r="31" outlineLevel="1" spans="1:8">
      <c r="A31" s="4" t="s">
        <v>52</v>
      </c>
      <c r="B31" s="2"/>
      <c r="C31" s="3">
        <f>SUBTOTAL(5,C28:C30)</f>
        <v>-17.7</v>
      </c>
      <c r="D31" s="3">
        <f>SUBTOTAL(5,D28:D30)</f>
        <v>-12.6</v>
      </c>
      <c r="E31" s="3">
        <f>SUBTOTAL(5,E28:E30)</f>
        <v>-2.8</v>
      </c>
      <c r="F31" s="3">
        <f>SUBTOTAL(5,F28:F30)</f>
        <v>5.9</v>
      </c>
      <c r="G31" s="3">
        <f>SUBTOTAL(5,G28:G30)</f>
        <v>17</v>
      </c>
      <c r="H31" s="3">
        <f>SUBTOTAL(5,H28:H30)</f>
        <v>19.9</v>
      </c>
    </row>
    <row r="32" outlineLevel="2" spans="1:8">
      <c r="A32" s="1" t="s">
        <v>53</v>
      </c>
      <c r="B32" s="2" t="s">
        <v>8</v>
      </c>
      <c r="C32" s="3">
        <v>-1.9</v>
      </c>
      <c r="D32" s="3">
        <v>-0.9</v>
      </c>
      <c r="E32" s="3">
        <v>8</v>
      </c>
      <c r="F32" s="3">
        <v>13.5</v>
      </c>
      <c r="G32" s="3">
        <v>20.4</v>
      </c>
      <c r="H32" s="3">
        <v>25.9</v>
      </c>
    </row>
    <row r="33" outlineLevel="2" spans="1:8">
      <c r="A33" s="1" t="s">
        <v>53</v>
      </c>
      <c r="B33" s="2" t="s">
        <v>9</v>
      </c>
      <c r="C33" s="3">
        <v>-2.7</v>
      </c>
      <c r="D33" s="3">
        <v>-1.4</v>
      </c>
      <c r="E33" s="3">
        <v>7.5</v>
      </c>
      <c r="F33" s="3">
        <v>13.2</v>
      </c>
      <c r="G33" s="3">
        <v>20.3</v>
      </c>
      <c r="H33" s="3">
        <v>26.4</v>
      </c>
    </row>
    <row r="34" outlineLevel="2" spans="1:8">
      <c r="A34" s="1" t="s">
        <v>53</v>
      </c>
      <c r="B34" s="2" t="s">
        <v>10</v>
      </c>
      <c r="C34" s="3">
        <v>-0.9</v>
      </c>
      <c r="D34" s="3">
        <v>1.6</v>
      </c>
      <c r="E34" s="3">
        <v>10.3</v>
      </c>
      <c r="F34" s="3">
        <v>15.1</v>
      </c>
      <c r="G34" s="3">
        <v>21.3</v>
      </c>
      <c r="H34" s="3">
        <v>27.4</v>
      </c>
    </row>
    <row r="35" outlineLevel="2" spans="1:8">
      <c r="A35" s="1" t="s">
        <v>53</v>
      </c>
      <c r="B35" s="2" t="s">
        <v>12</v>
      </c>
      <c r="C35" s="3">
        <v>-9.2</v>
      </c>
      <c r="D35" s="3">
        <v>-7</v>
      </c>
      <c r="E35" s="3">
        <v>2.2</v>
      </c>
      <c r="F35" s="3">
        <v>10.3</v>
      </c>
      <c r="G35" s="3">
        <v>17.4</v>
      </c>
      <c r="H35" s="3">
        <v>21.8</v>
      </c>
    </row>
    <row r="36" outlineLevel="2" spans="1:8">
      <c r="A36" s="1" t="s">
        <v>53</v>
      </c>
      <c r="B36" s="2" t="s">
        <v>38</v>
      </c>
      <c r="C36" s="3">
        <v>-14.2</v>
      </c>
      <c r="D36" s="3">
        <v>-6.7</v>
      </c>
      <c r="E36" s="3">
        <v>1.2</v>
      </c>
      <c r="F36" s="3">
        <v>12</v>
      </c>
      <c r="G36" s="3">
        <v>16.8</v>
      </c>
      <c r="H36" s="3">
        <v>23.2</v>
      </c>
    </row>
    <row r="37" outlineLevel="1" spans="1:8">
      <c r="A37" s="4" t="s">
        <v>54</v>
      </c>
      <c r="B37" s="2"/>
      <c r="C37" s="3">
        <f>SUBTOTAL(5,C32:C36)</f>
        <v>-14.2</v>
      </c>
      <c r="D37" s="3">
        <f>SUBTOTAL(5,D32:D36)</f>
        <v>-7</v>
      </c>
      <c r="E37" s="3">
        <f>SUBTOTAL(5,E32:E36)</f>
        <v>1.2</v>
      </c>
      <c r="F37" s="3">
        <f>SUBTOTAL(5,F32:F36)</f>
        <v>10.3</v>
      </c>
      <c r="G37" s="3">
        <f>SUBTOTAL(5,G32:G36)</f>
        <v>16.8</v>
      </c>
      <c r="H37" s="3">
        <f>SUBTOTAL(5,H32:H36)</f>
        <v>21.8</v>
      </c>
    </row>
    <row r="38" spans="1:8">
      <c r="A38" s="4" t="s">
        <v>55</v>
      </c>
      <c r="B38" s="2"/>
      <c r="C38" s="3">
        <f>SUBTOTAL(5,C2:C36)</f>
        <v>-17.7</v>
      </c>
      <c r="D38" s="3">
        <f>SUBTOTAL(5,D2:D36)</f>
        <v>-12.6</v>
      </c>
      <c r="E38" s="3">
        <f>SUBTOTAL(5,E2:E36)</f>
        <v>-2.8</v>
      </c>
      <c r="F38" s="3">
        <f>SUBTOTAL(5,F2:F36)</f>
        <v>5.9</v>
      </c>
      <c r="G38" s="3">
        <f>SUBTOTAL(5,G2:G36)</f>
        <v>12</v>
      </c>
      <c r="H38" s="3">
        <f>SUBTOTAL(5,H2:H36)</f>
        <v>15.5</v>
      </c>
    </row>
  </sheetData>
  <sortState ref="A2:H32">
    <sortCondition ref="A2" descending="1"/>
  </sortState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C12" sqref="C12"/>
    </sheetView>
  </sheetViews>
  <sheetFormatPr defaultColWidth="9" defaultRowHeight="14.2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城市月平均气温统计表</vt:lpstr>
      <vt:lpstr>Sheet2</vt:lpstr>
      <vt:lpstr>筛选</vt:lpstr>
      <vt:lpstr>分类汇总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</cp:lastModifiedBy>
  <dcterms:created xsi:type="dcterms:W3CDTF">2009-05-02T02:06:00Z</dcterms:created>
  <dcterms:modified xsi:type="dcterms:W3CDTF">2024-01-08T09:52:53Z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BB0A2791858249FE9FE2DF5097B5127D_12</vt:lpwstr>
  </property>
  <property fmtid="{D5CDD505-2E9C-101B-9397-08002B2CF9AE}" pid="3" name="KSOProductBuildVer">
    <vt:lpwstr>2052-12.1.0.15712</vt:lpwstr>
  </property>
</Properties>
</file>
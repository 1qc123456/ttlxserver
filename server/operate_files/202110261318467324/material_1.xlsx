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3860" windowHeight="3825"/>
  </bookViews>
  <sheets>
    <sheet name="期末成绩" sheetId="1" r:id="rId1"/>
    <sheet name="成绩单分类汇总" sheetId="4" r:id="rId2"/>
  </sheets>
  <calcPr calcId="144525"/>
</workbook>
</file>

<file path=xl/calcChain.xml><?xml version="1.0" encoding="utf-8"?>
<calcChain xmlns="http://schemas.openxmlformats.org/spreadsheetml/2006/main">
  <c r="J17" i="4" l="1"/>
  <c r="I17" i="4"/>
  <c r="H17" i="4"/>
  <c r="G17" i="4"/>
  <c r="F17" i="4"/>
  <c r="E17" i="4"/>
  <c r="D17" i="4"/>
  <c r="J11" i="4"/>
  <c r="J18" i="4" s="1"/>
  <c r="I11" i="4"/>
  <c r="H11" i="4"/>
  <c r="H18" i="4" s="1"/>
  <c r="G11" i="4"/>
  <c r="F11" i="4"/>
  <c r="E11" i="4"/>
  <c r="D11" i="4"/>
  <c r="D18" i="4" s="1"/>
  <c r="J5" i="4"/>
  <c r="I5" i="4"/>
  <c r="H5" i="4"/>
  <c r="G5" i="4"/>
  <c r="G18" i="4" s="1"/>
  <c r="F5" i="4"/>
  <c r="F18" i="4" s="1"/>
  <c r="E5" i="4"/>
  <c r="D5" i="4"/>
  <c r="L10" i="4"/>
  <c r="K10" i="4"/>
  <c r="L4" i="4"/>
  <c r="K4" i="4"/>
  <c r="L3" i="4"/>
  <c r="K3" i="4"/>
  <c r="L16" i="4"/>
  <c r="K16" i="4"/>
  <c r="L9" i="4"/>
  <c r="K9" i="4"/>
  <c r="L8" i="4"/>
  <c r="K8" i="4"/>
  <c r="L15" i="4"/>
  <c r="K15" i="4"/>
  <c r="L7" i="4"/>
  <c r="K7" i="4"/>
  <c r="L14" i="4"/>
  <c r="K14" i="4"/>
  <c r="L13" i="4"/>
  <c r="K13" i="4"/>
  <c r="L2" i="4"/>
  <c r="K2" i="4"/>
  <c r="L6" i="4"/>
  <c r="K6" i="4"/>
  <c r="L12" i="4"/>
  <c r="K12" i="4"/>
  <c r="L3" i="1"/>
  <c r="L4" i="1"/>
  <c r="L5" i="1"/>
  <c r="L6" i="1"/>
  <c r="L7" i="1"/>
  <c r="L8" i="1"/>
  <c r="L9" i="1"/>
  <c r="L10" i="1"/>
  <c r="L11" i="1"/>
  <c r="L12" i="1"/>
  <c r="L13" i="1"/>
  <c r="L1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2" i="1"/>
  <c r="I18" i="4" l="1"/>
  <c r="E18" i="4"/>
</calcChain>
</file>

<file path=xl/sharedStrings.xml><?xml version="1.0" encoding="utf-8"?>
<sst xmlns="http://schemas.openxmlformats.org/spreadsheetml/2006/main" count="54" uniqueCount="29">
  <si>
    <t>学号</t>
  </si>
  <si>
    <t>姓名</t>
  </si>
  <si>
    <t>班级</t>
  </si>
  <si>
    <t>总分</t>
  </si>
  <si>
    <t>平均分</t>
  </si>
  <si>
    <t>孙毅</t>
    <phoneticPr fontId="1" type="noConversion"/>
  </si>
  <si>
    <t>杜江</t>
    <phoneticPr fontId="1" type="noConversion"/>
  </si>
  <si>
    <t>李佳</t>
    <phoneticPr fontId="1" type="noConversion"/>
  </si>
  <si>
    <t>胡杨</t>
    <phoneticPr fontId="1" type="noConversion"/>
  </si>
  <si>
    <t>李娜</t>
    <phoneticPr fontId="1" type="noConversion"/>
  </si>
  <si>
    <t>刘康</t>
    <phoneticPr fontId="1" type="noConversion"/>
  </si>
  <si>
    <t>刘鹏举</t>
    <phoneticPr fontId="1" type="noConversion"/>
  </si>
  <si>
    <t>倪冬声</t>
    <phoneticPr fontId="1" type="noConversion"/>
  </si>
  <si>
    <t>齐飞</t>
    <phoneticPr fontId="1" type="noConversion"/>
  </si>
  <si>
    <t>苏放</t>
    <phoneticPr fontId="1" type="noConversion"/>
  </si>
  <si>
    <t>孙玉</t>
    <phoneticPr fontId="1" type="noConversion"/>
  </si>
  <si>
    <t>高等代数</t>
    <phoneticPr fontId="1" type="noConversion"/>
  </si>
  <si>
    <t>数学分析</t>
    <phoneticPr fontId="1" type="noConversion"/>
  </si>
  <si>
    <t>大学英语</t>
    <phoneticPr fontId="1" type="noConversion"/>
  </si>
  <si>
    <t>大学物理</t>
    <phoneticPr fontId="1" type="noConversion"/>
  </si>
  <si>
    <t>VB程序设计</t>
    <phoneticPr fontId="1" type="noConversion"/>
  </si>
  <si>
    <t>李鹏</t>
    <phoneticPr fontId="1" type="noConversion"/>
  </si>
  <si>
    <t>向北</t>
    <phoneticPr fontId="1" type="noConversion"/>
  </si>
  <si>
    <t>计算机基础</t>
    <phoneticPr fontId="1" type="noConversion"/>
  </si>
  <si>
    <t>C程序设计</t>
    <phoneticPr fontId="1" type="noConversion"/>
  </si>
  <si>
    <t>1 平均值</t>
  </si>
  <si>
    <t>2 平均值</t>
  </si>
  <si>
    <t>3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</si>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</sst>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仿宋"/>
      <family val="3"/>
      <charset val="134"/>
    </font>
    <font>
      <b/>
      <sz val="12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49" fontId="3" fillId="2" borderId="1" xfId="0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49" fontId="2" fillId="2" borderId="0" xfId="0" applyNumberFormat="1" applyFont="1" applyFill="1" applyBorder="1">
      <alignment vertical="center"/>
    </xf>
    <xf numFmtId="0" fontId="2" fillId="2" borderId="0" xfId="0" applyFont="1" applyFill="1" applyBorder="1">
      <alignment vertical="center"/>
    </xf>
    <xf numFmtId="176" fontId="2" fillId="2" borderId="0" xfId="0" applyNumberFormat="1" applyFont="1" applyFill="1" applyBorder="1">
      <alignment vertical="center"/>
    </xf>
    <xf numFmtId="0" fontId="3" fillId="2" borderId="0" xfId="0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成绩单分类汇总!$D$1</c:f>
              <c:strCache>
                <c:ptCount val="1"/>
                <c:pt idx="0">
                  <c:v>高等代数</c:v>
                </c:pt>
              </c:strCache>
            </c:strRef>
          </c:tx>
          <c:invertIfNegative val="0"/>
          <c:cat>
            <c:strRef>
              <c:f>成绩单分类汇总!$C$2:$C$17</c:f>
              <c:strCache>
                <c:ptCount val="3"/>
                <c:pt idx="0">
                  <c:v>1 平均值</c:v>
                </c:pt>
                <c:pt idx="1">
                  <c:v>2 平均值</c:v>
                </c:pt>
                <c:pt idx="2">
                  <c:v>3 平均值</c:v>
                </c:pt>
              </c:strCache>
            </c:strRef>
          </c:cat>
          <c:val>
            <c:numRef>
              <c:f>成绩单分类汇总!$D$2:$D$17</c:f>
              <c:numCache>
                <c:formatCode>0.00_ </c:formatCode>
                <c:ptCount val="3"/>
                <c:pt idx="0">
                  <c:v>92</c:v>
                </c:pt>
                <c:pt idx="1">
                  <c:v>93.7</c:v>
                </c:pt>
                <c:pt idx="2">
                  <c:v>92.5</c:v>
                </c:pt>
              </c:numCache>
            </c:numRef>
          </c:val>
        </c:ser>
        <c:ser>
          <c:idx val="1"/>
          <c:order val="1"/>
          <c:tx>
            <c:strRef>
              <c:f>成绩单分类汇总!$E$1</c:f>
              <c:strCache>
                <c:ptCount val="1"/>
                <c:pt idx="0">
                  <c:v>数学分析</c:v>
                </c:pt>
              </c:strCache>
            </c:strRef>
          </c:tx>
          <c:invertIfNegative val="0"/>
          <c:cat>
            <c:strRef>
              <c:f>成绩单分类汇总!$C$2:$C$17</c:f>
              <c:strCache>
                <c:ptCount val="3"/>
                <c:pt idx="0">
                  <c:v>1 平均值</c:v>
                </c:pt>
                <c:pt idx="1">
                  <c:v>2 平均值</c:v>
                </c:pt>
                <c:pt idx="2">
                  <c:v>3 平均值</c:v>
                </c:pt>
              </c:strCache>
            </c:strRef>
          </c:cat>
          <c:val>
            <c:numRef>
              <c:f>成绩单分类汇总!$E$2:$E$17</c:f>
              <c:numCache>
                <c:formatCode>0.00_ </c:formatCode>
                <c:ptCount val="3"/>
                <c:pt idx="0">
                  <c:v>94</c:v>
                </c:pt>
                <c:pt idx="1">
                  <c:v>95</c:v>
                </c:pt>
                <c:pt idx="2">
                  <c:v>94.6</c:v>
                </c:pt>
              </c:numCache>
            </c:numRef>
          </c:val>
        </c:ser>
        <c:ser>
          <c:idx val="2"/>
          <c:order val="2"/>
          <c:tx>
            <c:strRef>
              <c:f>成绩单分类汇总!$F$1</c:f>
              <c:strCache>
                <c:ptCount val="1"/>
                <c:pt idx="0">
                  <c:v>大学英语</c:v>
                </c:pt>
              </c:strCache>
            </c:strRef>
          </c:tx>
          <c:invertIfNegative val="0"/>
          <c:cat>
            <c:strRef>
              <c:f>成绩单分类汇总!$C$2:$C$17</c:f>
              <c:strCache>
                <c:ptCount val="3"/>
                <c:pt idx="0">
                  <c:v>1 平均值</c:v>
                </c:pt>
                <c:pt idx="1">
                  <c:v>2 平均值</c:v>
                </c:pt>
                <c:pt idx="2">
                  <c:v>3 平均值</c:v>
                </c:pt>
              </c:strCache>
            </c:strRef>
          </c:cat>
          <c:val>
            <c:numRef>
              <c:f>成绩单分类汇总!$F$2:$F$17</c:f>
              <c:numCache>
                <c:formatCode>0.00_ </c:formatCode>
                <c:ptCount val="3"/>
                <c:pt idx="0">
                  <c:v>95.666666666666671</c:v>
                </c:pt>
                <c:pt idx="1">
                  <c:v>94.4</c:v>
                </c:pt>
                <c:pt idx="2">
                  <c:v>95</c:v>
                </c:pt>
              </c:numCache>
            </c:numRef>
          </c:val>
        </c:ser>
        <c:ser>
          <c:idx val="3"/>
          <c:order val="3"/>
          <c:tx>
            <c:strRef>
              <c:f>成绩单分类汇总!$G$1</c:f>
              <c:strCache>
                <c:ptCount val="1"/>
                <c:pt idx="0">
                  <c:v>大学物理</c:v>
                </c:pt>
              </c:strCache>
            </c:strRef>
          </c:tx>
          <c:invertIfNegative val="0"/>
          <c:cat>
            <c:strRef>
              <c:f>成绩单分类汇总!$C$2:$C$17</c:f>
              <c:strCache>
                <c:ptCount val="3"/>
                <c:pt idx="0">
                  <c:v>1 平均值</c:v>
                </c:pt>
                <c:pt idx="1">
                  <c:v>2 平均值</c:v>
                </c:pt>
                <c:pt idx="2">
                  <c:v>3 平均值</c:v>
                </c:pt>
              </c:strCache>
            </c:strRef>
          </c:cat>
          <c:val>
            <c:numRef>
              <c:f>成绩单分类汇总!$G$2:$G$17</c:f>
              <c:numCache>
                <c:formatCode>0.00_ </c:formatCode>
                <c:ptCount val="3"/>
                <c:pt idx="0">
                  <c:v>88.333333333333329</c:v>
                </c:pt>
                <c:pt idx="1">
                  <c:v>89.2</c:v>
                </c:pt>
                <c:pt idx="2">
                  <c:v>87</c:v>
                </c:pt>
              </c:numCache>
            </c:numRef>
          </c:val>
        </c:ser>
        <c:ser>
          <c:idx val="4"/>
          <c:order val="4"/>
          <c:tx>
            <c:strRef>
              <c:f>成绩单分类汇总!$H$1</c:f>
              <c:strCache>
                <c:ptCount val="1"/>
                <c:pt idx="0">
                  <c:v>VB程序设计</c:v>
                </c:pt>
              </c:strCache>
            </c:strRef>
          </c:tx>
          <c:invertIfNegative val="0"/>
          <c:cat>
            <c:strRef>
              <c:f>成绩单分类汇总!$C$2:$C$17</c:f>
              <c:strCache>
                <c:ptCount val="3"/>
                <c:pt idx="0">
                  <c:v>1 平均值</c:v>
                </c:pt>
                <c:pt idx="1">
                  <c:v>2 平均值</c:v>
                </c:pt>
                <c:pt idx="2">
                  <c:v>3 平均值</c:v>
                </c:pt>
              </c:strCache>
            </c:strRef>
          </c:cat>
          <c:val>
            <c:numRef>
              <c:f>成绩单分类汇总!$H$2:$H$17</c:f>
              <c:numCache>
                <c:formatCode>0.00_ </c:formatCode>
                <c:ptCount val="3"/>
                <c:pt idx="0">
                  <c:v>84.333333333333329</c:v>
                </c:pt>
                <c:pt idx="1">
                  <c:v>91</c:v>
                </c:pt>
                <c:pt idx="2">
                  <c:v>90.8</c:v>
                </c:pt>
              </c:numCache>
            </c:numRef>
          </c:val>
        </c:ser>
        <c:ser>
          <c:idx val="5"/>
          <c:order val="5"/>
          <c:tx>
            <c:strRef>
              <c:f>成绩单分类汇总!$I$1</c:f>
              <c:strCache>
                <c:ptCount val="1"/>
                <c:pt idx="0">
                  <c:v>C程序设计</c:v>
                </c:pt>
              </c:strCache>
            </c:strRef>
          </c:tx>
          <c:invertIfNegative val="0"/>
          <c:cat>
            <c:strRef>
              <c:f>成绩单分类汇总!$C$2:$C$17</c:f>
              <c:strCache>
                <c:ptCount val="3"/>
                <c:pt idx="0">
                  <c:v>1 平均值</c:v>
                </c:pt>
                <c:pt idx="1">
                  <c:v>2 平均值</c:v>
                </c:pt>
                <c:pt idx="2">
                  <c:v>3 平均值</c:v>
                </c:pt>
              </c:strCache>
            </c:strRef>
          </c:cat>
          <c:val>
            <c:numRef>
              <c:f>成绩单分类汇总!$I$2:$I$17</c:f>
              <c:numCache>
                <c:formatCode>0.00_ </c:formatCode>
                <c:ptCount val="3"/>
                <c:pt idx="0">
                  <c:v>91</c:v>
                </c:pt>
                <c:pt idx="1">
                  <c:v>84.4</c:v>
                </c:pt>
                <c:pt idx="2">
                  <c:v>92.2</c:v>
                </c:pt>
              </c:numCache>
            </c:numRef>
          </c:val>
        </c:ser>
        <c:ser>
          <c:idx val="6"/>
          <c:order val="6"/>
          <c:tx>
            <c:strRef>
              <c:f>成绩单分类汇总!$J$1</c:f>
              <c:strCache>
                <c:ptCount val="1"/>
                <c:pt idx="0">
                  <c:v>计算机基础</c:v>
                </c:pt>
              </c:strCache>
            </c:strRef>
          </c:tx>
          <c:invertIfNegative val="0"/>
          <c:cat>
            <c:strRef>
              <c:f>成绩单分类汇总!$C$2:$C$17</c:f>
              <c:strCache>
                <c:ptCount val="3"/>
                <c:pt idx="0">
                  <c:v>1 平均值</c:v>
                </c:pt>
                <c:pt idx="1">
                  <c:v>2 平均值</c:v>
                </c:pt>
                <c:pt idx="2">
                  <c:v>3 平均值</c:v>
                </c:pt>
              </c:strCache>
            </c:strRef>
          </c:cat>
          <c:val>
            <c:numRef>
              <c:f>成绩单分类汇总!$J$2:$J$17</c:f>
              <c:numCache>
                <c:formatCode>0.00_ </c:formatCode>
                <c:ptCount val="3"/>
                <c:pt idx="0">
                  <c:v>84</c:v>
                </c:pt>
                <c:pt idx="1">
                  <c:v>91.2</c:v>
                </c:pt>
                <c:pt idx="2">
                  <c:v>85.8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45268864"/>
        <c:axId val="245270400"/>
        <c:axId val="0"/>
      </c:bar3DChart>
      <c:catAx>
        <c:axId val="245268864"/>
        <c:scaling>
          <c:orientation val="minMax"/>
        </c:scaling>
        <c:delete val="0"/>
        <c:axPos val="b"/>
        <c:majorTickMark val="out"/>
        <c:minorTickMark val="none"/>
        <c:tickLblPos val="nextTo"/>
        <c:crossAx val="245270400"/>
        <c:crosses val="autoZero"/>
        <c:auto val="1"/>
        <c:lblAlgn val="ctr"/>
        <c:lblOffset val="100"/>
        <c:noMultiLvlLbl val="0"/>
      </c:catAx>
      <c:valAx>
        <c:axId val="24527040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245268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21</xdr:row>
      <xdr:rowOff>152400</xdr:rowOff>
    </xdr:from>
    <xdr:to>
      <xdr:col>10</xdr:col>
      <xdr:colOff>128587</xdr:colOff>
      <xdr:row>37</xdr:row>
      <xdr:rowOff>152400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Normal="100" workbookViewId="0">
      <selection activeCell="B17" sqref="B17"/>
    </sheetView>
  </sheetViews>
  <sheetFormatPr defaultRowHeight="13.5" x14ac:dyDescent="0.15"/>
  <cols>
    <col min="1" max="1" width="7.5" style="1" bestFit="1" customWidth="1"/>
    <col min="2" max="2" width="7.125" bestFit="1" customWidth="1"/>
    <col min="3" max="3" width="5.25" bestFit="1" customWidth="1"/>
    <col min="8" max="8" width="11.125" bestFit="1" customWidth="1"/>
    <col min="9" max="9" width="10" bestFit="1" customWidth="1"/>
    <col min="10" max="10" width="11" bestFit="1" customWidth="1"/>
    <col min="11" max="11" width="8.5" bestFit="1" customWidth="1"/>
    <col min="12" max="12" width="7.5" bestFit="1" customWidth="1"/>
  </cols>
  <sheetData>
    <row r="1" spans="1:12" ht="15" customHeight="1" x14ac:dyDescent="0.15">
      <c r="A1" s="11" t="s">
        <v>0</v>
      </c>
      <c r="B1" s="12" t="s">
        <v>1</v>
      </c>
      <c r="C1" s="12" t="s">
        <v>2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  <c r="I1" s="12" t="s">
        <v>24</v>
      </c>
      <c r="J1" s="12" t="s">
        <v>23</v>
      </c>
      <c r="K1" s="12" t="s">
        <v>3</v>
      </c>
      <c r="L1" s="12" t="s">
        <v>4</v>
      </c>
    </row>
    <row r="2" spans="1:12" ht="15" customHeight="1" x14ac:dyDescent="0.15">
      <c r="A2" s="11">
        <v>120305</v>
      </c>
      <c r="B2" s="12" t="s">
        <v>21</v>
      </c>
      <c r="C2" s="12">
        <v>3</v>
      </c>
      <c r="D2" s="13">
        <v>91.5</v>
      </c>
      <c r="E2" s="13">
        <v>89</v>
      </c>
      <c r="F2" s="13">
        <v>94</v>
      </c>
      <c r="G2" s="13">
        <v>92</v>
      </c>
      <c r="H2" s="13">
        <v>91</v>
      </c>
      <c r="I2" s="13">
        <v>86</v>
      </c>
      <c r="J2" s="13">
        <v>86</v>
      </c>
      <c r="K2" s="13">
        <f>SUM(D2:J2)</f>
        <v>629.5</v>
      </c>
      <c r="L2" s="13">
        <f>AVERAGE(D2:J2)</f>
        <v>89.928571428571431</v>
      </c>
    </row>
    <row r="3" spans="1:12" ht="15" customHeight="1" x14ac:dyDescent="0.15">
      <c r="A3" s="11">
        <v>120203</v>
      </c>
      <c r="B3" s="12" t="s">
        <v>5</v>
      </c>
      <c r="C3" s="12">
        <v>2</v>
      </c>
      <c r="D3" s="13">
        <v>93</v>
      </c>
      <c r="E3" s="13">
        <v>99</v>
      </c>
      <c r="F3" s="13">
        <v>92</v>
      </c>
      <c r="G3" s="13">
        <v>86</v>
      </c>
      <c r="H3" s="13">
        <v>86</v>
      </c>
      <c r="I3" s="13">
        <v>73</v>
      </c>
      <c r="J3" s="13">
        <v>92</v>
      </c>
      <c r="K3" s="13">
        <f t="shared" ref="K3:K14" si="0">SUM(D3:J3)</f>
        <v>621</v>
      </c>
      <c r="L3" s="13">
        <f t="shared" ref="L3:L14" si="1">AVERAGE(D3:J3)</f>
        <v>88.714285714285708</v>
      </c>
    </row>
    <row r="4" spans="1:12" ht="15" customHeight="1" x14ac:dyDescent="0.15">
      <c r="A4" s="11">
        <v>120104</v>
      </c>
      <c r="B4" s="12" t="s">
        <v>6</v>
      </c>
      <c r="C4" s="12">
        <v>1</v>
      </c>
      <c r="D4" s="13">
        <v>93</v>
      </c>
      <c r="E4" s="13">
        <v>99</v>
      </c>
      <c r="F4" s="13">
        <v>92</v>
      </c>
      <c r="G4" s="13">
        <v>78</v>
      </c>
      <c r="H4" s="13">
        <v>88</v>
      </c>
      <c r="I4" s="13">
        <v>86</v>
      </c>
      <c r="J4" s="13">
        <v>73</v>
      </c>
      <c r="K4" s="13">
        <f t="shared" si="0"/>
        <v>609</v>
      </c>
      <c r="L4" s="13">
        <f t="shared" si="1"/>
        <v>87</v>
      </c>
    </row>
    <row r="5" spans="1:12" ht="15" customHeight="1" x14ac:dyDescent="0.15">
      <c r="A5" s="11">
        <v>120301</v>
      </c>
      <c r="B5" s="12" t="s">
        <v>7</v>
      </c>
      <c r="C5" s="12">
        <v>3</v>
      </c>
      <c r="D5" s="13">
        <v>99</v>
      </c>
      <c r="E5" s="13">
        <v>98</v>
      </c>
      <c r="F5" s="13">
        <v>92</v>
      </c>
      <c r="G5" s="13">
        <v>78</v>
      </c>
      <c r="H5" s="13">
        <v>91</v>
      </c>
      <c r="I5" s="13">
        <v>95</v>
      </c>
      <c r="J5" s="13">
        <v>78</v>
      </c>
      <c r="K5" s="13">
        <f t="shared" si="0"/>
        <v>631</v>
      </c>
      <c r="L5" s="13">
        <f t="shared" si="1"/>
        <v>90.142857142857139</v>
      </c>
    </row>
    <row r="6" spans="1:12" ht="15" customHeight="1" x14ac:dyDescent="0.15">
      <c r="A6" s="11">
        <v>120306</v>
      </c>
      <c r="B6" s="12" t="s">
        <v>8</v>
      </c>
      <c r="C6" s="12">
        <v>3</v>
      </c>
      <c r="D6" s="13">
        <v>99</v>
      </c>
      <c r="E6" s="13">
        <v>94</v>
      </c>
      <c r="F6" s="13">
        <v>99</v>
      </c>
      <c r="G6" s="13">
        <v>90</v>
      </c>
      <c r="H6" s="13">
        <v>87</v>
      </c>
      <c r="I6" s="13">
        <v>95</v>
      </c>
      <c r="J6" s="13">
        <v>93</v>
      </c>
      <c r="K6" s="13">
        <f t="shared" si="0"/>
        <v>657</v>
      </c>
      <c r="L6" s="13">
        <f t="shared" si="1"/>
        <v>93.857142857142861</v>
      </c>
    </row>
    <row r="7" spans="1:12" ht="15" customHeight="1" x14ac:dyDescent="0.15">
      <c r="A7" s="11">
        <v>120206</v>
      </c>
      <c r="B7" s="12" t="s">
        <v>22</v>
      </c>
      <c r="C7" s="12">
        <v>2</v>
      </c>
      <c r="D7" s="13">
        <v>100.5</v>
      </c>
      <c r="E7" s="13">
        <v>94</v>
      </c>
      <c r="F7" s="13">
        <v>99</v>
      </c>
      <c r="G7" s="13">
        <v>88</v>
      </c>
      <c r="H7" s="13">
        <v>89</v>
      </c>
      <c r="I7" s="13">
        <v>78</v>
      </c>
      <c r="J7" s="13">
        <v>90</v>
      </c>
      <c r="K7" s="13">
        <f t="shared" si="0"/>
        <v>638.5</v>
      </c>
      <c r="L7" s="13">
        <f t="shared" si="1"/>
        <v>91.214285714285708</v>
      </c>
    </row>
    <row r="8" spans="1:12" ht="15" customHeight="1" x14ac:dyDescent="0.15">
      <c r="A8" s="11">
        <v>120302</v>
      </c>
      <c r="B8" s="12" t="s">
        <v>9</v>
      </c>
      <c r="C8" s="12">
        <v>3</v>
      </c>
      <c r="D8" s="13">
        <v>78</v>
      </c>
      <c r="E8" s="13">
        <v>95</v>
      </c>
      <c r="F8" s="13">
        <v>94</v>
      </c>
      <c r="G8" s="13">
        <v>82</v>
      </c>
      <c r="H8" s="13">
        <v>90</v>
      </c>
      <c r="I8" s="13">
        <v>93</v>
      </c>
      <c r="J8" s="13">
        <v>84</v>
      </c>
      <c r="K8" s="13">
        <f t="shared" si="0"/>
        <v>616</v>
      </c>
      <c r="L8" s="13">
        <f t="shared" si="1"/>
        <v>88</v>
      </c>
    </row>
    <row r="9" spans="1:12" ht="15" customHeight="1" x14ac:dyDescent="0.15">
      <c r="A9" s="11">
        <v>120204</v>
      </c>
      <c r="B9" s="12" t="s">
        <v>10</v>
      </c>
      <c r="C9" s="12">
        <v>2</v>
      </c>
      <c r="D9" s="13">
        <v>95.5</v>
      </c>
      <c r="E9" s="13">
        <v>92</v>
      </c>
      <c r="F9" s="13">
        <v>96</v>
      </c>
      <c r="G9" s="13">
        <v>84</v>
      </c>
      <c r="H9" s="13">
        <v>95</v>
      </c>
      <c r="I9" s="13">
        <v>91</v>
      </c>
      <c r="J9" s="13">
        <v>92</v>
      </c>
      <c r="K9" s="13">
        <f t="shared" si="0"/>
        <v>645.5</v>
      </c>
      <c r="L9" s="13">
        <f t="shared" si="1"/>
        <v>92.214285714285708</v>
      </c>
    </row>
    <row r="10" spans="1:12" ht="15" customHeight="1" x14ac:dyDescent="0.15">
      <c r="A10" s="11">
        <v>120201</v>
      </c>
      <c r="B10" s="12" t="s">
        <v>11</v>
      </c>
      <c r="C10" s="12">
        <v>2</v>
      </c>
      <c r="D10" s="13">
        <v>93.5</v>
      </c>
      <c r="E10" s="13">
        <v>92</v>
      </c>
      <c r="F10" s="13">
        <v>96</v>
      </c>
      <c r="G10" s="13">
        <v>100</v>
      </c>
      <c r="H10" s="13">
        <v>93</v>
      </c>
      <c r="I10" s="13">
        <v>92</v>
      </c>
      <c r="J10" s="13">
        <v>93</v>
      </c>
      <c r="K10" s="13">
        <f t="shared" si="0"/>
        <v>659.5</v>
      </c>
      <c r="L10" s="13">
        <f t="shared" si="1"/>
        <v>94.214285714285708</v>
      </c>
    </row>
    <row r="11" spans="1:12" ht="15" customHeight="1" x14ac:dyDescent="0.15">
      <c r="A11" s="11">
        <v>120304</v>
      </c>
      <c r="B11" s="12" t="s">
        <v>12</v>
      </c>
      <c r="C11" s="12">
        <v>3</v>
      </c>
      <c r="D11" s="13">
        <v>95</v>
      </c>
      <c r="E11" s="13">
        <v>97</v>
      </c>
      <c r="F11" s="13">
        <v>96</v>
      </c>
      <c r="G11" s="13">
        <v>93</v>
      </c>
      <c r="H11" s="13">
        <v>95</v>
      </c>
      <c r="I11" s="13">
        <v>92</v>
      </c>
      <c r="J11" s="13">
        <v>88</v>
      </c>
      <c r="K11" s="13">
        <f t="shared" si="0"/>
        <v>656</v>
      </c>
      <c r="L11" s="13">
        <f t="shared" si="1"/>
        <v>93.714285714285708</v>
      </c>
    </row>
    <row r="12" spans="1:12" ht="15" customHeight="1" x14ac:dyDescent="0.15">
      <c r="A12" s="11">
        <v>120103</v>
      </c>
      <c r="B12" s="12" t="s">
        <v>13</v>
      </c>
      <c r="C12" s="12">
        <v>1</v>
      </c>
      <c r="D12" s="13">
        <v>95</v>
      </c>
      <c r="E12" s="13">
        <v>85</v>
      </c>
      <c r="F12" s="13">
        <v>96</v>
      </c>
      <c r="G12" s="13">
        <v>98</v>
      </c>
      <c r="H12" s="13">
        <v>92</v>
      </c>
      <c r="I12" s="13">
        <v>92</v>
      </c>
      <c r="J12" s="13">
        <v>88</v>
      </c>
      <c r="K12" s="13">
        <f t="shared" si="0"/>
        <v>646</v>
      </c>
      <c r="L12" s="13">
        <f t="shared" si="1"/>
        <v>92.285714285714292</v>
      </c>
    </row>
    <row r="13" spans="1:12" ht="15" customHeight="1" x14ac:dyDescent="0.15">
      <c r="A13" s="11">
        <v>120105</v>
      </c>
      <c r="B13" s="12" t="s">
        <v>14</v>
      </c>
      <c r="C13" s="12">
        <v>1</v>
      </c>
      <c r="D13" s="13">
        <v>88</v>
      </c>
      <c r="E13" s="13">
        <v>98</v>
      </c>
      <c r="F13" s="13">
        <v>99</v>
      </c>
      <c r="G13" s="13">
        <v>89</v>
      </c>
      <c r="H13" s="13">
        <v>73</v>
      </c>
      <c r="I13" s="13">
        <v>95</v>
      </c>
      <c r="J13" s="13">
        <v>91</v>
      </c>
      <c r="K13" s="13">
        <f t="shared" si="0"/>
        <v>633</v>
      </c>
      <c r="L13" s="13">
        <f t="shared" si="1"/>
        <v>90.428571428571431</v>
      </c>
    </row>
    <row r="14" spans="1:12" ht="15" customHeight="1" x14ac:dyDescent="0.15">
      <c r="A14" s="11">
        <v>120202</v>
      </c>
      <c r="B14" s="12" t="s">
        <v>15</v>
      </c>
      <c r="C14" s="12">
        <v>2</v>
      </c>
      <c r="D14" s="13">
        <v>86</v>
      </c>
      <c r="E14" s="13">
        <v>98</v>
      </c>
      <c r="F14" s="13">
        <v>89</v>
      </c>
      <c r="G14" s="13">
        <v>88</v>
      </c>
      <c r="H14" s="13">
        <v>92</v>
      </c>
      <c r="I14" s="13">
        <v>88</v>
      </c>
      <c r="J14" s="13">
        <v>89</v>
      </c>
      <c r="K14" s="13">
        <f t="shared" si="0"/>
        <v>630</v>
      </c>
      <c r="L14" s="13">
        <f t="shared" si="1"/>
        <v>90</v>
      </c>
    </row>
  </sheetData>
  <phoneticPr fontId="1" type="noConversion"/>
  <conditionalFormatting sqref="F2:G14">
    <cfRule type="cellIs" dxfId="5" priority="2" operator="lessThan">
      <formula>80</formula>
    </cfRule>
    <cfRule type="cellIs" dxfId="4" priority="3" operator="lessThan">
      <formula>80</formula>
    </cfRule>
  </conditionalFormatting>
  <conditionalFormatting sqref="D2:E14 H2:J14">
    <cfRule type="cellIs" dxfId="3" priority="1" operator="greaterThanOrEqual">
      <formula>95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N26" sqref="N26"/>
    </sheetView>
  </sheetViews>
  <sheetFormatPr defaultRowHeight="13.5" outlineLevelRow="2" x14ac:dyDescent="0.15"/>
  <cols>
    <col min="1" max="1" width="7.5" style="1" bestFit="1" customWidth="1"/>
    <col min="2" max="2" width="7.125" bestFit="1" customWidth="1"/>
    <col min="3" max="3" width="5.25" bestFit="1" customWidth="1"/>
    <col min="8" max="8" width="11.125" bestFit="1" customWidth="1"/>
    <col min="9" max="9" width="10" bestFit="1" customWidth="1"/>
    <col min="10" max="10" width="11" bestFit="1" customWidth="1"/>
    <col min="11" max="11" width="8.5" bestFit="1" customWidth="1"/>
    <col min="12" max="12" width="7.5" bestFit="1" customWidth="1"/>
  </cols>
  <sheetData>
    <row r="1" spans="1:12" ht="15" customHeight="1" x14ac:dyDescent="0.15">
      <c r="A1" s="2" t="s">
        <v>0</v>
      </c>
      <c r="B1" s="3" t="s">
        <v>1</v>
      </c>
      <c r="C1" s="3" t="s">
        <v>2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24</v>
      </c>
      <c r="J1" s="3" t="s">
        <v>23</v>
      </c>
      <c r="K1" s="3" t="s">
        <v>3</v>
      </c>
      <c r="L1" s="3" t="s">
        <v>4</v>
      </c>
    </row>
    <row r="2" spans="1:12" ht="15" hidden="1" customHeight="1" outlineLevel="2" x14ac:dyDescent="0.15">
      <c r="A2" s="2">
        <v>120104</v>
      </c>
      <c r="B2" s="3" t="s">
        <v>6</v>
      </c>
      <c r="C2" s="3">
        <v>1</v>
      </c>
      <c r="D2" s="4">
        <v>93</v>
      </c>
      <c r="E2" s="4">
        <v>99</v>
      </c>
      <c r="F2" s="4">
        <v>92</v>
      </c>
      <c r="G2" s="4">
        <v>78</v>
      </c>
      <c r="H2" s="4">
        <v>88</v>
      </c>
      <c r="I2" s="4">
        <v>86</v>
      </c>
      <c r="J2" s="4">
        <v>73</v>
      </c>
      <c r="K2" s="4">
        <f>SUM(D2:J2)</f>
        <v>609</v>
      </c>
      <c r="L2" s="4">
        <f>AVERAGE(D2:J2)</f>
        <v>87</v>
      </c>
    </row>
    <row r="3" spans="1:12" ht="15" hidden="1" customHeight="1" outlineLevel="2" x14ac:dyDescent="0.15">
      <c r="A3" s="2">
        <v>120103</v>
      </c>
      <c r="B3" s="3" t="s">
        <v>13</v>
      </c>
      <c r="C3" s="3">
        <v>1</v>
      </c>
      <c r="D3" s="4">
        <v>95</v>
      </c>
      <c r="E3" s="4">
        <v>85</v>
      </c>
      <c r="F3" s="4">
        <v>96</v>
      </c>
      <c r="G3" s="4">
        <v>98</v>
      </c>
      <c r="H3" s="4">
        <v>92</v>
      </c>
      <c r="I3" s="4">
        <v>92</v>
      </c>
      <c r="J3" s="4">
        <v>88</v>
      </c>
      <c r="K3" s="4">
        <f>SUM(D3:J3)</f>
        <v>646</v>
      </c>
      <c r="L3" s="4">
        <f>AVERAGE(D3:J3)</f>
        <v>92.285714285714292</v>
      </c>
    </row>
    <row r="4" spans="1:12" ht="15" hidden="1" customHeight="1" outlineLevel="2" x14ac:dyDescent="0.15">
      <c r="A4" s="2">
        <v>120105</v>
      </c>
      <c r="B4" s="3" t="s">
        <v>14</v>
      </c>
      <c r="C4" s="3">
        <v>1</v>
      </c>
      <c r="D4" s="4">
        <v>88</v>
      </c>
      <c r="E4" s="4">
        <v>98</v>
      </c>
      <c r="F4" s="4">
        <v>99</v>
      </c>
      <c r="G4" s="4">
        <v>89</v>
      </c>
      <c r="H4" s="4">
        <v>73</v>
      </c>
      <c r="I4" s="4">
        <v>95</v>
      </c>
      <c r="J4" s="4">
        <v>91</v>
      </c>
      <c r="K4" s="4">
        <f>SUM(D4:J4)</f>
        <v>633</v>
      </c>
      <c r="L4" s="4">
        <f>AVERAGE(D4:J4)</f>
        <v>90.428571428571431</v>
      </c>
    </row>
    <row r="5" spans="1:12" ht="15" customHeight="1" outlineLevel="1" collapsed="1" x14ac:dyDescent="0.15">
      <c r="A5" s="2"/>
      <c r="B5" s="3"/>
      <c r="C5" s="5" t="s">
        <v>25</v>
      </c>
      <c r="D5" s="4">
        <f t="shared" ref="D5:J5" si="0">SUBTOTAL(1,D2:D4)</f>
        <v>92</v>
      </c>
      <c r="E5" s="4">
        <f t="shared" si="0"/>
        <v>94</v>
      </c>
      <c r="F5" s="4">
        <f t="shared" si="0"/>
        <v>95.666666666666671</v>
      </c>
      <c r="G5" s="4">
        <f t="shared" si="0"/>
        <v>88.333333333333329</v>
      </c>
      <c r="H5" s="4">
        <f t="shared" si="0"/>
        <v>84.333333333333329</v>
      </c>
      <c r="I5" s="4">
        <f t="shared" si="0"/>
        <v>91</v>
      </c>
      <c r="J5" s="4">
        <f t="shared" si="0"/>
        <v>84</v>
      </c>
      <c r="K5" s="4"/>
      <c r="L5" s="4"/>
    </row>
    <row r="6" spans="1:12" ht="15" hidden="1" customHeight="1" outlineLevel="2" x14ac:dyDescent="0.15">
      <c r="A6" s="2">
        <v>120203</v>
      </c>
      <c r="B6" s="3" t="s">
        <v>5</v>
      </c>
      <c r="C6" s="3">
        <v>2</v>
      </c>
      <c r="D6" s="4">
        <v>93</v>
      </c>
      <c r="E6" s="4">
        <v>99</v>
      </c>
      <c r="F6" s="4">
        <v>92</v>
      </c>
      <c r="G6" s="4">
        <v>86</v>
      </c>
      <c r="H6" s="4">
        <v>86</v>
      </c>
      <c r="I6" s="4">
        <v>73</v>
      </c>
      <c r="J6" s="4">
        <v>92</v>
      </c>
      <c r="K6" s="4">
        <f>SUM(D6:J6)</f>
        <v>621</v>
      </c>
      <c r="L6" s="4">
        <f>AVERAGE(D6:J6)</f>
        <v>88.714285714285708</v>
      </c>
    </row>
    <row r="7" spans="1:12" ht="15" hidden="1" customHeight="1" outlineLevel="2" x14ac:dyDescent="0.15">
      <c r="A7" s="2">
        <v>120206</v>
      </c>
      <c r="B7" s="3" t="s">
        <v>22</v>
      </c>
      <c r="C7" s="3">
        <v>2</v>
      </c>
      <c r="D7" s="4">
        <v>100.5</v>
      </c>
      <c r="E7" s="4">
        <v>94</v>
      </c>
      <c r="F7" s="4">
        <v>99</v>
      </c>
      <c r="G7" s="4">
        <v>88</v>
      </c>
      <c r="H7" s="4">
        <v>89</v>
      </c>
      <c r="I7" s="4">
        <v>78</v>
      </c>
      <c r="J7" s="4">
        <v>90</v>
      </c>
      <c r="K7" s="4">
        <f>SUM(D7:J7)</f>
        <v>638.5</v>
      </c>
      <c r="L7" s="4">
        <f>AVERAGE(D7:J7)</f>
        <v>91.214285714285708</v>
      </c>
    </row>
    <row r="8" spans="1:12" ht="15" hidden="1" customHeight="1" outlineLevel="2" x14ac:dyDescent="0.15">
      <c r="A8" s="2">
        <v>120204</v>
      </c>
      <c r="B8" s="3" t="s">
        <v>10</v>
      </c>
      <c r="C8" s="3">
        <v>2</v>
      </c>
      <c r="D8" s="4">
        <v>95.5</v>
      </c>
      <c r="E8" s="4">
        <v>92</v>
      </c>
      <c r="F8" s="4">
        <v>96</v>
      </c>
      <c r="G8" s="4">
        <v>84</v>
      </c>
      <c r="H8" s="4">
        <v>95</v>
      </c>
      <c r="I8" s="4">
        <v>91</v>
      </c>
      <c r="J8" s="4">
        <v>92</v>
      </c>
      <c r="K8" s="4">
        <f>SUM(D8:J8)</f>
        <v>645.5</v>
      </c>
      <c r="L8" s="4">
        <f>AVERAGE(D8:J8)</f>
        <v>92.214285714285708</v>
      </c>
    </row>
    <row r="9" spans="1:12" ht="15" hidden="1" customHeight="1" outlineLevel="2" x14ac:dyDescent="0.15">
      <c r="A9" s="2">
        <v>120201</v>
      </c>
      <c r="B9" s="3" t="s">
        <v>11</v>
      </c>
      <c r="C9" s="3">
        <v>2</v>
      </c>
      <c r="D9" s="4">
        <v>93.5</v>
      </c>
      <c r="E9" s="4">
        <v>92</v>
      </c>
      <c r="F9" s="4">
        <v>96</v>
      </c>
      <c r="G9" s="4">
        <v>100</v>
      </c>
      <c r="H9" s="4">
        <v>93</v>
      </c>
      <c r="I9" s="4">
        <v>92</v>
      </c>
      <c r="J9" s="4">
        <v>93</v>
      </c>
      <c r="K9" s="4">
        <f>SUM(D9:J9)</f>
        <v>659.5</v>
      </c>
      <c r="L9" s="4">
        <f>AVERAGE(D9:J9)</f>
        <v>94.214285714285708</v>
      </c>
    </row>
    <row r="10" spans="1:12" ht="15" hidden="1" customHeight="1" outlineLevel="2" x14ac:dyDescent="0.15">
      <c r="A10" s="2">
        <v>120202</v>
      </c>
      <c r="B10" s="3" t="s">
        <v>15</v>
      </c>
      <c r="C10" s="3">
        <v>2</v>
      </c>
      <c r="D10" s="4">
        <v>86</v>
      </c>
      <c r="E10" s="4">
        <v>98</v>
      </c>
      <c r="F10" s="4">
        <v>89</v>
      </c>
      <c r="G10" s="4">
        <v>88</v>
      </c>
      <c r="H10" s="4">
        <v>92</v>
      </c>
      <c r="I10" s="4">
        <v>88</v>
      </c>
      <c r="J10" s="4">
        <v>89</v>
      </c>
      <c r="K10" s="4">
        <f>SUM(D10:J10)</f>
        <v>630</v>
      </c>
      <c r="L10" s="4">
        <f>AVERAGE(D10:J10)</f>
        <v>90</v>
      </c>
    </row>
    <row r="11" spans="1:12" ht="15" customHeight="1" outlineLevel="1" collapsed="1" x14ac:dyDescent="0.15">
      <c r="A11" s="2"/>
      <c r="B11" s="3"/>
      <c r="C11" s="6" t="s">
        <v>26</v>
      </c>
      <c r="D11" s="4">
        <f t="shared" ref="D11:J11" si="1">SUBTOTAL(1,D6:D10)</f>
        <v>93.7</v>
      </c>
      <c r="E11" s="4">
        <f t="shared" si="1"/>
        <v>95</v>
      </c>
      <c r="F11" s="4">
        <f t="shared" si="1"/>
        <v>94.4</v>
      </c>
      <c r="G11" s="4">
        <f t="shared" si="1"/>
        <v>89.2</v>
      </c>
      <c r="H11" s="4">
        <f t="shared" si="1"/>
        <v>91</v>
      </c>
      <c r="I11" s="4">
        <f t="shared" si="1"/>
        <v>84.4</v>
      </c>
      <c r="J11" s="4">
        <f t="shared" si="1"/>
        <v>91.2</v>
      </c>
      <c r="K11" s="4"/>
      <c r="L11" s="4"/>
    </row>
    <row r="12" spans="1:12" ht="15" hidden="1" customHeight="1" outlineLevel="2" x14ac:dyDescent="0.15">
      <c r="A12" s="2">
        <v>120305</v>
      </c>
      <c r="B12" s="3" t="s">
        <v>21</v>
      </c>
      <c r="C12" s="3">
        <v>3</v>
      </c>
      <c r="D12" s="4">
        <v>91.5</v>
      </c>
      <c r="E12" s="4">
        <v>89</v>
      </c>
      <c r="F12" s="4">
        <v>94</v>
      </c>
      <c r="G12" s="4">
        <v>92</v>
      </c>
      <c r="H12" s="4">
        <v>91</v>
      </c>
      <c r="I12" s="4">
        <v>86</v>
      </c>
      <c r="J12" s="4">
        <v>86</v>
      </c>
      <c r="K12" s="4">
        <f>SUM(D12:J12)</f>
        <v>629.5</v>
      </c>
      <c r="L12" s="4">
        <f>AVERAGE(D12:J12)</f>
        <v>89.928571428571431</v>
      </c>
    </row>
    <row r="13" spans="1:12" ht="15" hidden="1" customHeight="1" outlineLevel="2" x14ac:dyDescent="0.15">
      <c r="A13" s="2">
        <v>120301</v>
      </c>
      <c r="B13" s="3" t="s">
        <v>7</v>
      </c>
      <c r="C13" s="3">
        <v>3</v>
      </c>
      <c r="D13" s="4">
        <v>99</v>
      </c>
      <c r="E13" s="4">
        <v>98</v>
      </c>
      <c r="F13" s="4">
        <v>92</v>
      </c>
      <c r="G13" s="4">
        <v>78</v>
      </c>
      <c r="H13" s="4">
        <v>91</v>
      </c>
      <c r="I13" s="4">
        <v>95</v>
      </c>
      <c r="J13" s="4">
        <v>78</v>
      </c>
      <c r="K13" s="4">
        <f>SUM(D13:J13)</f>
        <v>631</v>
      </c>
      <c r="L13" s="4">
        <f>AVERAGE(D13:J13)</f>
        <v>90.142857142857139</v>
      </c>
    </row>
    <row r="14" spans="1:12" ht="15" hidden="1" customHeight="1" outlineLevel="2" x14ac:dyDescent="0.15">
      <c r="A14" s="2">
        <v>120306</v>
      </c>
      <c r="B14" s="3" t="s">
        <v>8</v>
      </c>
      <c r="C14" s="3">
        <v>3</v>
      </c>
      <c r="D14" s="4">
        <v>99</v>
      </c>
      <c r="E14" s="4">
        <v>94</v>
      </c>
      <c r="F14" s="4">
        <v>99</v>
      </c>
      <c r="G14" s="4">
        <v>90</v>
      </c>
      <c r="H14" s="4">
        <v>87</v>
      </c>
      <c r="I14" s="4">
        <v>95</v>
      </c>
      <c r="J14" s="4">
        <v>93</v>
      </c>
      <c r="K14" s="4">
        <f>SUM(D14:J14)</f>
        <v>657</v>
      </c>
      <c r="L14" s="4">
        <f>AVERAGE(D14:J14)</f>
        <v>93.857142857142861</v>
      </c>
    </row>
    <row r="15" spans="1:12" ht="15" hidden="1" customHeight="1" outlineLevel="2" x14ac:dyDescent="0.15">
      <c r="A15" s="2">
        <v>120302</v>
      </c>
      <c r="B15" s="3" t="s">
        <v>9</v>
      </c>
      <c r="C15" s="3">
        <v>3</v>
      </c>
      <c r="D15" s="4">
        <v>78</v>
      </c>
      <c r="E15" s="4">
        <v>95</v>
      </c>
      <c r="F15" s="4">
        <v>94</v>
      </c>
      <c r="G15" s="4">
        <v>82</v>
      </c>
      <c r="H15" s="4">
        <v>90</v>
      </c>
      <c r="I15" s="4">
        <v>93</v>
      </c>
      <c r="J15" s="4">
        <v>84</v>
      </c>
      <c r="K15" s="4">
        <f>SUM(D15:J15)</f>
        <v>616</v>
      </c>
      <c r="L15" s="4">
        <f>AVERAGE(D15:J15)</f>
        <v>88</v>
      </c>
    </row>
    <row r="16" spans="1:12" ht="15" hidden="1" customHeight="1" outlineLevel="2" x14ac:dyDescent="0.15">
      <c r="A16" s="2">
        <v>120304</v>
      </c>
      <c r="B16" s="3" t="s">
        <v>12</v>
      </c>
      <c r="C16" s="3">
        <v>3</v>
      </c>
      <c r="D16" s="4">
        <v>95</v>
      </c>
      <c r="E16" s="4">
        <v>97</v>
      </c>
      <c r="F16" s="4">
        <v>96</v>
      </c>
      <c r="G16" s="4">
        <v>93</v>
      </c>
      <c r="H16" s="4">
        <v>95</v>
      </c>
      <c r="I16" s="4">
        <v>92</v>
      </c>
      <c r="J16" s="4">
        <v>88</v>
      </c>
      <c r="K16" s="4">
        <f>SUM(D16:J16)</f>
        <v>656</v>
      </c>
      <c r="L16" s="4">
        <f>AVERAGE(D16:J16)</f>
        <v>93.714285714285708</v>
      </c>
    </row>
    <row r="17" spans="1:12" ht="15" customHeight="1" outlineLevel="1" collapsed="1" x14ac:dyDescent="0.15">
      <c r="A17" s="7"/>
      <c r="B17" s="8"/>
      <c r="C17" s="10" t="s">
        <v>27</v>
      </c>
      <c r="D17" s="9">
        <f t="shared" ref="D17:J17" si="2">SUBTOTAL(1,D12:D16)</f>
        <v>92.5</v>
      </c>
      <c r="E17" s="9">
        <f t="shared" si="2"/>
        <v>94.6</v>
      </c>
      <c r="F17" s="9">
        <f t="shared" si="2"/>
        <v>95</v>
      </c>
      <c r="G17" s="9">
        <f t="shared" si="2"/>
        <v>87</v>
      </c>
      <c r="H17" s="9">
        <f t="shared" si="2"/>
        <v>90.8</v>
      </c>
      <c r="I17" s="9">
        <f t="shared" si="2"/>
        <v>92.2</v>
      </c>
      <c r="J17" s="9">
        <f t="shared" si="2"/>
        <v>85.8</v>
      </c>
      <c r="K17" s="9"/>
      <c r="L17" s="9"/>
    </row>
    <row r="18" spans="1:12" ht="15" customHeight="1" x14ac:dyDescent="0.15">
      <c r="A18" s="7"/>
      <c r="B18" s="8"/>
      <c r="C18" s="10" t="s">
        <v>28</v>
      </c>
      <c r="D18" s="9">
        <f t="shared" ref="D18:J18" si="3">SUBTOTAL(1,D2:D16)</f>
        <v>92.84615384615384</v>
      </c>
      <c r="E18" s="9">
        <f t="shared" si="3"/>
        <v>94.615384615384613</v>
      </c>
      <c r="F18" s="9">
        <f t="shared" si="3"/>
        <v>94.92307692307692</v>
      </c>
      <c r="G18" s="9">
        <f t="shared" si="3"/>
        <v>88.15384615384616</v>
      </c>
      <c r="H18" s="9">
        <f t="shared" si="3"/>
        <v>89.384615384615387</v>
      </c>
      <c r="I18" s="9">
        <f t="shared" si="3"/>
        <v>88.92307692307692</v>
      </c>
      <c r="J18" s="9">
        <f t="shared" si="3"/>
        <v>87.461538461538467</v>
      </c>
      <c r="K18" s="9"/>
      <c r="L18" s="9"/>
    </row>
  </sheetData>
  <sortState ref="A2:L14">
    <sortCondition ref="C2"/>
  </sortState>
  <phoneticPr fontId="1" type="noConversion"/>
  <conditionalFormatting sqref="F2:G18">
    <cfRule type="cellIs" dxfId="2" priority="2" operator="lessThan">
      <formula>80</formula>
    </cfRule>
    <cfRule type="cellIs" dxfId="1" priority="3" operator="lessThan">
      <formula>80</formula>
    </cfRule>
  </conditionalFormatting>
  <conditionalFormatting sqref="D2:E18 H2:J18">
    <cfRule type="cellIs" dxfId="0" priority="1" operator="greaterThanOrEqual">
      <formula>95</formula>
    </cfRule>
  </conditionalFormatting>
  <pageMargins left="0.7" right="0.7" top="0.75" bottom="0.75" header="0.3" footer="0.3"/>
  <pageSetup paperSize="9" orientation="portrait" r:id="rId1"/>
  <rowBreaks count="3" manualBreakCount="3">
    <brk id="5" max="16383" man="1"/>
    <brk id="11" max="16383" man="1"/>
    <brk id="1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期末成绩</vt:lpstr>
      <vt:lpstr>成绩单分类汇总</vt:lpstr>
    </vt:vector>
  </TitlesOfParts>
  <Company>neea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neea</dc:creator>
  <cp:lastModifiedBy>86133</cp:lastModifiedBy>
  <dcterms:created xsi:type="dcterms:W3CDTF">2013-03-03T01:44:07Z</dcterms:created>
  <dcterms:modified xsi:type="dcterms:W3CDTF">2021-10-26T05:17:45Z</dcterms:modified>
</cp:coreProperties>
</file>
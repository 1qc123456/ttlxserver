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360" yWindow="60" windowWidth="5790" windowHeight="3975" activeTab="2"/>
  </bookViews>
  <sheets>
    <sheet name="Sheet1" sheetId="1" r:id="rId1"/>
    <sheet name="成绩统计表" sheetId="3" r:id="rId2"/>
    <sheet name="竞赛成绩统计表" sheetId="10" r:id="rId3"/>
    <sheet name="“计算机动画技术”成绩单" sheetId="6" r:id="rId4"/>
    <sheet name="图书销售情况表" sheetId="8" r:id="rId5"/>
    <sheet name="产品销售情况表" sheetId="9" r:id="rId6"/>
    <sheet name="所占比例" sheetId="11" r:id="rId7"/>
  </sheets>
  <definedNames>
    <definedName name="_xlnm._FilterDatabase" localSheetId="3" hidden="1">“计算机动画技术”成绩单!$A$1:$A$20</definedName>
    <definedName name="_xlnm._FilterDatabase" localSheetId="5" hidden="1">产品销售情况表!$A$2:$H$38</definedName>
    <definedName name="_xlnm._FilterDatabase" localSheetId="4" hidden="1">图书销售情况表!$A$2:$F$44</definedName>
    <definedName name="PRC">#REF!</definedName>
  </definedNames>
  <calcPr calcId="144525"/>
</workbook>
</file>

<file path=xl/calcChain.xml><?xml version="1.0" encoding="utf-8"?>
<calcChain xmlns="http://schemas.openxmlformats.org/spreadsheetml/2006/main">
  <c r="G3" i="9" l="1"/>
  <c r="H3" i="9"/>
  <c r="G4" i="9"/>
  <c r="G5" i="9"/>
  <c r="H5" i="9"/>
  <c r="G6" i="9"/>
  <c r="G7" i="9"/>
  <c r="H7" i="9"/>
  <c r="G8" i="9"/>
  <c r="G9" i="9"/>
  <c r="H9" i="9"/>
  <c r="G10" i="9"/>
  <c r="G11" i="9"/>
  <c r="H11" i="9"/>
  <c r="G12" i="9"/>
  <c r="G13" i="9"/>
  <c r="H13" i="9"/>
  <c r="G14" i="9"/>
  <c r="G15" i="9"/>
  <c r="H15" i="9"/>
  <c r="G16" i="9"/>
  <c r="G17" i="9"/>
  <c r="H17" i="9"/>
  <c r="G18" i="9"/>
  <c r="G19" i="9"/>
  <c r="H19" i="9"/>
  <c r="G20" i="9"/>
  <c r="G21" i="9"/>
  <c r="H21" i="9"/>
  <c r="G22" i="9"/>
  <c r="G23" i="9"/>
  <c r="H23" i="9"/>
  <c r="G24" i="9"/>
  <c r="G25" i="9"/>
  <c r="H25" i="9"/>
  <c r="G26" i="9"/>
  <c r="G27" i="9"/>
  <c r="H27" i="9"/>
  <c r="G28" i="9"/>
  <c r="G29" i="9"/>
  <c r="H29" i="9"/>
  <c r="G30" i="9"/>
  <c r="G31" i="9"/>
  <c r="H31" i="9"/>
  <c r="G32" i="9"/>
  <c r="G33" i="9"/>
  <c r="H33" i="9"/>
  <c r="G34" i="9"/>
  <c r="G35" i="9"/>
  <c r="H35" i="9"/>
  <c r="G36" i="9"/>
  <c r="G37" i="9"/>
  <c r="H37" i="9"/>
  <c r="G38" i="9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D2" i="6"/>
  <c r="F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H38" i="9"/>
  <c r="H32" i="9"/>
  <c r="H20" i="9"/>
  <c r="H36" i="9"/>
  <c r="H34" i="9"/>
  <c r="H30" i="9"/>
  <c r="H28" i="9"/>
  <c r="H26" i="9"/>
  <c r="H24" i="9"/>
  <c r="H22" i="9"/>
  <c r="H18" i="9"/>
  <c r="H16" i="9"/>
  <c r="H14" i="9"/>
  <c r="H12" i="9"/>
  <c r="H10" i="9"/>
  <c r="H8" i="9"/>
  <c r="H6" i="9"/>
  <c r="H4" i="9"/>
</calcChain>
</file>

<file path=xl/sharedStrings.xml><?xml version="1.0" encoding="utf-8"?>
<sst xmlns="http://schemas.openxmlformats.org/spreadsheetml/2006/main" count="354" uniqueCount="161">
  <si>
    <t>某高校学生考试成绩表</t>
    <phoneticPr fontId="2" type="noConversion"/>
  </si>
  <si>
    <t>学号</t>
    <phoneticPr fontId="2" type="noConversion"/>
  </si>
  <si>
    <t>高等数学</t>
    <phoneticPr fontId="2" type="noConversion"/>
  </si>
  <si>
    <t>大学英语</t>
    <phoneticPr fontId="2" type="noConversion"/>
  </si>
  <si>
    <t>大学物理</t>
    <phoneticPr fontId="2" type="noConversion"/>
  </si>
  <si>
    <t>总成绩</t>
    <phoneticPr fontId="2" type="noConversion"/>
  </si>
  <si>
    <t>排名</t>
    <phoneticPr fontId="2" type="noConversion"/>
  </si>
  <si>
    <t>备注</t>
    <phoneticPr fontId="2" type="noConversion"/>
  </si>
  <si>
    <t>T1</t>
    <phoneticPr fontId="2" type="noConversion"/>
  </si>
  <si>
    <t>T2</t>
    <phoneticPr fontId="2" type="noConversion"/>
  </si>
  <si>
    <t>T3</t>
  </si>
  <si>
    <t>T4</t>
  </si>
  <si>
    <t>T5</t>
  </si>
  <si>
    <t>T6</t>
  </si>
  <si>
    <t>T7</t>
  </si>
  <si>
    <t>T8</t>
  </si>
  <si>
    <t>T9</t>
  </si>
  <si>
    <t>T10</t>
  </si>
  <si>
    <t>某公司员工调薪工资表</t>
  </si>
  <si>
    <t>员工号</t>
  </si>
  <si>
    <t>现工资(元)</t>
  </si>
  <si>
    <t>调薪系数</t>
  </si>
  <si>
    <t>调薪后工资(元)</t>
  </si>
  <si>
    <t>AS1</t>
  </si>
  <si>
    <t>AS2</t>
  </si>
  <si>
    <t>AS3</t>
  </si>
  <si>
    <t>AS4</t>
  </si>
  <si>
    <t>AS5</t>
  </si>
  <si>
    <t>AS6</t>
  </si>
  <si>
    <t>AS7</t>
  </si>
  <si>
    <t>AS8</t>
  </si>
  <si>
    <t>AS9</t>
  </si>
  <si>
    <t>AS10</t>
  </si>
  <si>
    <t>AS11</t>
  </si>
  <si>
    <t>AS12</t>
  </si>
  <si>
    <t>AS13</t>
  </si>
  <si>
    <t>AS14</t>
  </si>
  <si>
    <t>AS15</t>
  </si>
  <si>
    <t>普遍工资</t>
  </si>
  <si>
    <t>系别</t>
    <phoneticPr fontId="2" type="noConversion"/>
  </si>
  <si>
    <t>学号</t>
    <phoneticPr fontId="2" type="noConversion"/>
  </si>
  <si>
    <t>姓名</t>
    <phoneticPr fontId="2" type="noConversion"/>
  </si>
  <si>
    <t>考试成绩</t>
    <phoneticPr fontId="2" type="noConversion"/>
  </si>
  <si>
    <t>实验成绩</t>
    <phoneticPr fontId="2" type="noConversion"/>
  </si>
  <si>
    <t>总成绩</t>
    <phoneticPr fontId="2" type="noConversion"/>
  </si>
  <si>
    <t>信息</t>
    <phoneticPr fontId="2" type="noConversion"/>
  </si>
  <si>
    <t>991021</t>
    <phoneticPr fontId="2" type="noConversion"/>
  </si>
  <si>
    <t>李新</t>
    <phoneticPr fontId="2" type="noConversion"/>
  </si>
  <si>
    <t>计算机</t>
    <phoneticPr fontId="2" type="noConversion"/>
  </si>
  <si>
    <t>992032</t>
    <phoneticPr fontId="2" type="noConversion"/>
  </si>
  <si>
    <t>王文辉</t>
    <phoneticPr fontId="2" type="noConversion"/>
  </si>
  <si>
    <t>自动控制</t>
    <phoneticPr fontId="2" type="noConversion"/>
  </si>
  <si>
    <t>993023</t>
    <phoneticPr fontId="2" type="noConversion"/>
  </si>
  <si>
    <t>张磊</t>
    <phoneticPr fontId="2" type="noConversion"/>
  </si>
  <si>
    <t>经济</t>
    <phoneticPr fontId="2" type="noConversion"/>
  </si>
  <si>
    <t>995034</t>
    <phoneticPr fontId="2" type="noConversion"/>
  </si>
  <si>
    <t>郝心怡</t>
    <phoneticPr fontId="2" type="noConversion"/>
  </si>
  <si>
    <t>991076</t>
    <phoneticPr fontId="2" type="noConversion"/>
  </si>
  <si>
    <t>王力</t>
    <phoneticPr fontId="2" type="noConversion"/>
  </si>
  <si>
    <t>数学</t>
    <phoneticPr fontId="2" type="noConversion"/>
  </si>
  <si>
    <t>994056</t>
    <phoneticPr fontId="2" type="noConversion"/>
  </si>
  <si>
    <t>孙英</t>
    <phoneticPr fontId="2" type="noConversion"/>
  </si>
  <si>
    <t>993021</t>
    <phoneticPr fontId="2" type="noConversion"/>
  </si>
  <si>
    <t>张在旭</t>
    <phoneticPr fontId="2" type="noConversion"/>
  </si>
  <si>
    <t>992089</t>
    <phoneticPr fontId="2" type="noConversion"/>
  </si>
  <si>
    <t>金翔</t>
    <phoneticPr fontId="2" type="noConversion"/>
  </si>
  <si>
    <t>992005</t>
    <phoneticPr fontId="2" type="noConversion"/>
  </si>
  <si>
    <t>扬海东</t>
    <phoneticPr fontId="2" type="noConversion"/>
  </si>
  <si>
    <t>993082</t>
    <phoneticPr fontId="2" type="noConversion"/>
  </si>
  <si>
    <t>黄立</t>
    <phoneticPr fontId="2" type="noConversion"/>
  </si>
  <si>
    <t>991062</t>
    <phoneticPr fontId="2" type="noConversion"/>
  </si>
  <si>
    <t>王春晓</t>
    <phoneticPr fontId="2" type="noConversion"/>
  </si>
  <si>
    <t>995022</t>
    <phoneticPr fontId="2" type="noConversion"/>
  </si>
  <si>
    <t>陈松</t>
    <phoneticPr fontId="2" type="noConversion"/>
  </si>
  <si>
    <t>994034</t>
    <phoneticPr fontId="2" type="noConversion"/>
  </si>
  <si>
    <t>姚林</t>
    <phoneticPr fontId="2" type="noConversion"/>
  </si>
  <si>
    <t>991025</t>
    <phoneticPr fontId="2" type="noConversion"/>
  </si>
  <si>
    <t>张雨涵</t>
    <phoneticPr fontId="2" type="noConversion"/>
  </si>
  <si>
    <t>993026</t>
    <phoneticPr fontId="2" type="noConversion"/>
  </si>
  <si>
    <t>钱民</t>
    <phoneticPr fontId="2" type="noConversion"/>
  </si>
  <si>
    <t>994086</t>
    <phoneticPr fontId="2" type="noConversion"/>
  </si>
  <si>
    <t>高晓东</t>
    <phoneticPr fontId="2" type="noConversion"/>
  </si>
  <si>
    <t>995014</t>
    <phoneticPr fontId="2" type="noConversion"/>
  </si>
  <si>
    <t>张平</t>
    <phoneticPr fontId="2" type="noConversion"/>
  </si>
  <si>
    <t>993053</t>
    <phoneticPr fontId="2" type="noConversion"/>
  </si>
  <si>
    <t>李英</t>
    <phoneticPr fontId="2" type="noConversion"/>
  </si>
  <si>
    <t>994027</t>
    <phoneticPr fontId="2" type="noConversion"/>
  </si>
  <si>
    <t>黄红</t>
    <phoneticPr fontId="2" type="noConversion"/>
  </si>
  <si>
    <t>某图书销售公司销售情况表</t>
    <phoneticPr fontId="2" type="noConversion"/>
  </si>
  <si>
    <t>经销部门</t>
    <phoneticPr fontId="2" type="noConversion"/>
  </si>
  <si>
    <t>图书类别</t>
    <phoneticPr fontId="2" type="noConversion"/>
  </si>
  <si>
    <t>季度</t>
    <phoneticPr fontId="2" type="noConversion"/>
  </si>
  <si>
    <t>数量(册)</t>
    <phoneticPr fontId="2" type="noConversion"/>
  </si>
  <si>
    <t>销售额(元)</t>
    <phoneticPr fontId="2" type="noConversion"/>
  </si>
  <si>
    <t>计算机类</t>
    <phoneticPr fontId="2" type="noConversion"/>
  </si>
  <si>
    <t>销售量排名</t>
    <phoneticPr fontId="2" type="noConversion"/>
  </si>
  <si>
    <r>
      <t>第</t>
    </r>
    <r>
      <rPr>
        <sz val="12"/>
        <rFont val="Times New Roman"/>
        <family val="1"/>
      </rPr>
      <t>3</t>
    </r>
    <r>
      <rPr>
        <sz val="12"/>
        <rFont val="宋体"/>
        <family val="3"/>
        <charset val="134"/>
      </rPr>
      <t>分部</t>
    </r>
    <phoneticPr fontId="2" type="noConversion"/>
  </si>
  <si>
    <t>少儿类</t>
    <phoneticPr fontId="2" type="noConversion"/>
  </si>
  <si>
    <r>
      <t>第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分部</t>
    </r>
    <phoneticPr fontId="2" type="noConversion"/>
  </si>
  <si>
    <t>社科类</t>
    <phoneticPr fontId="2" type="noConversion"/>
  </si>
  <si>
    <r>
      <t>第</t>
    </r>
    <r>
      <rPr>
        <sz val="12"/>
        <rFont val="Times New Roman"/>
        <family val="1"/>
      </rPr>
      <t>2</t>
    </r>
    <r>
      <rPr>
        <sz val="12"/>
        <rFont val="宋体"/>
        <family val="3"/>
        <charset val="134"/>
      </rPr>
      <t>分部</t>
    </r>
    <phoneticPr fontId="2" type="noConversion"/>
  </si>
  <si>
    <t>D02</t>
  </si>
  <si>
    <t>第1分店</t>
  </si>
  <si>
    <t>K02</t>
  </si>
  <si>
    <t>S02</t>
  </si>
  <si>
    <t>第2分店</t>
  </si>
  <si>
    <t>第3分店</t>
  </si>
  <si>
    <t>产品销售情况表</t>
    <phoneticPr fontId="2" type="noConversion"/>
  </si>
  <si>
    <t>分店名称</t>
    <phoneticPr fontId="2" type="noConversion"/>
  </si>
  <si>
    <t>季度</t>
    <phoneticPr fontId="2" type="noConversion"/>
  </si>
  <si>
    <t>产品型号</t>
    <phoneticPr fontId="2" type="noConversion"/>
  </si>
  <si>
    <t>产品名称</t>
    <phoneticPr fontId="2" type="noConversion"/>
  </si>
  <si>
    <t>单价（元）</t>
    <phoneticPr fontId="2" type="noConversion"/>
  </si>
  <si>
    <t>数量</t>
    <phoneticPr fontId="2" type="noConversion"/>
  </si>
  <si>
    <t>销售额（万元）</t>
    <phoneticPr fontId="2" type="noConversion"/>
  </si>
  <si>
    <t>销售排名</t>
    <phoneticPr fontId="2" type="noConversion"/>
  </si>
  <si>
    <t>第1分店</t>
    <phoneticPr fontId="2" type="noConversion"/>
  </si>
  <si>
    <t>D01</t>
    <phoneticPr fontId="2" type="noConversion"/>
  </si>
  <si>
    <t>电冰箱</t>
    <phoneticPr fontId="2" type="noConversion"/>
  </si>
  <si>
    <t>K01</t>
    <phoneticPr fontId="2" type="noConversion"/>
  </si>
  <si>
    <t>空调</t>
    <phoneticPr fontId="2" type="noConversion"/>
  </si>
  <si>
    <t>S01</t>
    <phoneticPr fontId="2" type="noConversion"/>
  </si>
  <si>
    <t>手机</t>
    <phoneticPr fontId="2" type="noConversion"/>
  </si>
  <si>
    <t>第2分店</t>
    <phoneticPr fontId="2" type="noConversion"/>
  </si>
  <si>
    <t>第3分店</t>
    <phoneticPr fontId="2" type="noConversion"/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</si>
  <si>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</si>
  <si>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</si>
  <si>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</si>
  <si>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</si>
  <si>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</si>
  <si>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</si>
  <si>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</si>
  <si>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</si>
  <si>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</si>
  <si>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某学校学生成绩表</t>
    <phoneticPr fontId="2" type="noConversion"/>
  </si>
  <si>
    <t>学号</t>
    <phoneticPr fontId="2" type="noConversion"/>
  </si>
  <si>
    <t>组别</t>
    <phoneticPr fontId="2" type="noConversion"/>
  </si>
  <si>
    <t>数学</t>
    <phoneticPr fontId="2" type="noConversion"/>
  </si>
  <si>
    <t>语文</t>
    <phoneticPr fontId="2" type="noConversion"/>
  </si>
  <si>
    <t>英语</t>
    <phoneticPr fontId="2" type="noConversion"/>
  </si>
  <si>
    <t>平均成绩</t>
    <phoneticPr fontId="2" type="noConversion"/>
  </si>
  <si>
    <t>一组人数</t>
    <phoneticPr fontId="2" type="noConversion"/>
  </si>
  <si>
    <t>A1</t>
    <phoneticPr fontId="2" type="noConversion"/>
  </si>
  <si>
    <t>一组</t>
    <phoneticPr fontId="2" type="noConversion"/>
  </si>
  <si>
    <t>二组</t>
    <phoneticPr fontId="2" type="noConversion"/>
  </si>
  <si>
    <t>汽车销售统计表</t>
    <phoneticPr fontId="5" type="noConversion"/>
  </si>
  <si>
    <t>年份</t>
  </si>
  <si>
    <t>销售量（万辆）</t>
  </si>
  <si>
    <t>所占比例</t>
  </si>
  <si>
    <t>1996年</t>
  </si>
  <si>
    <t>1997年</t>
  </si>
  <si>
    <t>1998年</t>
  </si>
  <si>
    <t>1999年</t>
  </si>
  <si>
    <t>2000年</t>
  </si>
  <si>
    <t>2001年</t>
  </si>
  <si>
    <t>2002年</t>
  </si>
  <si>
    <t>2003年</t>
  </si>
  <si>
    <t>2004年</t>
  </si>
  <si>
    <t>2005年</t>
  </si>
  <si>
    <t>总计</t>
  </si>
  <si>
    <t>二组人数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</si>
</sst>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.00_ "/>
    <numFmt numFmtId="177" formatCode="_(* #,##0_);_(* \(#,##0\);_(* &quot;-&quot;_);_(@_)"/>
    <numFmt numFmtId="178" formatCode="_(* #,##0.00_);_(* \(#,##0.00\);_(* &quot;-&quot;??_);_(@_)"/>
    <numFmt numFmtId="179" formatCode="_(&quot;$&quot;* #,##0_);_(&quot;$&quot;* \(#,##0\);_(&quot;$&quot;* &quot;-&quot;_);_(@_)"/>
    <numFmt numFmtId="180" formatCode="_(&quot;$&quot;* #,##0.00_);_(&quot;$&quot;* \(#,##0.00\);_(&quot;$&quot;* &quot;-&quot;??_);_(@_)"/>
  </numFmts>
  <fonts count="9" x14ac:knownFonts="1">
    <font>
      <sz val="12"/>
      <name val="宋体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2"/>
      <name val="Times New Roman"/>
      <family val="1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2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0">
    <xf numFmtId="0" fontId="0" fillId="0" borderId="0"/>
    <xf numFmtId="177" fontId="6" fillId="0" borderId="0" applyFont="0" applyFill="0" applyBorder="0" applyAlignment="0" applyProtection="0"/>
    <xf numFmtId="178" fontId="7" fillId="0" borderId="0" applyFont="0" applyFill="0" applyBorder="0" applyAlignment="0" applyProtection="0"/>
    <xf numFmtId="179" fontId="6" fillId="0" borderId="0" applyFont="0" applyFill="0" applyBorder="0" applyAlignment="0" applyProtection="0"/>
    <xf numFmtId="180" fontId="7" fillId="0" borderId="0" applyFont="0" applyFill="0" applyBorder="0" applyAlignment="0" applyProtection="0"/>
    <xf numFmtId="0" fontId="8" fillId="0" borderId="0"/>
    <xf numFmtId="0" fontId="4" fillId="0" borderId="0"/>
    <xf numFmtId="0" fontId="1" fillId="0" borderId="0">
      <alignment vertical="center"/>
    </xf>
    <xf numFmtId="0" fontId="7" fillId="0" borderId="0"/>
    <xf numFmtId="40" fontId="7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NumberFormat="1"/>
    <xf numFmtId="0" fontId="3" fillId="0" borderId="0" xfId="0" applyFont="1"/>
    <xf numFmtId="0" fontId="0" fillId="0" borderId="0" xfId="0" applyFont="1"/>
    <xf numFmtId="0" fontId="0" fillId="0" borderId="0" xfId="0" applyAlignment="1"/>
    <xf numFmtId="0" fontId="1" fillId="0" borderId="0" xfId="7">
      <alignment vertical="center"/>
    </xf>
    <xf numFmtId="9" fontId="0" fillId="0" borderId="0" xfId="0" applyNumberFormat="1"/>
    <xf numFmtId="0" fontId="0" fillId="0" borderId="0" xfId="0" quotePrefix="1"/>
    <xf numFmtId="0" fontId="3" fillId="0" borderId="0" xfId="0" quotePrefix="1" applyFont="1"/>
    <xf numFmtId="176" fontId="1" fillId="0" borderId="0" xfId="7" applyNumberFormat="1">
      <alignment vertical="center"/>
    </xf>
    <xf numFmtId="0" fontId="0" fillId="0" borderId="0" xfId="0" applyAlignment="1">
      <alignment horizontal="center"/>
    </xf>
    <xf numFmtId="176" fontId="0" fillId="0" borderId="0" xfId="0" applyNumberFormat="1"/>
    <xf numFmtId="0" fontId="0" fillId="0" borderId="0" xfId="0" applyAlignment="1">
      <alignment horizontal="center"/>
    </xf>
    <xf numFmtId="0" fontId="1" fillId="0" borderId="0" xfId="7" applyAlignment="1">
      <alignment horizontal="center" vertical="center"/>
    </xf>
    <xf numFmtId="0" fontId="1" fillId="0" borderId="0" xfId="0" applyFont="1"/>
  </cellXfs>
  <cellStyles count="10">
    <cellStyle name="Comma [0]" xfId="1"/>
    <cellStyle name="Comma_Chart1" xfId="2"/>
    <cellStyle name="Currency [0]" xfId="3"/>
    <cellStyle name="Currency_Chart1" xfId="4"/>
    <cellStyle name="Normal_Module1" xfId="5"/>
    <cellStyle name="常规" xfId="0" builtinId="0"/>
    <cellStyle name="常规 2" xfId="6"/>
    <cellStyle name="常规_exc" xfId="7"/>
    <cellStyle name="普通_MS Excel 4.0" xfId="8"/>
    <cellStyle name="千分位_MS Excel 4.0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18"/>
  <sheetViews>
    <sheetView workbookViewId="0">
      <selection activeCell="F7" sqref="F7"/>
    </sheetView>
  </sheetViews>
  <sheetFormatPr defaultRowHeight="14.25" x14ac:dyDescent="0.15"/>
  <cols>
    <col min="1" max="1" width="11.5" customWidth="1"/>
    <col min="4" max="4" width="16.125" bestFit="1" customWidth="1"/>
  </cols>
  <sheetData>
    <row r="1" spans="1:6" x14ac:dyDescent="0.15">
      <c r="A1" s="4" t="s">
        <v>18</v>
      </c>
      <c r="B1" s="4"/>
      <c r="C1" s="4"/>
    </row>
    <row r="2" spans="1:6" x14ac:dyDescent="0.15">
      <c r="A2" t="s">
        <v>19</v>
      </c>
      <c r="B2" t="s">
        <v>20</v>
      </c>
      <c r="C2" t="s">
        <v>21</v>
      </c>
      <c r="D2" t="s">
        <v>22</v>
      </c>
    </row>
    <row r="3" spans="1:6" x14ac:dyDescent="0.15">
      <c r="A3" t="s">
        <v>23</v>
      </c>
      <c r="B3">
        <v>2400</v>
      </c>
      <c r="C3" s="6">
        <v>0.35</v>
      </c>
    </row>
    <row r="4" spans="1:6" x14ac:dyDescent="0.15">
      <c r="A4" t="s">
        <v>24</v>
      </c>
      <c r="B4">
        <v>2200</v>
      </c>
      <c r="C4" s="6">
        <v>0.2</v>
      </c>
      <c r="D4" s="1"/>
      <c r="E4" s="1"/>
      <c r="F4" s="1"/>
    </row>
    <row r="5" spans="1:6" x14ac:dyDescent="0.15">
      <c r="A5" t="s">
        <v>25</v>
      </c>
      <c r="B5">
        <v>2000</v>
      </c>
      <c r="C5" s="6">
        <v>0.35</v>
      </c>
    </row>
    <row r="6" spans="1:6" x14ac:dyDescent="0.15">
      <c r="A6" t="s">
        <v>26</v>
      </c>
      <c r="B6">
        <v>2500</v>
      </c>
      <c r="C6" s="6">
        <v>0.4</v>
      </c>
    </row>
    <row r="7" spans="1:6" x14ac:dyDescent="0.15">
      <c r="A7" t="s">
        <v>27</v>
      </c>
      <c r="B7">
        <v>2700</v>
      </c>
      <c r="C7" s="6">
        <v>0.25</v>
      </c>
    </row>
    <row r="8" spans="1:6" x14ac:dyDescent="0.15">
      <c r="A8" t="s">
        <v>28</v>
      </c>
      <c r="B8">
        <v>2200</v>
      </c>
      <c r="C8" s="6">
        <v>0.25</v>
      </c>
    </row>
    <row r="9" spans="1:6" x14ac:dyDescent="0.15">
      <c r="A9" t="s">
        <v>29</v>
      </c>
      <c r="B9">
        <v>2800</v>
      </c>
      <c r="C9" s="6">
        <v>0.35</v>
      </c>
    </row>
    <row r="10" spans="1:6" x14ac:dyDescent="0.15">
      <c r="A10" t="s">
        <v>30</v>
      </c>
      <c r="B10">
        <v>3800</v>
      </c>
      <c r="C10" s="6">
        <v>0.2</v>
      </c>
    </row>
    <row r="11" spans="1:6" x14ac:dyDescent="0.15">
      <c r="A11" t="s">
        <v>31</v>
      </c>
      <c r="B11">
        <v>2500</v>
      </c>
      <c r="C11" s="6">
        <v>0.2</v>
      </c>
    </row>
    <row r="12" spans="1:6" x14ac:dyDescent="0.15">
      <c r="A12" t="s">
        <v>32</v>
      </c>
      <c r="B12">
        <v>2200</v>
      </c>
      <c r="C12" s="6">
        <v>0.3</v>
      </c>
    </row>
    <row r="13" spans="1:6" x14ac:dyDescent="0.15">
      <c r="A13" t="s">
        <v>33</v>
      </c>
      <c r="B13">
        <v>2500</v>
      </c>
      <c r="C13" s="6">
        <v>0.35</v>
      </c>
    </row>
    <row r="14" spans="1:6" x14ac:dyDescent="0.15">
      <c r="A14" t="s">
        <v>34</v>
      </c>
      <c r="B14">
        <v>2500</v>
      </c>
      <c r="C14" s="6">
        <v>0.4</v>
      </c>
    </row>
    <row r="15" spans="1:6" x14ac:dyDescent="0.15">
      <c r="A15" t="s">
        <v>35</v>
      </c>
      <c r="B15">
        <v>2800</v>
      </c>
      <c r="C15" s="6">
        <v>0.3</v>
      </c>
    </row>
    <row r="16" spans="1:6" x14ac:dyDescent="0.15">
      <c r="A16" t="s">
        <v>36</v>
      </c>
      <c r="B16">
        <v>2200</v>
      </c>
      <c r="C16" s="6">
        <v>0.35</v>
      </c>
    </row>
    <row r="17" spans="1:3" x14ac:dyDescent="0.15">
      <c r="A17" t="s">
        <v>37</v>
      </c>
      <c r="B17">
        <v>2500</v>
      </c>
      <c r="C17" s="6">
        <v>0.4</v>
      </c>
    </row>
    <row r="18" spans="1:3" x14ac:dyDescent="0.15">
      <c r="A18" t="s">
        <v>38</v>
      </c>
    </row>
  </sheetData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14"/>
  <sheetViews>
    <sheetView workbookViewId="0">
      <selection activeCell="I19" sqref="I19"/>
    </sheetView>
  </sheetViews>
  <sheetFormatPr defaultRowHeight="14.25" x14ac:dyDescent="0.15"/>
  <sheetData>
    <row r="1" spans="1:7" x14ac:dyDescent="0.15">
      <c r="A1" s="12" t="s">
        <v>0</v>
      </c>
      <c r="B1" s="12"/>
      <c r="C1" s="12"/>
      <c r="D1" s="12"/>
      <c r="E1" s="12"/>
      <c r="F1" s="12"/>
      <c r="G1" s="12"/>
    </row>
    <row r="2" spans="1:7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ht="15.75" x14ac:dyDescent="0.25">
      <c r="A3" s="2" t="s">
        <v>8</v>
      </c>
      <c r="B3">
        <v>89</v>
      </c>
      <c r="C3">
        <v>74</v>
      </c>
      <c r="D3">
        <v>75</v>
      </c>
    </row>
    <row r="4" spans="1:7" ht="15.75" x14ac:dyDescent="0.25">
      <c r="A4" s="2" t="s">
        <v>9</v>
      </c>
      <c r="B4">
        <v>77</v>
      </c>
      <c r="C4">
        <v>73</v>
      </c>
      <c r="D4">
        <v>73</v>
      </c>
    </row>
    <row r="5" spans="1:7" ht="15.75" x14ac:dyDescent="0.25">
      <c r="A5" s="2" t="s">
        <v>10</v>
      </c>
      <c r="B5">
        <v>92</v>
      </c>
      <c r="C5">
        <v>83</v>
      </c>
      <c r="D5">
        <v>86</v>
      </c>
    </row>
    <row r="6" spans="1:7" ht="15.75" x14ac:dyDescent="0.25">
      <c r="A6" s="2" t="s">
        <v>11</v>
      </c>
      <c r="B6">
        <v>67</v>
      </c>
      <c r="C6">
        <v>86</v>
      </c>
      <c r="D6">
        <v>45</v>
      </c>
    </row>
    <row r="7" spans="1:7" ht="15.75" x14ac:dyDescent="0.25">
      <c r="A7" s="2" t="s">
        <v>12</v>
      </c>
      <c r="B7">
        <v>87</v>
      </c>
      <c r="C7">
        <v>90</v>
      </c>
      <c r="D7">
        <v>71</v>
      </c>
    </row>
    <row r="8" spans="1:7" ht="15.75" x14ac:dyDescent="0.25">
      <c r="A8" s="2" t="s">
        <v>13</v>
      </c>
      <c r="B8">
        <v>71</v>
      </c>
      <c r="C8">
        <v>84</v>
      </c>
      <c r="D8">
        <v>95</v>
      </c>
    </row>
    <row r="9" spans="1:7" ht="15.75" x14ac:dyDescent="0.25">
      <c r="A9" s="2" t="s">
        <v>14</v>
      </c>
      <c r="B9">
        <v>70</v>
      </c>
      <c r="C9">
        <v>78</v>
      </c>
      <c r="D9">
        <v>83</v>
      </c>
    </row>
    <row r="10" spans="1:7" ht="15.75" x14ac:dyDescent="0.25">
      <c r="A10" s="2" t="s">
        <v>15</v>
      </c>
      <c r="B10">
        <v>79</v>
      </c>
      <c r="C10">
        <v>67</v>
      </c>
      <c r="D10">
        <v>80</v>
      </c>
    </row>
    <row r="11" spans="1:7" ht="15.75" x14ac:dyDescent="0.25">
      <c r="A11" s="2" t="s">
        <v>16</v>
      </c>
      <c r="B11">
        <v>84</v>
      </c>
      <c r="C11">
        <v>50</v>
      </c>
      <c r="D11">
        <v>69</v>
      </c>
    </row>
    <row r="12" spans="1:7" ht="15.75" x14ac:dyDescent="0.25">
      <c r="A12" s="2" t="s">
        <v>17</v>
      </c>
      <c r="B12">
        <v>55</v>
      </c>
      <c r="C12">
        <v>72</v>
      </c>
      <c r="D12">
        <v>69</v>
      </c>
    </row>
    <row r="13" spans="1:7" x14ac:dyDescent="0.15">
      <c r="A13" s="3"/>
    </row>
    <row r="14" spans="1:7" x14ac:dyDescent="0.15">
      <c r="A14" s="3"/>
    </row>
  </sheetData>
  <mergeCells count="1">
    <mergeCell ref="A1:G1"/>
  </mergeCells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18"/>
  <sheetViews>
    <sheetView tabSelected="1" workbookViewId="0">
      <selection activeCell="G4" sqref="G4"/>
    </sheetView>
  </sheetViews>
  <sheetFormatPr defaultRowHeight="14.25" x14ac:dyDescent="0.15"/>
  <cols>
    <col min="2" max="2" width="6.5" customWidth="1"/>
    <col min="3" max="3" width="6.25" customWidth="1"/>
    <col min="4" max="5" width="6.375" customWidth="1"/>
    <col min="6" max="6" width="8.375" customWidth="1"/>
    <col min="7" max="7" width="15" customWidth="1"/>
  </cols>
  <sheetData>
    <row r="1" spans="1:9" x14ac:dyDescent="0.15">
      <c r="A1" s="12" t="s">
        <v>134</v>
      </c>
      <c r="B1" s="12"/>
      <c r="C1" s="12"/>
      <c r="D1" s="12"/>
      <c r="E1" s="12"/>
      <c r="F1" s="12"/>
      <c r="G1" s="12"/>
      <c r="H1" s="4"/>
    </row>
    <row r="2" spans="1:9" x14ac:dyDescent="0.15">
      <c r="A2" t="s">
        <v>135</v>
      </c>
      <c r="B2" t="s">
        <v>136</v>
      </c>
      <c r="C2" t="s">
        <v>137</v>
      </c>
      <c r="D2" t="s">
        <v>138</v>
      </c>
      <c r="E2" t="s">
        <v>139</v>
      </c>
      <c r="F2" t="s">
        <v>140</v>
      </c>
      <c r="G2" t="s">
        <v>141</v>
      </c>
    </row>
    <row r="3" spans="1:9" ht="15.75" x14ac:dyDescent="0.25">
      <c r="A3" s="2" t="s">
        <v>142</v>
      </c>
      <c r="B3" t="s">
        <v>143</v>
      </c>
      <c r="C3">
        <v>112</v>
      </c>
      <c r="D3">
        <v>98</v>
      </c>
      <c r="E3">
        <v>106</v>
      </c>
      <c r="F3" s="1"/>
    </row>
    <row r="4" spans="1:9" ht="15.75" x14ac:dyDescent="0.25">
      <c r="A4" s="2" t="s">
        <v>125</v>
      </c>
      <c r="B4" t="s">
        <v>143</v>
      </c>
      <c r="C4">
        <v>98</v>
      </c>
      <c r="D4">
        <v>103</v>
      </c>
      <c r="E4">
        <v>109</v>
      </c>
      <c r="F4" s="1"/>
      <c r="G4" s="14" t="s">
        <v>160</v>
      </c>
    </row>
    <row r="5" spans="1:9" ht="15.75" x14ac:dyDescent="0.25">
      <c r="A5" s="2" t="s">
        <v>126</v>
      </c>
      <c r="B5" t="s">
        <v>143</v>
      </c>
      <c r="C5">
        <v>117</v>
      </c>
      <c r="D5">
        <v>99</v>
      </c>
      <c r="E5">
        <v>99</v>
      </c>
      <c r="F5" s="1"/>
      <c r="G5" s="11"/>
    </row>
    <row r="6" spans="1:9" ht="15.75" x14ac:dyDescent="0.25">
      <c r="A6" s="2" t="s">
        <v>127</v>
      </c>
      <c r="B6" t="s">
        <v>144</v>
      </c>
      <c r="C6">
        <v>115</v>
      </c>
      <c r="D6">
        <v>112</v>
      </c>
      <c r="E6">
        <v>108</v>
      </c>
      <c r="F6" s="1"/>
    </row>
    <row r="7" spans="1:9" ht="15.75" x14ac:dyDescent="0.25">
      <c r="A7" s="2" t="s">
        <v>128</v>
      </c>
      <c r="B7" t="s">
        <v>143</v>
      </c>
      <c r="C7">
        <v>104</v>
      </c>
      <c r="D7">
        <v>96</v>
      </c>
      <c r="E7">
        <v>90</v>
      </c>
      <c r="F7" s="1"/>
    </row>
    <row r="8" spans="1:9" ht="15.75" x14ac:dyDescent="0.25">
      <c r="A8" s="2" t="s">
        <v>129</v>
      </c>
      <c r="B8" t="s">
        <v>144</v>
      </c>
      <c r="C8">
        <v>101</v>
      </c>
      <c r="D8">
        <v>110</v>
      </c>
      <c r="E8">
        <v>105</v>
      </c>
      <c r="F8" s="1"/>
    </row>
    <row r="9" spans="1:9" ht="15.75" x14ac:dyDescent="0.25">
      <c r="A9" s="2" t="s">
        <v>130</v>
      </c>
      <c r="B9" t="s">
        <v>143</v>
      </c>
      <c r="C9">
        <v>93</v>
      </c>
      <c r="D9">
        <v>109</v>
      </c>
      <c r="E9">
        <v>107</v>
      </c>
      <c r="F9" s="1"/>
    </row>
    <row r="10" spans="1:9" ht="15.75" x14ac:dyDescent="0.25">
      <c r="A10" s="2" t="s">
        <v>131</v>
      </c>
      <c r="B10" t="s">
        <v>144</v>
      </c>
      <c r="C10">
        <v>95</v>
      </c>
      <c r="D10">
        <v>102</v>
      </c>
      <c r="E10">
        <v>106</v>
      </c>
      <c r="F10" s="1"/>
    </row>
    <row r="11" spans="1:9" ht="15.75" x14ac:dyDescent="0.25">
      <c r="A11" s="2" t="s">
        <v>132</v>
      </c>
      <c r="B11" t="s">
        <v>143</v>
      </c>
      <c r="C11">
        <v>114</v>
      </c>
      <c r="D11">
        <v>103</v>
      </c>
      <c r="E11">
        <v>104</v>
      </c>
      <c r="F11" s="1"/>
    </row>
    <row r="12" spans="1:9" ht="15.75" x14ac:dyDescent="0.25">
      <c r="A12" s="2" t="s">
        <v>133</v>
      </c>
      <c r="B12" t="s">
        <v>144</v>
      </c>
      <c r="C12">
        <v>89</v>
      </c>
      <c r="D12">
        <v>106</v>
      </c>
      <c r="E12">
        <v>116</v>
      </c>
      <c r="F12" s="1"/>
    </row>
    <row r="13" spans="1:9" x14ac:dyDescent="0.15">
      <c r="I13" s="11"/>
    </row>
    <row r="14" spans="1:9" x14ac:dyDescent="0.15">
      <c r="I14" s="11"/>
    </row>
    <row r="15" spans="1:9" x14ac:dyDescent="0.15">
      <c r="I15" s="11"/>
    </row>
    <row r="16" spans="1:9" x14ac:dyDescent="0.15">
      <c r="I16" s="11"/>
    </row>
    <row r="17" spans="9:9" x14ac:dyDescent="0.15">
      <c r="I17" s="11"/>
    </row>
    <row r="18" spans="9:9" x14ac:dyDescent="0.15">
      <c r="I18" s="11"/>
    </row>
  </sheetData>
  <mergeCells count="1">
    <mergeCell ref="A1:G1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F20"/>
  <sheetViews>
    <sheetView workbookViewId="0">
      <selection activeCell="H6" sqref="H6"/>
    </sheetView>
  </sheetViews>
  <sheetFormatPr defaultRowHeight="14.25" x14ac:dyDescent="0.15"/>
  <sheetData>
    <row r="1" spans="1:6" x14ac:dyDescent="0.1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</row>
    <row r="2" spans="1:6" x14ac:dyDescent="0.15">
      <c r="A2" t="s">
        <v>45</v>
      </c>
      <c r="B2" s="7" t="s">
        <v>46</v>
      </c>
      <c r="C2" t="s">
        <v>47</v>
      </c>
      <c r="D2">
        <f>74</f>
        <v>74</v>
      </c>
      <c r="E2">
        <v>16</v>
      </c>
      <c r="F2">
        <f t="shared" ref="F2:F20" si="0">D2+E2</f>
        <v>90</v>
      </c>
    </row>
    <row r="3" spans="1:6" x14ac:dyDescent="0.15">
      <c r="A3" t="s">
        <v>48</v>
      </c>
      <c r="B3" s="7" t="s">
        <v>49</v>
      </c>
      <c r="C3" t="s">
        <v>50</v>
      </c>
      <c r="D3">
        <v>87</v>
      </c>
      <c r="E3">
        <v>17</v>
      </c>
      <c r="F3">
        <f t="shared" si="0"/>
        <v>104</v>
      </c>
    </row>
    <row r="4" spans="1:6" ht="15.75" x14ac:dyDescent="0.25">
      <c r="A4" t="s">
        <v>51</v>
      </c>
      <c r="B4" s="7" t="s">
        <v>52</v>
      </c>
      <c r="C4" t="s">
        <v>53</v>
      </c>
      <c r="D4" s="2">
        <v>65</v>
      </c>
      <c r="E4">
        <v>19</v>
      </c>
      <c r="F4">
        <f t="shared" si="0"/>
        <v>84</v>
      </c>
    </row>
    <row r="5" spans="1:6" x14ac:dyDescent="0.15">
      <c r="A5" t="s">
        <v>54</v>
      </c>
      <c r="B5" s="7" t="s">
        <v>55</v>
      </c>
      <c r="C5" t="s">
        <v>56</v>
      </c>
      <c r="D5">
        <v>86</v>
      </c>
      <c r="E5">
        <v>17</v>
      </c>
      <c r="F5">
        <f t="shared" si="0"/>
        <v>103</v>
      </c>
    </row>
    <row r="6" spans="1:6" ht="15.75" x14ac:dyDescent="0.25">
      <c r="A6" t="s">
        <v>45</v>
      </c>
      <c r="B6" s="8" t="s">
        <v>57</v>
      </c>
      <c r="C6" t="s">
        <v>58</v>
      </c>
      <c r="D6">
        <v>91</v>
      </c>
      <c r="E6">
        <v>15</v>
      </c>
      <c r="F6">
        <f t="shared" si="0"/>
        <v>106</v>
      </c>
    </row>
    <row r="7" spans="1:6" ht="15.75" x14ac:dyDescent="0.25">
      <c r="A7" t="s">
        <v>59</v>
      </c>
      <c r="B7" s="8" t="s">
        <v>60</v>
      </c>
      <c r="C7" t="s">
        <v>61</v>
      </c>
      <c r="D7">
        <v>77</v>
      </c>
      <c r="E7">
        <v>14</v>
      </c>
      <c r="F7">
        <f t="shared" si="0"/>
        <v>91</v>
      </c>
    </row>
    <row r="8" spans="1:6" ht="15.75" x14ac:dyDescent="0.25">
      <c r="A8" t="s">
        <v>51</v>
      </c>
      <c r="B8" s="8" t="s">
        <v>62</v>
      </c>
      <c r="C8" t="s">
        <v>63</v>
      </c>
      <c r="D8">
        <v>60</v>
      </c>
      <c r="E8">
        <v>14</v>
      </c>
      <c r="F8">
        <f t="shared" si="0"/>
        <v>74</v>
      </c>
    </row>
    <row r="9" spans="1:6" ht="15.75" x14ac:dyDescent="0.25">
      <c r="A9" t="s">
        <v>48</v>
      </c>
      <c r="B9" s="8" t="s">
        <v>64</v>
      </c>
      <c r="C9" t="s">
        <v>65</v>
      </c>
      <c r="D9">
        <v>73</v>
      </c>
      <c r="E9">
        <v>18</v>
      </c>
      <c r="F9">
        <f t="shared" si="0"/>
        <v>91</v>
      </c>
    </row>
    <row r="10" spans="1:6" ht="15.75" x14ac:dyDescent="0.25">
      <c r="A10" t="s">
        <v>48</v>
      </c>
      <c r="B10" s="8" t="s">
        <v>66</v>
      </c>
      <c r="C10" t="s">
        <v>67</v>
      </c>
      <c r="D10">
        <v>90</v>
      </c>
      <c r="E10">
        <v>19</v>
      </c>
      <c r="F10">
        <f t="shared" si="0"/>
        <v>109</v>
      </c>
    </row>
    <row r="11" spans="1:6" ht="15.75" x14ac:dyDescent="0.25">
      <c r="A11" t="s">
        <v>51</v>
      </c>
      <c r="B11" s="8" t="s">
        <v>68</v>
      </c>
      <c r="C11" t="s">
        <v>69</v>
      </c>
      <c r="D11">
        <v>85</v>
      </c>
      <c r="E11">
        <v>20</v>
      </c>
      <c r="F11">
        <f t="shared" si="0"/>
        <v>105</v>
      </c>
    </row>
    <row r="12" spans="1:6" ht="15.75" x14ac:dyDescent="0.25">
      <c r="A12" t="s">
        <v>45</v>
      </c>
      <c r="B12" s="8" t="s">
        <v>70</v>
      </c>
      <c r="C12" t="s">
        <v>71</v>
      </c>
      <c r="D12">
        <v>78</v>
      </c>
      <c r="E12">
        <v>17</v>
      </c>
      <c r="F12">
        <f t="shared" si="0"/>
        <v>95</v>
      </c>
    </row>
    <row r="13" spans="1:6" x14ac:dyDescent="0.15">
      <c r="A13" t="s">
        <v>54</v>
      </c>
      <c r="B13" s="7" t="s">
        <v>72</v>
      </c>
      <c r="C13" t="s">
        <v>73</v>
      </c>
      <c r="D13">
        <v>69</v>
      </c>
      <c r="E13">
        <v>12</v>
      </c>
      <c r="F13">
        <f t="shared" si="0"/>
        <v>81</v>
      </c>
    </row>
    <row r="14" spans="1:6" ht="15.75" x14ac:dyDescent="0.25">
      <c r="A14" t="s">
        <v>59</v>
      </c>
      <c r="B14" s="8" t="s">
        <v>74</v>
      </c>
      <c r="C14" t="s">
        <v>75</v>
      </c>
      <c r="D14">
        <v>89</v>
      </c>
      <c r="E14">
        <v>15</v>
      </c>
      <c r="F14">
        <f t="shared" si="0"/>
        <v>104</v>
      </c>
    </row>
    <row r="15" spans="1:6" ht="15.75" x14ac:dyDescent="0.25">
      <c r="A15" t="s">
        <v>45</v>
      </c>
      <c r="B15" s="8" t="s">
        <v>76</v>
      </c>
      <c r="C15" t="s">
        <v>77</v>
      </c>
      <c r="D15">
        <v>62</v>
      </c>
      <c r="E15">
        <v>17</v>
      </c>
      <c r="F15">
        <f t="shared" si="0"/>
        <v>79</v>
      </c>
    </row>
    <row r="16" spans="1:6" ht="15.75" x14ac:dyDescent="0.25">
      <c r="A16" t="s">
        <v>51</v>
      </c>
      <c r="B16" s="8" t="s">
        <v>78</v>
      </c>
      <c r="C16" t="s">
        <v>79</v>
      </c>
      <c r="D16">
        <v>66</v>
      </c>
      <c r="E16">
        <v>16</v>
      </c>
      <c r="F16">
        <f t="shared" si="0"/>
        <v>82</v>
      </c>
    </row>
    <row r="17" spans="1:6" ht="15.75" x14ac:dyDescent="0.25">
      <c r="A17" t="s">
        <v>59</v>
      </c>
      <c r="B17" s="8" t="s">
        <v>80</v>
      </c>
      <c r="C17" t="s">
        <v>81</v>
      </c>
      <c r="D17">
        <v>78</v>
      </c>
      <c r="E17">
        <v>15</v>
      </c>
      <c r="F17">
        <f t="shared" si="0"/>
        <v>93</v>
      </c>
    </row>
    <row r="18" spans="1:6" ht="15.75" x14ac:dyDescent="0.25">
      <c r="A18" t="s">
        <v>54</v>
      </c>
      <c r="B18" s="8" t="s">
        <v>82</v>
      </c>
      <c r="C18" t="s">
        <v>83</v>
      </c>
      <c r="D18">
        <v>80</v>
      </c>
      <c r="E18">
        <v>18</v>
      </c>
      <c r="F18">
        <f t="shared" si="0"/>
        <v>98</v>
      </c>
    </row>
    <row r="19" spans="1:6" ht="15.75" x14ac:dyDescent="0.25">
      <c r="A19" t="s">
        <v>51</v>
      </c>
      <c r="B19" s="8" t="s">
        <v>84</v>
      </c>
      <c r="C19" t="s">
        <v>85</v>
      </c>
      <c r="D19">
        <v>93</v>
      </c>
      <c r="E19">
        <v>19</v>
      </c>
      <c r="F19">
        <f t="shared" si="0"/>
        <v>112</v>
      </c>
    </row>
    <row r="20" spans="1:6" ht="15.75" x14ac:dyDescent="0.25">
      <c r="A20" t="s">
        <v>59</v>
      </c>
      <c r="B20" s="8" t="s">
        <v>86</v>
      </c>
      <c r="C20" t="s">
        <v>87</v>
      </c>
      <c r="D20">
        <v>68</v>
      </c>
      <c r="E20">
        <v>20</v>
      </c>
      <c r="F20">
        <f t="shared" si="0"/>
        <v>88</v>
      </c>
    </row>
  </sheetData>
  <phoneticPr fontId="2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outlinePr summaryBelow="0"/>
  </sheetPr>
  <dimension ref="A1:F44"/>
  <sheetViews>
    <sheetView workbookViewId="0">
      <selection activeCell="E19" sqref="E19"/>
    </sheetView>
  </sheetViews>
  <sheetFormatPr defaultRowHeight="14.25" x14ac:dyDescent="0.15"/>
  <cols>
    <col min="2" max="2" width="10" customWidth="1"/>
    <col min="3" max="3" width="5.5" customWidth="1"/>
    <col min="4" max="4" width="9.5" customWidth="1"/>
    <col min="5" max="5" width="11.375" customWidth="1"/>
    <col min="6" max="6" width="11.5" customWidth="1"/>
  </cols>
  <sheetData>
    <row r="1" spans="1:6" x14ac:dyDescent="0.15">
      <c r="A1" s="12" t="s">
        <v>88</v>
      </c>
      <c r="B1" s="12"/>
      <c r="C1" s="12"/>
      <c r="D1" s="12"/>
      <c r="E1" s="12"/>
    </row>
    <row r="2" spans="1:6" x14ac:dyDescent="0.15">
      <c r="A2" t="s">
        <v>89</v>
      </c>
      <c r="B2" t="s">
        <v>90</v>
      </c>
      <c r="C2" t="s">
        <v>91</v>
      </c>
      <c r="D2" t="s">
        <v>92</v>
      </c>
      <c r="E2" t="s">
        <v>93</v>
      </c>
      <c r="F2" t="s">
        <v>95</v>
      </c>
    </row>
    <row r="3" spans="1:6" ht="15.75" x14ac:dyDescent="0.25">
      <c r="A3" t="s">
        <v>96</v>
      </c>
      <c r="B3" t="s">
        <v>94</v>
      </c>
      <c r="C3">
        <v>3</v>
      </c>
      <c r="D3">
        <v>124</v>
      </c>
      <c r="E3">
        <v>8680</v>
      </c>
      <c r="F3">
        <f t="shared" ref="F3:F44" si="0">RANK(D3,$D$3:$D$44)</f>
        <v>42</v>
      </c>
    </row>
    <row r="4" spans="1:6" ht="15.75" x14ac:dyDescent="0.25">
      <c r="A4" t="s">
        <v>96</v>
      </c>
      <c r="B4" t="s">
        <v>97</v>
      </c>
      <c r="C4">
        <v>2</v>
      </c>
      <c r="D4">
        <v>321</v>
      </c>
      <c r="E4">
        <v>9630</v>
      </c>
      <c r="F4">
        <f t="shared" si="0"/>
        <v>20</v>
      </c>
    </row>
    <row r="5" spans="1:6" ht="15.75" x14ac:dyDescent="0.25">
      <c r="A5" t="s">
        <v>98</v>
      </c>
      <c r="B5" t="s">
        <v>99</v>
      </c>
      <c r="C5">
        <v>2</v>
      </c>
      <c r="D5">
        <v>435</v>
      </c>
      <c r="E5">
        <v>21750</v>
      </c>
      <c r="F5">
        <f t="shared" si="0"/>
        <v>5</v>
      </c>
    </row>
    <row r="6" spans="1:6" ht="15.75" x14ac:dyDescent="0.25">
      <c r="A6" t="s">
        <v>100</v>
      </c>
      <c r="B6" t="s">
        <v>94</v>
      </c>
      <c r="C6">
        <v>2</v>
      </c>
      <c r="D6">
        <v>256</v>
      </c>
      <c r="E6">
        <v>17920</v>
      </c>
      <c r="F6">
        <f t="shared" si="0"/>
        <v>26</v>
      </c>
    </row>
    <row r="7" spans="1:6" ht="15.75" x14ac:dyDescent="0.25">
      <c r="A7" t="s">
        <v>100</v>
      </c>
      <c r="B7" t="s">
        <v>99</v>
      </c>
      <c r="C7">
        <v>1</v>
      </c>
      <c r="D7">
        <v>167</v>
      </c>
      <c r="E7">
        <v>8350</v>
      </c>
      <c r="F7">
        <f t="shared" si="0"/>
        <v>40</v>
      </c>
    </row>
    <row r="8" spans="1:6" ht="15.75" x14ac:dyDescent="0.25">
      <c r="A8" t="s">
        <v>96</v>
      </c>
      <c r="B8" t="s">
        <v>94</v>
      </c>
      <c r="C8">
        <v>4</v>
      </c>
      <c r="D8">
        <v>157</v>
      </c>
      <c r="E8">
        <v>10990</v>
      </c>
      <c r="F8">
        <f t="shared" si="0"/>
        <v>41</v>
      </c>
    </row>
    <row r="9" spans="1:6" ht="15.75" x14ac:dyDescent="0.25">
      <c r="A9" t="s">
        <v>98</v>
      </c>
      <c r="B9" t="s">
        <v>94</v>
      </c>
      <c r="C9">
        <v>4</v>
      </c>
      <c r="D9">
        <v>187</v>
      </c>
      <c r="E9">
        <v>13090</v>
      </c>
      <c r="F9">
        <f t="shared" si="0"/>
        <v>38</v>
      </c>
    </row>
    <row r="10" spans="1:6" ht="15.75" x14ac:dyDescent="0.25">
      <c r="A10" t="s">
        <v>96</v>
      </c>
      <c r="B10" t="s">
        <v>99</v>
      </c>
      <c r="C10">
        <v>4</v>
      </c>
      <c r="D10">
        <v>213</v>
      </c>
      <c r="E10">
        <v>10650</v>
      </c>
      <c r="F10">
        <f t="shared" si="0"/>
        <v>32</v>
      </c>
    </row>
    <row r="11" spans="1:6" ht="15.75" x14ac:dyDescent="0.25">
      <c r="A11" t="s">
        <v>100</v>
      </c>
      <c r="B11" t="s">
        <v>94</v>
      </c>
      <c r="C11">
        <v>4</v>
      </c>
      <c r="D11">
        <v>196</v>
      </c>
      <c r="E11">
        <v>13720</v>
      </c>
      <c r="F11">
        <f t="shared" si="0"/>
        <v>36</v>
      </c>
    </row>
    <row r="12" spans="1:6" ht="15.75" x14ac:dyDescent="0.25">
      <c r="A12" t="s">
        <v>100</v>
      </c>
      <c r="B12" t="s">
        <v>99</v>
      </c>
      <c r="C12">
        <v>4</v>
      </c>
      <c r="D12">
        <v>219</v>
      </c>
      <c r="E12">
        <v>10950</v>
      </c>
      <c r="F12">
        <f t="shared" si="0"/>
        <v>30</v>
      </c>
    </row>
    <row r="13" spans="1:6" ht="15.75" x14ac:dyDescent="0.25">
      <c r="A13" t="s">
        <v>100</v>
      </c>
      <c r="B13" t="s">
        <v>94</v>
      </c>
      <c r="C13">
        <v>3</v>
      </c>
      <c r="D13">
        <v>234</v>
      </c>
      <c r="E13">
        <v>16380</v>
      </c>
      <c r="F13">
        <f t="shared" si="0"/>
        <v>28</v>
      </c>
    </row>
    <row r="14" spans="1:6" ht="15.75" x14ac:dyDescent="0.25">
      <c r="A14" t="s">
        <v>100</v>
      </c>
      <c r="B14" t="s">
        <v>94</v>
      </c>
      <c r="C14">
        <v>1</v>
      </c>
      <c r="D14">
        <v>206</v>
      </c>
      <c r="E14">
        <v>14420</v>
      </c>
      <c r="F14">
        <f t="shared" si="0"/>
        <v>35</v>
      </c>
    </row>
    <row r="15" spans="1:6" ht="15.75" x14ac:dyDescent="0.25">
      <c r="A15" t="s">
        <v>100</v>
      </c>
      <c r="B15" t="s">
        <v>99</v>
      </c>
      <c r="C15">
        <v>2</v>
      </c>
      <c r="D15">
        <v>211</v>
      </c>
      <c r="E15">
        <v>10550</v>
      </c>
      <c r="F15">
        <f t="shared" si="0"/>
        <v>34</v>
      </c>
    </row>
    <row r="16" spans="1:6" ht="15.75" x14ac:dyDescent="0.25">
      <c r="A16" t="s">
        <v>96</v>
      </c>
      <c r="B16" t="s">
        <v>99</v>
      </c>
      <c r="C16">
        <v>3</v>
      </c>
      <c r="D16">
        <v>189</v>
      </c>
      <c r="E16">
        <v>9450</v>
      </c>
      <c r="F16">
        <f t="shared" si="0"/>
        <v>37</v>
      </c>
    </row>
    <row r="17" spans="1:6" ht="15.75" x14ac:dyDescent="0.25">
      <c r="A17" t="s">
        <v>100</v>
      </c>
      <c r="B17" t="s">
        <v>97</v>
      </c>
      <c r="C17">
        <v>1</v>
      </c>
      <c r="D17">
        <v>221</v>
      </c>
      <c r="E17">
        <v>6630</v>
      </c>
      <c r="F17">
        <f t="shared" si="0"/>
        <v>29</v>
      </c>
    </row>
    <row r="18" spans="1:6" ht="15.75" x14ac:dyDescent="0.25">
      <c r="A18" t="s">
        <v>96</v>
      </c>
      <c r="B18" t="s">
        <v>97</v>
      </c>
      <c r="C18">
        <v>4</v>
      </c>
      <c r="D18">
        <v>432</v>
      </c>
      <c r="E18">
        <v>12960</v>
      </c>
      <c r="F18">
        <f t="shared" si="0"/>
        <v>7</v>
      </c>
    </row>
    <row r="19" spans="1:6" ht="15.75" x14ac:dyDescent="0.25">
      <c r="A19" t="s">
        <v>98</v>
      </c>
      <c r="B19" t="s">
        <v>94</v>
      </c>
      <c r="C19">
        <v>3</v>
      </c>
      <c r="D19">
        <v>323</v>
      </c>
      <c r="E19">
        <v>22610</v>
      </c>
      <c r="F19">
        <f t="shared" si="0"/>
        <v>19</v>
      </c>
    </row>
    <row r="20" spans="1:6" ht="15.75" x14ac:dyDescent="0.25">
      <c r="A20" t="s">
        <v>98</v>
      </c>
      <c r="B20" t="s">
        <v>99</v>
      </c>
      <c r="C20">
        <v>3</v>
      </c>
      <c r="D20">
        <v>324</v>
      </c>
      <c r="E20">
        <v>16200</v>
      </c>
      <c r="F20">
        <f t="shared" si="0"/>
        <v>17</v>
      </c>
    </row>
    <row r="21" spans="1:6" ht="15.75" x14ac:dyDescent="0.25">
      <c r="A21" t="s">
        <v>98</v>
      </c>
      <c r="B21" t="s">
        <v>97</v>
      </c>
      <c r="C21">
        <v>4</v>
      </c>
      <c r="D21">
        <v>342</v>
      </c>
      <c r="E21">
        <v>10260</v>
      </c>
      <c r="F21">
        <f t="shared" si="0"/>
        <v>15</v>
      </c>
    </row>
    <row r="22" spans="1:6" ht="15.75" x14ac:dyDescent="0.25">
      <c r="A22" t="s">
        <v>96</v>
      </c>
      <c r="B22" t="s">
        <v>99</v>
      </c>
      <c r="C22">
        <v>2</v>
      </c>
      <c r="D22">
        <v>242</v>
      </c>
      <c r="E22">
        <v>7260</v>
      </c>
      <c r="F22">
        <f t="shared" si="0"/>
        <v>27</v>
      </c>
    </row>
    <row r="23" spans="1:6" ht="15.75" x14ac:dyDescent="0.25">
      <c r="A23" t="s">
        <v>96</v>
      </c>
      <c r="B23" t="s">
        <v>99</v>
      </c>
      <c r="C23">
        <v>3</v>
      </c>
      <c r="D23">
        <v>287</v>
      </c>
      <c r="E23">
        <v>14350</v>
      </c>
      <c r="F23">
        <f t="shared" si="0"/>
        <v>24</v>
      </c>
    </row>
    <row r="24" spans="1:6" ht="15.75" x14ac:dyDescent="0.25">
      <c r="A24" t="s">
        <v>98</v>
      </c>
      <c r="B24" t="s">
        <v>99</v>
      </c>
      <c r="C24">
        <v>4</v>
      </c>
      <c r="D24">
        <v>287</v>
      </c>
      <c r="E24">
        <v>14350</v>
      </c>
      <c r="F24">
        <f t="shared" si="0"/>
        <v>24</v>
      </c>
    </row>
    <row r="25" spans="1:6" ht="15.75" x14ac:dyDescent="0.25">
      <c r="A25" t="s">
        <v>100</v>
      </c>
      <c r="B25" t="s">
        <v>99</v>
      </c>
      <c r="C25">
        <v>3</v>
      </c>
      <c r="D25">
        <v>218</v>
      </c>
      <c r="E25">
        <v>10900</v>
      </c>
      <c r="F25">
        <f t="shared" si="0"/>
        <v>31</v>
      </c>
    </row>
    <row r="26" spans="1:6" ht="15.75" x14ac:dyDescent="0.25">
      <c r="A26" t="s">
        <v>96</v>
      </c>
      <c r="B26" t="s">
        <v>99</v>
      </c>
      <c r="C26">
        <v>1</v>
      </c>
      <c r="D26">
        <v>301</v>
      </c>
      <c r="E26">
        <v>15050</v>
      </c>
      <c r="F26">
        <f t="shared" si="0"/>
        <v>23</v>
      </c>
    </row>
    <row r="27" spans="1:6" ht="15.75" x14ac:dyDescent="0.25">
      <c r="A27" t="s">
        <v>96</v>
      </c>
      <c r="B27" t="s">
        <v>97</v>
      </c>
      <c r="C27">
        <v>1</v>
      </c>
      <c r="D27">
        <v>306</v>
      </c>
      <c r="E27">
        <v>9180</v>
      </c>
      <c r="F27">
        <f t="shared" si="0"/>
        <v>22</v>
      </c>
    </row>
    <row r="28" spans="1:6" ht="15.75" x14ac:dyDescent="0.25">
      <c r="A28" t="s">
        <v>96</v>
      </c>
      <c r="B28" t="s">
        <v>94</v>
      </c>
      <c r="C28">
        <v>2</v>
      </c>
      <c r="D28">
        <v>345</v>
      </c>
      <c r="E28">
        <v>24150</v>
      </c>
      <c r="F28">
        <f t="shared" si="0"/>
        <v>13</v>
      </c>
    </row>
    <row r="29" spans="1:6" ht="15.75" x14ac:dyDescent="0.25">
      <c r="A29" t="s">
        <v>100</v>
      </c>
      <c r="B29" t="s">
        <v>97</v>
      </c>
      <c r="C29">
        <v>2</v>
      </c>
      <c r="D29">
        <v>312</v>
      </c>
      <c r="E29">
        <v>9360</v>
      </c>
      <c r="F29">
        <f t="shared" si="0"/>
        <v>21</v>
      </c>
    </row>
    <row r="30" spans="1:6" ht="15.75" x14ac:dyDescent="0.25">
      <c r="A30" t="s">
        <v>96</v>
      </c>
      <c r="B30" t="s">
        <v>94</v>
      </c>
      <c r="C30">
        <v>1</v>
      </c>
      <c r="D30">
        <v>212</v>
      </c>
      <c r="E30">
        <v>14840</v>
      </c>
      <c r="F30">
        <f t="shared" si="0"/>
        <v>33</v>
      </c>
    </row>
    <row r="31" spans="1:6" ht="15.75" x14ac:dyDescent="0.25">
      <c r="A31" t="s">
        <v>98</v>
      </c>
      <c r="B31" t="s">
        <v>94</v>
      </c>
      <c r="C31">
        <v>1</v>
      </c>
      <c r="D31">
        <v>345</v>
      </c>
      <c r="E31">
        <v>24150</v>
      </c>
      <c r="F31">
        <f t="shared" si="0"/>
        <v>13</v>
      </c>
    </row>
    <row r="32" spans="1:6" ht="15.75" x14ac:dyDescent="0.25">
      <c r="A32" t="s">
        <v>98</v>
      </c>
      <c r="B32" t="s">
        <v>97</v>
      </c>
      <c r="C32">
        <v>3</v>
      </c>
      <c r="D32">
        <v>365</v>
      </c>
      <c r="E32">
        <v>10950</v>
      </c>
      <c r="F32">
        <f t="shared" si="0"/>
        <v>12</v>
      </c>
    </row>
    <row r="33" spans="1:6" ht="15.75" x14ac:dyDescent="0.25">
      <c r="A33" t="s">
        <v>98</v>
      </c>
      <c r="B33" t="s">
        <v>94</v>
      </c>
      <c r="C33">
        <v>2</v>
      </c>
      <c r="D33">
        <v>412</v>
      </c>
      <c r="E33">
        <v>28840</v>
      </c>
      <c r="F33">
        <f t="shared" si="0"/>
        <v>9</v>
      </c>
    </row>
    <row r="34" spans="1:6" ht="15.75" x14ac:dyDescent="0.25">
      <c r="A34" t="s">
        <v>100</v>
      </c>
      <c r="B34" t="s">
        <v>97</v>
      </c>
      <c r="C34">
        <v>4</v>
      </c>
      <c r="D34">
        <v>421</v>
      </c>
      <c r="E34">
        <v>12630</v>
      </c>
      <c r="F34">
        <f t="shared" si="0"/>
        <v>8</v>
      </c>
    </row>
    <row r="35" spans="1:6" ht="15.75" x14ac:dyDescent="0.25">
      <c r="A35" t="s">
        <v>100</v>
      </c>
      <c r="B35" t="s">
        <v>97</v>
      </c>
      <c r="C35">
        <v>3</v>
      </c>
      <c r="D35">
        <v>543</v>
      </c>
      <c r="E35">
        <v>16290</v>
      </c>
      <c r="F35">
        <f t="shared" si="0"/>
        <v>4</v>
      </c>
    </row>
    <row r="36" spans="1:6" ht="15.75" x14ac:dyDescent="0.25">
      <c r="A36" t="s">
        <v>98</v>
      </c>
      <c r="B36" t="s">
        <v>99</v>
      </c>
      <c r="C36">
        <v>1</v>
      </c>
      <c r="D36">
        <v>569</v>
      </c>
      <c r="E36">
        <v>28450</v>
      </c>
      <c r="F36">
        <f t="shared" si="0"/>
        <v>3</v>
      </c>
    </row>
    <row r="37" spans="1:6" ht="15.75" x14ac:dyDescent="0.25">
      <c r="A37" t="s">
        <v>98</v>
      </c>
      <c r="B37" t="s">
        <v>97</v>
      </c>
      <c r="C37">
        <v>2</v>
      </c>
      <c r="D37">
        <v>654</v>
      </c>
      <c r="E37">
        <v>19620</v>
      </c>
      <c r="F37">
        <f t="shared" si="0"/>
        <v>2</v>
      </c>
    </row>
    <row r="38" spans="1:6" ht="15.75" x14ac:dyDescent="0.25">
      <c r="A38" t="s">
        <v>98</v>
      </c>
      <c r="B38" t="s">
        <v>97</v>
      </c>
      <c r="C38">
        <v>1</v>
      </c>
      <c r="D38">
        <v>765</v>
      </c>
      <c r="E38">
        <v>22950</v>
      </c>
      <c r="F38">
        <f t="shared" si="0"/>
        <v>1</v>
      </c>
    </row>
    <row r="39" spans="1:6" ht="15.75" x14ac:dyDescent="0.25">
      <c r="A39" t="s">
        <v>96</v>
      </c>
      <c r="B39" t="s">
        <v>94</v>
      </c>
      <c r="C39">
        <v>3</v>
      </c>
      <c r="D39">
        <v>378</v>
      </c>
      <c r="E39">
        <v>26460</v>
      </c>
      <c r="F39">
        <f t="shared" si="0"/>
        <v>11</v>
      </c>
    </row>
    <row r="40" spans="1:6" ht="15.75" x14ac:dyDescent="0.25">
      <c r="A40" t="s">
        <v>96</v>
      </c>
      <c r="B40" t="s">
        <v>97</v>
      </c>
      <c r="C40">
        <v>3</v>
      </c>
      <c r="D40">
        <v>433</v>
      </c>
      <c r="E40">
        <v>12990</v>
      </c>
      <c r="F40">
        <f t="shared" si="0"/>
        <v>6</v>
      </c>
    </row>
    <row r="41" spans="1:6" ht="15.75" x14ac:dyDescent="0.25">
      <c r="A41" t="s">
        <v>96</v>
      </c>
      <c r="B41" t="s">
        <v>94</v>
      </c>
      <c r="C41">
        <v>4</v>
      </c>
      <c r="D41">
        <v>324</v>
      </c>
      <c r="E41">
        <v>22680</v>
      </c>
      <c r="F41">
        <f t="shared" si="0"/>
        <v>17</v>
      </c>
    </row>
    <row r="42" spans="1:6" ht="15.75" x14ac:dyDescent="0.25">
      <c r="A42" t="s">
        <v>98</v>
      </c>
      <c r="B42" t="s">
        <v>94</v>
      </c>
      <c r="C42">
        <v>4</v>
      </c>
      <c r="D42">
        <v>329</v>
      </c>
      <c r="E42">
        <v>23030</v>
      </c>
      <c r="F42">
        <f t="shared" si="0"/>
        <v>16</v>
      </c>
    </row>
    <row r="43" spans="1:6" ht="15.75" x14ac:dyDescent="0.25">
      <c r="A43" t="s">
        <v>100</v>
      </c>
      <c r="B43" t="s">
        <v>99</v>
      </c>
      <c r="C43">
        <v>1</v>
      </c>
      <c r="D43">
        <v>178</v>
      </c>
      <c r="E43">
        <v>8900</v>
      </c>
      <c r="F43">
        <f t="shared" si="0"/>
        <v>39</v>
      </c>
    </row>
    <row r="44" spans="1:6" ht="15.75" x14ac:dyDescent="0.25">
      <c r="A44" t="s">
        <v>100</v>
      </c>
      <c r="B44" t="s">
        <v>94</v>
      </c>
      <c r="C44">
        <v>4</v>
      </c>
      <c r="D44">
        <v>398</v>
      </c>
      <c r="E44">
        <v>27860</v>
      </c>
      <c r="F44">
        <f t="shared" si="0"/>
        <v>10</v>
      </c>
    </row>
  </sheetData>
  <mergeCells count="1">
    <mergeCell ref="A1:E1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H38"/>
  <sheetViews>
    <sheetView topLeftCell="A13" workbookViewId="0">
      <selection activeCell="D35" sqref="D35"/>
    </sheetView>
  </sheetViews>
  <sheetFormatPr defaultRowHeight="14.25" x14ac:dyDescent="0.15"/>
  <cols>
    <col min="1" max="1" width="10.375" style="5" customWidth="1"/>
    <col min="2" max="2" width="6.125" style="5" customWidth="1"/>
    <col min="3" max="4" width="9" style="5"/>
    <col min="5" max="5" width="10.125" style="5" customWidth="1"/>
    <col min="6" max="6" width="6.625" style="5" customWidth="1"/>
    <col min="7" max="7" width="14.875" style="5" customWidth="1"/>
    <col min="8" max="16384" width="9" style="5"/>
  </cols>
  <sheetData>
    <row r="1" spans="1:8" x14ac:dyDescent="0.15">
      <c r="A1" s="13" t="s">
        <v>107</v>
      </c>
      <c r="B1" s="13"/>
      <c r="C1" s="13"/>
      <c r="D1" s="13"/>
      <c r="E1" s="13"/>
      <c r="F1" s="13"/>
      <c r="G1" s="13"/>
      <c r="H1" s="13"/>
    </row>
    <row r="2" spans="1:8" x14ac:dyDescent="0.15">
      <c r="A2" s="5" t="s">
        <v>108</v>
      </c>
      <c r="B2" s="5" t="s">
        <v>109</v>
      </c>
      <c r="C2" s="5" t="s">
        <v>110</v>
      </c>
      <c r="D2" s="5" t="s">
        <v>111</v>
      </c>
      <c r="E2" s="5" t="s">
        <v>112</v>
      </c>
      <c r="F2" s="5" t="s">
        <v>113</v>
      </c>
      <c r="G2" s="5" t="s">
        <v>114</v>
      </c>
      <c r="H2" s="5" t="s">
        <v>115</v>
      </c>
    </row>
    <row r="3" spans="1:8" x14ac:dyDescent="0.15">
      <c r="A3" s="5" t="s">
        <v>116</v>
      </c>
      <c r="B3" s="5">
        <v>1</v>
      </c>
      <c r="C3" s="5" t="s">
        <v>117</v>
      </c>
      <c r="D3" s="5" t="s">
        <v>118</v>
      </c>
      <c r="E3" s="5">
        <v>2750</v>
      </c>
      <c r="F3" s="5">
        <v>35</v>
      </c>
      <c r="G3" s="9">
        <f t="shared" ref="G3:G38" si="0">E3*F3/10000</f>
        <v>9.625</v>
      </c>
      <c r="H3" s="5">
        <f t="shared" ref="H3:H38" si="1">RANK(G3,$G$3:$G$38)</f>
        <v>29</v>
      </c>
    </row>
    <row r="4" spans="1:8" x14ac:dyDescent="0.15">
      <c r="A4" s="5" t="s">
        <v>116</v>
      </c>
      <c r="B4" s="5">
        <v>1</v>
      </c>
      <c r="C4" s="5" t="s">
        <v>101</v>
      </c>
      <c r="D4" s="5" t="s">
        <v>118</v>
      </c>
      <c r="E4" s="5">
        <v>3540</v>
      </c>
      <c r="F4" s="5">
        <v>12</v>
      </c>
      <c r="G4" s="9">
        <f t="shared" si="0"/>
        <v>4.2480000000000002</v>
      </c>
      <c r="H4" s="5">
        <f t="shared" si="1"/>
        <v>35</v>
      </c>
    </row>
    <row r="5" spans="1:8" x14ac:dyDescent="0.15">
      <c r="A5" s="5" t="s">
        <v>102</v>
      </c>
      <c r="B5" s="5">
        <v>1</v>
      </c>
      <c r="C5" s="5" t="s">
        <v>119</v>
      </c>
      <c r="D5" s="5" t="s">
        <v>120</v>
      </c>
      <c r="E5" s="5">
        <v>2340</v>
      </c>
      <c r="F5" s="5">
        <v>43</v>
      </c>
      <c r="G5" s="9">
        <f t="shared" si="0"/>
        <v>10.061999999999999</v>
      </c>
      <c r="H5" s="5">
        <f t="shared" si="1"/>
        <v>28</v>
      </c>
    </row>
    <row r="6" spans="1:8" x14ac:dyDescent="0.15">
      <c r="A6" s="5" t="s">
        <v>102</v>
      </c>
      <c r="B6" s="5">
        <v>1</v>
      </c>
      <c r="C6" s="5" t="s">
        <v>103</v>
      </c>
      <c r="D6" s="5" t="s">
        <v>120</v>
      </c>
      <c r="E6" s="5">
        <v>4460</v>
      </c>
      <c r="F6" s="5">
        <v>8</v>
      </c>
      <c r="G6" s="9">
        <f t="shared" si="0"/>
        <v>3.5680000000000001</v>
      </c>
      <c r="H6" s="5">
        <f t="shared" si="1"/>
        <v>36</v>
      </c>
    </row>
    <row r="7" spans="1:8" x14ac:dyDescent="0.15">
      <c r="A7" s="5" t="s">
        <v>102</v>
      </c>
      <c r="B7" s="5">
        <v>1</v>
      </c>
      <c r="C7" s="5" t="s">
        <v>121</v>
      </c>
      <c r="D7" s="5" t="s">
        <v>122</v>
      </c>
      <c r="E7" s="5">
        <v>1380</v>
      </c>
      <c r="F7" s="5">
        <v>87</v>
      </c>
      <c r="G7" s="9">
        <f t="shared" si="0"/>
        <v>12.006</v>
      </c>
      <c r="H7" s="5">
        <f t="shared" si="1"/>
        <v>22</v>
      </c>
    </row>
    <row r="8" spans="1:8" x14ac:dyDescent="0.15">
      <c r="A8" s="5" t="s">
        <v>102</v>
      </c>
      <c r="B8" s="5">
        <v>1</v>
      </c>
      <c r="C8" s="5" t="s">
        <v>104</v>
      </c>
      <c r="D8" s="5" t="s">
        <v>122</v>
      </c>
      <c r="E8" s="5">
        <v>3210</v>
      </c>
      <c r="F8" s="5">
        <v>56</v>
      </c>
      <c r="G8" s="9">
        <f t="shared" si="0"/>
        <v>17.975999999999999</v>
      </c>
      <c r="H8" s="5">
        <f t="shared" si="1"/>
        <v>11</v>
      </c>
    </row>
    <row r="9" spans="1:8" x14ac:dyDescent="0.15">
      <c r="A9" s="5" t="s">
        <v>102</v>
      </c>
      <c r="B9" s="5">
        <v>2</v>
      </c>
      <c r="C9" s="5" t="s">
        <v>117</v>
      </c>
      <c r="D9" s="5" t="s">
        <v>118</v>
      </c>
      <c r="E9" s="5">
        <v>2750</v>
      </c>
      <c r="F9" s="5">
        <v>45</v>
      </c>
      <c r="G9" s="9">
        <f t="shared" si="0"/>
        <v>12.375</v>
      </c>
      <c r="H9" s="5">
        <f t="shared" si="1"/>
        <v>21</v>
      </c>
    </row>
    <row r="10" spans="1:8" x14ac:dyDescent="0.15">
      <c r="A10" s="5" t="s">
        <v>102</v>
      </c>
      <c r="B10" s="5">
        <v>2</v>
      </c>
      <c r="C10" s="5" t="s">
        <v>101</v>
      </c>
      <c r="D10" s="5" t="s">
        <v>118</v>
      </c>
      <c r="E10" s="5">
        <v>3540</v>
      </c>
      <c r="F10" s="5">
        <v>23</v>
      </c>
      <c r="G10" s="9">
        <f t="shared" si="0"/>
        <v>8.1419999999999995</v>
      </c>
      <c r="H10" s="5">
        <f t="shared" si="1"/>
        <v>32</v>
      </c>
    </row>
    <row r="11" spans="1:8" x14ac:dyDescent="0.15">
      <c r="A11" s="5" t="s">
        <v>102</v>
      </c>
      <c r="B11" s="5">
        <v>2</v>
      </c>
      <c r="C11" s="5" t="s">
        <v>119</v>
      </c>
      <c r="D11" s="5" t="s">
        <v>120</v>
      </c>
      <c r="E11" s="5">
        <v>2340</v>
      </c>
      <c r="F11" s="5">
        <v>79</v>
      </c>
      <c r="G11" s="9">
        <f t="shared" si="0"/>
        <v>18.486000000000001</v>
      </c>
      <c r="H11" s="5">
        <f t="shared" si="1"/>
        <v>8</v>
      </c>
    </row>
    <row r="12" spans="1:8" x14ac:dyDescent="0.15">
      <c r="A12" s="5" t="s">
        <v>102</v>
      </c>
      <c r="B12" s="5">
        <v>2</v>
      </c>
      <c r="C12" s="5" t="s">
        <v>103</v>
      </c>
      <c r="D12" s="5" t="s">
        <v>120</v>
      </c>
      <c r="E12" s="5">
        <v>4460</v>
      </c>
      <c r="F12" s="5">
        <v>68</v>
      </c>
      <c r="G12" s="9">
        <f t="shared" si="0"/>
        <v>30.327999999999999</v>
      </c>
      <c r="H12" s="5">
        <f t="shared" si="1"/>
        <v>3</v>
      </c>
    </row>
    <row r="13" spans="1:8" x14ac:dyDescent="0.15">
      <c r="A13" s="5" t="s">
        <v>102</v>
      </c>
      <c r="B13" s="5">
        <v>2</v>
      </c>
      <c r="C13" s="5" t="s">
        <v>121</v>
      </c>
      <c r="D13" s="5" t="s">
        <v>122</v>
      </c>
      <c r="E13" s="5">
        <v>1380</v>
      </c>
      <c r="F13" s="5">
        <v>91</v>
      </c>
      <c r="G13" s="9">
        <f t="shared" si="0"/>
        <v>12.558</v>
      </c>
      <c r="H13" s="5">
        <f t="shared" si="1"/>
        <v>20</v>
      </c>
    </row>
    <row r="14" spans="1:8" x14ac:dyDescent="0.15">
      <c r="A14" s="5" t="s">
        <v>102</v>
      </c>
      <c r="B14" s="5">
        <v>2</v>
      </c>
      <c r="C14" s="5" t="s">
        <v>104</v>
      </c>
      <c r="D14" s="5" t="s">
        <v>122</v>
      </c>
      <c r="E14" s="5">
        <v>3210</v>
      </c>
      <c r="F14" s="5">
        <v>34</v>
      </c>
      <c r="G14" s="9">
        <f t="shared" si="0"/>
        <v>10.914</v>
      </c>
      <c r="H14" s="5">
        <f t="shared" si="1"/>
        <v>25</v>
      </c>
    </row>
    <row r="15" spans="1:8" x14ac:dyDescent="0.15">
      <c r="A15" s="5" t="s">
        <v>123</v>
      </c>
      <c r="B15" s="5">
        <v>1</v>
      </c>
      <c r="C15" s="5" t="s">
        <v>117</v>
      </c>
      <c r="D15" s="5" t="s">
        <v>118</v>
      </c>
      <c r="E15" s="5">
        <v>2750</v>
      </c>
      <c r="F15" s="5">
        <v>65</v>
      </c>
      <c r="G15" s="9">
        <f t="shared" si="0"/>
        <v>17.875</v>
      </c>
      <c r="H15" s="5">
        <f t="shared" si="1"/>
        <v>12</v>
      </c>
    </row>
    <row r="16" spans="1:8" x14ac:dyDescent="0.15">
      <c r="A16" s="5" t="s">
        <v>123</v>
      </c>
      <c r="B16" s="5">
        <v>1</v>
      </c>
      <c r="C16" s="5" t="s">
        <v>101</v>
      </c>
      <c r="D16" s="5" t="s">
        <v>118</v>
      </c>
      <c r="E16" s="5">
        <v>3540</v>
      </c>
      <c r="F16" s="5">
        <v>75</v>
      </c>
      <c r="G16" s="9">
        <f t="shared" si="0"/>
        <v>26.55</v>
      </c>
      <c r="H16" s="5">
        <f t="shared" si="1"/>
        <v>4</v>
      </c>
    </row>
    <row r="17" spans="1:8" x14ac:dyDescent="0.15">
      <c r="A17" s="5" t="s">
        <v>105</v>
      </c>
      <c r="B17" s="5">
        <v>1</v>
      </c>
      <c r="C17" s="5" t="s">
        <v>119</v>
      </c>
      <c r="D17" s="5" t="s">
        <v>120</v>
      </c>
      <c r="E17" s="5">
        <v>2340</v>
      </c>
      <c r="F17" s="5">
        <v>33</v>
      </c>
      <c r="G17" s="9">
        <f t="shared" si="0"/>
        <v>7.7220000000000004</v>
      </c>
      <c r="H17" s="5">
        <f t="shared" si="1"/>
        <v>33</v>
      </c>
    </row>
    <row r="18" spans="1:8" x14ac:dyDescent="0.15">
      <c r="A18" s="5" t="s">
        <v>105</v>
      </c>
      <c r="B18" s="5">
        <v>1</v>
      </c>
      <c r="C18" s="5" t="s">
        <v>103</v>
      </c>
      <c r="D18" s="5" t="s">
        <v>120</v>
      </c>
      <c r="E18" s="5">
        <v>4460</v>
      </c>
      <c r="F18" s="5">
        <v>24</v>
      </c>
      <c r="G18" s="9">
        <f t="shared" si="0"/>
        <v>10.704000000000001</v>
      </c>
      <c r="H18" s="5">
        <f t="shared" si="1"/>
        <v>26</v>
      </c>
    </row>
    <row r="19" spans="1:8" x14ac:dyDescent="0.15">
      <c r="A19" s="5" t="s">
        <v>105</v>
      </c>
      <c r="B19" s="5">
        <v>1</v>
      </c>
      <c r="C19" s="5" t="s">
        <v>121</v>
      </c>
      <c r="D19" s="5" t="s">
        <v>122</v>
      </c>
      <c r="E19" s="5">
        <v>1380</v>
      </c>
      <c r="F19" s="5">
        <v>65</v>
      </c>
      <c r="G19" s="9">
        <f t="shared" si="0"/>
        <v>8.9700000000000006</v>
      </c>
      <c r="H19" s="5">
        <f t="shared" si="1"/>
        <v>31</v>
      </c>
    </row>
    <row r="20" spans="1:8" x14ac:dyDescent="0.15">
      <c r="A20" s="5" t="s">
        <v>105</v>
      </c>
      <c r="B20" s="5">
        <v>1</v>
      </c>
      <c r="C20" s="5" t="s">
        <v>104</v>
      </c>
      <c r="D20" s="5" t="s">
        <v>122</v>
      </c>
      <c r="E20" s="5">
        <v>3210</v>
      </c>
      <c r="F20" s="5">
        <v>96</v>
      </c>
      <c r="G20" s="9">
        <f t="shared" si="0"/>
        <v>30.815999999999999</v>
      </c>
      <c r="H20" s="5">
        <f t="shared" si="1"/>
        <v>2</v>
      </c>
    </row>
    <row r="21" spans="1:8" x14ac:dyDescent="0.15">
      <c r="A21" s="5" t="s">
        <v>105</v>
      </c>
      <c r="B21" s="5">
        <v>2</v>
      </c>
      <c r="C21" s="5" t="s">
        <v>117</v>
      </c>
      <c r="D21" s="5" t="s">
        <v>118</v>
      </c>
      <c r="E21" s="5">
        <v>2750</v>
      </c>
      <c r="F21" s="5">
        <v>72</v>
      </c>
      <c r="G21" s="9">
        <f t="shared" si="0"/>
        <v>19.8</v>
      </c>
      <c r="H21" s="5">
        <f t="shared" si="1"/>
        <v>6</v>
      </c>
    </row>
    <row r="22" spans="1:8" x14ac:dyDescent="0.15">
      <c r="A22" s="5" t="s">
        <v>105</v>
      </c>
      <c r="B22" s="5">
        <v>2</v>
      </c>
      <c r="C22" s="5" t="s">
        <v>101</v>
      </c>
      <c r="D22" s="5" t="s">
        <v>118</v>
      </c>
      <c r="E22" s="5">
        <v>3540</v>
      </c>
      <c r="F22" s="5">
        <v>36</v>
      </c>
      <c r="G22" s="9">
        <f t="shared" si="0"/>
        <v>12.744</v>
      </c>
      <c r="H22" s="5">
        <f t="shared" si="1"/>
        <v>17</v>
      </c>
    </row>
    <row r="23" spans="1:8" x14ac:dyDescent="0.15">
      <c r="A23" s="5" t="s">
        <v>105</v>
      </c>
      <c r="B23" s="5">
        <v>2</v>
      </c>
      <c r="C23" s="5" t="s">
        <v>119</v>
      </c>
      <c r="D23" s="5" t="s">
        <v>120</v>
      </c>
      <c r="E23" s="5">
        <v>2340</v>
      </c>
      <c r="F23" s="5">
        <v>54</v>
      </c>
      <c r="G23" s="9">
        <f t="shared" si="0"/>
        <v>12.635999999999999</v>
      </c>
      <c r="H23" s="5">
        <f t="shared" si="1"/>
        <v>19</v>
      </c>
    </row>
    <row r="24" spans="1:8" x14ac:dyDescent="0.15">
      <c r="A24" s="5" t="s">
        <v>105</v>
      </c>
      <c r="B24" s="5">
        <v>2</v>
      </c>
      <c r="C24" s="5" t="s">
        <v>103</v>
      </c>
      <c r="D24" s="5" t="s">
        <v>120</v>
      </c>
      <c r="E24" s="5">
        <v>4460</v>
      </c>
      <c r="F24" s="5">
        <v>37</v>
      </c>
      <c r="G24" s="9">
        <f t="shared" si="0"/>
        <v>16.501999999999999</v>
      </c>
      <c r="H24" s="5">
        <f t="shared" si="1"/>
        <v>13</v>
      </c>
    </row>
    <row r="25" spans="1:8" x14ac:dyDescent="0.15">
      <c r="A25" s="5" t="s">
        <v>105</v>
      </c>
      <c r="B25" s="5">
        <v>2</v>
      </c>
      <c r="C25" s="5" t="s">
        <v>121</v>
      </c>
      <c r="D25" s="5" t="s">
        <v>122</v>
      </c>
      <c r="E25" s="5">
        <v>1380</v>
      </c>
      <c r="F25" s="5">
        <v>73</v>
      </c>
      <c r="G25" s="9">
        <f t="shared" si="0"/>
        <v>10.074</v>
      </c>
      <c r="H25" s="5">
        <f t="shared" si="1"/>
        <v>27</v>
      </c>
    </row>
    <row r="26" spans="1:8" x14ac:dyDescent="0.15">
      <c r="A26" s="5" t="s">
        <v>105</v>
      </c>
      <c r="B26" s="5">
        <v>2</v>
      </c>
      <c r="C26" s="5" t="s">
        <v>104</v>
      </c>
      <c r="D26" s="5" t="s">
        <v>122</v>
      </c>
      <c r="E26" s="5">
        <v>3210</v>
      </c>
      <c r="F26" s="5">
        <v>43</v>
      </c>
      <c r="G26" s="9">
        <f t="shared" si="0"/>
        <v>13.803000000000001</v>
      </c>
      <c r="H26" s="5">
        <f t="shared" si="1"/>
        <v>15</v>
      </c>
    </row>
    <row r="27" spans="1:8" x14ac:dyDescent="0.15">
      <c r="A27" s="5" t="s">
        <v>124</v>
      </c>
      <c r="B27" s="5">
        <v>1</v>
      </c>
      <c r="C27" s="5" t="s">
        <v>117</v>
      </c>
      <c r="D27" s="5" t="s">
        <v>118</v>
      </c>
      <c r="E27" s="5">
        <v>2750</v>
      </c>
      <c r="F27" s="5">
        <v>66</v>
      </c>
      <c r="G27" s="9">
        <f t="shared" si="0"/>
        <v>18.149999999999999</v>
      </c>
      <c r="H27" s="5">
        <f t="shared" si="1"/>
        <v>10</v>
      </c>
    </row>
    <row r="28" spans="1:8" x14ac:dyDescent="0.15">
      <c r="A28" s="5" t="s">
        <v>124</v>
      </c>
      <c r="B28" s="5">
        <v>1</v>
      </c>
      <c r="C28" s="5" t="s">
        <v>101</v>
      </c>
      <c r="D28" s="5" t="s">
        <v>118</v>
      </c>
      <c r="E28" s="5">
        <v>3540</v>
      </c>
      <c r="F28" s="5">
        <v>45</v>
      </c>
      <c r="G28" s="9">
        <f t="shared" si="0"/>
        <v>15.93</v>
      </c>
      <c r="H28" s="5">
        <f t="shared" si="1"/>
        <v>14</v>
      </c>
    </row>
    <row r="29" spans="1:8" x14ac:dyDescent="0.15">
      <c r="A29" s="5" t="s">
        <v>106</v>
      </c>
      <c r="B29" s="5">
        <v>1</v>
      </c>
      <c r="C29" s="5" t="s">
        <v>119</v>
      </c>
      <c r="D29" s="5" t="s">
        <v>120</v>
      </c>
      <c r="E29" s="5">
        <v>2340</v>
      </c>
      <c r="F29" s="5">
        <v>39</v>
      </c>
      <c r="G29" s="9">
        <f t="shared" si="0"/>
        <v>9.1259999999999994</v>
      </c>
      <c r="H29" s="5">
        <f t="shared" si="1"/>
        <v>30</v>
      </c>
    </row>
    <row r="30" spans="1:8" x14ac:dyDescent="0.15">
      <c r="A30" s="5" t="s">
        <v>106</v>
      </c>
      <c r="B30" s="5">
        <v>1</v>
      </c>
      <c r="C30" s="5" t="s">
        <v>103</v>
      </c>
      <c r="D30" s="5" t="s">
        <v>120</v>
      </c>
      <c r="E30" s="5">
        <v>4460</v>
      </c>
      <c r="F30" s="5">
        <v>76</v>
      </c>
      <c r="G30" s="9">
        <f t="shared" si="0"/>
        <v>33.896000000000001</v>
      </c>
      <c r="H30" s="5">
        <f t="shared" si="1"/>
        <v>1</v>
      </c>
    </row>
    <row r="31" spans="1:8" x14ac:dyDescent="0.15">
      <c r="A31" s="5" t="s">
        <v>106</v>
      </c>
      <c r="B31" s="5">
        <v>1</v>
      </c>
      <c r="C31" s="5" t="s">
        <v>121</v>
      </c>
      <c r="D31" s="5" t="s">
        <v>122</v>
      </c>
      <c r="E31" s="5">
        <v>1380</v>
      </c>
      <c r="F31" s="5">
        <v>84</v>
      </c>
      <c r="G31" s="9">
        <f t="shared" si="0"/>
        <v>11.592000000000001</v>
      </c>
      <c r="H31" s="5">
        <f t="shared" si="1"/>
        <v>24</v>
      </c>
    </row>
    <row r="32" spans="1:8" x14ac:dyDescent="0.15">
      <c r="A32" s="5" t="s">
        <v>106</v>
      </c>
      <c r="B32" s="5">
        <v>1</v>
      </c>
      <c r="C32" s="5" t="s">
        <v>104</v>
      </c>
      <c r="D32" s="5" t="s">
        <v>122</v>
      </c>
      <c r="E32" s="5">
        <v>3210</v>
      </c>
      <c r="F32" s="5">
        <v>57</v>
      </c>
      <c r="G32" s="9">
        <f t="shared" si="0"/>
        <v>18.297000000000001</v>
      </c>
      <c r="H32" s="5">
        <f t="shared" si="1"/>
        <v>9</v>
      </c>
    </row>
    <row r="33" spans="1:8" x14ac:dyDescent="0.15">
      <c r="A33" s="5" t="s">
        <v>106</v>
      </c>
      <c r="B33" s="5">
        <v>2</v>
      </c>
      <c r="C33" s="5" t="s">
        <v>117</v>
      </c>
      <c r="D33" s="5" t="s">
        <v>118</v>
      </c>
      <c r="E33" s="5">
        <v>2750</v>
      </c>
      <c r="F33" s="5">
        <v>46</v>
      </c>
      <c r="G33" s="9">
        <f t="shared" si="0"/>
        <v>12.65</v>
      </c>
      <c r="H33" s="5">
        <f t="shared" si="1"/>
        <v>18</v>
      </c>
    </row>
    <row r="34" spans="1:8" x14ac:dyDescent="0.15">
      <c r="A34" s="5" t="s">
        <v>106</v>
      </c>
      <c r="B34" s="5">
        <v>2</v>
      </c>
      <c r="C34" s="5" t="s">
        <v>101</v>
      </c>
      <c r="D34" s="5" t="s">
        <v>118</v>
      </c>
      <c r="E34" s="5">
        <v>3540</v>
      </c>
      <c r="F34" s="5">
        <v>64</v>
      </c>
      <c r="G34" s="9">
        <f t="shared" si="0"/>
        <v>22.655999999999999</v>
      </c>
      <c r="H34" s="5">
        <f t="shared" si="1"/>
        <v>5</v>
      </c>
    </row>
    <row r="35" spans="1:8" x14ac:dyDescent="0.15">
      <c r="A35" s="5" t="s">
        <v>106</v>
      </c>
      <c r="B35" s="5">
        <v>2</v>
      </c>
      <c r="C35" s="5" t="s">
        <v>119</v>
      </c>
      <c r="D35" s="5" t="s">
        <v>120</v>
      </c>
      <c r="E35" s="5">
        <v>2340</v>
      </c>
      <c r="F35" s="5">
        <v>51</v>
      </c>
      <c r="G35" s="9">
        <f t="shared" si="0"/>
        <v>11.933999999999999</v>
      </c>
      <c r="H35" s="5">
        <f t="shared" si="1"/>
        <v>23</v>
      </c>
    </row>
    <row r="36" spans="1:8" x14ac:dyDescent="0.15">
      <c r="A36" s="5" t="s">
        <v>106</v>
      </c>
      <c r="B36" s="5">
        <v>2</v>
      </c>
      <c r="C36" s="5" t="s">
        <v>103</v>
      </c>
      <c r="D36" s="5" t="s">
        <v>120</v>
      </c>
      <c r="E36" s="5">
        <v>4460</v>
      </c>
      <c r="F36" s="5">
        <v>42</v>
      </c>
      <c r="G36" s="9">
        <f t="shared" si="0"/>
        <v>18.731999999999999</v>
      </c>
      <c r="H36" s="5">
        <f t="shared" si="1"/>
        <v>7</v>
      </c>
    </row>
    <row r="37" spans="1:8" x14ac:dyDescent="0.15">
      <c r="A37" s="5" t="s">
        <v>106</v>
      </c>
      <c r="B37" s="5">
        <v>2</v>
      </c>
      <c r="C37" s="5" t="s">
        <v>121</v>
      </c>
      <c r="D37" s="5" t="s">
        <v>122</v>
      </c>
      <c r="E37" s="5">
        <v>1380</v>
      </c>
      <c r="F37" s="5">
        <v>35</v>
      </c>
      <c r="G37" s="9">
        <f t="shared" si="0"/>
        <v>4.83</v>
      </c>
      <c r="H37" s="5">
        <f t="shared" si="1"/>
        <v>34</v>
      </c>
    </row>
    <row r="38" spans="1:8" x14ac:dyDescent="0.15">
      <c r="A38" s="5" t="s">
        <v>106</v>
      </c>
      <c r="B38" s="5">
        <v>2</v>
      </c>
      <c r="C38" s="5" t="s">
        <v>104</v>
      </c>
      <c r="D38" s="5" t="s">
        <v>122</v>
      </c>
      <c r="E38" s="5">
        <v>3210</v>
      </c>
      <c r="F38" s="5">
        <v>43</v>
      </c>
      <c r="G38" s="9">
        <f t="shared" si="0"/>
        <v>13.803000000000001</v>
      </c>
      <c r="H38" s="5">
        <f t="shared" si="1"/>
        <v>15</v>
      </c>
    </row>
  </sheetData>
  <mergeCells count="1">
    <mergeCell ref="A1:H1"/>
  </mergeCells>
  <phoneticPr fontId="2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C13"/>
  <sheetViews>
    <sheetView workbookViewId="0">
      <selection activeCell="I26" sqref="I26"/>
    </sheetView>
  </sheetViews>
  <sheetFormatPr defaultRowHeight="14.25" x14ac:dyDescent="0.15"/>
  <cols>
    <col min="1" max="1" width="10.25" customWidth="1"/>
    <col min="2" max="2" width="16.125" bestFit="1" customWidth="1"/>
    <col min="3" max="3" width="9.5" bestFit="1" customWidth="1"/>
  </cols>
  <sheetData>
    <row r="1" spans="1:3" x14ac:dyDescent="0.15">
      <c r="A1" s="4" t="s">
        <v>145</v>
      </c>
      <c r="B1" s="4"/>
      <c r="C1" s="4"/>
    </row>
    <row r="2" spans="1:3" x14ac:dyDescent="0.15">
      <c r="A2" s="10" t="s">
        <v>146</v>
      </c>
      <c r="B2" s="10" t="s">
        <v>147</v>
      </c>
      <c r="C2" s="10" t="s">
        <v>148</v>
      </c>
    </row>
    <row r="3" spans="1:3" x14ac:dyDescent="0.15">
      <c r="A3" s="10" t="s">
        <v>149</v>
      </c>
      <c r="B3" s="10">
        <v>10886</v>
      </c>
      <c r="C3" s="10"/>
    </row>
    <row r="4" spans="1:3" x14ac:dyDescent="0.15">
      <c r="A4" s="10" t="s">
        <v>150</v>
      </c>
      <c r="B4" s="10">
        <v>25194</v>
      </c>
      <c r="C4" s="10"/>
    </row>
    <row r="5" spans="1:3" x14ac:dyDescent="0.15">
      <c r="A5" s="10" t="s">
        <v>151</v>
      </c>
      <c r="B5" s="10">
        <v>39013</v>
      </c>
      <c r="C5" s="10"/>
    </row>
    <row r="6" spans="1:3" x14ac:dyDescent="0.15">
      <c r="A6" s="10" t="s">
        <v>152</v>
      </c>
      <c r="B6" s="10">
        <v>22758</v>
      </c>
      <c r="C6" s="10"/>
    </row>
    <row r="7" spans="1:3" x14ac:dyDescent="0.15">
      <c r="A7" s="10" t="s">
        <v>153</v>
      </c>
      <c r="B7" s="10">
        <v>28900</v>
      </c>
      <c r="C7" s="10"/>
    </row>
    <row r="8" spans="1:3" x14ac:dyDescent="0.15">
      <c r="A8" s="10" t="s">
        <v>154</v>
      </c>
      <c r="B8" s="10">
        <v>52700</v>
      </c>
      <c r="C8" s="10"/>
    </row>
    <row r="9" spans="1:3" x14ac:dyDescent="0.15">
      <c r="A9" s="10" t="s">
        <v>155</v>
      </c>
      <c r="B9" s="10">
        <v>46347</v>
      </c>
      <c r="C9" s="10"/>
    </row>
    <row r="10" spans="1:3" x14ac:dyDescent="0.15">
      <c r="A10" s="10" t="s">
        <v>156</v>
      </c>
      <c r="B10" s="10">
        <v>34242</v>
      </c>
      <c r="C10" s="10"/>
    </row>
    <row r="11" spans="1:3" x14ac:dyDescent="0.15">
      <c r="A11" s="10" t="s">
        <v>157</v>
      </c>
      <c r="B11" s="10">
        <v>54868</v>
      </c>
      <c r="C11" s="10"/>
    </row>
    <row r="12" spans="1:3" x14ac:dyDescent="0.15">
      <c r="A12" s="10" t="s">
        <v>158</v>
      </c>
      <c r="B12" s="10">
        <v>60239</v>
      </c>
      <c r="C12" s="10"/>
    </row>
    <row r="13" spans="1:3" x14ac:dyDescent="0.15">
      <c r="A13" s="10" t="s">
        <v>159</v>
      </c>
      <c r="B13" s="10"/>
      <c r="C13" s="10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Sheet1</vt:lpstr>
      <vt:lpstr>成绩统计表</vt:lpstr>
      <vt:lpstr>竞赛成绩统计表</vt:lpstr>
      <vt:lpstr>“计算机动画技术”成绩单</vt:lpstr>
      <vt:lpstr>图书销售情况表</vt:lpstr>
      <vt:lpstr>产品销售情况表</vt:lpstr>
      <vt:lpstr>所占比例</vt:lpstr>
    </vt:vector>
  </TitlesOfParts>
  <Company>ysy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ysy</dc:creator>
  <cp:lastModifiedBy>86133</cp:lastModifiedBy>
  <dcterms:created xsi:type="dcterms:W3CDTF">2005-08-26T00:13:01Z</dcterms:created>
  <dcterms:modified xsi:type="dcterms:W3CDTF">2022-05-19T01:47:36Z</dcterms:modified>
</cp:coreProperties>
</file>
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1"/>
  </bookViews>
  <sheets>
    <sheet name="商品销售情况统计表" sheetId="1" r:id="rId1"/>
    <sheet name="分类汇总" sheetId="2" r:id="rId2"/>
    <sheet name="图表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<sst xmlns="http://schemas.openxmlformats.org/spreadsheetml/2006/main" count="227" uniqueCount="19">
  <si>
    <t>2020-2021商品销售情况统计表</t>
  </si>
  <si>
    <t>求和项:总价</t>
  </si>
  <si>
    <t>列标签</t>
  </si>
  <si>
    <t>型号</t>
  </si>
  <si>
    <t>生产年份</t>
  </si>
  <si>
    <t>类别</t>
  </si>
  <si>
    <t>数量</t>
  </si>
  <si>
    <t>单价</t>
  </si>
  <si>
    <t>总价</t>
  </si>
  <si>
    <t>行标签</t>
  </si>
  <si>
    <t>百货2020C</t>
  </si>
  <si>
    <t>百货2021C</t>
  </si>
  <si>
    <t>总计</t>
  </si>
  <si>
    <t xml:space="preserve">进口                                                                                                    </t>
  </si>
  <si>
    <t>2020</t>
  </si>
  <si>
    <t>2021</t>
  </si>
  <si>
    <t>自产</t>
  </si>
  <si>
    <t>百货2020C 汇总</t>
  </si>
  <si>
    <t>百货2021C 汇总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</si>
</sst>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4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楷体" panose="02010609060101010101" pitchFamily="49" charset="-122"/>
                <a:sym typeface="楷体" panose="02010609060101010101" pitchFamily="49" charset="-122"/>
              </a:defRPr>
            </a:pPr>
            <a:r>
              <a:rPr sz="1200">
                <a:latin typeface="楷体" panose="02010609060101010101" pitchFamily="49" charset="-122"/>
                <a:ea typeface="楷体" panose="02010609060101010101" pitchFamily="49" charset="-122"/>
                <a:cs typeface="楷体" panose="02010609060101010101" pitchFamily="49" charset="-122"/>
                <a:sym typeface="楷体" panose="02010609060101010101" pitchFamily="49" charset="-122"/>
              </a:rPr>
              <a:t>单价对比图</a:t>
            </a:r>
            <a:endParaRPr sz="1200">
              <a:latin typeface="楷体" panose="02010609060101010101" pitchFamily="49" charset="-122"/>
              <a:ea typeface="楷体" panose="02010609060101010101" pitchFamily="49" charset="-122"/>
              <a:cs typeface="楷体" panose="02010609060101010101" pitchFamily="49" charset="-122"/>
              <a:sym typeface="楷体" panose="0201060906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商品销售情况统计表!$E$2</c:f>
              <c:strCache>
                <c:ptCount val="1"/>
                <c:pt idx="0">
                  <c:v>单价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商品销售情况统计表!$A$3:$A$10</c:f>
              <c:strCache>
                <c:ptCount val="8"/>
                <c:pt idx="0">
                  <c:v>百货2020C</c:v>
                </c:pt>
                <c:pt idx="1">
                  <c:v>百货2020C</c:v>
                </c:pt>
                <c:pt idx="2">
                  <c:v>百货2020C</c:v>
                </c:pt>
                <c:pt idx="3">
                  <c:v>百货2020C</c:v>
                </c:pt>
                <c:pt idx="4">
                  <c:v>百货2020C</c:v>
                </c:pt>
                <c:pt idx="5">
                  <c:v>百货2020C</c:v>
                </c:pt>
                <c:pt idx="6">
                  <c:v>百货2020C</c:v>
                </c:pt>
                <c:pt idx="7">
                  <c:v>百货2020C</c:v>
                </c:pt>
              </c:strCache>
            </c:strRef>
          </c:cat>
          <c:val>
            <c:numRef>
              <c:f>商品销售情况统计表!$E$3:$E$10</c:f>
              <c:numCache>
                <c:formatCode>General</c:formatCode>
                <c:ptCount val="8"/>
                <c:pt idx="0">
                  <c:v>24</c:v>
                </c:pt>
                <c:pt idx="1">
                  <c:v>15</c:v>
                </c:pt>
                <c:pt idx="2">
                  <c:v>42</c:v>
                </c:pt>
                <c:pt idx="3">
                  <c:v>65</c:v>
                </c:pt>
                <c:pt idx="4">
                  <c:v>15</c:v>
                </c:pt>
                <c:pt idx="5">
                  <c:v>62</c:v>
                </c:pt>
                <c:pt idx="6">
                  <c:v>48</c:v>
                </c:pt>
                <c:pt idx="7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7570688"/>
        <c:axId val="217572480"/>
      </c:barChart>
      <c:catAx>
        <c:axId val="217570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72480"/>
        <c:crosses val="autoZero"/>
        <c:auto val="1"/>
        <c:lblAlgn val="ctr"/>
        <c:lblOffset val="100"/>
        <c:noMultiLvlLbl val="0"/>
      </c:catAx>
      <c:valAx>
        <c:axId val="217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>
      <xdr:nvGraphicFramePr>
        <xdr:cNvPr id="2" name="图表 1"/>
        <xdr:cNvGraphicFramePr/>
      </xdr:nvGraphicFramePr>
      <xdr:xfrm>
        <a:off x="3366770" y="247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566.5445822917" refreshedBy="作者" recordCount="50">
  <cacheSource type="worksheet">
    <worksheetSource ref="A2:F52" sheet="商品销售情况统计表"/>
  </cacheSource>
  <cacheFields count="6">
    <cacheField name="型号" numFmtId="0">
      <sharedItems count="2">
        <s v="百货2020C"/>
        <s v="百货2021C"/>
      </sharedItems>
    </cacheField>
    <cacheField name="生产年份" numFmtId="0">
      <sharedItems count="2">
        <s v="2020"/>
        <s v="2021"/>
      </sharedItems>
    </cacheField>
    <cacheField name="类别" numFmtId="0"/>
    <cacheField name="数量" numFmtId="0"/>
    <cacheField name="单价" numFmtId="0"/>
    <cacheField name="总价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进口                                                                                                    "/>
    <n v="13644"/>
    <n v="24"/>
    <n v="327456"/>
  </r>
  <r>
    <x v="0"/>
    <x v="0"/>
    <s v="进口                                                                                                    "/>
    <n v="1872"/>
    <n v="15"/>
    <n v="28080"/>
  </r>
  <r>
    <x v="0"/>
    <x v="0"/>
    <s v="进口                                                                                                    "/>
    <n v="1332"/>
    <n v="42"/>
    <n v="55944"/>
  </r>
  <r>
    <x v="0"/>
    <x v="0"/>
    <s v="进口                                                                                                    "/>
    <n v="1044"/>
    <n v="65"/>
    <n v="67860"/>
  </r>
  <r>
    <x v="0"/>
    <x v="0"/>
    <s v="进口                                                                                                    "/>
    <n v="1440"/>
    <n v="15"/>
    <n v="21600"/>
  </r>
  <r>
    <x v="0"/>
    <x v="0"/>
    <s v="进口                                                                                                    "/>
    <n v="7344"/>
    <n v="62"/>
    <n v="455328"/>
  </r>
  <r>
    <x v="0"/>
    <x v="0"/>
    <s v="进口                                                                                                    "/>
    <n v="8542"/>
    <n v="48"/>
    <n v="410016"/>
  </r>
  <r>
    <x v="0"/>
    <x v="0"/>
    <s v="进口                                                                                                    "/>
    <n v="1452"/>
    <n v="52"/>
    <n v="75504"/>
  </r>
  <r>
    <x v="0"/>
    <x v="0"/>
    <s v="进口                                                                                                    "/>
    <n v="4751"/>
    <n v="62"/>
    <n v="294562"/>
  </r>
  <r>
    <x v="0"/>
    <x v="0"/>
    <s v="自产"/>
    <n v="12452"/>
    <n v="35"/>
    <n v="435820"/>
  </r>
  <r>
    <x v="0"/>
    <x v="0"/>
    <s v="自产"/>
    <n v="3251"/>
    <n v="21"/>
    <n v="68271"/>
  </r>
  <r>
    <x v="0"/>
    <x v="0"/>
    <s v="自产"/>
    <n v="6501"/>
    <n v="56"/>
    <n v="364056"/>
  </r>
  <r>
    <x v="0"/>
    <x v="0"/>
    <s v="自产"/>
    <n v="2541"/>
    <n v="25"/>
    <n v="63525"/>
  </r>
  <r>
    <x v="0"/>
    <x v="0"/>
    <s v="自产"/>
    <n v="3582"/>
    <n v="45"/>
    <n v="161190"/>
  </r>
  <r>
    <x v="0"/>
    <x v="0"/>
    <s v="自产"/>
    <n v="1562"/>
    <n v="13"/>
    <n v="20306"/>
  </r>
  <r>
    <x v="0"/>
    <x v="0"/>
    <s v="自产"/>
    <n v="8756"/>
    <n v="62"/>
    <n v="542872"/>
  </r>
  <r>
    <x v="0"/>
    <x v="0"/>
    <s v="自产"/>
    <n v="5456"/>
    <n v="89"/>
    <n v="485584"/>
  </r>
  <r>
    <x v="0"/>
    <x v="0"/>
    <s v="自产"/>
    <n v="6521"/>
    <n v="36"/>
    <n v="234756"/>
  </r>
  <r>
    <x v="0"/>
    <x v="0"/>
    <s v="自产"/>
    <n v="4152"/>
    <n v="21"/>
    <n v="87192"/>
  </r>
  <r>
    <x v="0"/>
    <x v="0"/>
    <s v="自产"/>
    <n v="6523"/>
    <n v="32"/>
    <n v="208736"/>
  </r>
  <r>
    <x v="0"/>
    <x v="0"/>
    <s v="自产"/>
    <n v="833"/>
    <n v="45"/>
    <n v="37485"/>
  </r>
  <r>
    <x v="1"/>
    <x v="1"/>
    <s v="进口                                                                                                    "/>
    <n v="720"/>
    <n v="74"/>
    <n v="53280"/>
  </r>
  <r>
    <x v="1"/>
    <x v="1"/>
    <s v="进口                                                                                                    "/>
    <n v="568"/>
    <n v="12"/>
    <n v="6816"/>
  </r>
  <r>
    <x v="1"/>
    <x v="1"/>
    <s v="进口                                                                                                    "/>
    <n v="4850"/>
    <n v="35"/>
    <n v="169750"/>
  </r>
  <r>
    <x v="1"/>
    <x v="1"/>
    <s v="进口                                                                                                    "/>
    <n v="742"/>
    <n v="85"/>
    <n v="63070"/>
  </r>
  <r>
    <x v="1"/>
    <x v="1"/>
    <s v="进口                                                                                                    "/>
    <n v="6521"/>
    <n v="64"/>
    <n v="417344"/>
  </r>
  <r>
    <x v="1"/>
    <x v="1"/>
    <s v="进口                                                                                                    "/>
    <n v="2154"/>
    <n v="32"/>
    <n v="68928"/>
  </r>
  <r>
    <x v="1"/>
    <x v="1"/>
    <s v="进口                                                                                                    "/>
    <n v="391"/>
    <n v="31"/>
    <n v="12121"/>
  </r>
  <r>
    <x v="1"/>
    <x v="1"/>
    <s v="进口                                                                                                    "/>
    <n v="4521"/>
    <n v="42"/>
    <n v="189882"/>
  </r>
  <r>
    <x v="1"/>
    <x v="1"/>
    <s v="进口                                                                                                    "/>
    <n v="5415"/>
    <n v="15"/>
    <n v="81225"/>
  </r>
  <r>
    <x v="1"/>
    <x v="1"/>
    <s v="进口                                                                                                    "/>
    <n v="5456"/>
    <n v="36"/>
    <n v="196416"/>
  </r>
  <r>
    <x v="1"/>
    <x v="1"/>
    <s v="进口                                                                                                    "/>
    <n v="2132"/>
    <n v="43"/>
    <n v="91676"/>
  </r>
  <r>
    <x v="1"/>
    <x v="1"/>
    <s v="进口                                                                                                    "/>
    <n v="4551"/>
    <n v="13"/>
    <n v="59163"/>
  </r>
  <r>
    <x v="1"/>
    <x v="1"/>
    <s v="进口                                                                                                    "/>
    <n v="451"/>
    <n v="24"/>
    <n v="10824"/>
  </r>
  <r>
    <x v="1"/>
    <x v="1"/>
    <s v="进口                                                                                                    "/>
    <n v="684"/>
    <n v="34"/>
    <n v="23256"/>
  </r>
  <r>
    <x v="1"/>
    <x v="1"/>
    <s v="进口                                                                                                    "/>
    <n v="5461"/>
    <n v="25"/>
    <n v="136525"/>
  </r>
  <r>
    <x v="1"/>
    <x v="1"/>
    <s v="自产"/>
    <n v="486"/>
    <n v="26"/>
    <n v="12636"/>
  </r>
  <r>
    <x v="1"/>
    <x v="1"/>
    <s v="自产"/>
    <n v="8915"/>
    <n v="15"/>
    <n v="133725"/>
  </r>
  <r>
    <x v="1"/>
    <x v="1"/>
    <s v="自产"/>
    <n v="4651"/>
    <n v="23"/>
    <n v="106973"/>
  </r>
  <r>
    <x v="1"/>
    <x v="1"/>
    <s v="自产"/>
    <n v="7981"/>
    <n v="25"/>
    <n v="199525"/>
  </r>
  <r>
    <x v="1"/>
    <x v="1"/>
    <s v="自产"/>
    <n v="3451"/>
    <n v="36"/>
    <n v="124236"/>
  </r>
  <r>
    <x v="1"/>
    <x v="1"/>
    <s v="自产"/>
    <n v="189"/>
    <n v="25"/>
    <n v="4725"/>
  </r>
  <r>
    <x v="1"/>
    <x v="1"/>
    <s v="自产"/>
    <n v="518"/>
    <n v="41"/>
    <n v="21238"/>
  </r>
  <r>
    <x v="1"/>
    <x v="1"/>
    <s v="自产"/>
    <n v="658"/>
    <n v="12"/>
    <n v="7896"/>
  </r>
  <r>
    <x v="1"/>
    <x v="1"/>
    <s v="自产"/>
    <n v="1425"/>
    <n v="14"/>
    <n v="19950"/>
  </r>
  <r>
    <x v="1"/>
    <x v="1"/>
    <s v="自产"/>
    <n v="133"/>
    <n v="12"/>
    <n v="1596"/>
  </r>
  <r>
    <x v="1"/>
    <x v="1"/>
    <s v="自产"/>
    <n v="652"/>
    <n v="78"/>
    <n v="50856"/>
  </r>
  <r>
    <x v="1"/>
    <x v="1"/>
    <s v="自产"/>
    <n v="8795"/>
    <n v="41"/>
    <n v="360595"/>
  </r>
  <r>
    <x v="1"/>
    <x v="1"/>
    <s v="自产"/>
    <n v="145"/>
    <n v="54"/>
    <n v="7830"/>
  </r>
  <r>
    <x v="1"/>
    <x v="1"/>
    <s v="自产"/>
    <n v="2254"/>
    <n v="78"/>
    <n v="1758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H1:K5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求和项:总价" fld="5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zoomScale="70" zoomScaleNormal="70" workbookViewId="0">
      <selection activeCell="A1" sqref="A1:F1"/>
    </sheetView>
  </sheetViews>
  <sheetFormatPr defaultColWidth="9" defaultRowHeight="13.5"/>
  <cols>
    <col min="1" max="6" width="15.625" style="13" customWidth="1"/>
    <col min="8" max="8" width="13.125" customWidth="1"/>
    <col min="9" max="10" width="11.5" customWidth="1"/>
    <col min="11" max="11" width="9.625" customWidth="1"/>
  </cols>
  <sheetData>
    <row r="1" s="13" customFormat="1" ht="28" customHeight="1" spans="1:11">
      <c r="A1" s="14" t="s">
        <v>0</v>
      </c>
      <c r="B1" s="14"/>
      <c r="C1" s="14"/>
      <c r="D1" s="14"/>
      <c r="E1" s="14"/>
      <c r="F1" s="14"/>
      <c r="H1" t="s">
        <v>1</v>
      </c>
      <c r="I1" t="s">
        <v>2</v>
      </c>
      <c r="J1"/>
      <c r="K1"/>
    </row>
    <row r="2" ht="15.75" spans="1:1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3" t="s">
        <v>8</v>
      </c>
      <c r="H2" t="s">
        <v>9</v>
      </c>
      <c r="I2" t="s">
        <v>10</v>
      </c>
      <c r="J2" t="s">
        <v>11</v>
      </c>
      <c r="K2" t="s">
        <v>12</v>
      </c>
    </row>
    <row r="3" ht="15.75" spans="1:11">
      <c r="A3" s="4" t="s">
        <v>10</v>
      </c>
      <c r="B3" s="5" t="str">
        <f>MID(A3,3,4)</f>
        <v>2020</v>
      </c>
      <c r="C3" s="5" t="s">
        <v>13</v>
      </c>
      <c r="D3" s="5">
        <v>13644</v>
      </c>
      <c r="E3" s="5">
        <v>24</v>
      </c>
      <c r="F3" s="6">
        <f>E3*D3</f>
        <v>327456</v>
      </c>
      <c r="H3" s="15" t="s">
        <v>14</v>
      </c>
      <c r="I3" s="16">
        <v>4446143</v>
      </c>
      <c r="J3" s="16"/>
      <c r="K3" s="16">
        <v>4446143</v>
      </c>
    </row>
    <row r="4" ht="15.75" spans="1:11">
      <c r="A4" s="4" t="s">
        <v>10</v>
      </c>
      <c r="B4" s="5" t="str">
        <f t="shared" ref="B4:B52" si="0">MID(A4,3,4)</f>
        <v>2020</v>
      </c>
      <c r="C4" s="5" t="s">
        <v>13</v>
      </c>
      <c r="D4" s="5">
        <v>1872</v>
      </c>
      <c r="E4" s="5">
        <v>15</v>
      </c>
      <c r="F4" s="6">
        <f t="shared" ref="F4:F52" si="1">E4*D4</f>
        <v>28080</v>
      </c>
      <c r="H4" s="15" t="s">
        <v>15</v>
      </c>
      <c r="I4" s="16"/>
      <c r="J4" s="16">
        <v>2807869</v>
      </c>
      <c r="K4" s="16">
        <v>2807869</v>
      </c>
    </row>
    <row r="5" ht="15.75" spans="1:11">
      <c r="A5" s="4" t="s">
        <v>10</v>
      </c>
      <c r="B5" s="5" t="str">
        <f t="shared" si="0"/>
        <v>2020</v>
      </c>
      <c r="C5" s="5" t="s">
        <v>13</v>
      </c>
      <c r="D5" s="5">
        <v>1332</v>
      </c>
      <c r="E5" s="5">
        <v>42</v>
      </c>
      <c r="F5" s="6">
        <f t="shared" si="1"/>
        <v>55944</v>
      </c>
      <c r="H5" s="15" t="s">
        <v>12</v>
      </c>
      <c r="I5" s="16">
        <v>4446143</v>
      </c>
      <c r="J5" s="16">
        <v>2807869</v>
      </c>
      <c r="K5" s="16">
        <v>7254012</v>
      </c>
    </row>
    <row r="6" ht="15.75" spans="1:6">
      <c r="A6" s="4" t="s">
        <v>10</v>
      </c>
      <c r="B6" s="5" t="str">
        <f t="shared" si="0"/>
        <v>2020</v>
      </c>
      <c r="C6" s="5" t="s">
        <v>13</v>
      </c>
      <c r="D6" s="5">
        <v>1044</v>
      </c>
      <c r="E6" s="5">
        <v>65</v>
      </c>
      <c r="F6" s="6">
        <f t="shared" si="1"/>
        <v>67860</v>
      </c>
    </row>
    <row r="7" ht="15.75" spans="1:6">
      <c r="A7" s="4" t="s">
        <v>10</v>
      </c>
      <c r="B7" s="5" t="str">
        <f t="shared" si="0"/>
        <v>2020</v>
      </c>
      <c r="C7" s="5" t="s">
        <v>13</v>
      </c>
      <c r="D7" s="5">
        <v>1440</v>
      </c>
      <c r="E7" s="5">
        <v>15</v>
      </c>
      <c r="F7" s="6">
        <f t="shared" si="1"/>
        <v>21600</v>
      </c>
    </row>
    <row r="8" ht="15.75" spans="1:6">
      <c r="A8" s="4" t="s">
        <v>10</v>
      </c>
      <c r="B8" s="5" t="str">
        <f t="shared" si="0"/>
        <v>2020</v>
      </c>
      <c r="C8" s="5" t="s">
        <v>13</v>
      </c>
      <c r="D8" s="5">
        <v>7344</v>
      </c>
      <c r="E8" s="5">
        <v>62</v>
      </c>
      <c r="F8" s="6">
        <f t="shared" si="1"/>
        <v>455328</v>
      </c>
    </row>
    <row r="9" ht="15.75" spans="1:6">
      <c r="A9" s="4" t="s">
        <v>10</v>
      </c>
      <c r="B9" s="5" t="str">
        <f t="shared" si="0"/>
        <v>2020</v>
      </c>
      <c r="C9" s="5" t="s">
        <v>13</v>
      </c>
      <c r="D9" s="5">
        <v>8542</v>
      </c>
      <c r="E9" s="5">
        <v>48</v>
      </c>
      <c r="F9" s="6">
        <f t="shared" si="1"/>
        <v>410016</v>
      </c>
    </row>
    <row r="10" ht="15.75" spans="1:6">
      <c r="A10" s="4" t="s">
        <v>10</v>
      </c>
      <c r="B10" s="5" t="str">
        <f t="shared" si="0"/>
        <v>2020</v>
      </c>
      <c r="C10" s="5" t="s">
        <v>13</v>
      </c>
      <c r="D10" s="5">
        <v>1452</v>
      </c>
      <c r="E10" s="5">
        <v>52</v>
      </c>
      <c r="F10" s="6">
        <f t="shared" si="1"/>
        <v>75504</v>
      </c>
    </row>
    <row r="11" ht="15.75" spans="1:6">
      <c r="A11" s="4" t="s">
        <v>10</v>
      </c>
      <c r="B11" s="5" t="str">
        <f t="shared" si="0"/>
        <v>2020</v>
      </c>
      <c r="C11" s="5" t="s">
        <v>13</v>
      </c>
      <c r="D11" s="5">
        <v>4751</v>
      </c>
      <c r="E11" s="5">
        <v>62</v>
      </c>
      <c r="F11" s="6">
        <f t="shared" si="1"/>
        <v>294562</v>
      </c>
    </row>
    <row r="12" ht="15.75" spans="1:6">
      <c r="A12" s="4" t="s">
        <v>10</v>
      </c>
      <c r="B12" s="5" t="str">
        <f t="shared" si="0"/>
        <v>2020</v>
      </c>
      <c r="C12" s="5" t="s">
        <v>16</v>
      </c>
      <c r="D12" s="5">
        <v>12452</v>
      </c>
      <c r="E12" s="5">
        <v>35</v>
      </c>
      <c r="F12" s="6">
        <f t="shared" si="1"/>
        <v>435820</v>
      </c>
    </row>
    <row r="13" ht="15.75" spans="1:6">
      <c r="A13" s="4" t="s">
        <v>10</v>
      </c>
      <c r="B13" s="5" t="str">
        <f t="shared" si="0"/>
        <v>2020</v>
      </c>
      <c r="C13" s="5" t="s">
        <v>16</v>
      </c>
      <c r="D13" s="5">
        <v>3251</v>
      </c>
      <c r="E13" s="5">
        <v>21</v>
      </c>
      <c r="F13" s="6">
        <f t="shared" si="1"/>
        <v>68271</v>
      </c>
    </row>
    <row r="14" ht="15.75" spans="1:6">
      <c r="A14" s="4" t="s">
        <v>10</v>
      </c>
      <c r="B14" s="5" t="str">
        <f t="shared" si="0"/>
        <v>2020</v>
      </c>
      <c r="C14" s="5" t="s">
        <v>16</v>
      </c>
      <c r="D14" s="5">
        <v>6501</v>
      </c>
      <c r="E14" s="5">
        <v>56</v>
      </c>
      <c r="F14" s="6">
        <f t="shared" si="1"/>
        <v>364056</v>
      </c>
    </row>
    <row r="15" ht="15.75" spans="1:6">
      <c r="A15" s="4" t="s">
        <v>10</v>
      </c>
      <c r="B15" s="5" t="str">
        <f t="shared" si="0"/>
        <v>2020</v>
      </c>
      <c r="C15" s="5" t="s">
        <v>16</v>
      </c>
      <c r="D15" s="5">
        <v>2541</v>
      </c>
      <c r="E15" s="5">
        <v>25</v>
      </c>
      <c r="F15" s="6">
        <f t="shared" si="1"/>
        <v>63525</v>
      </c>
    </row>
    <row r="16" ht="15.75" spans="1:6">
      <c r="A16" s="4" t="s">
        <v>10</v>
      </c>
      <c r="B16" s="5" t="str">
        <f t="shared" si="0"/>
        <v>2020</v>
      </c>
      <c r="C16" s="5" t="s">
        <v>16</v>
      </c>
      <c r="D16" s="5">
        <v>3582</v>
      </c>
      <c r="E16" s="5">
        <v>45</v>
      </c>
      <c r="F16" s="6">
        <f t="shared" si="1"/>
        <v>161190</v>
      </c>
    </row>
    <row r="17" ht="15.75" spans="1:6">
      <c r="A17" s="4" t="s">
        <v>10</v>
      </c>
      <c r="B17" s="5" t="str">
        <f t="shared" si="0"/>
        <v>2020</v>
      </c>
      <c r="C17" s="5" t="s">
        <v>16</v>
      </c>
      <c r="D17" s="5">
        <v>1562</v>
      </c>
      <c r="E17" s="5">
        <v>13</v>
      </c>
      <c r="F17" s="6">
        <f t="shared" si="1"/>
        <v>20306</v>
      </c>
    </row>
    <row r="18" ht="15.75" spans="1:6">
      <c r="A18" s="4" t="s">
        <v>10</v>
      </c>
      <c r="B18" s="5" t="str">
        <f t="shared" si="0"/>
        <v>2020</v>
      </c>
      <c r="C18" s="5" t="s">
        <v>16</v>
      </c>
      <c r="D18" s="5">
        <v>8756</v>
      </c>
      <c r="E18" s="5">
        <v>62</v>
      </c>
      <c r="F18" s="6">
        <f t="shared" si="1"/>
        <v>542872</v>
      </c>
    </row>
    <row r="19" ht="15.75" spans="1:6">
      <c r="A19" s="4" t="s">
        <v>10</v>
      </c>
      <c r="B19" s="5" t="str">
        <f t="shared" si="0"/>
        <v>2020</v>
      </c>
      <c r="C19" s="5" t="s">
        <v>16</v>
      </c>
      <c r="D19" s="5">
        <v>5456</v>
      </c>
      <c r="E19" s="5">
        <v>89</v>
      </c>
      <c r="F19" s="6">
        <f t="shared" si="1"/>
        <v>485584</v>
      </c>
    </row>
    <row r="20" ht="15.75" spans="1:6">
      <c r="A20" s="4" t="s">
        <v>10</v>
      </c>
      <c r="B20" s="5" t="str">
        <f t="shared" si="0"/>
        <v>2020</v>
      </c>
      <c r="C20" s="5" t="s">
        <v>16</v>
      </c>
      <c r="D20" s="5">
        <v>6521</v>
      </c>
      <c r="E20" s="5">
        <v>36</v>
      </c>
      <c r="F20" s="6">
        <f t="shared" si="1"/>
        <v>234756</v>
      </c>
    </row>
    <row r="21" ht="15.75" spans="1:6">
      <c r="A21" s="4" t="s">
        <v>10</v>
      </c>
      <c r="B21" s="5" t="str">
        <f t="shared" si="0"/>
        <v>2020</v>
      </c>
      <c r="C21" s="5" t="s">
        <v>16</v>
      </c>
      <c r="D21" s="5">
        <v>4152</v>
      </c>
      <c r="E21" s="5">
        <v>21</v>
      </c>
      <c r="F21" s="6">
        <f t="shared" si="1"/>
        <v>87192</v>
      </c>
    </row>
    <row r="22" ht="15.75" spans="1:6">
      <c r="A22" s="4" t="s">
        <v>10</v>
      </c>
      <c r="B22" s="5" t="str">
        <f t="shared" si="0"/>
        <v>2020</v>
      </c>
      <c r="C22" s="5" t="s">
        <v>16</v>
      </c>
      <c r="D22" s="5">
        <v>6523</v>
      </c>
      <c r="E22" s="5">
        <v>32</v>
      </c>
      <c r="F22" s="6">
        <f t="shared" si="1"/>
        <v>208736</v>
      </c>
    </row>
    <row r="23" ht="15.75" spans="1:6">
      <c r="A23" s="4" t="s">
        <v>10</v>
      </c>
      <c r="B23" s="5" t="str">
        <f t="shared" si="0"/>
        <v>2020</v>
      </c>
      <c r="C23" s="5" t="s">
        <v>16</v>
      </c>
      <c r="D23" s="5">
        <v>833</v>
      </c>
      <c r="E23" s="5">
        <v>45</v>
      </c>
      <c r="F23" s="6">
        <f t="shared" si="1"/>
        <v>37485</v>
      </c>
    </row>
    <row r="24" ht="15.75" spans="1:6">
      <c r="A24" s="4" t="s">
        <v>11</v>
      </c>
      <c r="B24" s="5" t="str">
        <f t="shared" si="0"/>
        <v>2021</v>
      </c>
      <c r="C24" s="5" t="s">
        <v>13</v>
      </c>
      <c r="D24" s="5">
        <v>720</v>
      </c>
      <c r="E24" s="5">
        <v>74</v>
      </c>
      <c r="F24" s="6">
        <f t="shared" si="1"/>
        <v>53280</v>
      </c>
    </row>
    <row r="25" ht="15.75" spans="1:6">
      <c r="A25" s="4" t="s">
        <v>11</v>
      </c>
      <c r="B25" s="5" t="str">
        <f t="shared" si="0"/>
        <v>2021</v>
      </c>
      <c r="C25" s="5" t="s">
        <v>13</v>
      </c>
      <c r="D25" s="5">
        <v>568</v>
      </c>
      <c r="E25" s="5">
        <v>12</v>
      </c>
      <c r="F25" s="6">
        <f t="shared" si="1"/>
        <v>6816</v>
      </c>
    </row>
    <row r="26" ht="15.75" spans="1:6">
      <c r="A26" s="4" t="s">
        <v>11</v>
      </c>
      <c r="B26" s="5" t="str">
        <f t="shared" si="0"/>
        <v>2021</v>
      </c>
      <c r="C26" s="5" t="s">
        <v>13</v>
      </c>
      <c r="D26" s="5">
        <v>4850</v>
      </c>
      <c r="E26" s="5">
        <v>35</v>
      </c>
      <c r="F26" s="6">
        <f t="shared" si="1"/>
        <v>169750</v>
      </c>
    </row>
    <row r="27" ht="15.75" spans="1:6">
      <c r="A27" s="4" t="s">
        <v>11</v>
      </c>
      <c r="B27" s="5" t="str">
        <f t="shared" si="0"/>
        <v>2021</v>
      </c>
      <c r="C27" s="5" t="s">
        <v>13</v>
      </c>
      <c r="D27" s="5">
        <v>742</v>
      </c>
      <c r="E27" s="5">
        <v>85</v>
      </c>
      <c r="F27" s="6">
        <f t="shared" si="1"/>
        <v>63070</v>
      </c>
    </row>
    <row r="28" ht="15.75" spans="1:6">
      <c r="A28" s="4" t="s">
        <v>11</v>
      </c>
      <c r="B28" s="5" t="str">
        <f t="shared" si="0"/>
        <v>2021</v>
      </c>
      <c r="C28" s="5" t="s">
        <v>13</v>
      </c>
      <c r="D28" s="5">
        <v>6521</v>
      </c>
      <c r="E28" s="5">
        <v>64</v>
      </c>
      <c r="F28" s="6">
        <f t="shared" si="1"/>
        <v>417344</v>
      </c>
    </row>
    <row r="29" ht="15.75" spans="1:6">
      <c r="A29" s="4" t="s">
        <v>11</v>
      </c>
      <c r="B29" s="5" t="str">
        <f t="shared" si="0"/>
        <v>2021</v>
      </c>
      <c r="C29" s="5" t="s">
        <v>13</v>
      </c>
      <c r="D29" s="5">
        <v>2154</v>
      </c>
      <c r="E29" s="5">
        <v>32</v>
      </c>
      <c r="F29" s="6">
        <f t="shared" si="1"/>
        <v>68928</v>
      </c>
    </row>
    <row r="30" ht="15.75" spans="1:6">
      <c r="A30" s="4" t="s">
        <v>11</v>
      </c>
      <c r="B30" s="5" t="str">
        <f t="shared" si="0"/>
        <v>2021</v>
      </c>
      <c r="C30" s="5" t="s">
        <v>13</v>
      </c>
      <c r="D30" s="5">
        <v>391</v>
      </c>
      <c r="E30" s="5">
        <v>31</v>
      </c>
      <c r="F30" s="6">
        <f t="shared" si="1"/>
        <v>12121</v>
      </c>
    </row>
    <row r="31" ht="15.75" spans="1:6">
      <c r="A31" s="4" t="s">
        <v>11</v>
      </c>
      <c r="B31" s="5" t="str">
        <f t="shared" si="0"/>
        <v>2021</v>
      </c>
      <c r="C31" s="5" t="s">
        <v>13</v>
      </c>
      <c r="D31" s="5">
        <v>4521</v>
      </c>
      <c r="E31" s="5">
        <v>42</v>
      </c>
      <c r="F31" s="6">
        <f t="shared" si="1"/>
        <v>189882</v>
      </c>
    </row>
    <row r="32" ht="15.75" spans="1:6">
      <c r="A32" s="4" t="s">
        <v>11</v>
      </c>
      <c r="B32" s="5" t="str">
        <f t="shared" si="0"/>
        <v>2021</v>
      </c>
      <c r="C32" s="5" t="s">
        <v>13</v>
      </c>
      <c r="D32" s="5">
        <v>5415</v>
      </c>
      <c r="E32" s="5">
        <v>15</v>
      </c>
      <c r="F32" s="6">
        <f t="shared" si="1"/>
        <v>81225</v>
      </c>
    </row>
    <row r="33" ht="15.75" spans="1:6">
      <c r="A33" s="4" t="s">
        <v>11</v>
      </c>
      <c r="B33" s="5" t="str">
        <f t="shared" si="0"/>
        <v>2021</v>
      </c>
      <c r="C33" s="5" t="s">
        <v>13</v>
      </c>
      <c r="D33" s="5">
        <v>5456</v>
      </c>
      <c r="E33" s="5">
        <v>36</v>
      </c>
      <c r="F33" s="6">
        <f t="shared" si="1"/>
        <v>196416</v>
      </c>
    </row>
    <row r="34" ht="15.75" spans="1:6">
      <c r="A34" s="4" t="s">
        <v>11</v>
      </c>
      <c r="B34" s="5" t="str">
        <f t="shared" si="0"/>
        <v>2021</v>
      </c>
      <c r="C34" s="5" t="s">
        <v>13</v>
      </c>
      <c r="D34" s="5">
        <v>2132</v>
      </c>
      <c r="E34" s="5">
        <v>43</v>
      </c>
      <c r="F34" s="6">
        <f t="shared" si="1"/>
        <v>91676</v>
      </c>
    </row>
    <row r="35" ht="15.75" spans="1:6">
      <c r="A35" s="4" t="s">
        <v>11</v>
      </c>
      <c r="B35" s="5" t="str">
        <f t="shared" si="0"/>
        <v>2021</v>
      </c>
      <c r="C35" s="5" t="s">
        <v>13</v>
      </c>
      <c r="D35" s="5">
        <v>4551</v>
      </c>
      <c r="E35" s="5">
        <v>13</v>
      </c>
      <c r="F35" s="6">
        <f t="shared" si="1"/>
        <v>59163</v>
      </c>
    </row>
    <row r="36" ht="15.75" spans="1:6">
      <c r="A36" s="4" t="s">
        <v>11</v>
      </c>
      <c r="B36" s="5" t="str">
        <f t="shared" si="0"/>
        <v>2021</v>
      </c>
      <c r="C36" s="5" t="s">
        <v>13</v>
      </c>
      <c r="D36" s="5">
        <v>451</v>
      </c>
      <c r="E36" s="5">
        <v>24</v>
      </c>
      <c r="F36" s="6">
        <f t="shared" si="1"/>
        <v>10824</v>
      </c>
    </row>
    <row r="37" ht="15.75" spans="1:6">
      <c r="A37" s="4" t="s">
        <v>11</v>
      </c>
      <c r="B37" s="5" t="str">
        <f t="shared" si="0"/>
        <v>2021</v>
      </c>
      <c r="C37" s="5" t="s">
        <v>13</v>
      </c>
      <c r="D37" s="5">
        <v>684</v>
      </c>
      <c r="E37" s="5">
        <v>34</v>
      </c>
      <c r="F37" s="6">
        <f t="shared" si="1"/>
        <v>23256</v>
      </c>
    </row>
    <row r="38" ht="15.75" spans="1:6">
      <c r="A38" s="4" t="s">
        <v>11</v>
      </c>
      <c r="B38" s="5" t="str">
        <f t="shared" si="0"/>
        <v>2021</v>
      </c>
      <c r="C38" s="5" t="s">
        <v>13</v>
      </c>
      <c r="D38" s="5">
        <v>5461</v>
      </c>
      <c r="E38" s="5">
        <v>25</v>
      </c>
      <c r="F38" s="6">
        <f t="shared" si="1"/>
        <v>136525</v>
      </c>
    </row>
    <row r="39" ht="15.75" spans="1:6">
      <c r="A39" s="4" t="s">
        <v>11</v>
      </c>
      <c r="B39" s="5" t="str">
        <f t="shared" si="0"/>
        <v>2021</v>
      </c>
      <c r="C39" s="5" t="s">
        <v>16</v>
      </c>
      <c r="D39" s="5">
        <v>486</v>
      </c>
      <c r="E39" s="5">
        <v>26</v>
      </c>
      <c r="F39" s="6">
        <f t="shared" si="1"/>
        <v>12636</v>
      </c>
    </row>
    <row r="40" ht="15.75" spans="1:6">
      <c r="A40" s="4" t="s">
        <v>11</v>
      </c>
      <c r="B40" s="5" t="str">
        <f t="shared" si="0"/>
        <v>2021</v>
      </c>
      <c r="C40" s="5" t="s">
        <v>16</v>
      </c>
      <c r="D40" s="5">
        <v>8915</v>
      </c>
      <c r="E40" s="5">
        <v>15</v>
      </c>
      <c r="F40" s="6">
        <f t="shared" si="1"/>
        <v>133725</v>
      </c>
    </row>
    <row r="41" ht="15.75" spans="1:6">
      <c r="A41" s="4" t="s">
        <v>11</v>
      </c>
      <c r="B41" s="5" t="str">
        <f t="shared" si="0"/>
        <v>2021</v>
      </c>
      <c r="C41" s="5" t="s">
        <v>16</v>
      </c>
      <c r="D41" s="5">
        <v>4651</v>
      </c>
      <c r="E41" s="5">
        <v>23</v>
      </c>
      <c r="F41" s="6">
        <f t="shared" si="1"/>
        <v>106973</v>
      </c>
    </row>
    <row r="42" ht="15.75" spans="1:6">
      <c r="A42" s="4" t="s">
        <v>11</v>
      </c>
      <c r="B42" s="5" t="str">
        <f t="shared" si="0"/>
        <v>2021</v>
      </c>
      <c r="C42" s="5" t="s">
        <v>16</v>
      </c>
      <c r="D42" s="5">
        <v>7981</v>
      </c>
      <c r="E42" s="5">
        <v>25</v>
      </c>
      <c r="F42" s="6">
        <f t="shared" si="1"/>
        <v>199525</v>
      </c>
    </row>
    <row r="43" ht="15.75" spans="1:6">
      <c r="A43" s="4" t="s">
        <v>11</v>
      </c>
      <c r="B43" s="5" t="str">
        <f t="shared" si="0"/>
        <v>2021</v>
      </c>
      <c r="C43" s="5" t="s">
        <v>16</v>
      </c>
      <c r="D43" s="5">
        <v>3451</v>
      </c>
      <c r="E43" s="5">
        <v>36</v>
      </c>
      <c r="F43" s="6">
        <f t="shared" si="1"/>
        <v>124236</v>
      </c>
    </row>
    <row r="44" ht="15.75" spans="1:6">
      <c r="A44" s="4" t="s">
        <v>11</v>
      </c>
      <c r="B44" s="5" t="str">
        <f t="shared" si="0"/>
        <v>2021</v>
      </c>
      <c r="C44" s="5" t="s">
        <v>16</v>
      </c>
      <c r="D44" s="5">
        <v>189</v>
      </c>
      <c r="E44" s="5">
        <v>25</v>
      </c>
      <c r="F44" s="6">
        <f t="shared" si="1"/>
        <v>4725</v>
      </c>
    </row>
    <row r="45" ht="15.75" spans="1:6">
      <c r="A45" s="4" t="s">
        <v>11</v>
      </c>
      <c r="B45" s="5" t="str">
        <f t="shared" si="0"/>
        <v>2021</v>
      </c>
      <c r="C45" s="5" t="s">
        <v>16</v>
      </c>
      <c r="D45" s="5">
        <v>518</v>
      </c>
      <c r="E45" s="5">
        <v>41</v>
      </c>
      <c r="F45" s="6">
        <f t="shared" si="1"/>
        <v>21238</v>
      </c>
    </row>
    <row r="46" ht="15.75" spans="1:6">
      <c r="A46" s="4" t="s">
        <v>11</v>
      </c>
      <c r="B46" s="5" t="str">
        <f t="shared" si="0"/>
        <v>2021</v>
      </c>
      <c r="C46" s="5" t="s">
        <v>16</v>
      </c>
      <c r="D46" s="5">
        <v>658</v>
      </c>
      <c r="E46" s="5">
        <v>12</v>
      </c>
      <c r="F46" s="6">
        <f t="shared" si="1"/>
        <v>7896</v>
      </c>
    </row>
    <row r="47" ht="15.75" spans="1:6">
      <c r="A47" s="4" t="s">
        <v>11</v>
      </c>
      <c r="B47" s="5" t="str">
        <f t="shared" si="0"/>
        <v>2021</v>
      </c>
      <c r="C47" s="5" t="s">
        <v>16</v>
      </c>
      <c r="D47" s="5">
        <v>1425</v>
      </c>
      <c r="E47" s="5">
        <v>14</v>
      </c>
      <c r="F47" s="6">
        <f t="shared" si="1"/>
        <v>19950</v>
      </c>
    </row>
    <row r="48" ht="15.75" spans="1:6">
      <c r="A48" s="4" t="s">
        <v>11</v>
      </c>
      <c r="B48" s="5" t="str">
        <f t="shared" si="0"/>
        <v>2021</v>
      </c>
      <c r="C48" s="5" t="s">
        <v>16</v>
      </c>
      <c r="D48" s="5">
        <v>133</v>
      </c>
      <c r="E48" s="5">
        <v>12</v>
      </c>
      <c r="F48" s="6">
        <f t="shared" si="1"/>
        <v>1596</v>
      </c>
    </row>
    <row r="49" ht="15.75" spans="1:6">
      <c r="A49" s="4" t="s">
        <v>11</v>
      </c>
      <c r="B49" s="5" t="str">
        <f t="shared" si="0"/>
        <v>2021</v>
      </c>
      <c r="C49" s="5" t="s">
        <v>16</v>
      </c>
      <c r="D49" s="5">
        <v>652</v>
      </c>
      <c r="E49" s="5">
        <v>78</v>
      </c>
      <c r="F49" s="6">
        <f t="shared" si="1"/>
        <v>50856</v>
      </c>
    </row>
    <row r="50" ht="15.75" spans="1:6">
      <c r="A50" s="4" t="s">
        <v>11</v>
      </c>
      <c r="B50" s="5" t="str">
        <f t="shared" si="0"/>
        <v>2021</v>
      </c>
      <c r="C50" s="5" t="s">
        <v>16</v>
      </c>
      <c r="D50" s="5">
        <v>8795</v>
      </c>
      <c r="E50" s="5">
        <v>41</v>
      </c>
      <c r="F50" s="6">
        <f t="shared" si="1"/>
        <v>360595</v>
      </c>
    </row>
    <row r="51" ht="15.75" spans="1:6">
      <c r="A51" s="4" t="s">
        <v>11</v>
      </c>
      <c r="B51" s="5" t="str">
        <f t="shared" si="0"/>
        <v>2021</v>
      </c>
      <c r="C51" s="5" t="s">
        <v>16</v>
      </c>
      <c r="D51" s="5">
        <v>145</v>
      </c>
      <c r="E51" s="5">
        <v>54</v>
      </c>
      <c r="F51" s="6">
        <f t="shared" si="1"/>
        <v>7830</v>
      </c>
    </row>
    <row r="52" ht="15.75" spans="1:6">
      <c r="A52" s="8" t="s">
        <v>11</v>
      </c>
      <c r="B52" s="9" t="str">
        <f t="shared" si="0"/>
        <v>2021</v>
      </c>
      <c r="C52" s="9" t="s">
        <v>16</v>
      </c>
      <c r="D52" s="9">
        <v>2254</v>
      </c>
      <c r="E52" s="9">
        <v>78</v>
      </c>
      <c r="F52" s="10">
        <f t="shared" si="1"/>
        <v>175812</v>
      </c>
    </row>
    <row r="53" ht="14.25"/>
  </sheetData>
  <mergeCells count="1">
    <mergeCell ref="A1:F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 useFirstPageNumber="1"/>
  <headerFooter>
    <oddHeader>&amp;R&amp;10商品销售情况统计表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zoomScale="70" zoomScaleNormal="70" topLeftCell="A17" workbookViewId="0">
      <selection activeCell="A1" sqref="A1:F56"/>
    </sheetView>
  </sheetViews>
  <sheetFormatPr defaultColWidth="9" defaultRowHeight="13.5" outlineLevelCol="5"/>
  <cols>
    <col min="1" max="6" width="15.625" customWidth="1"/>
  </cols>
  <sheetData>
    <row r="1" ht="15.75" spans="1:6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ht="15.75" outlineLevel="2" spans="1:6">
      <c r="A2" s="4" t="s">
        <v>10</v>
      </c>
      <c r="B2" s="5" t="str">
        <f t="shared" ref="B2:B10" si="0">MID(A2,3,4)</f>
        <v>2020</v>
      </c>
      <c r="C2" s="5" t="s">
        <v>13</v>
      </c>
      <c r="D2" s="5">
        <v>13644</v>
      </c>
      <c r="E2" s="5">
        <v>24</v>
      </c>
      <c r="F2" s="6">
        <f t="shared" ref="F2:F10" si="1">E2*D2</f>
        <v>327456</v>
      </c>
    </row>
    <row r="3" ht="15.75" outlineLevel="2" spans="1:6">
      <c r="A3" s="4" t="s">
        <v>10</v>
      </c>
      <c r="B3" s="5" t="str">
        <f t="shared" si="0"/>
        <v>2020</v>
      </c>
      <c r="C3" s="5" t="s">
        <v>13</v>
      </c>
      <c r="D3" s="5">
        <v>1872</v>
      </c>
      <c r="E3" s="5">
        <v>15</v>
      </c>
      <c r="F3" s="6">
        <f t="shared" si="1"/>
        <v>28080</v>
      </c>
    </row>
    <row r="4" ht="15.75" outlineLevel="2" spans="1:6">
      <c r="A4" s="4" t="s">
        <v>10</v>
      </c>
      <c r="B4" s="5" t="str">
        <f t="shared" si="0"/>
        <v>2020</v>
      </c>
      <c r="C4" s="5" t="s">
        <v>13</v>
      </c>
      <c r="D4" s="5">
        <v>1332</v>
      </c>
      <c r="E4" s="5">
        <v>42</v>
      </c>
      <c r="F4" s="6">
        <f t="shared" si="1"/>
        <v>55944</v>
      </c>
    </row>
    <row r="5" ht="15.75" outlineLevel="2" spans="1:6">
      <c r="A5" s="4" t="s">
        <v>10</v>
      </c>
      <c r="B5" s="5" t="str">
        <f t="shared" si="0"/>
        <v>2020</v>
      </c>
      <c r="C5" s="5" t="s">
        <v>13</v>
      </c>
      <c r="D5" s="5">
        <v>1044</v>
      </c>
      <c r="E5" s="5">
        <v>65</v>
      </c>
      <c r="F5" s="6">
        <f t="shared" si="1"/>
        <v>67860</v>
      </c>
    </row>
    <row r="6" ht="15.75" outlineLevel="2" spans="1:6">
      <c r="A6" s="4" t="s">
        <v>10</v>
      </c>
      <c r="B6" s="5" t="str">
        <f t="shared" si="0"/>
        <v>2020</v>
      </c>
      <c r="C6" s="5" t="s">
        <v>13</v>
      </c>
      <c r="D6" s="5">
        <v>1440</v>
      </c>
      <c r="E6" s="5">
        <v>15</v>
      </c>
      <c r="F6" s="6">
        <f t="shared" si="1"/>
        <v>21600</v>
      </c>
    </row>
    <row r="7" ht="15.75" outlineLevel="2" spans="1:6">
      <c r="A7" s="4" t="s">
        <v>10</v>
      </c>
      <c r="B7" s="5" t="str">
        <f t="shared" si="0"/>
        <v>2020</v>
      </c>
      <c r="C7" s="5" t="s">
        <v>13</v>
      </c>
      <c r="D7" s="5">
        <v>7344</v>
      </c>
      <c r="E7" s="5">
        <v>62</v>
      </c>
      <c r="F7" s="6">
        <f t="shared" si="1"/>
        <v>455328</v>
      </c>
    </row>
    <row r="8" ht="15.75" outlineLevel="2" spans="1:6">
      <c r="A8" s="4" t="s">
        <v>10</v>
      </c>
      <c r="B8" s="5" t="str">
        <f t="shared" si="0"/>
        <v>2020</v>
      </c>
      <c r="C8" s="5" t="s">
        <v>13</v>
      </c>
      <c r="D8" s="5">
        <v>8542</v>
      </c>
      <c r="E8" s="5">
        <v>48</v>
      </c>
      <c r="F8" s="6">
        <f t="shared" si="1"/>
        <v>410016</v>
      </c>
    </row>
    <row r="9" ht="15.75" outlineLevel="2" spans="1:6">
      <c r="A9" s="4" t="s">
        <v>10</v>
      </c>
      <c r="B9" s="5" t="str">
        <f t="shared" si="0"/>
        <v>2020</v>
      </c>
      <c r="C9" s="5" t="s">
        <v>13</v>
      </c>
      <c r="D9" s="5">
        <v>1452</v>
      </c>
      <c r="E9" s="5">
        <v>52</v>
      </c>
      <c r="F9" s="6">
        <f t="shared" si="1"/>
        <v>75504</v>
      </c>
    </row>
    <row r="10" ht="15.75" outlineLevel="2" spans="1:6">
      <c r="A10" s="4" t="s">
        <v>10</v>
      </c>
      <c r="B10" s="5" t="str">
        <f t="shared" si="0"/>
        <v>2020</v>
      </c>
      <c r="C10" s="5" t="s">
        <v>13</v>
      </c>
      <c r="D10" s="5">
        <v>4751</v>
      </c>
      <c r="E10" s="5">
        <v>62</v>
      </c>
      <c r="F10" s="6">
        <f t="shared" si="1"/>
        <v>294562</v>
      </c>
    </row>
    <row r="11" ht="15.75" outlineLevel="1" spans="1:6">
      <c r="A11" s="7" t="s">
        <v>17</v>
      </c>
      <c r="B11" s="5"/>
      <c r="C11" s="5"/>
      <c r="D11" s="5">
        <f>SUBTOTAL(9,D2:D10)</f>
        <v>41421</v>
      </c>
      <c r="E11" s="5"/>
      <c r="F11" s="6">
        <f>SUBTOTAL(9,F2:F10)</f>
        <v>1736350</v>
      </c>
    </row>
    <row r="12" ht="15.75" outlineLevel="2" spans="1:6">
      <c r="A12" s="4" t="s">
        <v>11</v>
      </c>
      <c r="B12" s="5" t="str">
        <f t="shared" ref="B12:B26" si="2">MID(A12,3,4)</f>
        <v>2021</v>
      </c>
      <c r="C12" s="5" t="s">
        <v>13</v>
      </c>
      <c r="D12" s="5">
        <v>720</v>
      </c>
      <c r="E12" s="5">
        <v>74</v>
      </c>
      <c r="F12" s="6">
        <f t="shared" ref="F12:F26" si="3">E12*D12</f>
        <v>53280</v>
      </c>
    </row>
    <row r="13" ht="15.75" outlineLevel="2" spans="1:6">
      <c r="A13" s="4" t="s">
        <v>11</v>
      </c>
      <c r="B13" s="5" t="str">
        <f t="shared" si="2"/>
        <v>2021</v>
      </c>
      <c r="C13" s="5" t="s">
        <v>13</v>
      </c>
      <c r="D13" s="5">
        <v>568</v>
      </c>
      <c r="E13" s="5">
        <v>12</v>
      </c>
      <c r="F13" s="6">
        <f t="shared" si="3"/>
        <v>6816</v>
      </c>
    </row>
    <row r="14" ht="15.75" outlineLevel="2" spans="1:6">
      <c r="A14" s="4" t="s">
        <v>11</v>
      </c>
      <c r="B14" s="5" t="str">
        <f t="shared" si="2"/>
        <v>2021</v>
      </c>
      <c r="C14" s="5" t="s">
        <v>13</v>
      </c>
      <c r="D14" s="5">
        <v>4850</v>
      </c>
      <c r="E14" s="5">
        <v>35</v>
      </c>
      <c r="F14" s="6">
        <f t="shared" si="3"/>
        <v>169750</v>
      </c>
    </row>
    <row r="15" ht="15.75" outlineLevel="2" spans="1:6">
      <c r="A15" s="4" t="s">
        <v>11</v>
      </c>
      <c r="B15" s="5" t="str">
        <f t="shared" si="2"/>
        <v>2021</v>
      </c>
      <c r="C15" s="5" t="s">
        <v>13</v>
      </c>
      <c r="D15" s="5">
        <v>742</v>
      </c>
      <c r="E15" s="5">
        <v>85</v>
      </c>
      <c r="F15" s="6">
        <f t="shared" si="3"/>
        <v>63070</v>
      </c>
    </row>
    <row r="16" ht="15.75" outlineLevel="2" spans="1:6">
      <c r="A16" s="4" t="s">
        <v>11</v>
      </c>
      <c r="B16" s="5" t="str">
        <f t="shared" si="2"/>
        <v>2021</v>
      </c>
      <c r="C16" s="5" t="s">
        <v>13</v>
      </c>
      <c r="D16" s="5">
        <v>6521</v>
      </c>
      <c r="E16" s="5">
        <v>64</v>
      </c>
      <c r="F16" s="6">
        <f t="shared" si="3"/>
        <v>417344</v>
      </c>
    </row>
    <row r="17" ht="15.75" outlineLevel="2" spans="1:6">
      <c r="A17" s="4" t="s">
        <v>11</v>
      </c>
      <c r="B17" s="5" t="str">
        <f t="shared" si="2"/>
        <v>2021</v>
      </c>
      <c r="C17" s="5" t="s">
        <v>13</v>
      </c>
      <c r="D17" s="5">
        <v>2154</v>
      </c>
      <c r="E17" s="5">
        <v>32</v>
      </c>
      <c r="F17" s="6">
        <f t="shared" si="3"/>
        <v>68928</v>
      </c>
    </row>
    <row r="18" ht="15.75" outlineLevel="2" spans="1:6">
      <c r="A18" s="4" t="s">
        <v>11</v>
      </c>
      <c r="B18" s="5" t="str">
        <f t="shared" si="2"/>
        <v>2021</v>
      </c>
      <c r="C18" s="5" t="s">
        <v>13</v>
      </c>
      <c r="D18" s="5">
        <v>391</v>
      </c>
      <c r="E18" s="5">
        <v>31</v>
      </c>
      <c r="F18" s="6">
        <f t="shared" si="3"/>
        <v>12121</v>
      </c>
    </row>
    <row r="19" ht="15.75" outlineLevel="2" spans="1:6">
      <c r="A19" s="4" t="s">
        <v>11</v>
      </c>
      <c r="B19" s="5" t="str">
        <f t="shared" si="2"/>
        <v>2021</v>
      </c>
      <c r="C19" s="5" t="s">
        <v>13</v>
      </c>
      <c r="D19" s="5">
        <v>4521</v>
      </c>
      <c r="E19" s="5">
        <v>42</v>
      </c>
      <c r="F19" s="6">
        <f t="shared" si="3"/>
        <v>189882</v>
      </c>
    </row>
    <row r="20" ht="15.75" outlineLevel="2" spans="1:6">
      <c r="A20" s="4" t="s">
        <v>11</v>
      </c>
      <c r="B20" s="5" t="str">
        <f t="shared" si="2"/>
        <v>2021</v>
      </c>
      <c r="C20" s="5" t="s">
        <v>13</v>
      </c>
      <c r="D20" s="5">
        <v>5415</v>
      </c>
      <c r="E20" s="5">
        <v>15</v>
      </c>
      <c r="F20" s="6">
        <f t="shared" si="3"/>
        <v>81225</v>
      </c>
    </row>
    <row r="21" ht="15.75" outlineLevel="2" spans="1:6">
      <c r="A21" s="4" t="s">
        <v>11</v>
      </c>
      <c r="B21" s="5" t="str">
        <f t="shared" si="2"/>
        <v>2021</v>
      </c>
      <c r="C21" s="5" t="s">
        <v>13</v>
      </c>
      <c r="D21" s="5">
        <v>5456</v>
      </c>
      <c r="E21" s="5">
        <v>36</v>
      </c>
      <c r="F21" s="6">
        <f t="shared" si="3"/>
        <v>196416</v>
      </c>
    </row>
    <row r="22" ht="15.75" outlineLevel="2" spans="1:6">
      <c r="A22" s="4" t="s">
        <v>11</v>
      </c>
      <c r="B22" s="5" t="str">
        <f t="shared" si="2"/>
        <v>2021</v>
      </c>
      <c r="C22" s="5" t="s">
        <v>13</v>
      </c>
      <c r="D22" s="5">
        <v>2132</v>
      </c>
      <c r="E22" s="5">
        <v>43</v>
      </c>
      <c r="F22" s="6">
        <f t="shared" si="3"/>
        <v>91676</v>
      </c>
    </row>
    <row r="23" ht="15.75" outlineLevel="2" spans="1:6">
      <c r="A23" s="4" t="s">
        <v>11</v>
      </c>
      <c r="B23" s="5" t="str">
        <f t="shared" si="2"/>
        <v>2021</v>
      </c>
      <c r="C23" s="5" t="s">
        <v>13</v>
      </c>
      <c r="D23" s="5">
        <v>4551</v>
      </c>
      <c r="E23" s="5">
        <v>13</v>
      </c>
      <c r="F23" s="6">
        <f t="shared" si="3"/>
        <v>59163</v>
      </c>
    </row>
    <row r="24" ht="15.75" outlineLevel="2" spans="1:6">
      <c r="A24" s="4" t="s">
        <v>11</v>
      </c>
      <c r="B24" s="5" t="str">
        <f t="shared" si="2"/>
        <v>2021</v>
      </c>
      <c r="C24" s="5" t="s">
        <v>13</v>
      </c>
      <c r="D24" s="5">
        <v>451</v>
      </c>
      <c r="E24" s="5">
        <v>24</v>
      </c>
      <c r="F24" s="6">
        <f t="shared" si="3"/>
        <v>10824</v>
      </c>
    </row>
    <row r="25" ht="15.75" outlineLevel="2" spans="1:6">
      <c r="A25" s="4" t="s">
        <v>11</v>
      </c>
      <c r="B25" s="5" t="str">
        <f t="shared" si="2"/>
        <v>2021</v>
      </c>
      <c r="C25" s="5" t="s">
        <v>13</v>
      </c>
      <c r="D25" s="5">
        <v>684</v>
      </c>
      <c r="E25" s="5">
        <v>34</v>
      </c>
      <c r="F25" s="6">
        <f t="shared" si="3"/>
        <v>23256</v>
      </c>
    </row>
    <row r="26" ht="15.75" outlineLevel="2" spans="1:6">
      <c r="A26" s="4" t="s">
        <v>11</v>
      </c>
      <c r="B26" s="5" t="str">
        <f t="shared" si="2"/>
        <v>2021</v>
      </c>
      <c r="C26" s="5" t="s">
        <v>13</v>
      </c>
      <c r="D26" s="5">
        <v>5461</v>
      </c>
      <c r="E26" s="5">
        <v>25</v>
      </c>
      <c r="F26" s="6">
        <f t="shared" si="3"/>
        <v>136525</v>
      </c>
    </row>
    <row r="27" ht="15.75" outlineLevel="1" spans="1:6">
      <c r="A27" s="7" t="s">
        <v>18</v>
      </c>
      <c r="B27" s="5"/>
      <c r="C27" s="5"/>
      <c r="D27" s="5">
        <f>SUBTOTAL(9,D12:D26)</f>
        <v>44617</v>
      </c>
      <c r="E27" s="5"/>
      <c r="F27" s="6">
        <f>SUBTOTAL(9,F12:F26)</f>
        <v>1580276</v>
      </c>
    </row>
    <row r="28" ht="15.75" outlineLevel="2" spans="1:6">
      <c r="A28" s="4" t="s">
        <v>10</v>
      </c>
      <c r="B28" s="5" t="str">
        <f t="shared" ref="B28:B39" si="4">MID(A28,3,4)</f>
        <v>2020</v>
      </c>
      <c r="C28" s="5" t="s">
        <v>16</v>
      </c>
      <c r="D28" s="5">
        <v>12452</v>
      </c>
      <c r="E28" s="5">
        <v>35</v>
      </c>
      <c r="F28" s="6">
        <f t="shared" ref="F28:F39" si="5">E28*D28</f>
        <v>435820</v>
      </c>
    </row>
    <row r="29" ht="15.75" outlineLevel="2" spans="1:6">
      <c r="A29" s="4" t="s">
        <v>10</v>
      </c>
      <c r="B29" s="5" t="str">
        <f t="shared" si="4"/>
        <v>2020</v>
      </c>
      <c r="C29" s="5" t="s">
        <v>16</v>
      </c>
      <c r="D29" s="5">
        <v>3251</v>
      </c>
      <c r="E29" s="5">
        <v>21</v>
      </c>
      <c r="F29" s="6">
        <f t="shared" si="5"/>
        <v>68271</v>
      </c>
    </row>
    <row r="30" ht="15.75" outlineLevel="2" spans="1:6">
      <c r="A30" s="4" t="s">
        <v>10</v>
      </c>
      <c r="B30" s="5" t="str">
        <f t="shared" si="4"/>
        <v>2020</v>
      </c>
      <c r="C30" s="5" t="s">
        <v>16</v>
      </c>
      <c r="D30" s="5">
        <v>6501</v>
      </c>
      <c r="E30" s="5">
        <v>56</v>
      </c>
      <c r="F30" s="6">
        <f t="shared" si="5"/>
        <v>364056</v>
      </c>
    </row>
    <row r="31" ht="15.75" outlineLevel="2" spans="1:6">
      <c r="A31" s="4" t="s">
        <v>10</v>
      </c>
      <c r="B31" s="5" t="str">
        <f t="shared" si="4"/>
        <v>2020</v>
      </c>
      <c r="C31" s="5" t="s">
        <v>16</v>
      </c>
      <c r="D31" s="5">
        <v>2541</v>
      </c>
      <c r="E31" s="5">
        <v>25</v>
      </c>
      <c r="F31" s="6">
        <f t="shared" si="5"/>
        <v>63525</v>
      </c>
    </row>
    <row r="32" ht="15.75" outlineLevel="2" spans="1:6">
      <c r="A32" s="4" t="s">
        <v>10</v>
      </c>
      <c r="B32" s="5" t="str">
        <f t="shared" si="4"/>
        <v>2020</v>
      </c>
      <c r="C32" s="5" t="s">
        <v>16</v>
      </c>
      <c r="D32" s="5">
        <v>3582</v>
      </c>
      <c r="E32" s="5">
        <v>45</v>
      </c>
      <c r="F32" s="6">
        <f t="shared" si="5"/>
        <v>161190</v>
      </c>
    </row>
    <row r="33" ht="15.75" outlineLevel="2" spans="1:6">
      <c r="A33" s="4" t="s">
        <v>10</v>
      </c>
      <c r="B33" s="5" t="str">
        <f t="shared" si="4"/>
        <v>2020</v>
      </c>
      <c r="C33" s="5" t="s">
        <v>16</v>
      </c>
      <c r="D33" s="5">
        <v>1562</v>
      </c>
      <c r="E33" s="5">
        <v>13</v>
      </c>
      <c r="F33" s="6">
        <f t="shared" si="5"/>
        <v>20306</v>
      </c>
    </row>
    <row r="34" ht="15.75" outlineLevel="2" spans="1:6">
      <c r="A34" s="4" t="s">
        <v>10</v>
      </c>
      <c r="B34" s="5" t="str">
        <f t="shared" si="4"/>
        <v>2020</v>
      </c>
      <c r="C34" s="5" t="s">
        <v>16</v>
      </c>
      <c r="D34" s="5">
        <v>8756</v>
      </c>
      <c r="E34" s="5">
        <v>62</v>
      </c>
      <c r="F34" s="6">
        <f t="shared" si="5"/>
        <v>542872</v>
      </c>
    </row>
    <row r="35" ht="15.75" outlineLevel="2" spans="1:6">
      <c r="A35" s="4" t="s">
        <v>10</v>
      </c>
      <c r="B35" s="5" t="str">
        <f t="shared" si="4"/>
        <v>2020</v>
      </c>
      <c r="C35" s="5" t="s">
        <v>16</v>
      </c>
      <c r="D35" s="5">
        <v>5456</v>
      </c>
      <c r="E35" s="5">
        <v>89</v>
      </c>
      <c r="F35" s="6">
        <f t="shared" si="5"/>
        <v>485584</v>
      </c>
    </row>
    <row r="36" ht="15.75" outlineLevel="2" spans="1:6">
      <c r="A36" s="4" t="s">
        <v>10</v>
      </c>
      <c r="B36" s="5" t="str">
        <f t="shared" si="4"/>
        <v>2020</v>
      </c>
      <c r="C36" s="5" t="s">
        <v>16</v>
      </c>
      <c r="D36" s="5">
        <v>6521</v>
      </c>
      <c r="E36" s="5">
        <v>36</v>
      </c>
      <c r="F36" s="6">
        <f t="shared" si="5"/>
        <v>234756</v>
      </c>
    </row>
    <row r="37" ht="15.75" outlineLevel="2" spans="1:6">
      <c r="A37" s="4" t="s">
        <v>10</v>
      </c>
      <c r="B37" s="5" t="str">
        <f t="shared" si="4"/>
        <v>2020</v>
      </c>
      <c r="C37" s="5" t="s">
        <v>16</v>
      </c>
      <c r="D37" s="5">
        <v>4152</v>
      </c>
      <c r="E37" s="5">
        <v>21</v>
      </c>
      <c r="F37" s="6">
        <f t="shared" si="5"/>
        <v>87192</v>
      </c>
    </row>
    <row r="38" ht="15.75" outlineLevel="2" spans="1:6">
      <c r="A38" s="4" t="s">
        <v>10</v>
      </c>
      <c r="B38" s="5" t="str">
        <f t="shared" si="4"/>
        <v>2020</v>
      </c>
      <c r="C38" s="5" t="s">
        <v>16</v>
      </c>
      <c r="D38" s="5">
        <v>6523</v>
      </c>
      <c r="E38" s="5">
        <v>32</v>
      </c>
      <c r="F38" s="6">
        <f t="shared" si="5"/>
        <v>208736</v>
      </c>
    </row>
    <row r="39" ht="15.75" outlineLevel="2" spans="1:6">
      <c r="A39" s="4" t="s">
        <v>10</v>
      </c>
      <c r="B39" s="5" t="str">
        <f t="shared" si="4"/>
        <v>2020</v>
      </c>
      <c r="C39" s="5" t="s">
        <v>16</v>
      </c>
      <c r="D39" s="5">
        <v>833</v>
      </c>
      <c r="E39" s="5">
        <v>45</v>
      </c>
      <c r="F39" s="6">
        <f t="shared" si="5"/>
        <v>37485</v>
      </c>
    </row>
    <row r="40" ht="15.75" outlineLevel="1" spans="1:6">
      <c r="A40" s="7" t="s">
        <v>17</v>
      </c>
      <c r="B40" s="5"/>
      <c r="C40" s="5"/>
      <c r="D40" s="5">
        <f>SUBTOTAL(9,D28:D39)</f>
        <v>62130</v>
      </c>
      <c r="E40" s="5"/>
      <c r="F40" s="6">
        <f>SUBTOTAL(9,F28:F39)</f>
        <v>2709793</v>
      </c>
    </row>
    <row r="41" ht="15.75" outlineLevel="2" spans="1:6">
      <c r="A41" s="4" t="s">
        <v>11</v>
      </c>
      <c r="B41" s="5" t="str">
        <f t="shared" ref="B41:B54" si="6">MID(A41,3,4)</f>
        <v>2021</v>
      </c>
      <c r="C41" s="5" t="s">
        <v>16</v>
      </c>
      <c r="D41" s="5">
        <v>486</v>
      </c>
      <c r="E41" s="5">
        <v>26</v>
      </c>
      <c r="F41" s="6">
        <f t="shared" ref="F41:F54" si="7">E41*D41</f>
        <v>12636</v>
      </c>
    </row>
    <row r="42" ht="15.75" outlineLevel="2" spans="1:6">
      <c r="A42" s="4" t="s">
        <v>11</v>
      </c>
      <c r="B42" s="5" t="str">
        <f t="shared" si="6"/>
        <v>2021</v>
      </c>
      <c r="C42" s="5" t="s">
        <v>16</v>
      </c>
      <c r="D42" s="5">
        <v>8915</v>
      </c>
      <c r="E42" s="5">
        <v>15</v>
      </c>
      <c r="F42" s="6">
        <f t="shared" si="7"/>
        <v>133725</v>
      </c>
    </row>
    <row r="43" ht="15.75" outlineLevel="2" spans="1:6">
      <c r="A43" s="4" t="s">
        <v>11</v>
      </c>
      <c r="B43" s="5" t="str">
        <f t="shared" si="6"/>
        <v>2021</v>
      </c>
      <c r="C43" s="5" t="s">
        <v>16</v>
      </c>
      <c r="D43" s="5">
        <v>4651</v>
      </c>
      <c r="E43" s="5">
        <v>23</v>
      </c>
      <c r="F43" s="6">
        <f t="shared" si="7"/>
        <v>106973</v>
      </c>
    </row>
    <row r="44" ht="15.75" outlineLevel="2" spans="1:6">
      <c r="A44" s="4" t="s">
        <v>11</v>
      </c>
      <c r="B44" s="5" t="str">
        <f t="shared" si="6"/>
        <v>2021</v>
      </c>
      <c r="C44" s="5" t="s">
        <v>16</v>
      </c>
      <c r="D44" s="5">
        <v>7981</v>
      </c>
      <c r="E44" s="5">
        <v>25</v>
      </c>
      <c r="F44" s="6">
        <f t="shared" si="7"/>
        <v>199525</v>
      </c>
    </row>
    <row r="45" ht="15.75" outlineLevel="2" spans="1:6">
      <c r="A45" s="4" t="s">
        <v>11</v>
      </c>
      <c r="B45" s="5" t="str">
        <f t="shared" si="6"/>
        <v>2021</v>
      </c>
      <c r="C45" s="5" t="s">
        <v>16</v>
      </c>
      <c r="D45" s="5">
        <v>3451</v>
      </c>
      <c r="E45" s="5">
        <v>36</v>
      </c>
      <c r="F45" s="6">
        <f t="shared" si="7"/>
        <v>124236</v>
      </c>
    </row>
    <row r="46" ht="15.75" outlineLevel="2" spans="1:6">
      <c r="A46" s="4" t="s">
        <v>11</v>
      </c>
      <c r="B46" s="5" t="str">
        <f t="shared" si="6"/>
        <v>2021</v>
      </c>
      <c r="C46" s="5" t="s">
        <v>16</v>
      </c>
      <c r="D46" s="5">
        <v>189</v>
      </c>
      <c r="E46" s="5">
        <v>25</v>
      </c>
      <c r="F46" s="6">
        <f t="shared" si="7"/>
        <v>4725</v>
      </c>
    </row>
    <row r="47" ht="15.75" outlineLevel="2" spans="1:6">
      <c r="A47" s="4" t="s">
        <v>11</v>
      </c>
      <c r="B47" s="5" t="str">
        <f t="shared" si="6"/>
        <v>2021</v>
      </c>
      <c r="C47" s="5" t="s">
        <v>16</v>
      </c>
      <c r="D47" s="5">
        <v>518</v>
      </c>
      <c r="E47" s="5">
        <v>41</v>
      </c>
      <c r="F47" s="6">
        <f t="shared" si="7"/>
        <v>21238</v>
      </c>
    </row>
    <row r="48" ht="15.75" outlineLevel="2" spans="1:6">
      <c r="A48" s="4" t="s">
        <v>11</v>
      </c>
      <c r="B48" s="5" t="str">
        <f t="shared" si="6"/>
        <v>2021</v>
      </c>
      <c r="C48" s="5" t="s">
        <v>16</v>
      </c>
      <c r="D48" s="5">
        <v>658</v>
      </c>
      <c r="E48" s="5">
        <v>12</v>
      </c>
      <c r="F48" s="6">
        <f t="shared" si="7"/>
        <v>7896</v>
      </c>
    </row>
    <row r="49" ht="15.75" outlineLevel="2" spans="1:6">
      <c r="A49" s="4" t="s">
        <v>11</v>
      </c>
      <c r="B49" s="5" t="str">
        <f t="shared" si="6"/>
        <v>2021</v>
      </c>
      <c r="C49" s="5" t="s">
        <v>16</v>
      </c>
      <c r="D49" s="5">
        <v>1425</v>
      </c>
      <c r="E49" s="5">
        <v>14</v>
      </c>
      <c r="F49" s="6">
        <f t="shared" si="7"/>
        <v>19950</v>
      </c>
    </row>
    <row r="50" ht="15.75" outlineLevel="2" spans="1:6">
      <c r="A50" s="4" t="s">
        <v>11</v>
      </c>
      <c r="B50" s="5" t="str">
        <f t="shared" si="6"/>
        <v>2021</v>
      </c>
      <c r="C50" s="5" t="s">
        <v>16</v>
      </c>
      <c r="D50" s="5">
        <v>133</v>
      </c>
      <c r="E50" s="5">
        <v>12</v>
      </c>
      <c r="F50" s="6">
        <f t="shared" si="7"/>
        <v>1596</v>
      </c>
    </row>
    <row r="51" ht="15.75" outlineLevel="2" spans="1:6">
      <c r="A51" s="4" t="s">
        <v>11</v>
      </c>
      <c r="B51" s="5" t="str">
        <f t="shared" si="6"/>
        <v>2021</v>
      </c>
      <c r="C51" s="5" t="s">
        <v>16</v>
      </c>
      <c r="D51" s="5">
        <v>652</v>
      </c>
      <c r="E51" s="5">
        <v>78</v>
      </c>
      <c r="F51" s="6">
        <f t="shared" si="7"/>
        <v>50856</v>
      </c>
    </row>
    <row r="52" ht="15.75" outlineLevel="2" spans="1:6">
      <c r="A52" s="4" t="s">
        <v>11</v>
      </c>
      <c r="B52" s="5" t="str">
        <f t="shared" si="6"/>
        <v>2021</v>
      </c>
      <c r="C52" s="5" t="s">
        <v>16</v>
      </c>
      <c r="D52" s="5">
        <v>8795</v>
      </c>
      <c r="E52" s="5">
        <v>41</v>
      </c>
      <c r="F52" s="6">
        <f t="shared" si="7"/>
        <v>360595</v>
      </c>
    </row>
    <row r="53" ht="15.75" outlineLevel="2" spans="1:6">
      <c r="A53" s="4" t="s">
        <v>11</v>
      </c>
      <c r="B53" s="5" t="str">
        <f t="shared" si="6"/>
        <v>2021</v>
      </c>
      <c r="C53" s="5" t="s">
        <v>16</v>
      </c>
      <c r="D53" s="5">
        <v>145</v>
      </c>
      <c r="E53" s="5">
        <v>54</v>
      </c>
      <c r="F53" s="6">
        <f t="shared" si="7"/>
        <v>7830</v>
      </c>
    </row>
    <row r="54" ht="15.75" outlineLevel="2" spans="1:6">
      <c r="A54" s="8" t="s">
        <v>11</v>
      </c>
      <c r="B54" s="9" t="str">
        <f t="shared" si="6"/>
        <v>2021</v>
      </c>
      <c r="C54" s="9" t="s">
        <v>16</v>
      </c>
      <c r="D54" s="9">
        <v>2254</v>
      </c>
      <c r="E54" s="9">
        <v>78</v>
      </c>
      <c r="F54" s="10">
        <f t="shared" si="7"/>
        <v>175812</v>
      </c>
    </row>
    <row r="55" ht="15" outlineLevel="1" spans="1:6">
      <c r="A55" s="11" t="s">
        <v>18</v>
      </c>
      <c r="B55" s="12"/>
      <c r="C55" s="12"/>
      <c r="D55" s="12">
        <f>SUBTOTAL(9,D41:D54)</f>
        <v>40253</v>
      </c>
      <c r="E55" s="12"/>
      <c r="F55" s="12">
        <f>SUBTOTAL(9,F41:F54)</f>
        <v>1227593</v>
      </c>
    </row>
    <row r="56" ht="14.25" spans="1:6">
      <c r="A56" s="11" t="s">
        <v>12</v>
      </c>
      <c r="B56" s="12"/>
      <c r="C56" s="12"/>
      <c r="D56" s="12">
        <f>SUBTOTAL(9,D2:D54)</f>
        <v>188421</v>
      </c>
      <c r="E56" s="12"/>
      <c r="F56" s="12">
        <f>SUBTOTAL(9,F2:F54)</f>
        <v>7254012</v>
      </c>
    </row>
  </sheetData>
  <sortState ref="A2:F51">
    <sortCondition ref="C2:C51"/>
    <sortCondition ref="A2:A51"/>
  </sortState>
  <pageMargins left="0.708661417322835" right="0.708661417322835" top="0.748031496062992" bottom="0.748031496062992" header="0.31496062992126" footer="0.31496062992126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Q27" sqref="Q27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商品销售情况统计表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2023-12-11T01:18:50Z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D8B65A19CCED43B7A27FD711C74F5EED_12</vt:lpwstr>
  </property>
  <property fmtid="{D5CDD505-2E9C-101B-9397-08002B2CF9AE}" pid="3" name="KSOProductBuildVer">
    <vt:lpwstr>2052-12.1.0.15712</vt:lpwstr>
  </property>
</Properties>
</file>
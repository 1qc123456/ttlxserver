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奖牌表" sheetId="1" r:id="rId1"/>
    <sheet name="名次" sheetId="2" r:id="rId2"/>
    <sheet name="筛选" sheetId="3" r:id="rId3"/>
  </sheets>
  <definedNames>
    <definedName name="_xlnm._FilterDatabase" localSheetId="2" hidden="1">筛选!$B$2:$F$21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<sst xmlns="http://schemas.openxmlformats.org/spreadsheetml/2006/main" count="58" uniqueCount="30">
  <si>
    <t>2021多哈亚运会金牌榜</t>
  </si>
  <si>
    <t>国家/地区</t>
  </si>
  <si>
    <t>金牌</t>
  </si>
  <si>
    <t>银牌</t>
  </si>
  <si>
    <t>铜牌</t>
  </si>
  <si>
    <t>奖牌总数</t>
  </si>
  <si>
    <t>中国</t>
  </si>
  <si>
    <t>沙特</t>
  </si>
  <si>
    <t>哈萨克斯坦</t>
  </si>
  <si>
    <t>伊朗</t>
  </si>
  <si>
    <t>科威特</t>
  </si>
  <si>
    <t>卡塔尔</t>
  </si>
  <si>
    <t>约旦</t>
  </si>
  <si>
    <t>马来西亚</t>
  </si>
  <si>
    <t>新加坡</t>
  </si>
  <si>
    <t>泰国</t>
  </si>
  <si>
    <t>朝鲜</t>
  </si>
  <si>
    <t>中国台北</t>
  </si>
  <si>
    <t>越南</t>
  </si>
  <si>
    <t>日本</t>
  </si>
  <si>
    <t>印度</t>
  </si>
  <si>
    <t>塔吉克斯坦</t>
  </si>
  <si>
    <t>中国香港</t>
  </si>
  <si>
    <t>韩国</t>
  </si>
  <si>
    <t>乌兹别克斯坦</t>
  </si>
  <si>
    <t>求和项:奖牌总数</t>
  </si>
  <si>
    <t>总计</t>
  </si>
  <si>
    <t>金牌第五名</t>
  </si>
  <si>
    <t>银牌第六名</t>
  </si>
  <si>
    <t>铜牌第十名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</si>
</sst>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color indexed="10"/>
      <name val="黑体"/>
      <charset val="134"/>
    </font>
    <font>
      <sz val="11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奖牌榜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奖牌表!$C$3</c:f>
              <c:strCache>
                <c:ptCount val="1"/>
                <c:pt idx="0">
                  <c:v>金牌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奖牌表!$B$4:$B$22</c:f>
              <c:strCache>
                <c:ptCount val="19"/>
                <c:pt idx="0">
                  <c:v>中国</c:v>
                </c:pt>
                <c:pt idx="1">
                  <c:v>沙特</c:v>
                </c:pt>
                <c:pt idx="2">
                  <c:v>哈萨克斯坦</c:v>
                </c:pt>
                <c:pt idx="3">
                  <c:v>伊朗</c:v>
                </c:pt>
                <c:pt idx="4">
                  <c:v>科威特</c:v>
                </c:pt>
                <c:pt idx="5">
                  <c:v>卡塔尔</c:v>
                </c:pt>
                <c:pt idx="6">
                  <c:v>约旦</c:v>
                </c:pt>
                <c:pt idx="7">
                  <c:v>马来西亚</c:v>
                </c:pt>
                <c:pt idx="8">
                  <c:v>新加坡</c:v>
                </c:pt>
                <c:pt idx="9">
                  <c:v>泰国</c:v>
                </c:pt>
                <c:pt idx="10">
                  <c:v>朝鲜</c:v>
                </c:pt>
                <c:pt idx="11">
                  <c:v>中国台北</c:v>
                </c:pt>
                <c:pt idx="12">
                  <c:v>越南</c:v>
                </c:pt>
                <c:pt idx="13">
                  <c:v>日本</c:v>
                </c:pt>
                <c:pt idx="14">
                  <c:v>印度</c:v>
                </c:pt>
                <c:pt idx="15">
                  <c:v>塔吉克斯坦</c:v>
                </c:pt>
                <c:pt idx="16">
                  <c:v>中国香港</c:v>
                </c:pt>
                <c:pt idx="17">
                  <c:v>韩国</c:v>
                </c:pt>
                <c:pt idx="18">
                  <c:v>乌兹别克斯坦</c:v>
                </c:pt>
              </c:strCache>
            </c:strRef>
          </c:cat>
          <c:val>
            <c:numRef>
              <c:f>奖牌表!$C$4:$C$22</c:f>
              <c:numCache>
                <c:formatCode>General</c:formatCode>
                <c:ptCount val="19"/>
                <c:pt idx="0">
                  <c:v>165</c:v>
                </c:pt>
                <c:pt idx="1">
                  <c:v>8</c:v>
                </c:pt>
                <c:pt idx="2">
                  <c:v>23</c:v>
                </c:pt>
                <c:pt idx="3">
                  <c:v>11</c:v>
                </c:pt>
                <c:pt idx="4">
                  <c:v>6</c:v>
                </c:pt>
                <c:pt idx="5">
                  <c:v>9</c:v>
                </c:pt>
                <c:pt idx="6">
                  <c:v>1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6</c:v>
                </c:pt>
                <c:pt idx="11">
                  <c:v>9</c:v>
                </c:pt>
                <c:pt idx="12">
                  <c:v>3</c:v>
                </c:pt>
                <c:pt idx="13">
                  <c:v>50</c:v>
                </c:pt>
                <c:pt idx="14">
                  <c:v>10</c:v>
                </c:pt>
                <c:pt idx="15">
                  <c:v>2</c:v>
                </c:pt>
                <c:pt idx="16">
                  <c:v>6</c:v>
                </c:pt>
                <c:pt idx="17">
                  <c:v>58</c:v>
                </c:pt>
                <c:pt idx="18">
                  <c:v>11</c:v>
                </c:pt>
              </c:numCache>
            </c:numRef>
          </c:val>
        </c:ser>
        <c:ser>
          <c:idx val="1"/>
          <c:order val="1"/>
          <c:tx>
            <c:strRef>
              <c:f>奖牌表!$D$3</c:f>
              <c:strCache>
                <c:ptCount val="1"/>
                <c:pt idx="0">
                  <c:v>银牌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奖牌表!$B$4:$B$22</c:f>
              <c:strCache>
                <c:ptCount val="19"/>
                <c:pt idx="0">
                  <c:v>中国</c:v>
                </c:pt>
                <c:pt idx="1">
                  <c:v>沙特</c:v>
                </c:pt>
                <c:pt idx="2">
                  <c:v>哈萨克斯坦</c:v>
                </c:pt>
                <c:pt idx="3">
                  <c:v>伊朗</c:v>
                </c:pt>
                <c:pt idx="4">
                  <c:v>科威特</c:v>
                </c:pt>
                <c:pt idx="5">
                  <c:v>卡塔尔</c:v>
                </c:pt>
                <c:pt idx="6">
                  <c:v>约旦</c:v>
                </c:pt>
                <c:pt idx="7">
                  <c:v>马来西亚</c:v>
                </c:pt>
                <c:pt idx="8">
                  <c:v>新加坡</c:v>
                </c:pt>
                <c:pt idx="9">
                  <c:v>泰国</c:v>
                </c:pt>
                <c:pt idx="10">
                  <c:v>朝鲜</c:v>
                </c:pt>
                <c:pt idx="11">
                  <c:v>中国台北</c:v>
                </c:pt>
                <c:pt idx="12">
                  <c:v>越南</c:v>
                </c:pt>
                <c:pt idx="13">
                  <c:v>日本</c:v>
                </c:pt>
                <c:pt idx="14">
                  <c:v>印度</c:v>
                </c:pt>
                <c:pt idx="15">
                  <c:v>塔吉克斯坦</c:v>
                </c:pt>
                <c:pt idx="16">
                  <c:v>中国香港</c:v>
                </c:pt>
                <c:pt idx="17">
                  <c:v>韩国</c:v>
                </c:pt>
                <c:pt idx="18">
                  <c:v>乌兹别克斯坦</c:v>
                </c:pt>
              </c:strCache>
            </c:strRef>
          </c:cat>
          <c:val>
            <c:numRef>
              <c:f>奖牌表!$D$4:$D$22</c:f>
              <c:numCache>
                <c:formatCode>General</c:formatCode>
                <c:ptCount val="19"/>
                <c:pt idx="0">
                  <c:v>88</c:v>
                </c:pt>
                <c:pt idx="1">
                  <c:v>0</c:v>
                </c:pt>
                <c:pt idx="2">
                  <c:v>19</c:v>
                </c:pt>
                <c:pt idx="3">
                  <c:v>15</c:v>
                </c:pt>
                <c:pt idx="4">
                  <c:v>5</c:v>
                </c:pt>
                <c:pt idx="5">
                  <c:v>12</c:v>
                </c:pt>
                <c:pt idx="6">
                  <c:v>3</c:v>
                </c:pt>
                <c:pt idx="7">
                  <c:v>17</c:v>
                </c:pt>
                <c:pt idx="8">
                  <c:v>7</c:v>
                </c:pt>
                <c:pt idx="9">
                  <c:v>15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71</c:v>
                </c:pt>
                <c:pt idx="14">
                  <c:v>18</c:v>
                </c:pt>
                <c:pt idx="15">
                  <c:v>0</c:v>
                </c:pt>
                <c:pt idx="16">
                  <c:v>12</c:v>
                </c:pt>
                <c:pt idx="17">
                  <c:v>53</c:v>
                </c:pt>
                <c:pt idx="18">
                  <c:v>14</c:v>
                </c:pt>
              </c:numCache>
            </c:numRef>
          </c:val>
        </c:ser>
        <c:ser>
          <c:idx val="2"/>
          <c:order val="2"/>
          <c:tx>
            <c:strRef>
              <c:f>奖牌表!$E$3</c:f>
              <c:strCache>
                <c:ptCount val="1"/>
                <c:pt idx="0">
                  <c:v>铜牌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奖牌表!$B$4:$B$22</c:f>
              <c:strCache>
                <c:ptCount val="19"/>
                <c:pt idx="0">
                  <c:v>中国</c:v>
                </c:pt>
                <c:pt idx="1">
                  <c:v>沙特</c:v>
                </c:pt>
                <c:pt idx="2">
                  <c:v>哈萨克斯坦</c:v>
                </c:pt>
                <c:pt idx="3">
                  <c:v>伊朗</c:v>
                </c:pt>
                <c:pt idx="4">
                  <c:v>科威特</c:v>
                </c:pt>
                <c:pt idx="5">
                  <c:v>卡塔尔</c:v>
                </c:pt>
                <c:pt idx="6">
                  <c:v>约旦</c:v>
                </c:pt>
                <c:pt idx="7">
                  <c:v>马来西亚</c:v>
                </c:pt>
                <c:pt idx="8">
                  <c:v>新加坡</c:v>
                </c:pt>
                <c:pt idx="9">
                  <c:v>泰国</c:v>
                </c:pt>
                <c:pt idx="10">
                  <c:v>朝鲜</c:v>
                </c:pt>
                <c:pt idx="11">
                  <c:v>中国台北</c:v>
                </c:pt>
                <c:pt idx="12">
                  <c:v>越南</c:v>
                </c:pt>
                <c:pt idx="13">
                  <c:v>日本</c:v>
                </c:pt>
                <c:pt idx="14">
                  <c:v>印度</c:v>
                </c:pt>
                <c:pt idx="15">
                  <c:v>塔吉克斯坦</c:v>
                </c:pt>
                <c:pt idx="16">
                  <c:v>中国香港</c:v>
                </c:pt>
                <c:pt idx="17">
                  <c:v>韩国</c:v>
                </c:pt>
                <c:pt idx="18">
                  <c:v>乌兹别克斯坦</c:v>
                </c:pt>
              </c:strCache>
            </c:strRef>
          </c:cat>
          <c:val>
            <c:numRef>
              <c:f>奖牌表!$E$4:$E$22</c:f>
              <c:numCache>
                <c:formatCode>General</c:formatCode>
                <c:ptCount val="19"/>
                <c:pt idx="0">
                  <c:v>63</c:v>
                </c:pt>
                <c:pt idx="1">
                  <c:v>6</c:v>
                </c:pt>
                <c:pt idx="2">
                  <c:v>43</c:v>
                </c:pt>
                <c:pt idx="3">
                  <c:v>24</c:v>
                </c:pt>
                <c:pt idx="4">
                  <c:v>2</c:v>
                </c:pt>
                <c:pt idx="5">
                  <c:v>11</c:v>
                </c:pt>
                <c:pt idx="6">
                  <c:v>4</c:v>
                </c:pt>
                <c:pt idx="7">
                  <c:v>17</c:v>
                </c:pt>
                <c:pt idx="8">
                  <c:v>12</c:v>
                </c:pt>
                <c:pt idx="9">
                  <c:v>26</c:v>
                </c:pt>
                <c:pt idx="10">
                  <c:v>16</c:v>
                </c:pt>
                <c:pt idx="11">
                  <c:v>27</c:v>
                </c:pt>
                <c:pt idx="12">
                  <c:v>7</c:v>
                </c:pt>
                <c:pt idx="13">
                  <c:v>77</c:v>
                </c:pt>
                <c:pt idx="14">
                  <c:v>25</c:v>
                </c:pt>
                <c:pt idx="15">
                  <c:v>2</c:v>
                </c:pt>
                <c:pt idx="16">
                  <c:v>10</c:v>
                </c:pt>
                <c:pt idx="17">
                  <c:v>82</c:v>
                </c:pt>
                <c:pt idx="18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47539"/>
        <c:axId val="938743963"/>
      </c:radarChart>
      <c:catAx>
        <c:axId val="1924475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8743963"/>
        <c:crosses val="autoZero"/>
        <c:auto val="1"/>
        <c:lblAlgn val="ctr"/>
        <c:lblOffset val="100"/>
        <c:noMultiLvlLbl val="0"/>
      </c:catAx>
      <c:valAx>
        <c:axId val="938743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4475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565150</xdr:colOff>
      <xdr:row>4</xdr:row>
      <xdr:rowOff>3175</xdr:rowOff>
    </xdr:from>
    <xdr:to>
      <xdr:col>13</xdr:col>
      <xdr:colOff>295275</xdr:colOff>
      <xdr:row>19</xdr:row>
      <xdr:rowOff>31750</xdr:rowOff>
    </xdr:to>
    <xdr:graphicFrame>
      <xdr:nvGraphicFramePr>
        <xdr:cNvPr id="2" name="图表 1"/>
        <xdr:cNvGraphicFramePr/>
      </xdr:nvGraphicFramePr>
      <xdr:xfrm>
        <a:off x="5251450" y="831850"/>
        <a:ext cx="49942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5.661400463" refreshedBy="25472" recordCount="19">
  <cacheSource type="worksheet">
    <worksheetSource ref="B3:F22" sheet="奖牌表"/>
  </cacheSource>
  <cacheFields count="5">
    <cacheField name="国家/地区" numFmtId="0">
      <sharedItems count="19">
        <s v="中国"/>
        <s v="沙特"/>
        <s v="哈萨克斯坦"/>
        <s v="伊朗"/>
        <s v="科威特"/>
        <s v="卡塔尔"/>
        <s v="约旦"/>
        <s v="马来西亚"/>
        <s v="新加坡"/>
        <s v="泰国"/>
        <s v="朝鲜"/>
        <s v="中国台北"/>
        <s v="越南"/>
        <s v="日本"/>
        <s v="印度"/>
        <s v="塔吉克斯坦"/>
        <s v="中国香港"/>
        <s v="韩国"/>
        <s v="乌兹别克斯坦"/>
      </sharedItems>
    </cacheField>
    <cacheField name="金牌" numFmtId="0">
      <sharedItems containsSemiMixedTypes="0" containsString="0" containsNumber="1" containsInteger="1" minValue="0" maxValue="165" count="13">
        <n v="165"/>
        <n v="8"/>
        <n v="23"/>
        <n v="11"/>
        <n v="6"/>
        <n v="9"/>
        <n v="1"/>
        <n v="13"/>
        <n v="3"/>
        <n v="50"/>
        <n v="10"/>
        <n v="2"/>
        <n v="58"/>
      </sharedItems>
    </cacheField>
    <cacheField name="银牌" numFmtId="0">
      <sharedItems containsSemiMixedTypes="0" containsString="0" containsNumber="1" containsInteger="1" minValue="0" maxValue="88" count="16">
        <n v="88"/>
        <n v="0"/>
        <n v="19"/>
        <n v="15"/>
        <n v="5"/>
        <n v="12"/>
        <n v="3"/>
        <n v="17"/>
        <n v="7"/>
        <n v="9"/>
        <n v="10"/>
        <n v="13"/>
        <n v="71"/>
        <n v="18"/>
        <n v="53"/>
        <n v="14"/>
      </sharedItems>
    </cacheField>
    <cacheField name="铜牌" numFmtId="0">
      <sharedItems containsSemiMixedTypes="0" containsString="0" containsNumber="1" containsInteger="1" minValue="0" maxValue="82" count="17">
        <n v="63"/>
        <n v="6"/>
        <n v="43"/>
        <n v="22"/>
        <n v="2"/>
        <n v="11"/>
        <n v="4"/>
        <n v="17"/>
        <n v="12"/>
        <n v="26"/>
        <n v="16"/>
        <n v="27"/>
        <n v="7"/>
        <n v="77"/>
        <n v="10"/>
        <n v="82"/>
        <n v="14"/>
      </sharedItems>
    </cacheField>
    <cacheField name="奖牌总数" numFmtId="0">
      <sharedItems containsSemiMixedTypes="0" containsString="0" containsNumber="1" containsInteger="1" minValue="0" maxValue="316" count="18">
        <n v="316"/>
        <n v="14"/>
        <n v="85"/>
        <n v="48"/>
        <n v="13"/>
        <n v="32"/>
        <n v="8"/>
        <n v="42"/>
        <n v="27"/>
        <n v="54"/>
        <n v="31"/>
        <n v="46"/>
        <n v="23"/>
        <n v="198"/>
        <n v="4"/>
        <n v="28"/>
        <n v="193"/>
        <n v="3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  <r>
    <x v="5"/>
    <x v="5"/>
    <x v="5"/>
    <x v="5"/>
    <x v="5"/>
  </r>
  <r>
    <x v="6"/>
    <x v="6"/>
    <x v="6"/>
    <x v="6"/>
    <x v="6"/>
  </r>
  <r>
    <x v="7"/>
    <x v="1"/>
    <x v="7"/>
    <x v="7"/>
    <x v="7"/>
  </r>
  <r>
    <x v="8"/>
    <x v="1"/>
    <x v="8"/>
    <x v="8"/>
    <x v="8"/>
  </r>
  <r>
    <x v="9"/>
    <x v="7"/>
    <x v="3"/>
    <x v="9"/>
    <x v="9"/>
  </r>
  <r>
    <x v="10"/>
    <x v="4"/>
    <x v="9"/>
    <x v="10"/>
    <x v="10"/>
  </r>
  <r>
    <x v="11"/>
    <x v="5"/>
    <x v="10"/>
    <x v="11"/>
    <x v="11"/>
  </r>
  <r>
    <x v="12"/>
    <x v="8"/>
    <x v="11"/>
    <x v="12"/>
    <x v="12"/>
  </r>
  <r>
    <x v="13"/>
    <x v="9"/>
    <x v="12"/>
    <x v="13"/>
    <x v="13"/>
  </r>
  <r>
    <x v="14"/>
    <x v="10"/>
    <x v="13"/>
    <x v="9"/>
    <x v="9"/>
  </r>
  <r>
    <x v="15"/>
    <x v="11"/>
    <x v="1"/>
    <x v="4"/>
    <x v="14"/>
  </r>
  <r>
    <x v="16"/>
    <x v="4"/>
    <x v="5"/>
    <x v="14"/>
    <x v="15"/>
  </r>
  <r>
    <x v="17"/>
    <x v="12"/>
    <x v="14"/>
    <x v="15"/>
    <x v="16"/>
  </r>
  <r>
    <x v="18"/>
    <x v="3"/>
    <x v="15"/>
    <x v="1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H24:I28" firstHeaderRow="1" firstDataRow="1" firstDataCol="1"/>
  <pivotFields count="5">
    <pivotField axis="axisRow" compact="0" multipleItemSelectionAllowed="1" showAll="0">
      <items count="20">
        <item h="1" x="10"/>
        <item h="1" x="2"/>
        <item h="1" x="17"/>
        <item h="1" x="5"/>
        <item h="1" x="4"/>
        <item h="1" x="7"/>
        <item h="1" x="13"/>
        <item h="1" x="1"/>
        <item h="1" x="15"/>
        <item h="1" x="9"/>
        <item h="1" x="18"/>
        <item h="1" x="8"/>
        <item h="1" x="3"/>
        <item h="1" x="14"/>
        <item h="1" x="6"/>
        <item h="1" x="12"/>
        <item x="0"/>
        <item x="11"/>
        <item x="16"/>
        <item t="default"/>
      </items>
    </pivotField>
    <pivotField compact="0" showAll="0">
      <items count="14">
        <item x="6"/>
        <item x="11"/>
        <item x="8"/>
        <item x="4"/>
        <item x="1"/>
        <item x="5"/>
        <item x="10"/>
        <item x="3"/>
        <item x="7"/>
        <item x="2"/>
        <item x="9"/>
        <item x="12"/>
        <item x="0"/>
        <item t="default"/>
      </items>
    </pivotField>
    <pivotField compact="0" showAll="0">
      <items count="17">
        <item x="1"/>
        <item x="6"/>
        <item x="4"/>
        <item x="8"/>
        <item x="9"/>
        <item x="10"/>
        <item x="5"/>
        <item x="11"/>
        <item x="15"/>
        <item x="3"/>
        <item x="7"/>
        <item x="13"/>
        <item x="2"/>
        <item x="14"/>
        <item x="12"/>
        <item x="0"/>
        <item t="default"/>
      </items>
    </pivotField>
    <pivotField compact="0" showAll="0"/>
    <pivotField dataField="1" compact="0" showAll="0">
      <items count="19">
        <item x="14"/>
        <item x="6"/>
        <item x="4"/>
        <item x="1"/>
        <item x="12"/>
        <item x="8"/>
        <item x="15"/>
        <item x="10"/>
        <item x="5"/>
        <item x="17"/>
        <item x="7"/>
        <item x="11"/>
        <item x="3"/>
        <item x="9"/>
        <item x="2"/>
        <item x="16"/>
        <item x="13"/>
        <item x="0"/>
        <item t="default"/>
      </items>
    </pivotField>
  </pivotFields>
  <rowFields count="1">
    <field x="0"/>
  </rowFields>
  <rowItems count="4">
    <i>
      <x v="16"/>
    </i>
    <i>
      <x v="17"/>
    </i>
    <i>
      <x v="18"/>
    </i>
    <i t="grand">
      <x/>
    </i>
  </rowItems>
  <colItems count="1">
    <i/>
  </colItems>
  <dataFields count="1">
    <dataField name="求和项:奖牌总数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P16" sqref="P16"/>
    </sheetView>
  </sheetViews>
  <sheetFormatPr defaultColWidth="9" defaultRowHeight="13.5"/>
  <cols>
    <col min="2" max="2" width="16.5" customWidth="1"/>
    <col min="8" max="8" width="12.625"/>
    <col min="9" max="9" width="17.25"/>
    <col min="10" max="10" width="9.875"/>
    <col min="11" max="11" width="5.125"/>
    <col min="12" max="12" width="6.08333333333333"/>
    <col min="13" max="13" width="9.125"/>
    <col min="14" max="14" width="5.125"/>
    <col min="15" max="20" width="9.875"/>
    <col min="21" max="21" width="5.125"/>
  </cols>
  <sheetData>
    <row r="1" ht="14.25" spans="1:7">
      <c r="A1" s="2"/>
      <c r="B1" s="2"/>
      <c r="C1" s="2"/>
      <c r="D1" s="2"/>
      <c r="E1" s="2"/>
      <c r="F1" s="2"/>
      <c r="G1" s="2"/>
    </row>
    <row r="2" ht="22.5" spans="1:7">
      <c r="A2" s="2"/>
      <c r="B2" s="3" t="s">
        <v>0</v>
      </c>
      <c r="C2" s="3"/>
      <c r="D2" s="3"/>
      <c r="E2" s="3"/>
      <c r="F2" s="3"/>
      <c r="G2" s="2"/>
    </row>
    <row r="3" ht="14.25" spans="1:7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</row>
    <row r="4" ht="14.25" spans="1:7">
      <c r="A4" s="2"/>
      <c r="B4" s="5" t="s">
        <v>6</v>
      </c>
      <c r="C4" s="6">
        <v>165</v>
      </c>
      <c r="D4" s="6">
        <v>88</v>
      </c>
      <c r="E4" s="6">
        <v>63</v>
      </c>
      <c r="F4" s="6">
        <f>SUM(C4:E4)</f>
        <v>316</v>
      </c>
      <c r="G4" s="2"/>
    </row>
    <row r="5" ht="14.25" spans="1:7">
      <c r="A5" s="2"/>
      <c r="B5" s="5" t="s">
        <v>7</v>
      </c>
      <c r="C5" s="7">
        <v>8</v>
      </c>
      <c r="D5" s="7">
        <v>0</v>
      </c>
      <c r="E5" s="7">
        <v>6</v>
      </c>
      <c r="F5" s="6">
        <f t="shared" ref="F5:F22" si="0">SUM(C5:E5)</f>
        <v>14</v>
      </c>
      <c r="G5" s="2"/>
    </row>
    <row r="6" ht="14.25" spans="1:7">
      <c r="A6" s="2"/>
      <c r="B6" s="5" t="s">
        <v>8</v>
      </c>
      <c r="C6" s="7">
        <v>23</v>
      </c>
      <c r="D6" s="7">
        <v>19</v>
      </c>
      <c r="E6" s="7">
        <v>43</v>
      </c>
      <c r="F6" s="6">
        <f t="shared" si="0"/>
        <v>85</v>
      </c>
      <c r="G6" s="2"/>
    </row>
    <row r="7" ht="14.25" spans="1:7">
      <c r="A7" s="2"/>
      <c r="B7" s="5" t="s">
        <v>9</v>
      </c>
      <c r="C7" s="7">
        <v>11</v>
      </c>
      <c r="D7" s="7">
        <v>15</v>
      </c>
      <c r="E7" s="7">
        <v>24</v>
      </c>
      <c r="F7" s="6">
        <f t="shared" si="0"/>
        <v>50</v>
      </c>
      <c r="G7" s="2"/>
    </row>
    <row r="8" ht="14.25" spans="1:7">
      <c r="A8" s="2"/>
      <c r="B8" s="5" t="s">
        <v>10</v>
      </c>
      <c r="C8" s="7">
        <v>6</v>
      </c>
      <c r="D8" s="7">
        <v>5</v>
      </c>
      <c r="E8" s="7">
        <v>2</v>
      </c>
      <c r="F8" s="6">
        <f t="shared" si="0"/>
        <v>13</v>
      </c>
      <c r="G8" s="2"/>
    </row>
    <row r="9" ht="14.25" spans="1:7">
      <c r="A9" s="2"/>
      <c r="B9" s="5" t="s">
        <v>11</v>
      </c>
      <c r="C9" s="7">
        <v>9</v>
      </c>
      <c r="D9" s="7">
        <v>12</v>
      </c>
      <c r="E9" s="7">
        <v>11</v>
      </c>
      <c r="F9" s="6">
        <f t="shared" si="0"/>
        <v>32</v>
      </c>
      <c r="G9" s="2"/>
    </row>
    <row r="10" ht="14.25" spans="1:7">
      <c r="A10" s="2"/>
      <c r="B10" s="5" t="s">
        <v>12</v>
      </c>
      <c r="C10" s="7">
        <v>1</v>
      </c>
      <c r="D10" s="7">
        <v>3</v>
      </c>
      <c r="E10" s="7">
        <v>4</v>
      </c>
      <c r="F10" s="6">
        <f t="shared" si="0"/>
        <v>8</v>
      </c>
      <c r="G10" s="2"/>
    </row>
    <row r="11" ht="14.25" spans="1:7">
      <c r="A11" s="2"/>
      <c r="B11" s="5" t="s">
        <v>13</v>
      </c>
      <c r="C11" s="7">
        <v>8</v>
      </c>
      <c r="D11" s="7">
        <v>17</v>
      </c>
      <c r="E11" s="7">
        <v>17</v>
      </c>
      <c r="F11" s="6">
        <f t="shared" si="0"/>
        <v>42</v>
      </c>
      <c r="G11" s="2"/>
    </row>
    <row r="12" ht="14.25" spans="1:7">
      <c r="A12" s="2"/>
      <c r="B12" s="5" t="s">
        <v>14</v>
      </c>
      <c r="C12" s="7">
        <v>8</v>
      </c>
      <c r="D12" s="7">
        <v>7</v>
      </c>
      <c r="E12" s="7">
        <v>12</v>
      </c>
      <c r="F12" s="6">
        <f t="shared" si="0"/>
        <v>27</v>
      </c>
      <c r="G12" s="2"/>
    </row>
    <row r="13" ht="14.25" spans="1:7">
      <c r="A13" s="2"/>
      <c r="B13" s="5" t="s">
        <v>15</v>
      </c>
      <c r="C13" s="7">
        <v>13</v>
      </c>
      <c r="D13" s="7">
        <v>15</v>
      </c>
      <c r="E13" s="7">
        <v>26</v>
      </c>
      <c r="F13" s="6">
        <f t="shared" si="0"/>
        <v>54</v>
      </c>
      <c r="G13" s="2"/>
    </row>
    <row r="14" ht="14.25" spans="1:7">
      <c r="A14" s="2"/>
      <c r="B14" s="5" t="s">
        <v>16</v>
      </c>
      <c r="C14" s="7">
        <v>6</v>
      </c>
      <c r="D14" s="7">
        <v>9</v>
      </c>
      <c r="E14" s="7">
        <v>16</v>
      </c>
      <c r="F14" s="6">
        <f t="shared" si="0"/>
        <v>31</v>
      </c>
      <c r="G14" s="2"/>
    </row>
    <row r="15" ht="14.25" spans="1:7">
      <c r="A15" s="2"/>
      <c r="B15" s="5" t="s">
        <v>17</v>
      </c>
      <c r="C15" s="7">
        <v>9</v>
      </c>
      <c r="D15" s="7">
        <v>10</v>
      </c>
      <c r="E15" s="7">
        <v>27</v>
      </c>
      <c r="F15" s="6">
        <f t="shared" si="0"/>
        <v>46</v>
      </c>
      <c r="G15" s="2"/>
    </row>
    <row r="16" ht="14.25" spans="1:7">
      <c r="A16" s="2"/>
      <c r="B16" s="5" t="s">
        <v>18</v>
      </c>
      <c r="C16" s="7">
        <v>3</v>
      </c>
      <c r="D16" s="7">
        <v>13</v>
      </c>
      <c r="E16" s="7">
        <v>7</v>
      </c>
      <c r="F16" s="6">
        <f t="shared" si="0"/>
        <v>23</v>
      </c>
      <c r="G16" s="2"/>
    </row>
    <row r="17" ht="14.25" spans="1:7">
      <c r="A17" s="2"/>
      <c r="B17" s="5" t="s">
        <v>19</v>
      </c>
      <c r="C17" s="7">
        <v>50</v>
      </c>
      <c r="D17" s="7">
        <v>71</v>
      </c>
      <c r="E17" s="7">
        <v>77</v>
      </c>
      <c r="F17" s="6">
        <f t="shared" si="0"/>
        <v>198</v>
      </c>
      <c r="G17" s="2"/>
    </row>
    <row r="18" ht="14.25" spans="1:7">
      <c r="A18" s="2"/>
      <c r="B18" s="5" t="s">
        <v>20</v>
      </c>
      <c r="C18" s="7">
        <v>10</v>
      </c>
      <c r="D18" s="7">
        <v>18</v>
      </c>
      <c r="E18" s="7">
        <v>25</v>
      </c>
      <c r="F18" s="6">
        <f t="shared" si="0"/>
        <v>53</v>
      </c>
      <c r="G18" s="2"/>
    </row>
    <row r="19" ht="14.25" spans="1:7">
      <c r="A19" s="2"/>
      <c r="B19" s="5" t="s">
        <v>21</v>
      </c>
      <c r="C19" s="7">
        <v>2</v>
      </c>
      <c r="D19" s="7">
        <v>0</v>
      </c>
      <c r="E19" s="7">
        <v>2</v>
      </c>
      <c r="F19" s="6">
        <f t="shared" si="0"/>
        <v>4</v>
      </c>
      <c r="G19" s="2"/>
    </row>
    <row r="20" ht="14.25" spans="1:7">
      <c r="A20" s="2"/>
      <c r="B20" s="5" t="s">
        <v>22</v>
      </c>
      <c r="C20" s="7">
        <v>6</v>
      </c>
      <c r="D20" s="7">
        <v>12</v>
      </c>
      <c r="E20" s="7">
        <v>10</v>
      </c>
      <c r="F20" s="6">
        <f t="shared" si="0"/>
        <v>28</v>
      </c>
      <c r="G20" s="2"/>
    </row>
    <row r="21" ht="14.25" spans="1:7">
      <c r="A21" s="2"/>
      <c r="B21" s="5" t="s">
        <v>23</v>
      </c>
      <c r="C21" s="7">
        <v>58</v>
      </c>
      <c r="D21" s="7">
        <v>53</v>
      </c>
      <c r="E21" s="7">
        <v>82</v>
      </c>
      <c r="F21" s="6">
        <f t="shared" si="0"/>
        <v>193</v>
      </c>
      <c r="G21" s="2"/>
    </row>
    <row r="22" ht="14.25" spans="1:7">
      <c r="A22" s="2"/>
      <c r="B22" s="5" t="s">
        <v>24</v>
      </c>
      <c r="C22" s="7">
        <v>11</v>
      </c>
      <c r="D22" s="7">
        <v>14</v>
      </c>
      <c r="E22" s="7">
        <v>14</v>
      </c>
      <c r="F22" s="6">
        <f t="shared" si="0"/>
        <v>39</v>
      </c>
      <c r="G22" s="2"/>
    </row>
    <row r="23" ht="14.25" spans="1:7">
      <c r="A23" s="2"/>
      <c r="G23" s="2"/>
    </row>
    <row r="24" ht="14.25" spans="1:9">
      <c r="A24" s="2"/>
      <c r="G24" s="2"/>
      <c r="H24" t="s">
        <v>1</v>
      </c>
      <c r="I24" t="s">
        <v>25</v>
      </c>
    </row>
    <row r="25" ht="14.25" spans="1:9">
      <c r="A25" s="2"/>
      <c r="G25" s="8"/>
      <c r="H25" t="s">
        <v>6</v>
      </c>
      <c r="I25">
        <v>316</v>
      </c>
    </row>
    <row r="26" ht="14.25" spans="1:9">
      <c r="A26" s="2"/>
      <c r="G26" s="2"/>
      <c r="H26" t="s">
        <v>17</v>
      </c>
      <c r="I26">
        <v>46</v>
      </c>
    </row>
    <row r="27" ht="14.25" spans="1:9">
      <c r="A27" s="2"/>
      <c r="G27" s="2"/>
      <c r="H27" t="s">
        <v>22</v>
      </c>
      <c r="I27">
        <v>28</v>
      </c>
    </row>
    <row r="28" spans="8:9">
      <c r="H28" t="s">
        <v>26</v>
      </c>
      <c r="I28">
        <v>390</v>
      </c>
    </row>
  </sheetData>
  <sortState ref="P4:P22">
    <sortCondition ref="P4"/>
  </sortState>
  <mergeCells count="1">
    <mergeCell ref="B2:F2"/>
  </mergeCells>
  <conditionalFormatting sqref="B4:F22">
    <cfRule type="expression" dxfId="0" priority="1">
      <formula>RANK($F4,$F$4:$F$22,1)&lt;=3</formula>
    </cfRule>
  </conditionalFormatting>
  <pageMargins left="0.590277777777778" right="0.786805555555556" top="0.393055555555556" bottom="0.984027777777778" header="0.298611111111111" footer="0.298611111111111"/>
  <pageSetup paperSize="9" orientation="landscape" horizontalDpi="60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B2:D3"/>
  <sheetViews>
    <sheetView workbookViewId="0">
      <selection activeCell="C38" sqref="C38"/>
    </sheetView>
  </sheetViews>
  <sheetFormatPr defaultColWidth="9" defaultRowHeight="13.5" outlineLevelRow="2" outlineLevelCol="3"/>
  <cols>
    <col min="2" max="4" width="12.625" customWidth="1"/>
  </cols>
  <sheetData>
    <row r="2" spans="2:4">
      <c r="B2" s="1" t="s">
        <v>27</v>
      </c>
      <c r="C2" s="1" t="s">
        <v>28</v>
      </c>
      <c r="D2" s="1" t="s">
        <v>29</v>
      </c>
    </row>
    <row r="3" spans="2:4">
      <c r="B3" s="1" t="str">
        <f>INDEX(奖牌表!$B$4:$B$22,MATCH(LARGE(奖牌表!C4:C22,5),奖牌表!C4:C22,0),1)</f>
        <v>泰国</v>
      </c>
      <c r="C3" s="1" t="str">
        <f>INDEX(奖牌表!$B$4:$B$22,MATCH(LARGE(奖牌表!D4:D22,6),奖牌表!D4:D22,0),1)</f>
        <v>马来西亚</v>
      </c>
      <c r="D3" s="1" t="str">
        <f>INDEX(奖牌表!$B$4:$B$22,MATCH(LARGE(奖牌表!E4:E22,10),奖牌表!E4:E22,0),1)</f>
        <v>朝鲜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2:F21"/>
  <sheetViews>
    <sheetView workbookViewId="0">
      <selection activeCell="H27" sqref="H27"/>
    </sheetView>
  </sheetViews>
  <sheetFormatPr defaultColWidth="9" defaultRowHeight="13.5" outlineLevelCol="5"/>
  <sheetData>
    <row r="2" spans="2:6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hidden="1" spans="2:6">
      <c r="B3" t="s">
        <v>16</v>
      </c>
      <c r="C3">
        <v>6</v>
      </c>
      <c r="D3">
        <v>9</v>
      </c>
      <c r="E3">
        <v>16</v>
      </c>
      <c r="F3">
        <v>31</v>
      </c>
    </row>
    <row r="4" spans="2:6">
      <c r="B4" t="s">
        <v>8</v>
      </c>
      <c r="C4">
        <v>23</v>
      </c>
      <c r="D4">
        <v>19</v>
      </c>
      <c r="E4">
        <v>43</v>
      </c>
      <c r="F4">
        <v>85</v>
      </c>
    </row>
    <row r="5" spans="2:6">
      <c r="B5" t="s">
        <v>23</v>
      </c>
      <c r="C5">
        <v>58</v>
      </c>
      <c r="D5">
        <v>53</v>
      </c>
      <c r="E5">
        <v>82</v>
      </c>
      <c r="F5">
        <v>193</v>
      </c>
    </row>
    <row r="6" hidden="1" spans="2:6">
      <c r="B6" t="s">
        <v>11</v>
      </c>
      <c r="C6">
        <v>9</v>
      </c>
      <c r="D6">
        <v>12</v>
      </c>
      <c r="E6">
        <v>11</v>
      </c>
      <c r="F6">
        <v>32</v>
      </c>
    </row>
    <row r="7" hidden="1" spans="2:6">
      <c r="B7" t="s">
        <v>10</v>
      </c>
      <c r="C7">
        <v>6</v>
      </c>
      <c r="D7">
        <v>5</v>
      </c>
      <c r="E7">
        <v>2</v>
      </c>
      <c r="F7">
        <v>13</v>
      </c>
    </row>
    <row r="8" hidden="1" spans="2:6">
      <c r="B8" t="s">
        <v>13</v>
      </c>
      <c r="C8">
        <v>8</v>
      </c>
      <c r="D8">
        <v>17</v>
      </c>
      <c r="E8">
        <v>17</v>
      </c>
      <c r="F8">
        <v>42</v>
      </c>
    </row>
    <row r="9" spans="2:6">
      <c r="B9" t="s">
        <v>19</v>
      </c>
      <c r="C9">
        <v>50</v>
      </c>
      <c r="D9">
        <v>71</v>
      </c>
      <c r="E9">
        <v>77</v>
      </c>
      <c r="F9">
        <v>198</v>
      </c>
    </row>
    <row r="10" hidden="1" spans="2:6">
      <c r="B10" t="s">
        <v>7</v>
      </c>
      <c r="C10">
        <v>8</v>
      </c>
      <c r="D10">
        <v>0</v>
      </c>
      <c r="E10">
        <v>6</v>
      </c>
      <c r="F10">
        <v>14</v>
      </c>
    </row>
    <row r="11" hidden="1" spans="2:6">
      <c r="B11" t="s">
        <v>21</v>
      </c>
      <c r="C11">
        <v>2</v>
      </c>
      <c r="D11">
        <v>0</v>
      </c>
      <c r="E11">
        <v>2</v>
      </c>
      <c r="F11">
        <v>4</v>
      </c>
    </row>
    <row r="12" hidden="1" spans="2:6">
      <c r="B12" t="s">
        <v>15</v>
      </c>
      <c r="C12">
        <v>13</v>
      </c>
      <c r="D12">
        <v>15</v>
      </c>
      <c r="E12">
        <v>26</v>
      </c>
      <c r="F12">
        <v>54</v>
      </c>
    </row>
    <row r="13" hidden="1" spans="2:6">
      <c r="B13" t="s">
        <v>24</v>
      </c>
      <c r="C13">
        <v>11</v>
      </c>
      <c r="D13">
        <v>14</v>
      </c>
      <c r="E13">
        <v>14</v>
      </c>
      <c r="F13">
        <v>39</v>
      </c>
    </row>
    <row r="14" hidden="1" spans="2:6">
      <c r="B14" t="s">
        <v>14</v>
      </c>
      <c r="C14">
        <v>8</v>
      </c>
      <c r="D14">
        <v>7</v>
      </c>
      <c r="E14">
        <v>12</v>
      </c>
      <c r="F14">
        <v>27</v>
      </c>
    </row>
    <row r="15" hidden="1" spans="2:6">
      <c r="B15" t="s">
        <v>9</v>
      </c>
      <c r="C15">
        <v>11</v>
      </c>
      <c r="D15">
        <v>15</v>
      </c>
      <c r="E15">
        <v>24</v>
      </c>
      <c r="F15">
        <v>48</v>
      </c>
    </row>
    <row r="16" hidden="1" spans="2:6">
      <c r="B16" t="s">
        <v>20</v>
      </c>
      <c r="C16">
        <v>10</v>
      </c>
      <c r="D16">
        <v>18</v>
      </c>
      <c r="E16">
        <v>25</v>
      </c>
      <c r="F16">
        <v>54</v>
      </c>
    </row>
    <row r="17" hidden="1" spans="2:6">
      <c r="B17" t="s">
        <v>12</v>
      </c>
      <c r="C17">
        <v>1</v>
      </c>
      <c r="D17">
        <v>3</v>
      </c>
      <c r="E17">
        <v>4</v>
      </c>
      <c r="F17">
        <v>8</v>
      </c>
    </row>
    <row r="18" hidden="1" spans="2:6">
      <c r="B18" t="s">
        <v>18</v>
      </c>
      <c r="C18">
        <v>3</v>
      </c>
      <c r="D18">
        <v>13</v>
      </c>
      <c r="E18">
        <v>7</v>
      </c>
      <c r="F18">
        <v>23</v>
      </c>
    </row>
    <row r="19" spans="2:6">
      <c r="B19" t="s">
        <v>6</v>
      </c>
      <c r="C19">
        <v>165</v>
      </c>
      <c r="D19">
        <v>88</v>
      </c>
      <c r="E19">
        <v>63</v>
      </c>
      <c r="F19">
        <v>316</v>
      </c>
    </row>
    <row r="20" hidden="1" spans="2:6">
      <c r="B20" t="s">
        <v>17</v>
      </c>
      <c r="C20">
        <v>9</v>
      </c>
      <c r="D20">
        <v>10</v>
      </c>
      <c r="E20">
        <v>27</v>
      </c>
      <c r="F20">
        <v>46</v>
      </c>
    </row>
    <row r="21" hidden="1" spans="2:6">
      <c r="B21" t="s">
        <v>22</v>
      </c>
      <c r="C21">
        <v>6</v>
      </c>
      <c r="D21">
        <v>12</v>
      </c>
      <c r="E21">
        <v>10</v>
      </c>
      <c r="F21">
        <v>28</v>
      </c>
    </row>
  </sheetData>
  <autoFilter ref="B2:F21">
    <filterColumn colId="1">
      <customFilters>
        <customFilter operator="greaterThanOrEqual" val="20"/>
      </customFilters>
    </filterColumn>
    <extLst/>
  </autoFilter>
  <sortState ref="F42:J60">
    <sortCondition ref="F4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奖牌表</vt:lpstr>
      <vt:lpstr>名次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2025-10-20T02:58:45Z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71509038C71A48269EFDABCC7BD97742_13</vt:lpwstr>
  </property>
  <property fmtid="{D5CDD505-2E9C-101B-9397-08002B2CF9AE}" pid="3" name="KSOProductBuildVer">
    <vt:lpwstr>2052-12.1.0.15712</vt:lpwstr>
  </property>
</Properties>
</file>
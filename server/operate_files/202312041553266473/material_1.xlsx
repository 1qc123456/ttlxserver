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10050" activeTab="3"/>
  </bookViews>
  <sheets>
    <sheet name="Sheet1" sheetId="1" r:id="rId1"/>
    <sheet name="Sheet2" sheetId="2" r:id="rId2"/>
    <sheet name="图表" sheetId="3" r:id="rId3"/>
    <sheet name="Sheet3" sheetId="4" r:id="rId4"/>
  </sheets>
  <definedNames>
    <definedName name="_xlnm._FilterDatabase" localSheetId="1" hidden="1">Sheet2!$G$1:$G$32</definedName>
    <definedName name="_xlnm._FilterDatabase" localSheetId="3" hidden="1">Sheet3!$C$1:$C$33</definedName>
  </definedNames>
  <calcPr calcId="144525"/>
</workbook>
</file>

<file path=xl/sharedStrings.xml><?xml version="1.0" encoding="utf-8"?>
<sst xmlns="http://schemas.openxmlformats.org/spreadsheetml/2006/main" count="217" uniqueCount="46">
  <si>
    <t>5班期末成绩表</t>
  </si>
  <si>
    <t>学号</t>
  </si>
  <si>
    <t>姓名</t>
  </si>
  <si>
    <t>性别</t>
  </si>
  <si>
    <t>语文</t>
  </si>
  <si>
    <t>数学</t>
  </si>
  <si>
    <t>英语</t>
  </si>
  <si>
    <t>计算机</t>
  </si>
  <si>
    <t>总分</t>
  </si>
  <si>
    <t>平均分</t>
  </si>
  <si>
    <t>公芷秀</t>
  </si>
  <si>
    <t>女</t>
  </si>
  <si>
    <t>贡念桃</t>
  </si>
  <si>
    <t>男</t>
  </si>
  <si>
    <t>宋文漪</t>
  </si>
  <si>
    <t>家小凝</t>
  </si>
  <si>
    <t>宋贞婉</t>
  </si>
  <si>
    <t>伊宛畅</t>
  </si>
  <si>
    <t>杨俊郎</t>
  </si>
  <si>
    <t>毋代荷</t>
  </si>
  <si>
    <t>龚偌丝</t>
  </si>
  <si>
    <t>幸平心</t>
  </si>
  <si>
    <t>赵晓巧</t>
  </si>
  <si>
    <t>曹雪芬</t>
  </si>
  <si>
    <t>袁新立</t>
  </si>
  <si>
    <t>沈云霞</t>
  </si>
  <si>
    <t>顾云水</t>
  </si>
  <si>
    <t>钟成业</t>
  </si>
  <si>
    <t>浦俨雅</t>
  </si>
  <si>
    <t>封铭朗</t>
  </si>
  <si>
    <t>曾逸仙</t>
  </si>
  <si>
    <t>敖燕星</t>
  </si>
  <si>
    <t>富梓玥</t>
  </si>
  <si>
    <t>贡笑白</t>
  </si>
  <si>
    <t>瞿悦可</t>
  </si>
  <si>
    <t>尹瑾瑶</t>
  </si>
  <si>
    <t>杜志文</t>
  </si>
  <si>
    <t>袁芮雅</t>
  </si>
  <si>
    <t>程春绿</t>
  </si>
  <si>
    <t>蒲琰琬</t>
  </si>
  <si>
    <t>权恬欣</t>
  </si>
  <si>
    <t>顾雨星</t>
  </si>
  <si>
    <t>康津童</t>
  </si>
  <si>
    <t>男 平均值</t>
  </si>
  <si>
    <t>女 平均值</t>
  </si>
  <si>
    <t>总计平均值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</si>
</sst>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30"/>
      <color rgb="FF002060"/>
      <name val="黑体"/>
      <charset val="134"/>
    </font>
    <font>
      <sz val="15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002060"/>
      </left>
      <right style="thin">
        <color rgb="FF0070C0"/>
      </right>
      <top style="thick">
        <color rgb="FF00206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2060"/>
      </top>
      <bottom style="thin">
        <color rgb="FF0070C0"/>
      </bottom>
      <diagonal/>
    </border>
    <border>
      <left style="thick">
        <color rgb="FF00206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2060"/>
      </left>
      <right style="thin">
        <color rgb="FF0070C0"/>
      </right>
      <top style="thin">
        <color rgb="FF0070C0"/>
      </top>
      <bottom style="thick">
        <color rgb="FF00206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2060"/>
      </bottom>
      <diagonal/>
    </border>
    <border>
      <left style="thin">
        <color rgb="FF0070C0"/>
      </left>
      <right style="thick">
        <color rgb="FF002060"/>
      </right>
      <top style="thick">
        <color rgb="FF002060"/>
      </top>
      <bottom style="thin">
        <color rgb="FF0070C0"/>
      </bottom>
      <diagonal/>
    </border>
    <border>
      <left style="thin">
        <color rgb="FF0070C0"/>
      </left>
      <right style="thick">
        <color rgb="FF00206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2060"/>
      </right>
      <top style="thin">
        <color rgb="FF0070C0"/>
      </top>
      <bottom style="thick">
        <color rgb="FF00206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/>
    <xf numFmtId="176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数学对比图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Sheet2!$B$2:$B$14</c:f>
              <c:strCache>
                <c:ptCount val="8"/>
                <c:pt idx="0">
                  <c:v>公芷秀</c:v>
                </c:pt>
                <c:pt idx="1">
                  <c:v>贡念桃</c:v>
                </c:pt>
                <c:pt idx="2">
                  <c:v>宋文漪</c:v>
                </c:pt>
                <c:pt idx="3">
                  <c:v>毋代荷</c:v>
                </c:pt>
                <c:pt idx="4">
                  <c:v>龚偌丝</c:v>
                </c:pt>
                <c:pt idx="5">
                  <c:v>幸平心</c:v>
                </c:pt>
                <c:pt idx="6">
                  <c:v>曹雪芬</c:v>
                </c:pt>
                <c:pt idx="7">
                  <c:v>袁新立</c:v>
                </c:pt>
              </c:strCache>
            </c:strRef>
          </c:cat>
          <c:val>
            <c:numRef>
              <c:f>Sheet2!$E$2:$E$14</c:f>
              <c:numCache>
                <c:formatCode>General</c:formatCode>
                <c:ptCount val="8"/>
                <c:pt idx="0">
                  <c:v>112</c:v>
                </c:pt>
                <c:pt idx="1">
                  <c:v>92</c:v>
                </c:pt>
                <c:pt idx="2">
                  <c:v>96</c:v>
                </c:pt>
                <c:pt idx="3">
                  <c:v>85</c:v>
                </c:pt>
                <c:pt idx="4">
                  <c:v>84</c:v>
                </c:pt>
                <c:pt idx="5">
                  <c:v>84</c:v>
                </c:pt>
                <c:pt idx="6">
                  <c:v>89</c:v>
                </c:pt>
                <c:pt idx="7">
                  <c:v>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25686016"/>
        <c:axId val="325687936"/>
      </c:barChart>
      <c:catAx>
        <c:axId val="3256860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687936"/>
        <c:crosses val="autoZero"/>
        <c:auto val="1"/>
        <c:lblAlgn val="ctr"/>
        <c:lblOffset val="100"/>
        <c:noMultiLvlLbl val="0"/>
      </c:catAx>
      <c:valAx>
        <c:axId val="32568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68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500062</xdr:colOff>
      <xdr:row>2</xdr:row>
      <xdr:rowOff>123825</xdr:rowOff>
    </xdr:from>
    <xdr:to>
      <xdr:col>7</xdr:col>
      <xdr:colOff>271462</xdr:colOff>
      <xdr:row>18</xdr:row>
      <xdr:rowOff>123825</xdr:rowOff>
    </xdr:to>
    <xdr:graphicFrame>
      <xdr:nvGraphicFramePr>
        <xdr:cNvPr id="2" name="图表 1"/>
        <xdr:cNvGraphicFramePr/>
      </xdr:nvGraphicFramePr>
      <xdr:xfrm>
        <a:off x="499745" y="4667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55" zoomScaleNormal="55" workbookViewId="0">
      <selection activeCell="T23" sqref="T23"/>
    </sheetView>
  </sheetViews>
  <sheetFormatPr defaultColWidth="9" defaultRowHeight="13.5"/>
  <cols>
    <col min="1" max="9" width="14.625" customWidth="1"/>
  </cols>
  <sheetData>
    <row r="1" ht="39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.25" spans="1: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12" t="s">
        <v>9</v>
      </c>
    </row>
    <row r="3" ht="19.5" spans="1:9">
      <c r="A3" s="6">
        <v>20220508</v>
      </c>
      <c r="B3" s="7" t="s">
        <v>10</v>
      </c>
      <c r="C3" s="7" t="s">
        <v>11</v>
      </c>
      <c r="D3" s="7">
        <v>98</v>
      </c>
      <c r="E3" s="7">
        <v>112</v>
      </c>
      <c r="F3" s="7">
        <v>98</v>
      </c>
      <c r="G3" s="7">
        <v>95</v>
      </c>
      <c r="H3" s="8">
        <f t="shared" ref="H3:H33" si="0">SUM(D3:G3)</f>
        <v>403</v>
      </c>
      <c r="I3" s="13">
        <f t="shared" ref="I3:I33" si="1">AVERAGE(D3:G3)</f>
        <v>100.75</v>
      </c>
    </row>
    <row r="4" ht="19.5" spans="1:9">
      <c r="A4" s="6">
        <v>20220506</v>
      </c>
      <c r="B4" s="7" t="s">
        <v>12</v>
      </c>
      <c r="C4" s="7" t="s">
        <v>13</v>
      </c>
      <c r="D4" s="7">
        <v>102</v>
      </c>
      <c r="E4" s="7">
        <v>92</v>
      </c>
      <c r="F4" s="7">
        <v>90</v>
      </c>
      <c r="G4" s="7">
        <v>112</v>
      </c>
      <c r="H4" s="8">
        <f t="shared" si="0"/>
        <v>396</v>
      </c>
      <c r="I4" s="13">
        <f t="shared" si="1"/>
        <v>99</v>
      </c>
    </row>
    <row r="5" ht="19.5" spans="1:9">
      <c r="A5" s="6">
        <v>20220523</v>
      </c>
      <c r="B5" s="7" t="s">
        <v>14</v>
      </c>
      <c r="C5" s="7" t="s">
        <v>13</v>
      </c>
      <c r="D5" s="7">
        <v>84</v>
      </c>
      <c r="E5" s="7">
        <v>96</v>
      </c>
      <c r="F5" s="7">
        <v>112</v>
      </c>
      <c r="G5" s="7">
        <v>98</v>
      </c>
      <c r="H5" s="8">
        <f t="shared" si="0"/>
        <v>390</v>
      </c>
      <c r="I5" s="13">
        <f t="shared" si="1"/>
        <v>97.5</v>
      </c>
    </row>
    <row r="6" ht="19.5" spans="1:9">
      <c r="A6" s="6">
        <v>20220501</v>
      </c>
      <c r="B6" s="7" t="s">
        <v>15</v>
      </c>
      <c r="C6" s="7" t="s">
        <v>11</v>
      </c>
      <c r="D6" s="7">
        <v>103</v>
      </c>
      <c r="E6" s="7">
        <v>105</v>
      </c>
      <c r="F6" s="7">
        <v>90</v>
      </c>
      <c r="G6" s="7">
        <v>86</v>
      </c>
      <c r="H6" s="8">
        <f t="shared" si="0"/>
        <v>384</v>
      </c>
      <c r="I6" s="13">
        <f t="shared" si="1"/>
        <v>96</v>
      </c>
    </row>
    <row r="7" ht="19.5" spans="1:9">
      <c r="A7" s="6">
        <v>20220510</v>
      </c>
      <c r="B7" s="7" t="s">
        <v>16</v>
      </c>
      <c r="C7" s="7" t="s">
        <v>11</v>
      </c>
      <c r="D7" s="7">
        <v>96</v>
      </c>
      <c r="E7" s="7">
        <v>95</v>
      </c>
      <c r="F7" s="7">
        <v>90</v>
      </c>
      <c r="G7" s="7">
        <v>85</v>
      </c>
      <c r="H7" s="8">
        <f t="shared" si="0"/>
        <v>366</v>
      </c>
      <c r="I7" s="13">
        <f t="shared" si="1"/>
        <v>91.5</v>
      </c>
    </row>
    <row r="8" ht="19.5" spans="1:9">
      <c r="A8" s="6">
        <v>20220502</v>
      </c>
      <c r="B8" s="7" t="s">
        <v>17</v>
      </c>
      <c r="C8" s="7" t="s">
        <v>11</v>
      </c>
      <c r="D8" s="7">
        <v>95</v>
      </c>
      <c r="E8" s="7">
        <v>98</v>
      </c>
      <c r="F8" s="7">
        <v>88</v>
      </c>
      <c r="G8" s="7">
        <v>84</v>
      </c>
      <c r="H8" s="8">
        <f t="shared" si="0"/>
        <v>365</v>
      </c>
      <c r="I8" s="13">
        <f t="shared" si="1"/>
        <v>91.25</v>
      </c>
    </row>
    <row r="9" ht="19.5" spans="1:9">
      <c r="A9" s="6">
        <v>20220530</v>
      </c>
      <c r="B9" s="7" t="s">
        <v>18</v>
      </c>
      <c r="C9" s="7" t="s">
        <v>13</v>
      </c>
      <c r="D9" s="7">
        <v>94</v>
      </c>
      <c r="E9" s="7">
        <v>96</v>
      </c>
      <c r="F9" s="7">
        <v>85</v>
      </c>
      <c r="G9" s="7">
        <v>86</v>
      </c>
      <c r="H9" s="8">
        <f t="shared" si="0"/>
        <v>361</v>
      </c>
      <c r="I9" s="13">
        <f t="shared" si="1"/>
        <v>90.25</v>
      </c>
    </row>
    <row r="10" ht="19.5" spans="1:9">
      <c r="A10" s="6">
        <v>20220515</v>
      </c>
      <c r="B10" s="7" t="s">
        <v>19</v>
      </c>
      <c r="C10" s="7" t="s">
        <v>13</v>
      </c>
      <c r="D10" s="7">
        <v>89</v>
      </c>
      <c r="E10" s="7">
        <v>85</v>
      </c>
      <c r="F10" s="7">
        <v>89</v>
      </c>
      <c r="G10" s="7">
        <v>96</v>
      </c>
      <c r="H10" s="8">
        <f t="shared" si="0"/>
        <v>359</v>
      </c>
      <c r="I10" s="13">
        <f t="shared" si="1"/>
        <v>89.75</v>
      </c>
    </row>
    <row r="11" ht="19.5" spans="1:9">
      <c r="A11" s="6">
        <v>20220509</v>
      </c>
      <c r="B11" s="7" t="s">
        <v>20</v>
      </c>
      <c r="C11" s="7" t="s">
        <v>11</v>
      </c>
      <c r="D11" s="7">
        <v>89</v>
      </c>
      <c r="E11" s="7">
        <v>84</v>
      </c>
      <c r="F11" s="7">
        <v>80</v>
      </c>
      <c r="G11" s="7">
        <v>103</v>
      </c>
      <c r="H11" s="8">
        <f t="shared" si="0"/>
        <v>356</v>
      </c>
      <c r="I11" s="13">
        <f t="shared" si="1"/>
        <v>89</v>
      </c>
    </row>
    <row r="12" ht="19.5" spans="1:9">
      <c r="A12" s="6">
        <v>20220504</v>
      </c>
      <c r="B12" s="7" t="s">
        <v>21</v>
      </c>
      <c r="C12" s="7" t="s">
        <v>13</v>
      </c>
      <c r="D12" s="7">
        <v>98</v>
      </c>
      <c r="E12" s="7">
        <v>84</v>
      </c>
      <c r="F12" s="7">
        <v>79</v>
      </c>
      <c r="G12" s="7">
        <v>92</v>
      </c>
      <c r="H12" s="8">
        <f t="shared" si="0"/>
        <v>353</v>
      </c>
      <c r="I12" s="13">
        <f t="shared" si="1"/>
        <v>88.25</v>
      </c>
    </row>
    <row r="13" ht="19.5" spans="1:9">
      <c r="A13" s="6">
        <v>20220527</v>
      </c>
      <c r="B13" s="7" t="s">
        <v>22</v>
      </c>
      <c r="C13" s="7" t="s">
        <v>11</v>
      </c>
      <c r="D13" s="7">
        <v>95</v>
      </c>
      <c r="E13" s="7">
        <v>82</v>
      </c>
      <c r="F13" s="7">
        <v>98</v>
      </c>
      <c r="G13" s="7">
        <v>78</v>
      </c>
      <c r="H13" s="8">
        <f t="shared" si="0"/>
        <v>353</v>
      </c>
      <c r="I13" s="13">
        <f t="shared" si="1"/>
        <v>88.25</v>
      </c>
    </row>
    <row r="14" ht="19.5" spans="1:9">
      <c r="A14" s="6">
        <v>20220522</v>
      </c>
      <c r="B14" s="7" t="s">
        <v>23</v>
      </c>
      <c r="C14" s="7" t="s">
        <v>11</v>
      </c>
      <c r="D14" s="7">
        <v>79</v>
      </c>
      <c r="E14" s="7">
        <v>89</v>
      </c>
      <c r="F14" s="7">
        <v>81</v>
      </c>
      <c r="G14" s="7">
        <v>103</v>
      </c>
      <c r="H14" s="8">
        <f t="shared" si="0"/>
        <v>352</v>
      </c>
      <c r="I14" s="13">
        <f t="shared" si="1"/>
        <v>88</v>
      </c>
    </row>
    <row r="15" ht="19.5" spans="1:9">
      <c r="A15" s="6">
        <v>20220525</v>
      </c>
      <c r="B15" s="7" t="s">
        <v>24</v>
      </c>
      <c r="C15" s="7" t="s">
        <v>13</v>
      </c>
      <c r="D15" s="7">
        <v>86</v>
      </c>
      <c r="E15" s="7">
        <v>75</v>
      </c>
      <c r="F15" s="7">
        <v>95</v>
      </c>
      <c r="G15" s="7">
        <v>96</v>
      </c>
      <c r="H15" s="8">
        <f t="shared" si="0"/>
        <v>352</v>
      </c>
      <c r="I15" s="13">
        <f t="shared" si="1"/>
        <v>88</v>
      </c>
    </row>
    <row r="16" ht="19.5" spans="1:9">
      <c r="A16" s="6">
        <v>20220511</v>
      </c>
      <c r="B16" s="7" t="s">
        <v>25</v>
      </c>
      <c r="C16" s="7" t="s">
        <v>13</v>
      </c>
      <c r="D16" s="7">
        <v>85</v>
      </c>
      <c r="E16" s="7">
        <v>103</v>
      </c>
      <c r="F16" s="7">
        <v>85</v>
      </c>
      <c r="G16" s="7">
        <v>78</v>
      </c>
      <c r="H16" s="8">
        <f t="shared" si="0"/>
        <v>351</v>
      </c>
      <c r="I16" s="13">
        <f t="shared" si="1"/>
        <v>87.75</v>
      </c>
    </row>
    <row r="17" ht="19.5" spans="1:9">
      <c r="A17" s="6">
        <v>20220520</v>
      </c>
      <c r="B17" s="7" t="s">
        <v>26</v>
      </c>
      <c r="C17" s="7" t="s">
        <v>11</v>
      </c>
      <c r="D17" s="7">
        <v>82</v>
      </c>
      <c r="E17" s="7">
        <v>95</v>
      </c>
      <c r="F17" s="7">
        <v>94</v>
      </c>
      <c r="G17" s="7">
        <v>79</v>
      </c>
      <c r="H17" s="8">
        <f t="shared" si="0"/>
        <v>350</v>
      </c>
      <c r="I17" s="13">
        <f t="shared" si="1"/>
        <v>87.5</v>
      </c>
    </row>
    <row r="18" ht="19.5" spans="1:9">
      <c r="A18" s="6">
        <v>20220526</v>
      </c>
      <c r="B18" s="7" t="s">
        <v>27</v>
      </c>
      <c r="C18" s="7" t="s">
        <v>13</v>
      </c>
      <c r="D18" s="7">
        <v>74</v>
      </c>
      <c r="E18" s="7">
        <v>86</v>
      </c>
      <c r="F18" s="7">
        <v>103</v>
      </c>
      <c r="G18" s="7">
        <v>85</v>
      </c>
      <c r="H18" s="8">
        <f t="shared" si="0"/>
        <v>348</v>
      </c>
      <c r="I18" s="13">
        <f t="shared" si="1"/>
        <v>87</v>
      </c>
    </row>
    <row r="19" ht="19.5" spans="1:9">
      <c r="A19" s="6">
        <v>20220512</v>
      </c>
      <c r="B19" s="7" t="s">
        <v>28</v>
      </c>
      <c r="C19" s="7" t="s">
        <v>13</v>
      </c>
      <c r="D19" s="7">
        <v>78</v>
      </c>
      <c r="E19" s="7">
        <v>98</v>
      </c>
      <c r="F19" s="7">
        <v>96</v>
      </c>
      <c r="G19" s="7">
        <v>75</v>
      </c>
      <c r="H19" s="8">
        <f t="shared" si="0"/>
        <v>347</v>
      </c>
      <c r="I19" s="13">
        <f t="shared" si="1"/>
        <v>86.75</v>
      </c>
    </row>
    <row r="20" ht="19.5" spans="1:9">
      <c r="A20" s="6">
        <v>20220519</v>
      </c>
      <c r="B20" s="7" t="s">
        <v>29</v>
      </c>
      <c r="C20" s="7" t="s">
        <v>13</v>
      </c>
      <c r="D20" s="7">
        <v>86</v>
      </c>
      <c r="E20" s="7">
        <v>74</v>
      </c>
      <c r="F20" s="7">
        <v>95</v>
      </c>
      <c r="G20" s="7">
        <v>89</v>
      </c>
      <c r="H20" s="8">
        <f t="shared" si="0"/>
        <v>344</v>
      </c>
      <c r="I20" s="13">
        <f t="shared" si="1"/>
        <v>86</v>
      </c>
    </row>
    <row r="21" ht="19.5" spans="1:9">
      <c r="A21" s="6">
        <v>20220529</v>
      </c>
      <c r="B21" s="7" t="s">
        <v>30</v>
      </c>
      <c r="C21" s="7" t="s">
        <v>13</v>
      </c>
      <c r="D21" s="7">
        <v>86</v>
      </c>
      <c r="E21" s="7">
        <v>86</v>
      </c>
      <c r="F21" s="7">
        <v>96</v>
      </c>
      <c r="G21" s="7">
        <v>75</v>
      </c>
      <c r="H21" s="8">
        <f t="shared" si="0"/>
        <v>343</v>
      </c>
      <c r="I21" s="13">
        <f t="shared" si="1"/>
        <v>85.75</v>
      </c>
    </row>
    <row r="22" ht="19.5" spans="1:9">
      <c r="A22" s="6">
        <v>20220503</v>
      </c>
      <c r="B22" s="7" t="s">
        <v>31</v>
      </c>
      <c r="C22" s="7" t="s">
        <v>13</v>
      </c>
      <c r="D22" s="7">
        <v>87</v>
      </c>
      <c r="E22" s="7">
        <v>86</v>
      </c>
      <c r="F22" s="7">
        <v>85</v>
      </c>
      <c r="G22" s="7">
        <v>79</v>
      </c>
      <c r="H22" s="8">
        <f t="shared" si="0"/>
        <v>337</v>
      </c>
      <c r="I22" s="13">
        <f t="shared" si="1"/>
        <v>84.25</v>
      </c>
    </row>
    <row r="23" ht="19.5" spans="1:9">
      <c r="A23" s="6">
        <v>20220514</v>
      </c>
      <c r="B23" s="7" t="s">
        <v>32</v>
      </c>
      <c r="C23" s="7" t="s">
        <v>11</v>
      </c>
      <c r="D23" s="7">
        <v>71</v>
      </c>
      <c r="E23" s="7">
        <v>96</v>
      </c>
      <c r="F23" s="7">
        <v>80</v>
      </c>
      <c r="G23" s="7">
        <v>89</v>
      </c>
      <c r="H23" s="8">
        <f t="shared" si="0"/>
        <v>336</v>
      </c>
      <c r="I23" s="13">
        <f t="shared" si="1"/>
        <v>84</v>
      </c>
    </row>
    <row r="24" ht="19.5" spans="1:9">
      <c r="A24" s="6">
        <v>20220518</v>
      </c>
      <c r="B24" s="7" t="s">
        <v>33</v>
      </c>
      <c r="C24" s="7" t="s">
        <v>13</v>
      </c>
      <c r="D24" s="7">
        <v>75</v>
      </c>
      <c r="E24" s="7">
        <v>86</v>
      </c>
      <c r="F24" s="7">
        <v>88</v>
      </c>
      <c r="G24" s="7">
        <v>80</v>
      </c>
      <c r="H24" s="8">
        <f t="shared" si="0"/>
        <v>329</v>
      </c>
      <c r="I24" s="13">
        <f t="shared" si="1"/>
        <v>82.25</v>
      </c>
    </row>
    <row r="25" ht="19.5" spans="1:9">
      <c r="A25" s="6">
        <v>20220505</v>
      </c>
      <c r="B25" s="7" t="s">
        <v>34</v>
      </c>
      <c r="C25" s="7" t="s">
        <v>11</v>
      </c>
      <c r="D25" s="7">
        <v>100</v>
      </c>
      <c r="E25" s="7">
        <v>79</v>
      </c>
      <c r="F25" s="7">
        <v>68</v>
      </c>
      <c r="G25" s="7">
        <v>81</v>
      </c>
      <c r="H25" s="8">
        <f t="shared" si="0"/>
        <v>328</v>
      </c>
      <c r="I25" s="13">
        <f t="shared" si="1"/>
        <v>82</v>
      </c>
    </row>
    <row r="26" ht="19.5" spans="1:9">
      <c r="A26" s="6">
        <v>20220521</v>
      </c>
      <c r="B26" s="7" t="s">
        <v>35</v>
      </c>
      <c r="C26" s="7" t="s">
        <v>11</v>
      </c>
      <c r="D26" s="7">
        <v>91</v>
      </c>
      <c r="E26" s="7">
        <v>85</v>
      </c>
      <c r="F26" s="7">
        <v>63</v>
      </c>
      <c r="G26" s="7">
        <v>88</v>
      </c>
      <c r="H26" s="8">
        <f t="shared" si="0"/>
        <v>327</v>
      </c>
      <c r="I26" s="13">
        <f t="shared" si="1"/>
        <v>81.75</v>
      </c>
    </row>
    <row r="27" ht="19.5" spans="1:9">
      <c r="A27" s="6">
        <v>20220524</v>
      </c>
      <c r="B27" s="7" t="s">
        <v>36</v>
      </c>
      <c r="C27" s="7" t="s">
        <v>13</v>
      </c>
      <c r="D27" s="7">
        <v>95</v>
      </c>
      <c r="E27" s="7">
        <v>58</v>
      </c>
      <c r="F27" s="7">
        <v>84</v>
      </c>
      <c r="G27" s="7">
        <v>89</v>
      </c>
      <c r="H27" s="8">
        <f t="shared" si="0"/>
        <v>326</v>
      </c>
      <c r="I27" s="13">
        <f t="shared" si="1"/>
        <v>81.5</v>
      </c>
    </row>
    <row r="28" ht="19.5" spans="1:9">
      <c r="A28" s="6">
        <v>20220528</v>
      </c>
      <c r="B28" s="7" t="s">
        <v>37</v>
      </c>
      <c r="C28" s="7" t="s">
        <v>11</v>
      </c>
      <c r="D28" s="7">
        <v>85</v>
      </c>
      <c r="E28" s="7">
        <v>94</v>
      </c>
      <c r="F28" s="7">
        <v>89</v>
      </c>
      <c r="G28" s="7">
        <v>58</v>
      </c>
      <c r="H28" s="8">
        <f t="shared" si="0"/>
        <v>326</v>
      </c>
      <c r="I28" s="13">
        <f t="shared" si="1"/>
        <v>81.5</v>
      </c>
    </row>
    <row r="29" ht="19.5" spans="1:9">
      <c r="A29" s="6">
        <v>20220507</v>
      </c>
      <c r="B29" s="7" t="s">
        <v>38</v>
      </c>
      <c r="C29" s="7" t="s">
        <v>13</v>
      </c>
      <c r="D29" s="7">
        <v>103</v>
      </c>
      <c r="E29" s="7">
        <v>81</v>
      </c>
      <c r="F29" s="7">
        <v>56</v>
      </c>
      <c r="G29" s="7">
        <v>84</v>
      </c>
      <c r="H29" s="8">
        <f t="shared" si="0"/>
        <v>324</v>
      </c>
      <c r="I29" s="13">
        <f t="shared" si="1"/>
        <v>81</v>
      </c>
    </row>
    <row r="30" ht="19.5" spans="1:9">
      <c r="A30" s="6">
        <v>20220517</v>
      </c>
      <c r="B30" s="7" t="s">
        <v>39</v>
      </c>
      <c r="C30" s="7" t="s">
        <v>11</v>
      </c>
      <c r="D30" s="7">
        <v>58</v>
      </c>
      <c r="E30" s="7">
        <v>95</v>
      </c>
      <c r="F30" s="7">
        <v>88</v>
      </c>
      <c r="G30" s="7">
        <v>78</v>
      </c>
      <c r="H30" s="8">
        <f t="shared" si="0"/>
        <v>319</v>
      </c>
      <c r="I30" s="13">
        <f t="shared" si="1"/>
        <v>79.75</v>
      </c>
    </row>
    <row r="31" ht="19.5" spans="1:9">
      <c r="A31" s="6">
        <v>20220513</v>
      </c>
      <c r="B31" s="7" t="s">
        <v>40</v>
      </c>
      <c r="C31" s="7" t="s">
        <v>11</v>
      </c>
      <c r="D31" s="7">
        <v>75</v>
      </c>
      <c r="E31" s="7">
        <v>89</v>
      </c>
      <c r="F31" s="7">
        <v>78</v>
      </c>
      <c r="G31" s="7">
        <v>71</v>
      </c>
      <c r="H31" s="8">
        <f t="shared" si="0"/>
        <v>313</v>
      </c>
      <c r="I31" s="13">
        <f t="shared" si="1"/>
        <v>78.25</v>
      </c>
    </row>
    <row r="32" ht="19.5" spans="1:9">
      <c r="A32" s="6">
        <v>20220531</v>
      </c>
      <c r="B32" s="7" t="s">
        <v>41</v>
      </c>
      <c r="C32" s="7" t="s">
        <v>13</v>
      </c>
      <c r="D32" s="7">
        <v>86</v>
      </c>
      <c r="E32" s="7">
        <v>58</v>
      </c>
      <c r="F32" s="7">
        <v>87</v>
      </c>
      <c r="G32" s="7">
        <v>82</v>
      </c>
      <c r="H32" s="8">
        <f t="shared" si="0"/>
        <v>313</v>
      </c>
      <c r="I32" s="13">
        <f t="shared" si="1"/>
        <v>78.25</v>
      </c>
    </row>
    <row r="33" ht="20.25" spans="1:9">
      <c r="A33" s="9">
        <v>20220516</v>
      </c>
      <c r="B33" s="10" t="s">
        <v>42</v>
      </c>
      <c r="C33" s="10" t="s">
        <v>13</v>
      </c>
      <c r="D33" s="10">
        <v>96</v>
      </c>
      <c r="E33" s="10">
        <v>78</v>
      </c>
      <c r="F33" s="10">
        <v>79</v>
      </c>
      <c r="G33" s="10">
        <v>58</v>
      </c>
      <c r="H33" s="11">
        <f t="shared" si="0"/>
        <v>311</v>
      </c>
      <c r="I33" s="14">
        <f t="shared" si="1"/>
        <v>77.75</v>
      </c>
    </row>
    <row r="34" ht="14.25"/>
  </sheetData>
  <sortState ref="A3:I33">
    <sortCondition ref="H3" descending="1"/>
  </sortState>
  <mergeCells count="1">
    <mergeCell ref="A1:I1"/>
  </mergeCells>
  <conditionalFormatting sqref="D3:G33">
    <cfRule type="cellIs" dxfId="0" priority="1" operator="greaterThan">
      <formula>100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2"/>
  <sheetViews>
    <sheetView workbookViewId="0">
      <selection activeCell="H48" sqref="H48"/>
    </sheetView>
  </sheetViews>
  <sheetFormatPr defaultColWidth="9" defaultRowHeight="13.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20220508</v>
      </c>
      <c r="B2" t="s">
        <v>10</v>
      </c>
      <c r="C2" t="s">
        <v>11</v>
      </c>
      <c r="D2">
        <v>98</v>
      </c>
      <c r="E2">
        <v>112</v>
      </c>
      <c r="F2">
        <v>98</v>
      </c>
      <c r="G2">
        <v>95</v>
      </c>
      <c r="H2" s="1">
        <f t="shared" ref="H2:H32" si="0">SUM(D2:G2)</f>
        <v>403</v>
      </c>
      <c r="I2" s="1">
        <f t="shared" ref="I2:I32" si="1">AVERAGE(D2:G2)</f>
        <v>100.75</v>
      </c>
    </row>
    <row r="3" spans="1:9">
      <c r="A3">
        <v>20220506</v>
      </c>
      <c r="B3" t="s">
        <v>12</v>
      </c>
      <c r="C3" t="s">
        <v>13</v>
      </c>
      <c r="D3">
        <v>102</v>
      </c>
      <c r="E3">
        <v>92</v>
      </c>
      <c r="F3">
        <v>90</v>
      </c>
      <c r="G3">
        <v>112</v>
      </c>
      <c r="H3" s="1">
        <f t="shared" si="0"/>
        <v>396</v>
      </c>
      <c r="I3" s="1">
        <f t="shared" si="1"/>
        <v>99</v>
      </c>
    </row>
    <row r="4" spans="1:9">
      <c r="A4">
        <v>20220523</v>
      </c>
      <c r="B4" t="s">
        <v>14</v>
      </c>
      <c r="C4" t="s">
        <v>13</v>
      </c>
      <c r="D4">
        <v>84</v>
      </c>
      <c r="E4">
        <v>96</v>
      </c>
      <c r="F4">
        <v>112</v>
      </c>
      <c r="G4">
        <v>98</v>
      </c>
      <c r="H4" s="1">
        <f t="shared" si="0"/>
        <v>390</v>
      </c>
      <c r="I4" s="1">
        <f t="shared" si="1"/>
        <v>97.5</v>
      </c>
    </row>
    <row r="5" hidden="1" spans="1:9">
      <c r="A5">
        <v>20220501</v>
      </c>
      <c r="B5" t="s">
        <v>15</v>
      </c>
      <c r="C5" t="s">
        <v>11</v>
      </c>
      <c r="D5">
        <v>103</v>
      </c>
      <c r="E5">
        <v>105</v>
      </c>
      <c r="F5">
        <v>90</v>
      </c>
      <c r="G5">
        <v>86</v>
      </c>
      <c r="H5" s="1">
        <f t="shared" si="0"/>
        <v>384</v>
      </c>
      <c r="I5" s="1">
        <f t="shared" si="1"/>
        <v>96</v>
      </c>
    </row>
    <row r="6" hidden="1" spans="1:9">
      <c r="A6">
        <v>20220510</v>
      </c>
      <c r="B6" t="s">
        <v>16</v>
      </c>
      <c r="C6" t="s">
        <v>11</v>
      </c>
      <c r="D6">
        <v>96</v>
      </c>
      <c r="E6">
        <v>95</v>
      </c>
      <c r="F6">
        <v>90</v>
      </c>
      <c r="G6">
        <v>85</v>
      </c>
      <c r="H6" s="1">
        <f t="shared" si="0"/>
        <v>366</v>
      </c>
      <c r="I6" s="1">
        <f t="shared" si="1"/>
        <v>91.5</v>
      </c>
    </row>
    <row r="7" hidden="1" spans="1:9">
      <c r="A7">
        <v>20220502</v>
      </c>
      <c r="B7" t="s">
        <v>17</v>
      </c>
      <c r="C7" t="s">
        <v>11</v>
      </c>
      <c r="D7">
        <v>95</v>
      </c>
      <c r="E7">
        <v>98</v>
      </c>
      <c r="F7">
        <v>88</v>
      </c>
      <c r="G7">
        <v>84</v>
      </c>
      <c r="H7" s="1">
        <f t="shared" si="0"/>
        <v>365</v>
      </c>
      <c r="I7" s="1">
        <f t="shared" si="1"/>
        <v>91.25</v>
      </c>
    </row>
    <row r="8" hidden="1" spans="1:9">
      <c r="A8">
        <v>20220530</v>
      </c>
      <c r="B8" t="s">
        <v>18</v>
      </c>
      <c r="C8" t="s">
        <v>13</v>
      </c>
      <c r="D8">
        <v>94</v>
      </c>
      <c r="E8">
        <v>96</v>
      </c>
      <c r="F8">
        <v>85</v>
      </c>
      <c r="G8">
        <v>86</v>
      </c>
      <c r="H8" s="1">
        <f t="shared" si="0"/>
        <v>361</v>
      </c>
      <c r="I8" s="1">
        <f t="shared" si="1"/>
        <v>90.25</v>
      </c>
    </row>
    <row r="9" spans="1:9">
      <c r="A9">
        <v>20220515</v>
      </c>
      <c r="B9" t="s">
        <v>19</v>
      </c>
      <c r="C9" t="s">
        <v>13</v>
      </c>
      <c r="D9">
        <v>89</v>
      </c>
      <c r="E9">
        <v>85</v>
      </c>
      <c r="F9">
        <v>89</v>
      </c>
      <c r="G9">
        <v>96</v>
      </c>
      <c r="H9" s="1">
        <f t="shared" si="0"/>
        <v>359</v>
      </c>
      <c r="I9" s="1">
        <f t="shared" si="1"/>
        <v>89.75</v>
      </c>
    </row>
    <row r="10" spans="1:9">
      <c r="A10">
        <v>20220509</v>
      </c>
      <c r="B10" t="s">
        <v>20</v>
      </c>
      <c r="C10" t="s">
        <v>11</v>
      </c>
      <c r="D10">
        <v>89</v>
      </c>
      <c r="E10">
        <v>84</v>
      </c>
      <c r="F10">
        <v>80</v>
      </c>
      <c r="G10">
        <v>103</v>
      </c>
      <c r="H10" s="1">
        <f t="shared" si="0"/>
        <v>356</v>
      </c>
      <c r="I10" s="1">
        <f t="shared" si="1"/>
        <v>89</v>
      </c>
    </row>
    <row r="11" spans="1:9">
      <c r="A11">
        <v>20220504</v>
      </c>
      <c r="B11" t="s">
        <v>21</v>
      </c>
      <c r="C11" t="s">
        <v>13</v>
      </c>
      <c r="D11">
        <v>98</v>
      </c>
      <c r="E11">
        <v>84</v>
      </c>
      <c r="F11">
        <v>79</v>
      </c>
      <c r="G11">
        <v>92</v>
      </c>
      <c r="H11" s="1">
        <f t="shared" si="0"/>
        <v>353</v>
      </c>
      <c r="I11" s="1">
        <f t="shared" si="1"/>
        <v>88.25</v>
      </c>
    </row>
    <row r="12" hidden="1" spans="1:9">
      <c r="A12">
        <v>20220527</v>
      </c>
      <c r="B12" t="s">
        <v>22</v>
      </c>
      <c r="C12" t="s">
        <v>11</v>
      </c>
      <c r="D12">
        <v>95</v>
      </c>
      <c r="E12">
        <v>82</v>
      </c>
      <c r="F12">
        <v>98</v>
      </c>
      <c r="G12">
        <v>78</v>
      </c>
      <c r="H12" s="1">
        <f t="shared" si="0"/>
        <v>353</v>
      </c>
      <c r="I12" s="1">
        <f t="shared" si="1"/>
        <v>88.25</v>
      </c>
    </row>
    <row r="13" spans="1:9">
      <c r="A13">
        <v>20220522</v>
      </c>
      <c r="B13" t="s">
        <v>23</v>
      </c>
      <c r="C13" t="s">
        <v>11</v>
      </c>
      <c r="D13">
        <v>79</v>
      </c>
      <c r="E13">
        <v>89</v>
      </c>
      <c r="F13">
        <v>81</v>
      </c>
      <c r="G13">
        <v>103</v>
      </c>
      <c r="H13" s="1">
        <f t="shared" si="0"/>
        <v>352</v>
      </c>
      <c r="I13" s="1">
        <f t="shared" si="1"/>
        <v>88</v>
      </c>
    </row>
    <row r="14" spans="1:9">
      <c r="A14">
        <v>20220525</v>
      </c>
      <c r="B14" t="s">
        <v>24</v>
      </c>
      <c r="C14" t="s">
        <v>13</v>
      </c>
      <c r="D14">
        <v>86</v>
      </c>
      <c r="E14">
        <v>75</v>
      </c>
      <c r="F14">
        <v>95</v>
      </c>
      <c r="G14">
        <v>96</v>
      </c>
      <c r="H14" s="1">
        <f t="shared" si="0"/>
        <v>352</v>
      </c>
      <c r="I14" s="1">
        <f t="shared" si="1"/>
        <v>88</v>
      </c>
    </row>
    <row r="15" hidden="1" spans="1:9">
      <c r="A15">
        <v>20220511</v>
      </c>
      <c r="B15" t="s">
        <v>25</v>
      </c>
      <c r="C15" t="s">
        <v>13</v>
      </c>
      <c r="D15">
        <v>85</v>
      </c>
      <c r="E15">
        <v>103</v>
      </c>
      <c r="F15">
        <v>85</v>
      </c>
      <c r="G15">
        <v>78</v>
      </c>
      <c r="H15" s="1">
        <f t="shared" si="0"/>
        <v>351</v>
      </c>
      <c r="I15" s="1">
        <f t="shared" si="1"/>
        <v>87.75</v>
      </c>
    </row>
    <row r="16" hidden="1" spans="1:9">
      <c r="A16">
        <v>20220520</v>
      </c>
      <c r="B16" t="s">
        <v>26</v>
      </c>
      <c r="C16" t="s">
        <v>11</v>
      </c>
      <c r="D16">
        <v>82</v>
      </c>
      <c r="E16">
        <v>95</v>
      </c>
      <c r="F16">
        <v>94</v>
      </c>
      <c r="G16">
        <v>79</v>
      </c>
      <c r="H16" s="1">
        <f t="shared" si="0"/>
        <v>350</v>
      </c>
      <c r="I16" s="1">
        <f t="shared" si="1"/>
        <v>87.5</v>
      </c>
    </row>
    <row r="17" hidden="1" spans="1:9">
      <c r="A17">
        <v>20220526</v>
      </c>
      <c r="B17" t="s">
        <v>27</v>
      </c>
      <c r="C17" t="s">
        <v>13</v>
      </c>
      <c r="D17">
        <v>74</v>
      </c>
      <c r="E17">
        <v>86</v>
      </c>
      <c r="F17">
        <v>103</v>
      </c>
      <c r="G17">
        <v>85</v>
      </c>
      <c r="H17" s="1">
        <f t="shared" si="0"/>
        <v>348</v>
      </c>
      <c r="I17" s="1">
        <f t="shared" si="1"/>
        <v>87</v>
      </c>
    </row>
    <row r="18" hidden="1" spans="1:9">
      <c r="A18">
        <v>20220512</v>
      </c>
      <c r="B18" t="s">
        <v>28</v>
      </c>
      <c r="C18" t="s">
        <v>13</v>
      </c>
      <c r="D18">
        <v>78</v>
      </c>
      <c r="E18">
        <v>98</v>
      </c>
      <c r="F18">
        <v>96</v>
      </c>
      <c r="G18">
        <v>75</v>
      </c>
      <c r="H18" s="1">
        <f t="shared" si="0"/>
        <v>347</v>
      </c>
      <c r="I18" s="1">
        <f t="shared" si="1"/>
        <v>86.75</v>
      </c>
    </row>
    <row r="19" hidden="1" spans="1:9">
      <c r="A19">
        <v>20220519</v>
      </c>
      <c r="B19" t="s">
        <v>29</v>
      </c>
      <c r="C19" t="s">
        <v>13</v>
      </c>
      <c r="D19">
        <v>86</v>
      </c>
      <c r="E19">
        <v>74</v>
      </c>
      <c r="F19">
        <v>95</v>
      </c>
      <c r="G19">
        <v>89</v>
      </c>
      <c r="H19" s="1">
        <f t="shared" si="0"/>
        <v>344</v>
      </c>
      <c r="I19" s="1">
        <f t="shared" si="1"/>
        <v>86</v>
      </c>
    </row>
    <row r="20" hidden="1" spans="1:9">
      <c r="A20">
        <v>20220529</v>
      </c>
      <c r="B20" t="s">
        <v>30</v>
      </c>
      <c r="C20" t="s">
        <v>13</v>
      </c>
      <c r="D20">
        <v>86</v>
      </c>
      <c r="E20">
        <v>86</v>
      </c>
      <c r="F20">
        <v>96</v>
      </c>
      <c r="G20">
        <v>75</v>
      </c>
      <c r="H20" s="1">
        <f t="shared" si="0"/>
        <v>343</v>
      </c>
      <c r="I20" s="1">
        <f t="shared" si="1"/>
        <v>85.75</v>
      </c>
    </row>
    <row r="21" hidden="1" spans="1:9">
      <c r="A21">
        <v>20220503</v>
      </c>
      <c r="B21" t="s">
        <v>31</v>
      </c>
      <c r="C21" t="s">
        <v>13</v>
      </c>
      <c r="D21">
        <v>87</v>
      </c>
      <c r="E21">
        <v>86</v>
      </c>
      <c r="F21">
        <v>85</v>
      </c>
      <c r="G21">
        <v>79</v>
      </c>
      <c r="H21" s="1">
        <f t="shared" si="0"/>
        <v>337</v>
      </c>
      <c r="I21" s="1">
        <f t="shared" si="1"/>
        <v>84.25</v>
      </c>
    </row>
    <row r="22" hidden="1" spans="1:9">
      <c r="A22">
        <v>20220514</v>
      </c>
      <c r="B22" t="s">
        <v>32</v>
      </c>
      <c r="C22" t="s">
        <v>11</v>
      </c>
      <c r="D22">
        <v>71</v>
      </c>
      <c r="E22">
        <v>96</v>
      </c>
      <c r="F22">
        <v>80</v>
      </c>
      <c r="G22">
        <v>89</v>
      </c>
      <c r="H22" s="1">
        <f t="shared" si="0"/>
        <v>336</v>
      </c>
      <c r="I22" s="1">
        <f t="shared" si="1"/>
        <v>84</v>
      </c>
    </row>
    <row r="23" hidden="1" spans="1:9">
      <c r="A23">
        <v>20220518</v>
      </c>
      <c r="B23" t="s">
        <v>33</v>
      </c>
      <c r="C23" t="s">
        <v>13</v>
      </c>
      <c r="D23">
        <v>75</v>
      </c>
      <c r="E23">
        <v>86</v>
      </c>
      <c r="F23">
        <v>88</v>
      </c>
      <c r="G23">
        <v>80</v>
      </c>
      <c r="H23" s="1">
        <f t="shared" si="0"/>
        <v>329</v>
      </c>
      <c r="I23" s="1">
        <f t="shared" si="1"/>
        <v>82.25</v>
      </c>
    </row>
    <row r="24" hidden="1" spans="1:9">
      <c r="A24">
        <v>20220505</v>
      </c>
      <c r="B24" t="s">
        <v>34</v>
      </c>
      <c r="C24" t="s">
        <v>11</v>
      </c>
      <c r="D24">
        <v>100</v>
      </c>
      <c r="E24">
        <v>79</v>
      </c>
      <c r="F24">
        <v>68</v>
      </c>
      <c r="G24">
        <v>81</v>
      </c>
      <c r="H24" s="1">
        <f t="shared" si="0"/>
        <v>328</v>
      </c>
      <c r="I24" s="1">
        <f t="shared" si="1"/>
        <v>82</v>
      </c>
    </row>
    <row r="25" hidden="1" spans="1:9">
      <c r="A25">
        <v>20220521</v>
      </c>
      <c r="B25" t="s">
        <v>35</v>
      </c>
      <c r="C25" t="s">
        <v>11</v>
      </c>
      <c r="D25">
        <v>91</v>
      </c>
      <c r="E25">
        <v>85</v>
      </c>
      <c r="F25">
        <v>63</v>
      </c>
      <c r="G25">
        <v>88</v>
      </c>
      <c r="H25" s="1">
        <f t="shared" si="0"/>
        <v>327</v>
      </c>
      <c r="I25" s="1">
        <f t="shared" si="1"/>
        <v>81.75</v>
      </c>
    </row>
    <row r="26" hidden="1" spans="1:9">
      <c r="A26">
        <v>20220524</v>
      </c>
      <c r="B26" t="s">
        <v>36</v>
      </c>
      <c r="C26" t="s">
        <v>13</v>
      </c>
      <c r="D26">
        <v>95</v>
      </c>
      <c r="E26">
        <v>58</v>
      </c>
      <c r="F26">
        <v>84</v>
      </c>
      <c r="G26">
        <v>89</v>
      </c>
      <c r="H26" s="1">
        <f t="shared" si="0"/>
        <v>326</v>
      </c>
      <c r="I26" s="1">
        <f t="shared" si="1"/>
        <v>81.5</v>
      </c>
    </row>
    <row r="27" hidden="1" spans="1:9">
      <c r="A27">
        <v>20220528</v>
      </c>
      <c r="B27" t="s">
        <v>37</v>
      </c>
      <c r="C27" t="s">
        <v>11</v>
      </c>
      <c r="D27">
        <v>85</v>
      </c>
      <c r="E27">
        <v>94</v>
      </c>
      <c r="F27">
        <v>89</v>
      </c>
      <c r="G27">
        <v>58</v>
      </c>
      <c r="H27" s="1">
        <f t="shared" si="0"/>
        <v>326</v>
      </c>
      <c r="I27" s="1">
        <f t="shared" si="1"/>
        <v>81.5</v>
      </c>
    </row>
    <row r="28" hidden="1" spans="1:9">
      <c r="A28">
        <v>20220507</v>
      </c>
      <c r="B28" t="s">
        <v>38</v>
      </c>
      <c r="C28" t="s">
        <v>13</v>
      </c>
      <c r="D28">
        <v>103</v>
      </c>
      <c r="E28">
        <v>81</v>
      </c>
      <c r="F28">
        <v>56</v>
      </c>
      <c r="G28">
        <v>84</v>
      </c>
      <c r="H28" s="1">
        <f t="shared" si="0"/>
        <v>324</v>
      </c>
      <c r="I28" s="1">
        <f t="shared" si="1"/>
        <v>81</v>
      </c>
    </row>
    <row r="29" hidden="1" spans="1:9">
      <c r="A29">
        <v>20220517</v>
      </c>
      <c r="B29" t="s">
        <v>39</v>
      </c>
      <c r="C29" t="s">
        <v>11</v>
      </c>
      <c r="D29">
        <v>58</v>
      </c>
      <c r="E29">
        <v>95</v>
      </c>
      <c r="F29">
        <v>88</v>
      </c>
      <c r="G29">
        <v>78</v>
      </c>
      <c r="H29" s="1">
        <f t="shared" si="0"/>
        <v>319</v>
      </c>
      <c r="I29" s="1">
        <f t="shared" si="1"/>
        <v>79.75</v>
      </c>
    </row>
    <row r="30" hidden="1" spans="1:9">
      <c r="A30">
        <v>20220513</v>
      </c>
      <c r="B30" t="s">
        <v>40</v>
      </c>
      <c r="C30" t="s">
        <v>11</v>
      </c>
      <c r="D30">
        <v>75</v>
      </c>
      <c r="E30">
        <v>89</v>
      </c>
      <c r="F30">
        <v>78</v>
      </c>
      <c r="G30">
        <v>71</v>
      </c>
      <c r="H30" s="1">
        <f t="shared" si="0"/>
        <v>313</v>
      </c>
      <c r="I30" s="1">
        <f t="shared" si="1"/>
        <v>78.25</v>
      </c>
    </row>
    <row r="31" hidden="1" spans="1:9">
      <c r="A31">
        <v>20220531</v>
      </c>
      <c r="B31" t="s">
        <v>41</v>
      </c>
      <c r="C31" t="s">
        <v>13</v>
      </c>
      <c r="D31">
        <v>86</v>
      </c>
      <c r="E31">
        <v>58</v>
      </c>
      <c r="F31">
        <v>87</v>
      </c>
      <c r="G31">
        <v>82</v>
      </c>
      <c r="H31" s="1">
        <f t="shared" si="0"/>
        <v>313</v>
      </c>
      <c r="I31" s="1">
        <f t="shared" si="1"/>
        <v>78.25</v>
      </c>
    </row>
    <row r="32" hidden="1" spans="1:9">
      <c r="A32">
        <v>20220516</v>
      </c>
      <c r="B32" t="s">
        <v>42</v>
      </c>
      <c r="C32" t="s">
        <v>13</v>
      </c>
      <c r="D32">
        <v>96</v>
      </c>
      <c r="E32">
        <v>78</v>
      </c>
      <c r="F32">
        <v>79</v>
      </c>
      <c r="G32">
        <v>58</v>
      </c>
      <c r="H32" s="1">
        <f t="shared" si="0"/>
        <v>311</v>
      </c>
      <c r="I32" s="1">
        <f t="shared" si="1"/>
        <v>77.75</v>
      </c>
    </row>
  </sheetData>
  <autoFilter ref="G1:G32">
    <filterColumn colId="0">
      <customFilters>
        <customFilter operator="greaterThan" val="90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K23" sqref="K23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zoomScale="85" zoomScaleNormal="85" workbookViewId="0">
      <selection activeCell="N19" sqref="N19"/>
    </sheetView>
  </sheetViews>
  <sheetFormatPr defaultColWidth="9" defaultRowHeight="13.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outlineLevel="2" spans="1:9">
      <c r="A2">
        <v>20220506</v>
      </c>
      <c r="B2" t="s">
        <v>12</v>
      </c>
      <c r="C2" t="s">
        <v>13</v>
      </c>
      <c r="D2">
        <v>102</v>
      </c>
      <c r="E2">
        <v>92</v>
      </c>
      <c r="F2">
        <v>90</v>
      </c>
      <c r="G2">
        <v>112</v>
      </c>
      <c r="H2" s="1">
        <v>396</v>
      </c>
      <c r="I2" s="1">
        <v>99</v>
      </c>
    </row>
    <row r="3" outlineLevel="2" spans="1:9">
      <c r="A3">
        <v>20220523</v>
      </c>
      <c r="B3" t="s">
        <v>14</v>
      </c>
      <c r="C3" t="s">
        <v>13</v>
      </c>
      <c r="D3">
        <v>84</v>
      </c>
      <c r="E3">
        <v>96</v>
      </c>
      <c r="F3">
        <v>112</v>
      </c>
      <c r="G3">
        <v>98</v>
      </c>
      <c r="H3" s="1">
        <v>390</v>
      </c>
      <c r="I3" s="1">
        <v>97.5</v>
      </c>
    </row>
    <row r="4" outlineLevel="2" spans="1:9">
      <c r="A4">
        <v>20220530</v>
      </c>
      <c r="B4" t="s">
        <v>18</v>
      </c>
      <c r="C4" t="s">
        <v>13</v>
      </c>
      <c r="D4">
        <v>94</v>
      </c>
      <c r="E4">
        <v>96</v>
      </c>
      <c r="F4">
        <v>85</v>
      </c>
      <c r="G4">
        <v>86</v>
      </c>
      <c r="H4" s="1">
        <v>361</v>
      </c>
      <c r="I4" s="1">
        <v>90.25</v>
      </c>
    </row>
    <row r="5" outlineLevel="2" spans="1:9">
      <c r="A5">
        <v>20220515</v>
      </c>
      <c r="B5" t="s">
        <v>19</v>
      </c>
      <c r="C5" t="s">
        <v>13</v>
      </c>
      <c r="D5">
        <v>89</v>
      </c>
      <c r="E5">
        <v>85</v>
      </c>
      <c r="F5">
        <v>89</v>
      </c>
      <c r="G5">
        <v>96</v>
      </c>
      <c r="H5" s="1">
        <v>359</v>
      </c>
      <c r="I5" s="1">
        <v>89.75</v>
      </c>
    </row>
    <row r="6" outlineLevel="2" spans="1:9">
      <c r="A6">
        <v>20220504</v>
      </c>
      <c r="B6" t="s">
        <v>21</v>
      </c>
      <c r="C6" t="s">
        <v>13</v>
      </c>
      <c r="D6">
        <v>98</v>
      </c>
      <c r="E6">
        <v>84</v>
      </c>
      <c r="F6">
        <v>79</v>
      </c>
      <c r="G6">
        <v>92</v>
      </c>
      <c r="H6" s="1">
        <v>353</v>
      </c>
      <c r="I6" s="1">
        <v>88.25</v>
      </c>
    </row>
    <row r="7" outlineLevel="2" spans="1:9">
      <c r="A7">
        <v>20220525</v>
      </c>
      <c r="B7" t="s">
        <v>24</v>
      </c>
      <c r="C7" t="s">
        <v>13</v>
      </c>
      <c r="D7">
        <v>86</v>
      </c>
      <c r="E7">
        <v>75</v>
      </c>
      <c r="F7">
        <v>95</v>
      </c>
      <c r="G7">
        <v>96</v>
      </c>
      <c r="H7" s="1">
        <v>352</v>
      </c>
      <c r="I7" s="1">
        <v>88</v>
      </c>
    </row>
    <row r="8" outlineLevel="2" spans="1:9">
      <c r="A8">
        <v>20220511</v>
      </c>
      <c r="B8" t="s">
        <v>25</v>
      </c>
      <c r="C8" t="s">
        <v>13</v>
      </c>
      <c r="D8">
        <v>85</v>
      </c>
      <c r="E8">
        <v>103</v>
      </c>
      <c r="F8">
        <v>85</v>
      </c>
      <c r="G8">
        <v>78</v>
      </c>
      <c r="H8" s="1">
        <v>351</v>
      </c>
      <c r="I8" s="1">
        <v>87.75</v>
      </c>
    </row>
    <row r="9" outlineLevel="2" spans="1:9">
      <c r="A9">
        <v>20220526</v>
      </c>
      <c r="B9" t="s">
        <v>27</v>
      </c>
      <c r="C9" t="s">
        <v>13</v>
      </c>
      <c r="D9">
        <v>74</v>
      </c>
      <c r="E9">
        <v>86</v>
      </c>
      <c r="F9">
        <v>103</v>
      </c>
      <c r="G9">
        <v>85</v>
      </c>
      <c r="H9" s="1">
        <v>348</v>
      </c>
      <c r="I9" s="1">
        <v>87</v>
      </c>
    </row>
    <row r="10" outlineLevel="2" spans="1:9">
      <c r="A10">
        <v>20220512</v>
      </c>
      <c r="B10" t="s">
        <v>28</v>
      </c>
      <c r="C10" t="s">
        <v>13</v>
      </c>
      <c r="D10">
        <v>78</v>
      </c>
      <c r="E10">
        <v>98</v>
      </c>
      <c r="F10">
        <v>96</v>
      </c>
      <c r="G10">
        <v>75</v>
      </c>
      <c r="H10" s="1">
        <v>347</v>
      </c>
      <c r="I10" s="1">
        <v>86.75</v>
      </c>
    </row>
    <row r="11" outlineLevel="2" spans="1:9">
      <c r="A11">
        <v>20220519</v>
      </c>
      <c r="B11" t="s">
        <v>29</v>
      </c>
      <c r="C11" t="s">
        <v>13</v>
      </c>
      <c r="D11">
        <v>86</v>
      </c>
      <c r="E11">
        <v>74</v>
      </c>
      <c r="F11">
        <v>95</v>
      </c>
      <c r="G11">
        <v>89</v>
      </c>
      <c r="H11" s="1">
        <v>344</v>
      </c>
      <c r="I11" s="1">
        <v>86</v>
      </c>
    </row>
    <row r="12" outlineLevel="2" spans="1:9">
      <c r="A12">
        <v>20220529</v>
      </c>
      <c r="B12" t="s">
        <v>30</v>
      </c>
      <c r="C12" t="s">
        <v>13</v>
      </c>
      <c r="D12">
        <v>86</v>
      </c>
      <c r="E12">
        <v>86</v>
      </c>
      <c r="F12">
        <v>96</v>
      </c>
      <c r="G12">
        <v>75</v>
      </c>
      <c r="H12" s="1">
        <v>343</v>
      </c>
      <c r="I12" s="1">
        <v>85.75</v>
      </c>
    </row>
    <row r="13" outlineLevel="2" spans="1:9">
      <c r="A13">
        <v>20220503</v>
      </c>
      <c r="B13" t="s">
        <v>31</v>
      </c>
      <c r="C13" t="s">
        <v>13</v>
      </c>
      <c r="D13">
        <v>87</v>
      </c>
      <c r="E13">
        <v>86</v>
      </c>
      <c r="F13">
        <v>85</v>
      </c>
      <c r="G13">
        <v>79</v>
      </c>
      <c r="H13" s="1">
        <v>337</v>
      </c>
      <c r="I13" s="1">
        <v>84.25</v>
      </c>
    </row>
    <row r="14" outlineLevel="2" spans="1:9">
      <c r="A14">
        <v>20220518</v>
      </c>
      <c r="B14" t="s">
        <v>33</v>
      </c>
      <c r="C14" t="s">
        <v>13</v>
      </c>
      <c r="D14">
        <v>75</v>
      </c>
      <c r="E14">
        <v>86</v>
      </c>
      <c r="F14">
        <v>88</v>
      </c>
      <c r="G14">
        <v>80</v>
      </c>
      <c r="H14" s="1">
        <v>329</v>
      </c>
      <c r="I14" s="1">
        <v>82.25</v>
      </c>
    </row>
    <row r="15" outlineLevel="2" spans="1:9">
      <c r="A15">
        <v>20220524</v>
      </c>
      <c r="B15" t="s">
        <v>36</v>
      </c>
      <c r="C15" t="s">
        <v>13</v>
      </c>
      <c r="D15">
        <v>95</v>
      </c>
      <c r="E15">
        <v>58</v>
      </c>
      <c r="F15">
        <v>84</v>
      </c>
      <c r="G15">
        <v>89</v>
      </c>
      <c r="H15" s="1">
        <v>326</v>
      </c>
      <c r="I15" s="1">
        <v>81.5</v>
      </c>
    </row>
    <row r="16" outlineLevel="2" spans="1:9">
      <c r="A16">
        <v>20220507</v>
      </c>
      <c r="B16" t="s">
        <v>38</v>
      </c>
      <c r="C16" t="s">
        <v>13</v>
      </c>
      <c r="D16">
        <v>103</v>
      </c>
      <c r="E16">
        <v>81</v>
      </c>
      <c r="F16">
        <v>56</v>
      </c>
      <c r="G16">
        <v>84</v>
      </c>
      <c r="H16" s="1">
        <v>324</v>
      </c>
      <c r="I16" s="1">
        <v>81</v>
      </c>
    </row>
    <row r="17" outlineLevel="2" spans="1:9">
      <c r="A17">
        <v>20220531</v>
      </c>
      <c r="B17" t="s">
        <v>41</v>
      </c>
      <c r="C17" t="s">
        <v>13</v>
      </c>
      <c r="D17">
        <v>86</v>
      </c>
      <c r="E17">
        <v>58</v>
      </c>
      <c r="F17">
        <v>87</v>
      </c>
      <c r="G17">
        <v>82</v>
      </c>
      <c r="H17" s="1">
        <v>313</v>
      </c>
      <c r="I17" s="1">
        <v>78.25</v>
      </c>
    </row>
    <row r="18" outlineLevel="2" spans="1:9">
      <c r="A18">
        <v>20220516</v>
      </c>
      <c r="B18" t="s">
        <v>42</v>
      </c>
      <c r="C18" t="s">
        <v>13</v>
      </c>
      <c r="D18">
        <v>96</v>
      </c>
      <c r="E18">
        <v>78</v>
      </c>
      <c r="F18">
        <v>79</v>
      </c>
      <c r="G18">
        <v>58</v>
      </c>
      <c r="H18" s="1">
        <v>311</v>
      </c>
      <c r="I18" s="1">
        <v>77.75</v>
      </c>
    </row>
    <row r="19" outlineLevel="1" spans="3:9">
      <c r="C19" s="2" t="s">
        <v>43</v>
      </c>
      <c r="H19" s="1">
        <f>SUBTOTAL(1,H2:H18)</f>
        <v>346.117647058824</v>
      </c>
      <c r="I19" s="1"/>
    </row>
    <row r="20" outlineLevel="2" spans="1:9">
      <c r="A20">
        <v>20220508</v>
      </c>
      <c r="B20" t="s">
        <v>10</v>
      </c>
      <c r="C20" t="s">
        <v>11</v>
      </c>
      <c r="D20">
        <v>98</v>
      </c>
      <c r="E20">
        <v>112</v>
      </c>
      <c r="F20">
        <v>98</v>
      </c>
      <c r="G20">
        <v>95</v>
      </c>
      <c r="H20" s="1">
        <v>403</v>
      </c>
      <c r="I20" s="1">
        <v>100.75</v>
      </c>
    </row>
    <row r="21" outlineLevel="2" spans="1:9">
      <c r="A21">
        <v>20220501</v>
      </c>
      <c r="B21" t="s">
        <v>15</v>
      </c>
      <c r="C21" t="s">
        <v>11</v>
      </c>
      <c r="D21">
        <v>103</v>
      </c>
      <c r="E21">
        <v>105</v>
      </c>
      <c r="F21">
        <v>90</v>
      </c>
      <c r="G21">
        <v>86</v>
      </c>
      <c r="H21" s="1">
        <v>384</v>
      </c>
      <c r="I21" s="1">
        <v>96</v>
      </c>
    </row>
    <row r="22" outlineLevel="2" spans="1:9">
      <c r="A22">
        <v>20220510</v>
      </c>
      <c r="B22" t="s">
        <v>16</v>
      </c>
      <c r="C22" t="s">
        <v>11</v>
      </c>
      <c r="D22">
        <v>96</v>
      </c>
      <c r="E22">
        <v>95</v>
      </c>
      <c r="F22">
        <v>90</v>
      </c>
      <c r="G22">
        <v>85</v>
      </c>
      <c r="H22" s="1">
        <v>366</v>
      </c>
      <c r="I22" s="1">
        <v>91.5</v>
      </c>
    </row>
    <row r="23" outlineLevel="2" spans="1:9">
      <c r="A23">
        <v>20220502</v>
      </c>
      <c r="B23" t="s">
        <v>17</v>
      </c>
      <c r="C23" t="s">
        <v>11</v>
      </c>
      <c r="D23">
        <v>95</v>
      </c>
      <c r="E23">
        <v>98</v>
      </c>
      <c r="F23">
        <v>88</v>
      </c>
      <c r="G23">
        <v>84</v>
      </c>
      <c r="H23" s="1">
        <v>365</v>
      </c>
      <c r="I23" s="1">
        <v>91.25</v>
      </c>
    </row>
    <row r="24" outlineLevel="2" spans="1:9">
      <c r="A24">
        <v>20220509</v>
      </c>
      <c r="B24" t="s">
        <v>20</v>
      </c>
      <c r="C24" t="s">
        <v>11</v>
      </c>
      <c r="D24">
        <v>89</v>
      </c>
      <c r="E24">
        <v>84</v>
      </c>
      <c r="F24">
        <v>80</v>
      </c>
      <c r="G24">
        <v>103</v>
      </c>
      <c r="H24" s="1">
        <v>356</v>
      </c>
      <c r="I24" s="1">
        <v>89</v>
      </c>
    </row>
    <row r="25" outlineLevel="2" spans="1:9">
      <c r="A25">
        <v>20220527</v>
      </c>
      <c r="B25" t="s">
        <v>22</v>
      </c>
      <c r="C25" t="s">
        <v>11</v>
      </c>
      <c r="D25">
        <v>95</v>
      </c>
      <c r="E25">
        <v>82</v>
      </c>
      <c r="F25">
        <v>98</v>
      </c>
      <c r="G25">
        <v>78</v>
      </c>
      <c r="H25" s="1">
        <v>353</v>
      </c>
      <c r="I25" s="1">
        <v>88.25</v>
      </c>
    </row>
    <row r="26" outlineLevel="2" spans="1:9">
      <c r="A26">
        <v>20220522</v>
      </c>
      <c r="B26" t="s">
        <v>23</v>
      </c>
      <c r="C26" t="s">
        <v>11</v>
      </c>
      <c r="D26">
        <v>79</v>
      </c>
      <c r="E26">
        <v>89</v>
      </c>
      <c r="F26">
        <v>81</v>
      </c>
      <c r="G26">
        <v>103</v>
      </c>
      <c r="H26" s="1">
        <v>352</v>
      </c>
      <c r="I26" s="1">
        <v>88</v>
      </c>
    </row>
    <row r="27" outlineLevel="2" spans="1:9">
      <c r="A27">
        <v>20220520</v>
      </c>
      <c r="B27" t="s">
        <v>26</v>
      </c>
      <c r="C27" t="s">
        <v>11</v>
      </c>
      <c r="D27">
        <v>82</v>
      </c>
      <c r="E27">
        <v>95</v>
      </c>
      <c r="F27">
        <v>94</v>
      </c>
      <c r="G27">
        <v>79</v>
      </c>
      <c r="H27" s="1">
        <v>350</v>
      </c>
      <c r="I27" s="1">
        <v>87.5</v>
      </c>
    </row>
    <row r="28" outlineLevel="2" spans="1:9">
      <c r="A28">
        <v>20220514</v>
      </c>
      <c r="B28" t="s">
        <v>32</v>
      </c>
      <c r="C28" t="s">
        <v>11</v>
      </c>
      <c r="D28">
        <v>71</v>
      </c>
      <c r="E28">
        <v>96</v>
      </c>
      <c r="F28">
        <v>80</v>
      </c>
      <c r="G28">
        <v>89</v>
      </c>
      <c r="H28" s="1">
        <v>336</v>
      </c>
      <c r="I28" s="1">
        <v>84</v>
      </c>
    </row>
    <row r="29" outlineLevel="2" spans="1:9">
      <c r="A29">
        <v>20220505</v>
      </c>
      <c r="B29" t="s">
        <v>34</v>
      </c>
      <c r="C29" t="s">
        <v>11</v>
      </c>
      <c r="D29">
        <v>100</v>
      </c>
      <c r="E29">
        <v>79</v>
      </c>
      <c r="F29">
        <v>68</v>
      </c>
      <c r="G29">
        <v>81</v>
      </c>
      <c r="H29" s="1">
        <v>328</v>
      </c>
      <c r="I29" s="1">
        <v>82</v>
      </c>
    </row>
    <row r="30" outlineLevel="2" spans="1:9">
      <c r="A30">
        <v>20220521</v>
      </c>
      <c r="B30" t="s">
        <v>35</v>
      </c>
      <c r="C30" t="s">
        <v>11</v>
      </c>
      <c r="D30">
        <v>91</v>
      </c>
      <c r="E30">
        <v>85</v>
      </c>
      <c r="F30">
        <v>63</v>
      </c>
      <c r="G30">
        <v>88</v>
      </c>
      <c r="H30" s="1">
        <v>327</v>
      </c>
      <c r="I30" s="1">
        <v>81.75</v>
      </c>
    </row>
    <row r="31" outlineLevel="2" spans="1:9">
      <c r="A31">
        <v>20220528</v>
      </c>
      <c r="B31" t="s">
        <v>37</v>
      </c>
      <c r="C31" t="s">
        <v>11</v>
      </c>
      <c r="D31">
        <v>85</v>
      </c>
      <c r="E31">
        <v>94</v>
      </c>
      <c r="F31">
        <v>89</v>
      </c>
      <c r="G31">
        <v>58</v>
      </c>
      <c r="H31" s="1">
        <v>326</v>
      </c>
      <c r="I31" s="1">
        <v>81.5</v>
      </c>
    </row>
    <row r="32" outlineLevel="2" spans="1:9">
      <c r="A32">
        <v>20220517</v>
      </c>
      <c r="B32" t="s">
        <v>39</v>
      </c>
      <c r="C32" t="s">
        <v>11</v>
      </c>
      <c r="D32">
        <v>58</v>
      </c>
      <c r="E32">
        <v>95</v>
      </c>
      <c r="F32">
        <v>88</v>
      </c>
      <c r="G32">
        <v>78</v>
      </c>
      <c r="H32" s="1">
        <v>319</v>
      </c>
      <c r="I32" s="1">
        <v>79.75</v>
      </c>
    </row>
    <row r="33" outlineLevel="2" spans="1:9">
      <c r="A33">
        <v>20220513</v>
      </c>
      <c r="B33" t="s">
        <v>40</v>
      </c>
      <c r="C33" t="s">
        <v>11</v>
      </c>
      <c r="D33">
        <v>75</v>
      </c>
      <c r="E33">
        <v>89</v>
      </c>
      <c r="F33">
        <v>78</v>
      </c>
      <c r="G33">
        <v>71</v>
      </c>
      <c r="H33" s="1">
        <v>313</v>
      </c>
      <c r="I33" s="1">
        <v>78.25</v>
      </c>
    </row>
    <row r="34" outlineLevel="1" spans="3:9">
      <c r="C34" s="2" t="s">
        <v>44</v>
      </c>
      <c r="H34" s="1">
        <f>SUBTOTAL(1,H20:H33)</f>
        <v>348.428571428571</v>
      </c>
      <c r="I34" s="1"/>
    </row>
    <row r="35" spans="3:9">
      <c r="C35" s="2" t="s">
        <v>45</v>
      </c>
      <c r="H35" s="1">
        <f>SUBTOTAL(1,H2:H33)</f>
        <v>347.161290322581</v>
      </c>
      <c r="I35" s="1"/>
    </row>
  </sheetData>
  <sortState ref="A2:I32">
    <sortCondition ref="C2:C3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图表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2023-11-29T05:56:50Z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144CDB6DD60146528386FAF0542971ED_13</vt:lpwstr>
  </property>
  <property fmtid="{D5CDD505-2E9C-101B-9397-08002B2CF9AE}" pid="3" name="KSOProductBuildVer">
    <vt:lpwstr>2052-12.1.0.15712</vt:lpwstr>
  </property>
</Properties>
</file>
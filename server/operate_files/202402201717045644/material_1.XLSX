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630" windowHeight="10050" activeTab="4"/>
  </bookViews>
  <sheets>
    <sheet name="图书销售情况表" sheetId="1" r:id="rId1"/>
    <sheet name="Sheet2" sheetId="2" r:id="rId2"/>
    <sheet name="筛选" sheetId="3" r:id="rId3"/>
    <sheet name="分类汇总" sheetId="4" r:id="rId4"/>
    <sheet name="图表" sheetId="5" r:id="rId5"/>
  </sheets>
  <definedNames>
    <definedName name="_xlnm.Criteria" localSheetId="2">筛选!$A$1:$B$2</definedName>
    <definedName name="_xlnm.Extract" localSheetId="2">筛选!$A$5</definedName>
  </definedNames>
  <calcPr calcId="144525"/>
</workbook>
</file>

<file path=xl/sharedStrings.xml><?xml version="1.0" encoding="utf-8"?>
<sst xmlns="http://schemas.openxmlformats.org/spreadsheetml/2006/main" count="105" uniqueCount="25">
  <si>
    <t>某书店图书销售情况表</t>
  </si>
  <si>
    <t>图书编号</t>
  </si>
  <si>
    <t>使用系部</t>
  </si>
  <si>
    <t>库存数量</t>
  </si>
  <si>
    <t>出库数量</t>
  </si>
  <si>
    <t>图书单价（元）</t>
  </si>
  <si>
    <t>出库销售额</t>
  </si>
  <si>
    <t>提示信息</t>
  </si>
  <si>
    <t>0123</t>
  </si>
  <si>
    <t>1系</t>
  </si>
  <si>
    <t>0124</t>
  </si>
  <si>
    <t>2系</t>
  </si>
  <si>
    <t>0125</t>
  </si>
  <si>
    <t>0126</t>
  </si>
  <si>
    <t>0127</t>
  </si>
  <si>
    <t>0128</t>
  </si>
  <si>
    <t>0129</t>
  </si>
  <si>
    <t>0130</t>
  </si>
  <si>
    <t>&gt;1000</t>
  </si>
  <si>
    <t>&gt;30000</t>
  </si>
  <si>
    <t>缺货</t>
  </si>
  <si>
    <t>有库存</t>
  </si>
  <si>
    <t>1系 计数</t>
  </si>
  <si>
    <t>2系 计数</t>
  </si>
  <si>
    <t>总计数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</si>
</sst>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5">
    <font>
      <sz val="12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name val="宋体"/>
      <charset val="134"/>
      <scheme val="minor"/>
    </font>
    <font>
      <sz val="17"/>
      <color theme="8" tint="-0.2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3" applyNumberFormat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4" borderId="13" applyNumberFormat="0" applyAlignment="0" applyProtection="0">
      <alignment vertical="center"/>
    </xf>
    <xf numFmtId="0" fontId="17" fillId="5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49" fontId="3" fillId="0" borderId="5" xfId="0" applyNumberFormat="1" applyFont="1" applyBorder="1"/>
    <xf numFmtId="0" fontId="3" fillId="0" borderId="5" xfId="0" applyFont="1" applyBorder="1"/>
    <xf numFmtId="176" fontId="3" fillId="0" borderId="5" xfId="0" applyNumberFormat="1" applyFont="1" applyBorder="1"/>
    <xf numFmtId="0" fontId="0" fillId="0" borderId="6" xfId="0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7" xfId="0" applyFont="1" applyBorder="1"/>
    <xf numFmtId="49" fontId="3" fillId="0" borderId="8" xfId="0" applyNumberFormat="1" applyFont="1" applyBorder="1"/>
    <xf numFmtId="0" fontId="3" fillId="0" borderId="8" xfId="0" applyFont="1" applyBorder="1"/>
    <xf numFmtId="176" fontId="3" fillId="0" borderId="8" xfId="0" applyNumberFormat="1" applyFont="1" applyBorder="1"/>
    <xf numFmtId="0" fontId="0" fillId="0" borderId="9" xfId="0" applyBorder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3" fillId="0" borderId="0" xfId="0" applyFont="1" quotePrefix="1"/>
    <xf numFmtId="49" fontId="3" fillId="0" borderId="0" xfId="0" applyNumberFormat="1" applyFont="1" quotePrefix="1"/>
    <xf numFmtId="0" fontId="3" fillId="0" borderId="4" xfId="0" applyFont="1" applyBorder="1" quotePrefix="1"/>
    <xf numFmtId="49" fontId="3" fillId="0" borderId="5" xfId="0" applyNumberFormat="1" applyFont="1" applyBorder="1" quotePrefix="1"/>
    <xf numFmtId="0" fontId="3" fillId="0" borderId="7" xfId="0" applyFont="1" applyBorder="1" quotePrefix="1"/>
    <xf numFmtId="49" fontId="3" fillId="0" borderId="8" xfId="0" applyNumberFormat="1" applyFont="1" applyBorder="1" quotePrefix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出库销售额情况图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Sheet2!$F$2</c:f>
              <c:strCache>
                <c:ptCount val="1"/>
                <c:pt idx="0">
                  <c:v>出库销售额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Sheet2!$A$3:$A$10</c:f>
              <c:strCache>
                <c:ptCount val="8"/>
                <c:pt idx="0">
                  <c:v>0123</c:v>
                </c:pt>
                <c:pt idx="1">
                  <c:v>0124</c:v>
                </c:pt>
                <c:pt idx="2">
                  <c:v>0125</c:v>
                </c:pt>
                <c:pt idx="3">
                  <c:v>0126</c:v>
                </c:pt>
                <c:pt idx="4">
                  <c:v>0127</c:v>
                </c:pt>
                <c:pt idx="5">
                  <c:v>0128</c:v>
                </c:pt>
                <c:pt idx="6">
                  <c:v>0129</c:v>
                </c:pt>
                <c:pt idx="7">
                  <c:v>0130</c:v>
                </c:pt>
              </c:strCache>
            </c:strRef>
          </c:cat>
          <c:val>
            <c:numRef>
              <c:f>Sheet2!$F$3:$F$10</c:f>
              <c:numCache>
                <c:formatCode>0.0_ </c:formatCode>
                <c:ptCount val="8"/>
                <c:pt idx="0">
                  <c:v>14569.6</c:v>
                </c:pt>
                <c:pt idx="1">
                  <c:v>34808.4</c:v>
                </c:pt>
                <c:pt idx="2">
                  <c:v>53545.5</c:v>
                </c:pt>
                <c:pt idx="3">
                  <c:v>36260.5</c:v>
                </c:pt>
                <c:pt idx="4">
                  <c:v>27986.4</c:v>
                </c:pt>
                <c:pt idx="5">
                  <c:v>19107</c:v>
                </c:pt>
                <c:pt idx="6">
                  <c:v>78361.8</c:v>
                </c:pt>
                <c:pt idx="7">
                  <c:v>44603.2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8"/>
        <c:axId val="287623876"/>
        <c:axId val="781997064"/>
      </c:barChart>
      <c:catAx>
        <c:axId val="2876238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1997064"/>
        <c:crosses val="autoZero"/>
        <c:auto val="1"/>
        <c:lblAlgn val="ctr"/>
        <c:lblOffset val="100"/>
        <c:noMultiLvlLbl val="0"/>
      </c:catAx>
      <c:valAx>
        <c:axId val="78199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76238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368300</xdr:colOff>
      <xdr:row>8</xdr:row>
      <xdr:rowOff>139700</xdr:rowOff>
    </xdr:from>
    <xdr:to>
      <xdr:col>9</xdr:col>
      <xdr:colOff>393700</xdr:colOff>
      <xdr:row>23</xdr:row>
      <xdr:rowOff>168275</xdr:rowOff>
    </xdr:to>
    <xdr:graphicFrame>
      <xdr:nvGraphicFramePr>
        <xdr:cNvPr id="2" name="图表 1"/>
        <xdr:cNvGraphicFramePr/>
      </xdr:nvGraphicFramePr>
      <xdr:xfrm>
        <a:off x="1739900" y="1587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:G10"/>
    </sheetView>
  </sheetViews>
  <sheetFormatPr defaultColWidth="9" defaultRowHeight="14.25" outlineLevelCol="6"/>
  <cols>
    <col min="3" max="3" width="12" customWidth="1"/>
    <col min="4" max="4" width="13.25" customWidth="1"/>
    <col min="5" max="5" width="15.375" customWidth="1"/>
    <col min="6" max="6" width="17.25" customWidth="1"/>
  </cols>
  <sheetData>
    <row r="1" ht="25" customHeight="1" spans="1:7">
      <c r="A1" s="11" t="s">
        <v>0</v>
      </c>
      <c r="B1" s="12"/>
      <c r="C1" s="12"/>
      <c r="D1" s="12"/>
      <c r="E1" s="12"/>
      <c r="F1" s="12"/>
      <c r="G1" s="12"/>
    </row>
    <row r="2" spans="1:7">
      <c r="A2" t="s">
        <v>1</v>
      </c>
      <c r="B2" t="s">
        <v>2</v>
      </c>
      <c r="C2" s="18" t="s">
        <v>3</v>
      </c>
      <c r="D2" s="18" t="s">
        <v>4</v>
      </c>
      <c r="E2" s="18" t="s">
        <v>5</v>
      </c>
      <c r="F2" s="18" t="s">
        <v>6</v>
      </c>
      <c r="G2" s="18" t="s">
        <v>7</v>
      </c>
    </row>
    <row r="3" spans="1:6">
      <c r="A3" s="21" t="s">
        <v>8</v>
      </c>
      <c r="B3" s="22" t="s">
        <v>9</v>
      </c>
      <c r="C3" s="19">
        <v>1500</v>
      </c>
      <c r="D3" s="19">
        <v>1256</v>
      </c>
      <c r="E3" s="19">
        <v>11.6</v>
      </c>
      <c r="F3" s="19"/>
    </row>
    <row r="4" spans="1:6">
      <c r="A4" s="21" t="s">
        <v>10</v>
      </c>
      <c r="B4" s="22" t="s">
        <v>11</v>
      </c>
      <c r="C4" s="19">
        <v>1500</v>
      </c>
      <c r="D4" s="19">
        <v>1758</v>
      </c>
      <c r="E4" s="19">
        <v>19.8</v>
      </c>
      <c r="F4" s="19"/>
    </row>
    <row r="5" spans="1:6">
      <c r="A5" s="21" t="s">
        <v>12</v>
      </c>
      <c r="B5" s="22" t="s">
        <v>9</v>
      </c>
      <c r="C5" s="19">
        <v>1500</v>
      </c>
      <c r="D5" s="19">
        <v>1467</v>
      </c>
      <c r="E5" s="19">
        <v>36.5</v>
      </c>
      <c r="F5" s="19"/>
    </row>
    <row r="6" spans="1:6">
      <c r="A6" s="21" t="s">
        <v>13</v>
      </c>
      <c r="B6" s="22" t="s">
        <v>11</v>
      </c>
      <c r="C6" s="19">
        <v>1500</v>
      </c>
      <c r="D6" s="19">
        <v>1543</v>
      </c>
      <c r="E6" s="19">
        <v>23.5</v>
      </c>
      <c r="F6" s="19"/>
    </row>
    <row r="7" spans="1:6">
      <c r="A7" s="21" t="s">
        <v>14</v>
      </c>
      <c r="B7" s="22" t="s">
        <v>9</v>
      </c>
      <c r="C7" s="19">
        <v>1500</v>
      </c>
      <c r="D7" s="19">
        <v>897</v>
      </c>
      <c r="E7" s="19">
        <v>31.2</v>
      </c>
      <c r="F7" s="19"/>
    </row>
    <row r="8" spans="1:6">
      <c r="A8" s="21" t="s">
        <v>15</v>
      </c>
      <c r="B8" s="22" t="s">
        <v>11</v>
      </c>
      <c r="C8" s="19">
        <v>1500</v>
      </c>
      <c r="D8" s="19">
        <v>965</v>
      </c>
      <c r="E8" s="19">
        <v>19.8</v>
      </c>
      <c r="F8" s="19"/>
    </row>
    <row r="9" spans="1:6">
      <c r="A9" s="21" t="s">
        <v>16</v>
      </c>
      <c r="B9" s="22" t="s">
        <v>9</v>
      </c>
      <c r="C9" s="19">
        <v>1500</v>
      </c>
      <c r="D9" s="19">
        <v>2298</v>
      </c>
      <c r="E9" s="19">
        <v>34.1</v>
      </c>
      <c r="F9" s="19"/>
    </row>
    <row r="10" spans="1:6">
      <c r="A10" s="21" t="s">
        <v>17</v>
      </c>
      <c r="B10" s="22" t="s">
        <v>11</v>
      </c>
      <c r="C10" s="19">
        <v>1500</v>
      </c>
      <c r="D10" s="19">
        <v>976</v>
      </c>
      <c r="E10" s="19">
        <v>45.7</v>
      </c>
      <c r="F10" s="19"/>
    </row>
  </sheetData>
  <mergeCells count="1">
    <mergeCell ref="A1:G1"/>
  </mergeCells>
  <pageMargins left="0.75" right="0.75" top="1" bottom="1" header="0.5" footer="0.5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2" sqref="A2:G10"/>
    </sheetView>
  </sheetViews>
  <sheetFormatPr defaultColWidth="9" defaultRowHeight="14.25" outlineLevelCol="6"/>
  <cols>
    <col min="6" max="6" width="11.5" customWidth="1"/>
  </cols>
  <sheetData>
    <row r="1" ht="22.5" spans="1:7">
      <c r="A1" s="11" t="s">
        <v>0</v>
      </c>
      <c r="B1" s="12"/>
      <c r="C1" s="12"/>
      <c r="D1" s="12"/>
      <c r="E1" s="12"/>
      <c r="F1" s="12"/>
      <c r="G1" s="12"/>
    </row>
    <row r="2" ht="15" spans="1:7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</row>
    <row r="3" spans="1:7">
      <c r="A3" s="23" t="s">
        <v>8</v>
      </c>
      <c r="B3" s="24" t="s">
        <v>9</v>
      </c>
      <c r="C3" s="8">
        <v>1500</v>
      </c>
      <c r="D3" s="8">
        <v>1256</v>
      </c>
      <c r="E3" s="8">
        <v>11.6</v>
      </c>
      <c r="F3" s="9">
        <f>E3*D3</f>
        <v>14569.6</v>
      </c>
      <c r="G3" s="10" t="str">
        <f>IF(C3&gt;D3,"有库存","缺货")</f>
        <v>有库存</v>
      </c>
    </row>
    <row r="4" spans="1:7">
      <c r="A4" s="23" t="s">
        <v>10</v>
      </c>
      <c r="B4" s="24" t="s">
        <v>11</v>
      </c>
      <c r="C4" s="8">
        <v>1500</v>
      </c>
      <c r="D4" s="8">
        <v>1758</v>
      </c>
      <c r="E4" s="8">
        <v>19.8</v>
      </c>
      <c r="F4" s="9">
        <f t="shared" ref="F4:F10" si="0">E4*D4</f>
        <v>34808.4</v>
      </c>
      <c r="G4" s="10" t="str">
        <f t="shared" ref="G4:G10" si="1">IF(C4&gt;D4,"有库存","缺货")</f>
        <v>缺货</v>
      </c>
    </row>
    <row r="5" spans="1:7">
      <c r="A5" s="23" t="s">
        <v>12</v>
      </c>
      <c r="B5" s="24" t="s">
        <v>9</v>
      </c>
      <c r="C5" s="8">
        <v>1500</v>
      </c>
      <c r="D5" s="8">
        <v>1467</v>
      </c>
      <c r="E5" s="8">
        <v>36.5</v>
      </c>
      <c r="F5" s="9">
        <f t="shared" si="0"/>
        <v>53545.5</v>
      </c>
      <c r="G5" s="10" t="str">
        <f t="shared" si="1"/>
        <v>有库存</v>
      </c>
    </row>
    <row r="6" spans="1:7">
      <c r="A6" s="23" t="s">
        <v>13</v>
      </c>
      <c r="B6" s="24" t="s">
        <v>11</v>
      </c>
      <c r="C6" s="8">
        <v>1500</v>
      </c>
      <c r="D6" s="8">
        <v>1543</v>
      </c>
      <c r="E6" s="8">
        <v>23.5</v>
      </c>
      <c r="F6" s="9">
        <f t="shared" si="0"/>
        <v>36260.5</v>
      </c>
      <c r="G6" s="10" t="str">
        <f t="shared" si="1"/>
        <v>缺货</v>
      </c>
    </row>
    <row r="7" spans="1:7">
      <c r="A7" s="23" t="s">
        <v>14</v>
      </c>
      <c r="B7" s="24" t="s">
        <v>9</v>
      </c>
      <c r="C7" s="8">
        <v>1500</v>
      </c>
      <c r="D7" s="8">
        <v>897</v>
      </c>
      <c r="E7" s="8">
        <v>31.2</v>
      </c>
      <c r="F7" s="9">
        <f t="shared" si="0"/>
        <v>27986.4</v>
      </c>
      <c r="G7" s="10" t="str">
        <f t="shared" si="1"/>
        <v>有库存</v>
      </c>
    </row>
    <row r="8" spans="1:7">
      <c r="A8" s="23" t="s">
        <v>15</v>
      </c>
      <c r="B8" s="24" t="s">
        <v>11</v>
      </c>
      <c r="C8" s="8">
        <v>1500</v>
      </c>
      <c r="D8" s="8">
        <v>965</v>
      </c>
      <c r="E8" s="8">
        <v>19.8</v>
      </c>
      <c r="F8" s="9">
        <f t="shared" si="0"/>
        <v>19107</v>
      </c>
      <c r="G8" s="10" t="str">
        <f t="shared" si="1"/>
        <v>有库存</v>
      </c>
    </row>
    <row r="9" spans="1:7">
      <c r="A9" s="23" t="s">
        <v>16</v>
      </c>
      <c r="B9" s="24" t="s">
        <v>9</v>
      </c>
      <c r="C9" s="8">
        <v>1500</v>
      </c>
      <c r="D9" s="8">
        <v>2298</v>
      </c>
      <c r="E9" s="8">
        <v>34.1</v>
      </c>
      <c r="F9" s="9">
        <f t="shared" si="0"/>
        <v>78361.8</v>
      </c>
      <c r="G9" s="10" t="str">
        <f t="shared" si="1"/>
        <v>缺货</v>
      </c>
    </row>
    <row r="10" ht="15" spans="1:7">
      <c r="A10" s="25" t="s">
        <v>17</v>
      </c>
      <c r="B10" s="26" t="s">
        <v>11</v>
      </c>
      <c r="C10" s="15">
        <v>1500</v>
      </c>
      <c r="D10" s="15">
        <v>976</v>
      </c>
      <c r="E10" s="15">
        <v>45.7</v>
      </c>
      <c r="F10" s="16">
        <f t="shared" si="0"/>
        <v>44603.2</v>
      </c>
      <c r="G10" s="17" t="str">
        <f t="shared" si="1"/>
        <v>有库存</v>
      </c>
    </row>
  </sheetData>
  <mergeCells count="1">
    <mergeCell ref="A1:G1"/>
  </mergeCells>
  <conditionalFormatting sqref="F3:F10">
    <cfRule type="cellIs" dxfId="0" priority="1" operator="lessThan">
      <formula>25000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F18" sqref="F18"/>
    </sheetView>
  </sheetViews>
  <sheetFormatPr defaultColWidth="9" defaultRowHeight="14.25" outlineLevelCol="6"/>
  <cols>
    <col min="2" max="2" width="11.5" customWidth="1"/>
    <col min="6" max="6" width="9.375"/>
  </cols>
  <sheetData>
    <row r="1" spans="1:2">
      <c r="A1" t="s">
        <v>4</v>
      </c>
      <c r="B1" t="s">
        <v>6</v>
      </c>
    </row>
    <row r="2" spans="1:2">
      <c r="A2" t="s">
        <v>18</v>
      </c>
      <c r="B2" t="s">
        <v>19</v>
      </c>
    </row>
    <row r="4" ht="15"/>
    <row r="5" ht="15" spans="1:7">
      <c r="A5" s="2" t="s">
        <v>1</v>
      </c>
      <c r="B5" s="3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5" t="s">
        <v>7</v>
      </c>
    </row>
    <row r="6" spans="1:7">
      <c r="A6" s="23" t="s">
        <v>10</v>
      </c>
      <c r="B6" s="24" t="s">
        <v>11</v>
      </c>
      <c r="C6" s="8">
        <v>1500</v>
      </c>
      <c r="D6" s="8">
        <v>1758</v>
      </c>
      <c r="E6" s="8">
        <v>19.8</v>
      </c>
      <c r="F6" s="9">
        <v>34808.4</v>
      </c>
      <c r="G6" s="10" t="s">
        <v>20</v>
      </c>
    </row>
    <row r="7" spans="1:7">
      <c r="A7" s="23" t="s">
        <v>12</v>
      </c>
      <c r="B7" s="24" t="s">
        <v>9</v>
      </c>
      <c r="C7" s="8">
        <v>1500</v>
      </c>
      <c r="D7" s="8">
        <v>1467</v>
      </c>
      <c r="E7" s="8">
        <v>36.5</v>
      </c>
      <c r="F7" s="9">
        <v>53545.5</v>
      </c>
      <c r="G7" s="10" t="s">
        <v>21</v>
      </c>
    </row>
    <row r="8" spans="1:7">
      <c r="A8" s="23" t="s">
        <v>13</v>
      </c>
      <c r="B8" s="24" t="s">
        <v>11</v>
      </c>
      <c r="C8" s="8">
        <v>1500</v>
      </c>
      <c r="D8" s="8">
        <v>1543</v>
      </c>
      <c r="E8" s="8">
        <v>23.5</v>
      </c>
      <c r="F8" s="9">
        <v>36260.5</v>
      </c>
      <c r="G8" s="10" t="s">
        <v>20</v>
      </c>
    </row>
    <row r="9" spans="1:7">
      <c r="A9" s="23" t="s">
        <v>16</v>
      </c>
      <c r="B9" s="24" t="s">
        <v>9</v>
      </c>
      <c r="C9" s="8">
        <v>1500</v>
      </c>
      <c r="D9" s="8">
        <v>2298</v>
      </c>
      <c r="E9" s="8">
        <v>34.1</v>
      </c>
      <c r="F9" s="9">
        <v>78361.8</v>
      </c>
      <c r="G9" s="10" t="s">
        <v>20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F22" sqref="F22"/>
    </sheetView>
  </sheetViews>
  <sheetFormatPr defaultColWidth="9" defaultRowHeight="14.25" outlineLevelCol="6"/>
  <sheetData>
    <row r="1" spans="1: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outlineLevel="2" spans="1:7">
      <c r="A2" s="27" t="s">
        <v>8</v>
      </c>
      <c r="B2" s="27" t="s">
        <v>9</v>
      </c>
      <c r="C2">
        <v>1500</v>
      </c>
      <c r="D2">
        <v>1256</v>
      </c>
      <c r="E2">
        <v>11.6</v>
      </c>
      <c r="F2">
        <v>14569.6</v>
      </c>
      <c r="G2" t="s">
        <v>21</v>
      </c>
    </row>
    <row r="3" outlineLevel="2" spans="1:7">
      <c r="A3" s="27" t="s">
        <v>12</v>
      </c>
      <c r="B3" s="27" t="s">
        <v>9</v>
      </c>
      <c r="C3">
        <v>1500</v>
      </c>
      <c r="D3">
        <v>1467</v>
      </c>
      <c r="E3">
        <v>36.5</v>
      </c>
      <c r="F3">
        <v>53545.5</v>
      </c>
      <c r="G3" t="s">
        <v>21</v>
      </c>
    </row>
    <row r="4" outlineLevel="2" spans="1:7">
      <c r="A4" s="27" t="s">
        <v>14</v>
      </c>
      <c r="B4" s="27" t="s">
        <v>9</v>
      </c>
      <c r="C4">
        <v>1500</v>
      </c>
      <c r="D4">
        <v>897</v>
      </c>
      <c r="E4">
        <v>31.2</v>
      </c>
      <c r="F4">
        <v>27986.4</v>
      </c>
      <c r="G4" t="s">
        <v>21</v>
      </c>
    </row>
    <row r="5" outlineLevel="2" spans="1:7">
      <c r="A5" s="27" t="s">
        <v>16</v>
      </c>
      <c r="B5" s="27" t="s">
        <v>9</v>
      </c>
      <c r="C5">
        <v>1500</v>
      </c>
      <c r="D5">
        <v>2298</v>
      </c>
      <c r="E5">
        <v>34.1</v>
      </c>
      <c r="F5">
        <v>78361.8</v>
      </c>
      <c r="G5" t="s">
        <v>20</v>
      </c>
    </row>
    <row r="6" outlineLevel="1" spans="2:6">
      <c r="B6" s="1" t="s">
        <v>22</v>
      </c>
      <c r="F6">
        <f>SUBTOTAL(3,F2:F5)</f>
        <v>4</v>
      </c>
    </row>
    <row r="7" outlineLevel="2" spans="1:7">
      <c r="A7" s="27" t="s">
        <v>10</v>
      </c>
      <c r="B7" s="27" t="s">
        <v>11</v>
      </c>
      <c r="C7">
        <v>1500</v>
      </c>
      <c r="D7">
        <v>1758</v>
      </c>
      <c r="E7">
        <v>19.8</v>
      </c>
      <c r="F7">
        <v>34808.4</v>
      </c>
      <c r="G7" t="s">
        <v>20</v>
      </c>
    </row>
    <row r="8" outlineLevel="2" spans="1:7">
      <c r="A8" s="27" t="s">
        <v>13</v>
      </c>
      <c r="B8" s="27" t="s">
        <v>11</v>
      </c>
      <c r="C8">
        <v>1500</v>
      </c>
      <c r="D8">
        <v>1543</v>
      </c>
      <c r="E8">
        <v>23.5</v>
      </c>
      <c r="F8">
        <v>36260.5</v>
      </c>
      <c r="G8" t="s">
        <v>20</v>
      </c>
    </row>
    <row r="9" outlineLevel="2" spans="1:7">
      <c r="A9" s="27" t="s">
        <v>15</v>
      </c>
      <c r="B9" s="27" t="s">
        <v>11</v>
      </c>
      <c r="C9">
        <v>1500</v>
      </c>
      <c r="D9">
        <v>965</v>
      </c>
      <c r="E9">
        <v>19.8</v>
      </c>
      <c r="F9">
        <v>19107</v>
      </c>
      <c r="G9" t="s">
        <v>21</v>
      </c>
    </row>
    <row r="10" outlineLevel="2" spans="1:7">
      <c r="A10" s="27" t="s">
        <v>17</v>
      </c>
      <c r="B10" s="27" t="s">
        <v>11</v>
      </c>
      <c r="C10">
        <v>1500</v>
      </c>
      <c r="D10">
        <v>976</v>
      </c>
      <c r="E10">
        <v>45.7</v>
      </c>
      <c r="F10">
        <v>44603.2</v>
      </c>
      <c r="G10" t="s">
        <v>21</v>
      </c>
    </row>
    <row r="11" outlineLevel="1" spans="2:6">
      <c r="B11" s="1" t="s">
        <v>23</v>
      </c>
      <c r="F11">
        <f>SUBTOTAL(3,F7:F10)</f>
        <v>4</v>
      </c>
    </row>
    <row r="12" spans="2:6">
      <c r="B12" s="1" t="s">
        <v>24</v>
      </c>
      <c r="F12">
        <f>SUBTOTAL(3,F2:F10)</f>
        <v>8</v>
      </c>
    </row>
  </sheetData>
  <sortState ref="A2:G9">
    <sortCondition ref="B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I6" sqref="I6"/>
    </sheetView>
  </sheetViews>
  <sheetFormatPr defaultColWidth="9" defaultRowHeight="14.2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ncre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图书销售情况表</vt:lpstr>
      <vt:lpstr>Sheet2</vt:lpstr>
      <vt:lpstr>筛选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ncre</dc:creator>
  <cp:lastModifiedBy>zy</cp:lastModifiedBy>
  <dcterms:created xsi:type="dcterms:W3CDTF">2004-07-20T07:46:00Z</dcterms:created>
  <dcterms:modified xsi:type="dcterms:W3CDTF">2024-01-05T03:17:06Z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6846B1FFDAB9439593BD2C7144B0CEBE_12</vt:lpwstr>
  </property>
  <property fmtid="{D5CDD505-2E9C-101B-9397-08002B2CF9AE}" pid="3" name="KSOProductBuildVer">
    <vt:lpwstr>2052-12.1.0.15712</vt:lpwstr>
  </property>
</Properties>
</file>
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员工信息" sheetId="4" r:id="rId1"/>
    <sheet name="人数占比" sheetId="2" r:id="rId2"/>
    <sheet name="统计" sheetId="3" r:id="rId3"/>
  </sheets>
  <calcPr calcId="144525"/>
  <pivotCaches>
    <pivotCache cacheId="0" r:id="rId4"/>
  </pivotCaches>
</workbook>
</file>

<file path=xl/sharedStrings.xml><?xml version="1.0" encoding="utf-8"?>
<sst xmlns="http://schemas.openxmlformats.org/spreadsheetml/2006/main" count="269" uniqueCount="139">
  <si>
    <t>XXX员工信息表</t>
  </si>
  <si>
    <t>编号</t>
  </si>
  <si>
    <t>岗位</t>
  </si>
  <si>
    <t>工号</t>
  </si>
  <si>
    <t>姓名</t>
  </si>
  <si>
    <t>性别</t>
  </si>
  <si>
    <t>年龄</t>
  </si>
  <si>
    <t>学历</t>
  </si>
  <si>
    <t>省市</t>
  </si>
  <si>
    <t>市</t>
  </si>
  <si>
    <t>考核成绩</t>
  </si>
  <si>
    <t>等级</t>
  </si>
  <si>
    <t>出勤天数</t>
  </si>
  <si>
    <t>奖金</t>
  </si>
  <si>
    <t>薪资</t>
  </si>
  <si>
    <t>薪资高于8000</t>
  </si>
  <si>
    <t>A005</t>
  </si>
  <si>
    <t>工程师</t>
  </si>
  <si>
    <t>姓名5</t>
  </si>
  <si>
    <t>男</t>
  </si>
  <si>
    <t>博士</t>
  </si>
  <si>
    <t>江苏省南京市</t>
  </si>
  <si>
    <t>A001</t>
  </si>
  <si>
    <t>姓名1</t>
  </si>
  <si>
    <t>硕士</t>
  </si>
  <si>
    <t>湖北省武汉市</t>
  </si>
  <si>
    <t>A028</t>
  </si>
  <si>
    <t>工人</t>
  </si>
  <si>
    <t>姓名28</t>
  </si>
  <si>
    <t>女</t>
  </si>
  <si>
    <t>本科</t>
  </si>
  <si>
    <t>辽宁省大连市</t>
  </si>
  <si>
    <t>A016</t>
  </si>
  <si>
    <t>姓名16</t>
  </si>
  <si>
    <t>专科</t>
  </si>
  <si>
    <t>陕西省宝鸡市</t>
  </si>
  <si>
    <t>A035</t>
  </si>
  <si>
    <t>技术员</t>
  </si>
  <si>
    <t>姓名35</t>
  </si>
  <si>
    <t>甘肃省兰州市</t>
  </si>
  <si>
    <t>A025</t>
  </si>
  <si>
    <t>姓名25</t>
  </si>
  <si>
    <t>安徽省合肥市</t>
  </si>
  <si>
    <t>A012</t>
  </si>
  <si>
    <t>姓名12</t>
  </si>
  <si>
    <t>四川省绵阳市</t>
  </si>
  <si>
    <t>A011</t>
  </si>
  <si>
    <t>姓名11</t>
  </si>
  <si>
    <t>四川省成都市</t>
  </si>
  <si>
    <t>A009</t>
  </si>
  <si>
    <t>姓名9</t>
  </si>
  <si>
    <t>山东省济南市</t>
  </si>
  <si>
    <t>A019</t>
  </si>
  <si>
    <t>姓名19</t>
  </si>
  <si>
    <t>A007</t>
  </si>
  <si>
    <t>姓名7</t>
  </si>
  <si>
    <t>浙江省杭州市</t>
  </si>
  <si>
    <t>A037</t>
  </si>
  <si>
    <t>财务</t>
  </si>
  <si>
    <t>姓名37</t>
  </si>
  <si>
    <t>A010</t>
  </si>
  <si>
    <t>姓名10</t>
  </si>
  <si>
    <t>山东省青岛市</t>
  </si>
  <si>
    <t>A034</t>
  </si>
  <si>
    <t>姓名34</t>
  </si>
  <si>
    <t>贵州省遵义市</t>
  </si>
  <si>
    <t>A026</t>
  </si>
  <si>
    <t>姓名26</t>
  </si>
  <si>
    <t>安徽省芜湖市</t>
  </si>
  <si>
    <t>A003</t>
  </si>
  <si>
    <t>姓名3</t>
  </si>
  <si>
    <t>广东省广州市</t>
  </si>
  <si>
    <t>A033</t>
  </si>
  <si>
    <t>姓名33</t>
  </si>
  <si>
    <t>贵州省贵阳市</t>
  </si>
  <si>
    <t>A032</t>
  </si>
  <si>
    <t>姓名32</t>
  </si>
  <si>
    <t>云南省丽江市</t>
  </si>
  <si>
    <t>A006</t>
  </si>
  <si>
    <t>姓名6</t>
  </si>
  <si>
    <t>江苏省苏州市</t>
  </si>
  <si>
    <t>A013</t>
  </si>
  <si>
    <t>姓名13</t>
  </si>
  <si>
    <t>A029</t>
  </si>
  <si>
    <t>姓名29</t>
  </si>
  <si>
    <t>A022</t>
  </si>
  <si>
    <t>姓名22</t>
  </si>
  <si>
    <t>湖南省岳阳市</t>
  </si>
  <si>
    <t>A021</t>
  </si>
  <si>
    <t>姓名21</t>
  </si>
  <si>
    <t>湖南省长沙市</t>
  </si>
  <si>
    <t>A020</t>
  </si>
  <si>
    <t>姓名20</t>
  </si>
  <si>
    <t>河北省唐山市</t>
  </si>
  <si>
    <t>A017</t>
  </si>
  <si>
    <t>姓名17</t>
  </si>
  <si>
    <t>河南省郑州市</t>
  </si>
  <si>
    <t>A014</t>
  </si>
  <si>
    <t>姓名14</t>
  </si>
  <si>
    <t>湖北省宜昌市</t>
  </si>
  <si>
    <t>A027</t>
  </si>
  <si>
    <t>姓名27</t>
  </si>
  <si>
    <t>辽宁省沈阳市</t>
  </si>
  <si>
    <t>A002</t>
  </si>
  <si>
    <t>姓名2</t>
  </si>
  <si>
    <t>湖北省十堰市</t>
  </si>
  <si>
    <t>A024</t>
  </si>
  <si>
    <t>姓名24</t>
  </si>
  <si>
    <t>福建省厦门市</t>
  </si>
  <si>
    <t>A018</t>
  </si>
  <si>
    <t>姓名18</t>
  </si>
  <si>
    <t>河南省洛阳市</t>
  </si>
  <si>
    <t>A015</t>
  </si>
  <si>
    <t>姓名15</t>
  </si>
  <si>
    <t>陕西省西安市</t>
  </si>
  <si>
    <t>A038</t>
  </si>
  <si>
    <t>姓名38</t>
  </si>
  <si>
    <t>A036</t>
  </si>
  <si>
    <t>姓名36</t>
  </si>
  <si>
    <t>甘肃省天水市</t>
  </si>
  <si>
    <t>A008</t>
  </si>
  <si>
    <t>姓名8</t>
  </si>
  <si>
    <t>浙江省宁波市</t>
  </si>
  <si>
    <t>A031</t>
  </si>
  <si>
    <t>姓名31</t>
  </si>
  <si>
    <t>大专</t>
  </si>
  <si>
    <t>云南省昆明市</t>
  </si>
  <si>
    <t>A030</t>
  </si>
  <si>
    <t>姓名30</t>
  </si>
  <si>
    <t>A004</t>
  </si>
  <si>
    <t>姓名4</t>
  </si>
  <si>
    <t>广东省深圳市</t>
  </si>
  <si>
    <t>A023</t>
  </si>
  <si>
    <t>姓名23</t>
  </si>
  <si>
    <t>福建省福州市</t>
  </si>
  <si>
    <t>人数</t>
  </si>
  <si>
    <t>占比</t>
  </si>
  <si>
    <t>计数项:工号</t>
  </si>
  <si>
    <t>总计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</si>
</sst>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4" tint="-0.249977111117893"/>
      <name val="宋体"/>
      <charset val="134"/>
      <scheme val="minor"/>
    </font>
    <font>
      <sz val="11"/>
      <color theme="4" tint="-0.499984740745262"/>
      <name val="宋体"/>
      <charset val="134"/>
      <scheme val="minor"/>
    </font>
    <font>
      <sz val="26"/>
      <name val="微软雅黑 Light"/>
      <charset val="134"/>
    </font>
    <font>
      <b/>
      <sz val="11"/>
      <color theme="1"/>
      <name val="等线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theme="4"/>
      </top>
      <bottom style="medium">
        <color theme="4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4"/>
      </bottom>
      <diagonal/>
    </border>
    <border>
      <left style="thin">
        <color theme="6"/>
      </left>
      <right style="thin">
        <color theme="7"/>
      </right>
      <top style="thin">
        <color theme="6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6"/>
      </top>
      <bottom style="thin">
        <color theme="7"/>
      </bottom>
      <diagonal/>
    </border>
    <border>
      <left style="thin">
        <color theme="6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7"/>
      </bottom>
      <diagonal/>
    </border>
    <border>
      <left style="thin">
        <color theme="6"/>
      </left>
      <right style="thin">
        <color theme="7"/>
      </right>
      <top style="thin">
        <color theme="7"/>
      </top>
      <bottom style="thin">
        <color theme="6"/>
      </bottom>
      <diagonal/>
    </border>
    <border>
      <left style="thin">
        <color theme="7"/>
      </left>
      <right style="thin">
        <color theme="7"/>
      </right>
      <top style="thin">
        <color theme="7"/>
      </top>
      <bottom style="thin">
        <color theme="6"/>
      </bottom>
      <diagonal/>
    </border>
    <border>
      <left style="thin">
        <color theme="7"/>
      </left>
      <right style="thin">
        <color theme="6"/>
      </right>
      <top style="thin">
        <color theme="6"/>
      </top>
      <bottom style="thin">
        <color theme="7"/>
      </bottom>
      <diagonal/>
    </border>
    <border>
      <left style="thin">
        <color theme="7"/>
      </left>
      <right style="thin">
        <color theme="6"/>
      </right>
      <top style="thin">
        <color theme="7"/>
      </top>
      <bottom style="thin">
        <color theme="7"/>
      </bottom>
      <diagonal/>
    </border>
    <border>
      <left style="thin">
        <color theme="7"/>
      </left>
      <right style="thin">
        <color theme="6"/>
      </right>
      <top style="thin">
        <color theme="7"/>
      </top>
      <bottom style="thin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4" applyNumberFormat="0" applyFill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6" applyNumberFormat="0" applyAlignment="0" applyProtection="0">
      <alignment vertical="center"/>
    </xf>
    <xf numFmtId="0" fontId="15" fillId="6" borderId="17" applyNumberFormat="0" applyAlignment="0" applyProtection="0">
      <alignment vertical="center"/>
    </xf>
    <xf numFmtId="0" fontId="16" fillId="6" borderId="16" applyNumberFormat="0" applyAlignment="0" applyProtection="0">
      <alignment vertical="center"/>
    </xf>
    <xf numFmtId="0" fontId="17" fillId="7" borderId="18" applyNumberFormat="0" applyAlignment="0" applyProtection="0">
      <alignment vertical="center"/>
    </xf>
    <xf numFmtId="0" fontId="18" fillId="0" borderId="19" applyNumberFormat="0" applyFill="0" applyAlignment="0" applyProtection="0">
      <alignment vertical="center"/>
    </xf>
    <xf numFmtId="0" fontId="19" fillId="0" borderId="20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0" fontId="2" fillId="2" borderId="2" xfId="0" applyNumberFormat="1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10" fontId="2" fillId="0" borderId="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Continuous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b val="1"/>
        <i val="0"/>
      </font>
      <fill>
        <patternFill patternType="solid">
          <bgColor theme="9" tint="0.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人数占比!$C$1</c:f>
              <c:strCache>
                <c:ptCount val="1"/>
                <c:pt idx="0">
                  <c:v>占比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人数占比!$A$2:$A$3</c:f>
              <c:strCache>
                <c:ptCount val="2"/>
                <c:pt idx="0">
                  <c:v>男</c:v>
                </c:pt>
                <c:pt idx="1">
                  <c:v>女</c:v>
                </c:pt>
              </c:strCache>
            </c:strRef>
          </c:cat>
          <c:val>
            <c:numRef>
              <c:f>人数占比!$C$2:$C$3</c:f>
              <c:numCache>
                <c:formatCode>0.00%</c:formatCode>
                <c:ptCount val="2"/>
                <c:pt idx="0">
                  <c:v>0.526315789473684</c:v>
                </c:pt>
                <c:pt idx="1">
                  <c:v>0.473684210526316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[结果文档.xlsx]统计!数据透视表1</c:name>
    <c:fmtId val="0"/>
  </c:pivotSource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统计!$E$3:$E$4</c:f>
              <c:strCache>
                <c:ptCount val="1"/>
                <c:pt idx="0">
                  <c:v>财务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统计!$C$5:$D$13</c:f>
              <c:multiLvlStrCache>
                <c:ptCount val="8"/>
                <c:lvl>
                  <c:pt idx="0">
                    <c:v>博士</c:v>
                  </c:pt>
                  <c:pt idx="1">
                    <c:v>硕士</c:v>
                  </c:pt>
                  <c:pt idx="2">
                    <c:v>本科</c:v>
                  </c:pt>
                  <c:pt idx="3">
                    <c:v>专科</c:v>
                  </c:pt>
                  <c:pt idx="4">
                    <c:v>硕士</c:v>
                  </c:pt>
                  <c:pt idx="5">
                    <c:v>本科</c:v>
                  </c:pt>
                  <c:pt idx="6">
                    <c:v>大专</c:v>
                  </c:pt>
                  <c:pt idx="7">
                    <c:v>专科</c:v>
                  </c:pt>
                </c:lvl>
                <c:lvl>
                  <c:pt idx="0">
                    <c:v>男</c:v>
                  </c:pt>
                  <c:pt idx="4">
                    <c:v>女</c:v>
                  </c:pt>
                </c:lvl>
              </c:multiLvlStrCache>
            </c:multiLvlStrRef>
          </c:cat>
          <c:val>
            <c:numRef>
              <c:f>统计!$E$5:$E$13</c:f>
              <c:numCache>
                <c:formatCode>General</c:formatCode>
                <c:ptCount val="8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strRef>
              <c:f>统计!$F$3:$F$4</c:f>
              <c:strCache>
                <c:ptCount val="1"/>
                <c:pt idx="0">
                  <c:v>工程师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54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统计!$C$5:$D$13</c:f>
              <c:multiLvlStrCache>
                <c:ptCount val="8"/>
                <c:lvl>
                  <c:pt idx="0">
                    <c:v>博士</c:v>
                  </c:pt>
                  <c:pt idx="1">
                    <c:v>硕士</c:v>
                  </c:pt>
                  <c:pt idx="2">
                    <c:v>本科</c:v>
                  </c:pt>
                  <c:pt idx="3">
                    <c:v>专科</c:v>
                  </c:pt>
                  <c:pt idx="4">
                    <c:v>硕士</c:v>
                  </c:pt>
                  <c:pt idx="5">
                    <c:v>本科</c:v>
                  </c:pt>
                  <c:pt idx="6">
                    <c:v>大专</c:v>
                  </c:pt>
                  <c:pt idx="7">
                    <c:v>专科</c:v>
                  </c:pt>
                </c:lvl>
                <c:lvl>
                  <c:pt idx="0">
                    <c:v>男</c:v>
                  </c:pt>
                  <c:pt idx="4">
                    <c:v>女</c:v>
                  </c:pt>
                </c:lvl>
              </c:multiLvlStrCache>
            </c:multiLvlStrRef>
          </c:cat>
          <c:val>
            <c:numRef>
              <c:f>统计!$F$5:$F$13</c:f>
              <c:numCache>
                <c:formatCode>General</c:formatCode>
                <c:ptCount val="8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5">
                  <c:v>4</c:v>
                </c:pt>
              </c:numCache>
            </c:numRef>
          </c:val>
        </c:ser>
        <c:ser>
          <c:idx val="2"/>
          <c:order val="2"/>
          <c:tx>
            <c:strRef>
              <c:f>统计!$G$3:$G$4</c:f>
              <c:strCache>
                <c:ptCount val="1"/>
                <c:pt idx="0">
                  <c:v>工人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54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统计!$C$5:$D$13</c:f>
              <c:multiLvlStrCache>
                <c:ptCount val="8"/>
                <c:lvl>
                  <c:pt idx="0">
                    <c:v>博士</c:v>
                  </c:pt>
                  <c:pt idx="1">
                    <c:v>硕士</c:v>
                  </c:pt>
                  <c:pt idx="2">
                    <c:v>本科</c:v>
                  </c:pt>
                  <c:pt idx="3">
                    <c:v>专科</c:v>
                  </c:pt>
                  <c:pt idx="4">
                    <c:v>硕士</c:v>
                  </c:pt>
                  <c:pt idx="5">
                    <c:v>本科</c:v>
                  </c:pt>
                  <c:pt idx="6">
                    <c:v>大专</c:v>
                  </c:pt>
                  <c:pt idx="7">
                    <c:v>专科</c:v>
                  </c:pt>
                </c:lvl>
                <c:lvl>
                  <c:pt idx="0">
                    <c:v>男</c:v>
                  </c:pt>
                  <c:pt idx="4">
                    <c:v>女</c:v>
                  </c:pt>
                </c:lvl>
              </c:multiLvlStrCache>
            </c:multiLvlStrRef>
          </c:cat>
          <c:val>
            <c:numRef>
              <c:f>统计!$G$5:$G$13</c:f>
              <c:numCache>
                <c:formatCode>General</c:formatCode>
                <c:ptCount val="8"/>
                <c:pt idx="2">
                  <c:v>4</c:v>
                </c:pt>
                <c:pt idx="3">
                  <c:v>6</c:v>
                </c:pt>
                <c:pt idx="5">
                  <c:v>4</c:v>
                </c:pt>
                <c:pt idx="7">
                  <c:v>5</c:v>
                </c:pt>
              </c:numCache>
            </c:numRef>
          </c:val>
        </c:ser>
        <c:ser>
          <c:idx val="3"/>
          <c:order val="3"/>
          <c:tx>
            <c:strRef>
              <c:f>统计!$H$3:$H$4</c:f>
              <c:strCache>
                <c:ptCount val="1"/>
                <c:pt idx="0">
                  <c:v>技术员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54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统计!$C$5:$D$13</c:f>
              <c:multiLvlStrCache>
                <c:ptCount val="8"/>
                <c:lvl>
                  <c:pt idx="0">
                    <c:v>博士</c:v>
                  </c:pt>
                  <c:pt idx="1">
                    <c:v>硕士</c:v>
                  </c:pt>
                  <c:pt idx="2">
                    <c:v>本科</c:v>
                  </c:pt>
                  <c:pt idx="3">
                    <c:v>专科</c:v>
                  </c:pt>
                  <c:pt idx="4">
                    <c:v>硕士</c:v>
                  </c:pt>
                  <c:pt idx="5">
                    <c:v>本科</c:v>
                  </c:pt>
                  <c:pt idx="6">
                    <c:v>大专</c:v>
                  </c:pt>
                  <c:pt idx="7">
                    <c:v>专科</c:v>
                  </c:pt>
                </c:lvl>
                <c:lvl>
                  <c:pt idx="0">
                    <c:v>男</c:v>
                  </c:pt>
                  <c:pt idx="4">
                    <c:v>女</c:v>
                  </c:pt>
                </c:lvl>
              </c:multiLvlStrCache>
            </c:multiLvlStrRef>
          </c:cat>
          <c:val>
            <c:numRef>
              <c:f>统计!$H$5:$H$13</c:f>
              <c:numCache>
                <c:formatCode>General</c:formatCode>
                <c:ptCount val="8"/>
                <c:pt idx="2">
                  <c:v>3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60"/>
        <c:overlap val="100"/>
        <c:axId val="688889204"/>
        <c:axId val="282552498"/>
      </c:barChart>
      <c:catAx>
        <c:axId val="6888892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82552498"/>
        <c:crosses val="autoZero"/>
        <c:auto val="1"/>
        <c:lblAlgn val="ctr"/>
        <c:lblOffset val="100"/>
        <c:noMultiLvlLbl val="0"/>
      </c:catAx>
      <c:valAx>
        <c:axId val="28255249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888892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1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622300</xdr:colOff>
      <xdr:row>6</xdr:row>
      <xdr:rowOff>136525</xdr:rowOff>
    </xdr:from>
    <xdr:to>
      <xdr:col>7</xdr:col>
      <xdr:colOff>371475</xdr:colOff>
      <xdr:row>22</xdr:row>
      <xdr:rowOff>136525</xdr:rowOff>
    </xdr:to>
    <xdr:graphicFrame>
      <xdr:nvGraphicFramePr>
        <xdr:cNvPr id="2" name="图表 1"/>
        <xdr:cNvGraphicFramePr/>
      </xdr:nvGraphicFramePr>
      <xdr:xfrm>
        <a:off x="622300" y="11747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25400</xdr:colOff>
      <xdr:row>14</xdr:row>
      <xdr:rowOff>127000</xdr:rowOff>
    </xdr:from>
    <xdr:to>
      <xdr:col>9</xdr:col>
      <xdr:colOff>31750</xdr:colOff>
      <xdr:row>30</xdr:row>
      <xdr:rowOff>127000</xdr:rowOff>
    </xdr:to>
    <xdr:graphicFrame>
      <xdr:nvGraphicFramePr>
        <xdr:cNvPr id="2" name="男女各学历人数统计"/>
        <xdr:cNvGraphicFramePr/>
      </xdr:nvGraphicFramePr>
      <xdr:xfrm>
        <a:off x="1397000" y="2527300"/>
        <a:ext cx="48450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&#26631;&#20934;&#25991;&#20214;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66.5987384259" refreshedBy="25472" recordCount="38">
  <cacheSource type="worksheet">
    <worksheetSource ref="A2:O40" sheet="员工信息" r:id="rId2"/>
  </cacheSource>
  <cacheFields count="15">
    <cacheField name="编号" numFmtId="0">
      <sharedItems count="38">
        <s v="A001"/>
        <s v="A002"/>
        <s v="A003"/>
        <s v="A004"/>
        <s v="A005"/>
        <s v="A006"/>
        <s v="A007"/>
        <s v="A008"/>
        <s v="A009"/>
        <s v="A010"/>
        <s v="A011"/>
        <s v="A012"/>
        <s v="A013"/>
        <s v="A014"/>
        <s v="A015"/>
        <s v="A016"/>
        <s v="A017"/>
        <s v="A018"/>
        <s v="A019"/>
        <s v="A020"/>
        <s v="A021"/>
        <s v="A022"/>
        <s v="A023"/>
        <s v="A024"/>
        <s v="A025"/>
        <s v="A026"/>
        <s v="A027"/>
        <s v="A028"/>
        <s v="A029"/>
        <s v="A030"/>
        <s v="A031"/>
        <s v="A032"/>
        <s v="A033"/>
        <s v="A034"/>
        <s v="A035"/>
        <s v="A036"/>
        <s v="A037"/>
        <s v="A038"/>
      </sharedItems>
    </cacheField>
    <cacheField name="岗位" numFmtId="0">
      <sharedItems count="4">
        <s v="工程师"/>
        <s v="工人"/>
        <s v="技术员"/>
        <s v="财务"/>
      </sharedItems>
    </cacheField>
    <cacheField name="工号" numFmtId="0">
      <sharedItems containsSemiMixedTypes="0" containsString="0" containsNumber="1" containsInteger="1" minValue="0" maxValue="38" count="38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</sharedItems>
    </cacheField>
    <cacheField name="姓名" numFmtId="0">
      <sharedItems count="38">
        <s v="姓名1"/>
        <s v="姓名2"/>
        <s v="姓名3"/>
        <s v="姓名4"/>
        <s v="姓名5"/>
        <s v="姓名6"/>
        <s v="姓名7"/>
        <s v="姓名8"/>
        <s v="姓名9"/>
        <s v="姓名10"/>
        <s v="姓名11"/>
        <s v="姓名12"/>
        <s v="姓名13"/>
        <s v="姓名14"/>
        <s v="姓名15"/>
        <s v="姓名16"/>
        <s v="姓名17"/>
        <s v="姓名18"/>
        <s v="姓名19"/>
        <s v="姓名20"/>
        <s v="姓名21"/>
        <s v="姓名22"/>
        <s v="姓名23"/>
        <s v="姓名24"/>
        <s v="姓名25"/>
        <s v="姓名26"/>
        <s v="姓名27"/>
        <s v="姓名28"/>
        <s v="姓名29"/>
        <s v="姓名30"/>
        <s v="姓名31"/>
        <s v="姓名32"/>
        <s v="姓名33"/>
        <s v="姓名34"/>
        <s v="姓名35"/>
        <s v="姓名36"/>
        <s v="姓名37"/>
        <s v="姓名38"/>
      </sharedItems>
    </cacheField>
    <cacheField name="性别" numFmtId="0">
      <sharedItems count="2">
        <s v="男"/>
        <s v="女"/>
      </sharedItems>
    </cacheField>
    <cacheField name="年龄" numFmtId="0">
      <sharedItems containsSemiMixedTypes="0" containsString="0" containsNumber="1" containsInteger="1" minValue="0" maxValue="30" count="9">
        <n v="27"/>
        <n v="23"/>
        <n v="30"/>
        <n v="28"/>
        <n v="22"/>
        <n v="25"/>
        <n v="26"/>
        <n v="24"/>
        <n v="29"/>
      </sharedItems>
    </cacheField>
    <cacheField name="学历" numFmtId="0">
      <sharedItems count="5">
        <s v="硕士"/>
        <s v="本科"/>
        <s v="博士"/>
        <s v="专科"/>
        <s v="大专"/>
      </sharedItems>
    </cacheField>
    <cacheField name="省市" numFmtId="0">
      <sharedItems count="37">
        <s v="湖北省武汉市"/>
        <s v="湖北省十堰市"/>
        <s v="广东省广州市"/>
        <s v="广东省深圳市"/>
        <s v="江苏省南京市"/>
        <s v="江苏省苏州市"/>
        <s v="浙江省杭州市"/>
        <s v="浙江省宁波市"/>
        <s v="山东省济南市"/>
        <s v="山东省青岛市"/>
        <s v="四川省成都市"/>
        <s v="四川省绵阳市"/>
        <s v="湖北省宜昌市"/>
        <s v="陕西省西安市"/>
        <s v="陕西省宝鸡市"/>
        <s v="河南省郑州市"/>
        <s v="河南省洛阳市"/>
        <s v="河北省石家庄市"/>
        <s v="河北省唐山市"/>
        <s v="湖南省长沙市"/>
        <s v="湖南省岳阳市"/>
        <s v="福建省福州市"/>
        <s v="福建省厦门市"/>
        <s v="安徽省合肥市"/>
        <s v="安徽省芜湖市"/>
        <s v="辽宁省沈阳市"/>
        <s v="辽宁省大连市"/>
        <s v="黑龙江省哈尔滨市"/>
        <s v="黑龙江省大庆市"/>
        <s v="云南省昆明市"/>
        <s v="云南省丽江市"/>
        <s v="贵州省贵阳市"/>
        <s v="贵州省遵义市"/>
        <s v="甘肃省兰州市"/>
        <s v="甘肃省天水市"/>
        <s v="内蒙古自治区呼和浩特市"/>
        <s v="内蒙古自治区包头市"/>
      </sharedItems>
    </cacheField>
    <cacheField name="市" numFmtId="0">
      <sharedItems count="36">
        <s v="武汉市"/>
        <s v="十堰市"/>
        <s v="广州市"/>
        <s v="深圳市"/>
        <s v="南京市"/>
        <s v="苏州市"/>
        <s v="杭州市"/>
        <s v="宁波市"/>
        <s v="济南市"/>
        <s v="青岛市"/>
        <s v="成都市"/>
        <s v="绵阳市"/>
        <s v="宜昌市"/>
        <s v="西安市"/>
        <s v="宝鸡市"/>
        <s v="郑州市"/>
        <s v="洛阳市"/>
        <s v="石家庄"/>
        <s v="唐山市"/>
        <s v="长沙市"/>
        <s v="岳阳市"/>
        <s v="福州市"/>
        <s v="厦门市"/>
        <s v="合肥市"/>
        <s v="芜湖市"/>
        <s v="沈阳市"/>
        <s v="大连市"/>
        <s v="省哈尔"/>
        <s v="省大庆"/>
        <s v="昆明市"/>
        <s v="丽江市"/>
        <s v="贵阳市"/>
        <s v="遵义市"/>
        <s v="兰州市"/>
        <s v="天水市"/>
        <s v="自治区"/>
      </sharedItems>
    </cacheField>
    <cacheField name="考核成绩" numFmtId="0">
      <sharedItems containsSemiMixedTypes="0" containsString="0" containsNumber="1" containsInteger="1" minValue="0" maxValue="98" count="22">
        <n v="63"/>
        <n v="86"/>
        <n v="95"/>
        <n v="90"/>
        <n v="60"/>
        <n v="75"/>
        <n v="61"/>
        <n v="69"/>
        <n v="76"/>
        <n v="74"/>
        <n v="78"/>
        <n v="66"/>
        <n v="79"/>
        <n v="72"/>
        <n v="85"/>
        <n v="68"/>
        <n v="91"/>
        <n v="83"/>
        <n v="67"/>
        <n v="70"/>
        <n v="98"/>
        <n v="82"/>
      </sharedItems>
    </cacheField>
    <cacheField name="等级" numFmtId="0">
      <sharedItems count="3">
        <s v="C"/>
        <s v="A"/>
        <s v="B"/>
      </sharedItems>
    </cacheField>
    <cacheField name="出勤天数" numFmtId="0">
      <sharedItems containsSemiMixedTypes="0" containsString="0" containsNumber="1" containsInteger="1" minValue="0" maxValue="24" count="7">
        <n v="24"/>
        <n v="23"/>
        <n v="18"/>
        <n v="19"/>
        <n v="22"/>
        <n v="20"/>
        <n v="21"/>
      </sharedItems>
    </cacheField>
    <cacheField name="奖金" numFmtId="0">
      <sharedItems containsSemiMixedTypes="0" containsString="0" containsNumber="1" containsInteger="1" minValue="0" maxValue="200" count="2">
        <n v="0"/>
        <n v="200"/>
      </sharedItems>
    </cacheField>
    <cacheField name="薪资" numFmtId="0">
      <sharedItems containsSemiMixedTypes="0" containsString="0" containsNumber="1" containsInteger="1" minValue="0" maxValue="9800" count="14">
        <n v="9600"/>
        <n v="9800"/>
        <n v="9400"/>
        <n v="7400"/>
        <n v="7600"/>
        <n v="9000"/>
        <n v="8000"/>
        <n v="8800"/>
        <n v="8600"/>
        <n v="9200"/>
        <n v="7800"/>
        <n v="7200"/>
        <n v="8400"/>
        <n v="8200"/>
      </sharedItems>
    </cacheField>
    <cacheField name="薪资高于8000" numFmtId="0">
      <sharedItems count="2">
        <s v="TRUE"/>
        <s v="FALS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">
  <r>
    <x v="0"/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0"/>
    <x v="0"/>
    <x v="0"/>
    <x v="1"/>
    <x v="1"/>
    <x v="1"/>
    <x v="1"/>
    <x v="0"/>
    <x v="1"/>
    <x v="1"/>
    <x v="0"/>
  </r>
  <r>
    <x v="2"/>
    <x v="0"/>
    <x v="2"/>
    <x v="2"/>
    <x v="0"/>
    <x v="1"/>
    <x v="0"/>
    <x v="2"/>
    <x v="2"/>
    <x v="2"/>
    <x v="1"/>
    <x v="1"/>
    <x v="1"/>
    <x v="2"/>
    <x v="0"/>
  </r>
  <r>
    <x v="3"/>
    <x v="0"/>
    <x v="3"/>
    <x v="3"/>
    <x v="0"/>
    <x v="2"/>
    <x v="1"/>
    <x v="3"/>
    <x v="3"/>
    <x v="2"/>
    <x v="1"/>
    <x v="2"/>
    <x v="1"/>
    <x v="3"/>
    <x v="1"/>
  </r>
  <r>
    <x v="4"/>
    <x v="0"/>
    <x v="4"/>
    <x v="4"/>
    <x v="0"/>
    <x v="2"/>
    <x v="2"/>
    <x v="4"/>
    <x v="4"/>
    <x v="3"/>
    <x v="1"/>
    <x v="2"/>
    <x v="1"/>
    <x v="3"/>
    <x v="1"/>
  </r>
  <r>
    <x v="5"/>
    <x v="0"/>
    <x v="5"/>
    <x v="5"/>
    <x v="1"/>
    <x v="1"/>
    <x v="1"/>
    <x v="5"/>
    <x v="5"/>
    <x v="4"/>
    <x v="0"/>
    <x v="3"/>
    <x v="0"/>
    <x v="4"/>
    <x v="1"/>
  </r>
  <r>
    <x v="6"/>
    <x v="0"/>
    <x v="6"/>
    <x v="6"/>
    <x v="1"/>
    <x v="1"/>
    <x v="1"/>
    <x v="6"/>
    <x v="6"/>
    <x v="5"/>
    <x v="2"/>
    <x v="4"/>
    <x v="1"/>
    <x v="5"/>
    <x v="0"/>
  </r>
  <r>
    <x v="7"/>
    <x v="0"/>
    <x v="7"/>
    <x v="7"/>
    <x v="1"/>
    <x v="3"/>
    <x v="1"/>
    <x v="7"/>
    <x v="7"/>
    <x v="6"/>
    <x v="0"/>
    <x v="5"/>
    <x v="0"/>
    <x v="6"/>
    <x v="1"/>
  </r>
  <r>
    <x v="8"/>
    <x v="0"/>
    <x v="8"/>
    <x v="8"/>
    <x v="1"/>
    <x v="4"/>
    <x v="1"/>
    <x v="8"/>
    <x v="8"/>
    <x v="7"/>
    <x v="0"/>
    <x v="0"/>
    <x v="0"/>
    <x v="0"/>
    <x v="0"/>
  </r>
  <r>
    <x v="9"/>
    <x v="1"/>
    <x v="9"/>
    <x v="9"/>
    <x v="1"/>
    <x v="2"/>
    <x v="1"/>
    <x v="9"/>
    <x v="9"/>
    <x v="8"/>
    <x v="2"/>
    <x v="2"/>
    <x v="1"/>
    <x v="3"/>
    <x v="1"/>
  </r>
  <r>
    <x v="10"/>
    <x v="1"/>
    <x v="10"/>
    <x v="10"/>
    <x v="0"/>
    <x v="5"/>
    <x v="1"/>
    <x v="10"/>
    <x v="10"/>
    <x v="9"/>
    <x v="2"/>
    <x v="4"/>
    <x v="1"/>
    <x v="5"/>
    <x v="0"/>
  </r>
  <r>
    <x v="11"/>
    <x v="1"/>
    <x v="11"/>
    <x v="11"/>
    <x v="0"/>
    <x v="6"/>
    <x v="1"/>
    <x v="11"/>
    <x v="11"/>
    <x v="10"/>
    <x v="2"/>
    <x v="0"/>
    <x v="1"/>
    <x v="1"/>
    <x v="0"/>
  </r>
  <r>
    <x v="12"/>
    <x v="1"/>
    <x v="12"/>
    <x v="12"/>
    <x v="0"/>
    <x v="7"/>
    <x v="3"/>
    <x v="0"/>
    <x v="0"/>
    <x v="11"/>
    <x v="0"/>
    <x v="4"/>
    <x v="0"/>
    <x v="7"/>
    <x v="0"/>
  </r>
  <r>
    <x v="13"/>
    <x v="1"/>
    <x v="13"/>
    <x v="13"/>
    <x v="0"/>
    <x v="3"/>
    <x v="3"/>
    <x v="12"/>
    <x v="12"/>
    <x v="12"/>
    <x v="2"/>
    <x v="2"/>
    <x v="1"/>
    <x v="3"/>
    <x v="1"/>
  </r>
  <r>
    <x v="14"/>
    <x v="1"/>
    <x v="14"/>
    <x v="14"/>
    <x v="0"/>
    <x v="7"/>
    <x v="3"/>
    <x v="13"/>
    <x v="13"/>
    <x v="13"/>
    <x v="2"/>
    <x v="6"/>
    <x v="1"/>
    <x v="8"/>
    <x v="0"/>
  </r>
  <r>
    <x v="15"/>
    <x v="1"/>
    <x v="15"/>
    <x v="15"/>
    <x v="1"/>
    <x v="5"/>
    <x v="3"/>
    <x v="14"/>
    <x v="14"/>
    <x v="8"/>
    <x v="2"/>
    <x v="4"/>
    <x v="1"/>
    <x v="5"/>
    <x v="0"/>
  </r>
  <r>
    <x v="16"/>
    <x v="1"/>
    <x v="16"/>
    <x v="16"/>
    <x v="1"/>
    <x v="0"/>
    <x v="3"/>
    <x v="15"/>
    <x v="15"/>
    <x v="14"/>
    <x v="1"/>
    <x v="1"/>
    <x v="1"/>
    <x v="2"/>
    <x v="0"/>
  </r>
  <r>
    <x v="17"/>
    <x v="1"/>
    <x v="17"/>
    <x v="17"/>
    <x v="1"/>
    <x v="6"/>
    <x v="3"/>
    <x v="16"/>
    <x v="16"/>
    <x v="15"/>
    <x v="0"/>
    <x v="1"/>
    <x v="0"/>
    <x v="9"/>
    <x v="0"/>
  </r>
  <r>
    <x v="18"/>
    <x v="1"/>
    <x v="18"/>
    <x v="18"/>
    <x v="1"/>
    <x v="8"/>
    <x v="3"/>
    <x v="17"/>
    <x v="17"/>
    <x v="10"/>
    <x v="2"/>
    <x v="6"/>
    <x v="1"/>
    <x v="8"/>
    <x v="0"/>
  </r>
  <r>
    <x v="19"/>
    <x v="1"/>
    <x v="19"/>
    <x v="19"/>
    <x v="1"/>
    <x v="3"/>
    <x v="3"/>
    <x v="18"/>
    <x v="18"/>
    <x v="16"/>
    <x v="1"/>
    <x v="2"/>
    <x v="1"/>
    <x v="3"/>
    <x v="1"/>
  </r>
  <r>
    <x v="20"/>
    <x v="1"/>
    <x v="20"/>
    <x v="20"/>
    <x v="0"/>
    <x v="4"/>
    <x v="3"/>
    <x v="19"/>
    <x v="19"/>
    <x v="17"/>
    <x v="2"/>
    <x v="1"/>
    <x v="1"/>
    <x v="2"/>
    <x v="0"/>
  </r>
  <r>
    <x v="21"/>
    <x v="1"/>
    <x v="21"/>
    <x v="21"/>
    <x v="0"/>
    <x v="3"/>
    <x v="3"/>
    <x v="20"/>
    <x v="20"/>
    <x v="3"/>
    <x v="1"/>
    <x v="3"/>
    <x v="1"/>
    <x v="10"/>
    <x v="1"/>
  </r>
  <r>
    <x v="22"/>
    <x v="1"/>
    <x v="22"/>
    <x v="22"/>
    <x v="0"/>
    <x v="6"/>
    <x v="3"/>
    <x v="21"/>
    <x v="21"/>
    <x v="18"/>
    <x v="0"/>
    <x v="2"/>
    <x v="0"/>
    <x v="11"/>
    <x v="1"/>
  </r>
  <r>
    <x v="23"/>
    <x v="1"/>
    <x v="23"/>
    <x v="23"/>
    <x v="0"/>
    <x v="3"/>
    <x v="1"/>
    <x v="22"/>
    <x v="22"/>
    <x v="16"/>
    <x v="1"/>
    <x v="2"/>
    <x v="1"/>
    <x v="3"/>
    <x v="1"/>
  </r>
  <r>
    <x v="24"/>
    <x v="1"/>
    <x v="24"/>
    <x v="24"/>
    <x v="0"/>
    <x v="0"/>
    <x v="1"/>
    <x v="23"/>
    <x v="23"/>
    <x v="19"/>
    <x v="2"/>
    <x v="3"/>
    <x v="1"/>
    <x v="10"/>
    <x v="1"/>
  </r>
  <r>
    <x v="25"/>
    <x v="1"/>
    <x v="25"/>
    <x v="25"/>
    <x v="1"/>
    <x v="3"/>
    <x v="1"/>
    <x v="24"/>
    <x v="24"/>
    <x v="5"/>
    <x v="2"/>
    <x v="6"/>
    <x v="1"/>
    <x v="8"/>
    <x v="0"/>
  </r>
  <r>
    <x v="26"/>
    <x v="1"/>
    <x v="26"/>
    <x v="26"/>
    <x v="1"/>
    <x v="3"/>
    <x v="1"/>
    <x v="25"/>
    <x v="25"/>
    <x v="11"/>
    <x v="0"/>
    <x v="6"/>
    <x v="0"/>
    <x v="12"/>
    <x v="0"/>
  </r>
  <r>
    <x v="27"/>
    <x v="1"/>
    <x v="27"/>
    <x v="27"/>
    <x v="1"/>
    <x v="0"/>
    <x v="1"/>
    <x v="26"/>
    <x v="26"/>
    <x v="9"/>
    <x v="2"/>
    <x v="5"/>
    <x v="1"/>
    <x v="13"/>
    <x v="0"/>
  </r>
  <r>
    <x v="28"/>
    <x v="2"/>
    <x v="28"/>
    <x v="28"/>
    <x v="1"/>
    <x v="5"/>
    <x v="0"/>
    <x v="27"/>
    <x v="27"/>
    <x v="13"/>
    <x v="2"/>
    <x v="1"/>
    <x v="1"/>
    <x v="2"/>
    <x v="0"/>
  </r>
  <r>
    <x v="29"/>
    <x v="2"/>
    <x v="29"/>
    <x v="29"/>
    <x v="1"/>
    <x v="4"/>
    <x v="1"/>
    <x v="28"/>
    <x v="28"/>
    <x v="17"/>
    <x v="2"/>
    <x v="1"/>
    <x v="1"/>
    <x v="2"/>
    <x v="0"/>
  </r>
  <r>
    <x v="30"/>
    <x v="2"/>
    <x v="30"/>
    <x v="30"/>
    <x v="1"/>
    <x v="8"/>
    <x v="4"/>
    <x v="29"/>
    <x v="29"/>
    <x v="12"/>
    <x v="2"/>
    <x v="2"/>
    <x v="1"/>
    <x v="3"/>
    <x v="1"/>
  </r>
  <r>
    <x v="31"/>
    <x v="2"/>
    <x v="31"/>
    <x v="31"/>
    <x v="1"/>
    <x v="4"/>
    <x v="1"/>
    <x v="30"/>
    <x v="30"/>
    <x v="12"/>
    <x v="2"/>
    <x v="4"/>
    <x v="1"/>
    <x v="5"/>
    <x v="0"/>
  </r>
  <r>
    <x v="32"/>
    <x v="2"/>
    <x v="32"/>
    <x v="32"/>
    <x v="1"/>
    <x v="1"/>
    <x v="1"/>
    <x v="31"/>
    <x v="31"/>
    <x v="0"/>
    <x v="0"/>
    <x v="3"/>
    <x v="0"/>
    <x v="4"/>
    <x v="1"/>
  </r>
  <r>
    <x v="33"/>
    <x v="2"/>
    <x v="33"/>
    <x v="33"/>
    <x v="0"/>
    <x v="0"/>
    <x v="1"/>
    <x v="32"/>
    <x v="32"/>
    <x v="20"/>
    <x v="1"/>
    <x v="3"/>
    <x v="1"/>
    <x v="10"/>
    <x v="1"/>
  </r>
  <r>
    <x v="34"/>
    <x v="2"/>
    <x v="34"/>
    <x v="34"/>
    <x v="0"/>
    <x v="4"/>
    <x v="1"/>
    <x v="33"/>
    <x v="33"/>
    <x v="14"/>
    <x v="1"/>
    <x v="5"/>
    <x v="1"/>
    <x v="13"/>
    <x v="0"/>
  </r>
  <r>
    <x v="35"/>
    <x v="2"/>
    <x v="35"/>
    <x v="35"/>
    <x v="0"/>
    <x v="1"/>
    <x v="1"/>
    <x v="34"/>
    <x v="34"/>
    <x v="14"/>
    <x v="1"/>
    <x v="0"/>
    <x v="1"/>
    <x v="1"/>
    <x v="0"/>
  </r>
  <r>
    <x v="36"/>
    <x v="3"/>
    <x v="36"/>
    <x v="36"/>
    <x v="0"/>
    <x v="7"/>
    <x v="2"/>
    <x v="35"/>
    <x v="35"/>
    <x v="21"/>
    <x v="2"/>
    <x v="0"/>
    <x v="1"/>
    <x v="1"/>
    <x v="0"/>
  </r>
  <r>
    <x v="37"/>
    <x v="3"/>
    <x v="37"/>
    <x v="37"/>
    <x v="0"/>
    <x v="6"/>
    <x v="0"/>
    <x v="36"/>
    <x v="35"/>
    <x v="12"/>
    <x v="2"/>
    <x v="6"/>
    <x v="1"/>
    <x v="8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mergeItem="1" useAutoFormatting="1" compact="0" indent="0" compactData="0" showDrill="1" multipleFieldFilters="0" chartFormat="2">
  <location ref="C3:I13" firstHeaderRow="1" firstDataRow="2" firstDataCol="2"/>
  <pivotFields count="15">
    <pivotField compact="0" defaultSubtotal="0" outline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axis="axisCol" compact="0" defaultSubtotal="0" outline="0" showAll="0">
      <items count="4">
        <item x="3"/>
        <item x="0"/>
        <item x="1"/>
        <item x="2"/>
      </items>
    </pivotField>
    <pivotField dataField="1" compact="0" defaultSubtotal="0" outline="0"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</items>
    </pivotField>
    <pivotField compact="0" defaultSubtotal="0" outline="0" showAll="0"/>
    <pivotField axis="axisRow" compact="0" defaultSubtotal="0" outline="0" showAll="0">
      <items count="2">
        <item x="0"/>
        <item x="1"/>
      </items>
    </pivotField>
    <pivotField compact="0" defaultSubtotal="0" outline="0" showAll="0"/>
    <pivotField axis="axisRow" compact="0" defaultSubtotal="0" outline="0" showAll="0">
      <items count="5">
        <item x="2"/>
        <item x="0"/>
        <item x="1"/>
        <item x="4"/>
        <item x="3"/>
      </items>
    </pivotField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  <pivotField compact="0" defaultSubtotal="0" outline="0" showAll="0"/>
  </pivotFields>
  <rowFields count="2">
    <field x="4"/>
    <field x="6"/>
  </rowFields>
  <rowItems count="9">
    <i>
      <x/>
      <x/>
    </i>
    <i r="1">
      <x v="1"/>
    </i>
    <i r="1">
      <x v="2"/>
    </i>
    <i r="1">
      <x v="4"/>
    </i>
    <i>
      <x v="1"/>
      <x v="1"/>
    </i>
    <i r="1">
      <x v="2"/>
    </i>
    <i r="1">
      <x v="3"/>
    </i>
    <i r="1">
      <x v="4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计数项:工号" fld="2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40"/>
  <sheetViews>
    <sheetView tabSelected="1" workbookViewId="0">
      <selection activeCell="J10" sqref="J10"/>
    </sheetView>
  </sheetViews>
  <sheetFormatPr defaultColWidth="9" defaultRowHeight="13.5"/>
  <cols>
    <col min="1" max="1" width="11.5" customWidth="1"/>
    <col min="2" max="2" width="13" customWidth="1"/>
    <col min="3" max="3" width="11.125" customWidth="1"/>
    <col min="4" max="4" width="12.25" customWidth="1"/>
    <col min="5" max="5" width="9.25" customWidth="1"/>
    <col min="6" max="6" width="9.875" customWidth="1"/>
    <col min="7" max="7" width="9.5" customWidth="1"/>
    <col min="8" max="8" width="23.375" customWidth="1"/>
    <col min="9" max="9" width="14.25" customWidth="1"/>
    <col min="10" max="10" width="8.875" customWidth="1"/>
    <col min="11" max="11" width="11.5" customWidth="1"/>
    <col min="12" max="12" width="8.875" customWidth="1"/>
    <col min="13" max="13" width="8.625" customWidth="1"/>
    <col min="14" max="14" width="8.125" customWidth="1"/>
    <col min="15" max="15" width="15" customWidth="1"/>
    <col min="16" max="17" width="12.625"/>
  </cols>
  <sheetData>
    <row r="1" ht="38.25" spans="1:15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ht="20" customHeight="1" spans="1:15">
      <c r="A2" s="9" t="s">
        <v>1</v>
      </c>
      <c r="B2" s="10" t="s">
        <v>2</v>
      </c>
      <c r="C2" s="10" t="s">
        <v>3</v>
      </c>
      <c r="D2" s="10" t="s">
        <v>4</v>
      </c>
      <c r="E2" s="10" t="s">
        <v>5</v>
      </c>
      <c r="F2" s="10" t="s">
        <v>6</v>
      </c>
      <c r="G2" s="10" t="s">
        <v>7</v>
      </c>
      <c r="H2" s="10" t="s">
        <v>8</v>
      </c>
      <c r="I2" s="10" t="s">
        <v>9</v>
      </c>
      <c r="J2" s="10" t="s">
        <v>10</v>
      </c>
      <c r="K2" s="10" t="s">
        <v>11</v>
      </c>
      <c r="L2" s="10" t="s">
        <v>12</v>
      </c>
      <c r="M2" s="10" t="s">
        <v>13</v>
      </c>
      <c r="N2" s="10" t="s">
        <v>14</v>
      </c>
      <c r="O2" s="15" t="s">
        <v>15</v>
      </c>
    </row>
    <row r="3" ht="20" customHeight="1" spans="1:15">
      <c r="A3" s="11" t="s">
        <v>16</v>
      </c>
      <c r="B3" s="12" t="s">
        <v>17</v>
      </c>
      <c r="C3" s="12">
        <v>5</v>
      </c>
      <c r="D3" s="12" t="s">
        <v>18</v>
      </c>
      <c r="E3" s="12" t="s">
        <v>19</v>
      </c>
      <c r="F3" s="12">
        <v>30</v>
      </c>
      <c r="G3" s="12" t="s">
        <v>20</v>
      </c>
      <c r="H3" s="12" t="s">
        <v>21</v>
      </c>
      <c r="I3" s="12" t="str">
        <f t="shared" ref="I3:I40" si="0">MID(H3,4,3)</f>
        <v>南京市</v>
      </c>
      <c r="J3" s="12">
        <v>90</v>
      </c>
      <c r="K3" s="12" t="str">
        <f t="shared" ref="K3:K40" si="1">IF(J3&gt;=85,"A",IF(J3&gt;=70,"B",IF(J3&gt;=60,"C","D")))</f>
        <v>A</v>
      </c>
      <c r="L3" s="12">
        <v>18</v>
      </c>
      <c r="M3" s="12">
        <f t="shared" ref="M3:M40" si="2">IF(OR(K3="A",K3="B"),200,0)</f>
        <v>200</v>
      </c>
      <c r="N3" s="12">
        <f t="shared" ref="N3:N40" si="3">L3*400+M3</f>
        <v>7400</v>
      </c>
      <c r="O3" s="16" t="str">
        <f t="shared" ref="O3:O40" si="4">IF(N3&gt;8000,"TRUE","FALSE")</f>
        <v>FALSE</v>
      </c>
    </row>
    <row r="4" ht="20" customHeight="1" spans="1:15">
      <c r="A4" s="11" t="s">
        <v>22</v>
      </c>
      <c r="B4" s="12" t="s">
        <v>17</v>
      </c>
      <c r="C4" s="12">
        <v>1</v>
      </c>
      <c r="D4" s="12" t="s">
        <v>23</v>
      </c>
      <c r="E4" s="12" t="s">
        <v>19</v>
      </c>
      <c r="F4" s="12">
        <v>27</v>
      </c>
      <c r="G4" s="12" t="s">
        <v>24</v>
      </c>
      <c r="H4" s="12" t="s">
        <v>25</v>
      </c>
      <c r="I4" s="12" t="str">
        <f t="shared" si="0"/>
        <v>武汉市</v>
      </c>
      <c r="J4" s="12">
        <v>63</v>
      </c>
      <c r="K4" s="12" t="str">
        <f t="shared" si="1"/>
        <v>C</v>
      </c>
      <c r="L4" s="12">
        <v>24</v>
      </c>
      <c r="M4" s="12">
        <f t="shared" si="2"/>
        <v>0</v>
      </c>
      <c r="N4" s="12">
        <f t="shared" si="3"/>
        <v>9600</v>
      </c>
      <c r="O4" s="16" t="str">
        <f t="shared" si="4"/>
        <v>TRUE</v>
      </c>
    </row>
    <row r="5" ht="20" customHeight="1" spans="1:15">
      <c r="A5" s="11" t="s">
        <v>26</v>
      </c>
      <c r="B5" s="12" t="s">
        <v>27</v>
      </c>
      <c r="C5" s="12">
        <v>28</v>
      </c>
      <c r="D5" s="12" t="s">
        <v>28</v>
      </c>
      <c r="E5" s="12" t="s">
        <v>29</v>
      </c>
      <c r="F5" s="12">
        <v>27</v>
      </c>
      <c r="G5" s="12" t="s">
        <v>30</v>
      </c>
      <c r="H5" s="12" t="s">
        <v>31</v>
      </c>
      <c r="I5" s="12" t="str">
        <f t="shared" si="0"/>
        <v>大连市</v>
      </c>
      <c r="J5" s="12">
        <v>74</v>
      </c>
      <c r="K5" s="12" t="str">
        <f t="shared" si="1"/>
        <v>B</v>
      </c>
      <c r="L5" s="12">
        <v>20</v>
      </c>
      <c r="M5" s="12">
        <f t="shared" si="2"/>
        <v>200</v>
      </c>
      <c r="N5" s="12">
        <f t="shared" si="3"/>
        <v>8200</v>
      </c>
      <c r="O5" s="16" t="str">
        <f t="shared" si="4"/>
        <v>TRUE</v>
      </c>
    </row>
    <row r="6" ht="20" customHeight="1" spans="1:15">
      <c r="A6" s="11" t="s">
        <v>32</v>
      </c>
      <c r="B6" s="12" t="s">
        <v>27</v>
      </c>
      <c r="C6" s="12">
        <v>16</v>
      </c>
      <c r="D6" s="12" t="s">
        <v>33</v>
      </c>
      <c r="E6" s="12" t="s">
        <v>29</v>
      </c>
      <c r="F6" s="12">
        <v>25</v>
      </c>
      <c r="G6" s="12" t="s">
        <v>34</v>
      </c>
      <c r="H6" s="12" t="s">
        <v>35</v>
      </c>
      <c r="I6" s="12" t="str">
        <f t="shared" si="0"/>
        <v>宝鸡市</v>
      </c>
      <c r="J6" s="12">
        <v>76</v>
      </c>
      <c r="K6" s="12" t="str">
        <f t="shared" si="1"/>
        <v>B</v>
      </c>
      <c r="L6" s="12">
        <v>22</v>
      </c>
      <c r="M6" s="12">
        <f t="shared" si="2"/>
        <v>200</v>
      </c>
      <c r="N6" s="12">
        <f t="shared" si="3"/>
        <v>9000</v>
      </c>
      <c r="O6" s="16" t="str">
        <f t="shared" si="4"/>
        <v>TRUE</v>
      </c>
    </row>
    <row r="7" ht="20" customHeight="1" spans="1:15">
      <c r="A7" s="11" t="s">
        <v>36</v>
      </c>
      <c r="B7" s="12" t="s">
        <v>37</v>
      </c>
      <c r="C7" s="12">
        <v>35</v>
      </c>
      <c r="D7" s="12" t="s">
        <v>38</v>
      </c>
      <c r="E7" s="12" t="s">
        <v>19</v>
      </c>
      <c r="F7" s="12">
        <v>22</v>
      </c>
      <c r="G7" s="12" t="s">
        <v>30</v>
      </c>
      <c r="H7" s="12" t="s">
        <v>39</v>
      </c>
      <c r="I7" s="12" t="str">
        <f t="shared" si="0"/>
        <v>兰州市</v>
      </c>
      <c r="J7" s="12">
        <v>85</v>
      </c>
      <c r="K7" s="12" t="str">
        <f t="shared" si="1"/>
        <v>A</v>
      </c>
      <c r="L7" s="12">
        <v>20</v>
      </c>
      <c r="M7" s="12">
        <f t="shared" si="2"/>
        <v>200</v>
      </c>
      <c r="N7" s="12">
        <f t="shared" si="3"/>
        <v>8200</v>
      </c>
      <c r="O7" s="16" t="str">
        <f t="shared" si="4"/>
        <v>TRUE</v>
      </c>
    </row>
    <row r="8" ht="20" customHeight="1" spans="1:15">
      <c r="A8" s="11" t="s">
        <v>40</v>
      </c>
      <c r="B8" s="12" t="s">
        <v>27</v>
      </c>
      <c r="C8" s="12">
        <v>25</v>
      </c>
      <c r="D8" s="12" t="s">
        <v>41</v>
      </c>
      <c r="E8" s="12" t="s">
        <v>19</v>
      </c>
      <c r="F8" s="12">
        <v>27</v>
      </c>
      <c r="G8" s="12" t="s">
        <v>30</v>
      </c>
      <c r="H8" s="12" t="s">
        <v>42</v>
      </c>
      <c r="I8" s="12" t="str">
        <f t="shared" si="0"/>
        <v>合肥市</v>
      </c>
      <c r="J8" s="12">
        <v>70</v>
      </c>
      <c r="K8" s="12" t="str">
        <f t="shared" si="1"/>
        <v>B</v>
      </c>
      <c r="L8" s="12">
        <v>19</v>
      </c>
      <c r="M8" s="12">
        <f t="shared" si="2"/>
        <v>200</v>
      </c>
      <c r="N8" s="12">
        <f t="shared" si="3"/>
        <v>7800</v>
      </c>
      <c r="O8" s="16" t="str">
        <f t="shared" si="4"/>
        <v>FALSE</v>
      </c>
    </row>
    <row r="9" ht="20" customHeight="1" spans="1:15">
      <c r="A9" s="11" t="s">
        <v>43</v>
      </c>
      <c r="B9" s="12" t="s">
        <v>27</v>
      </c>
      <c r="C9" s="12">
        <v>12</v>
      </c>
      <c r="D9" s="12" t="s">
        <v>44</v>
      </c>
      <c r="E9" s="12" t="s">
        <v>19</v>
      </c>
      <c r="F9" s="12">
        <v>26</v>
      </c>
      <c r="G9" s="12" t="s">
        <v>30</v>
      </c>
      <c r="H9" s="12" t="s">
        <v>45</v>
      </c>
      <c r="I9" s="12" t="str">
        <f t="shared" si="0"/>
        <v>绵阳市</v>
      </c>
      <c r="J9" s="12">
        <v>78</v>
      </c>
      <c r="K9" s="12" t="str">
        <f t="shared" si="1"/>
        <v>B</v>
      </c>
      <c r="L9" s="12">
        <v>24</v>
      </c>
      <c r="M9" s="12">
        <f t="shared" si="2"/>
        <v>200</v>
      </c>
      <c r="N9" s="12">
        <f t="shared" si="3"/>
        <v>9800</v>
      </c>
      <c r="O9" s="16" t="str">
        <f t="shared" si="4"/>
        <v>TRUE</v>
      </c>
    </row>
    <row r="10" ht="20" customHeight="1" spans="1:15">
      <c r="A10" s="11" t="s">
        <v>46</v>
      </c>
      <c r="B10" s="12" t="s">
        <v>27</v>
      </c>
      <c r="C10" s="12">
        <v>11</v>
      </c>
      <c r="D10" s="12" t="s">
        <v>47</v>
      </c>
      <c r="E10" s="12" t="s">
        <v>19</v>
      </c>
      <c r="F10" s="12">
        <v>25</v>
      </c>
      <c r="G10" s="12" t="s">
        <v>30</v>
      </c>
      <c r="H10" s="12" t="s">
        <v>48</v>
      </c>
      <c r="I10" s="12" t="str">
        <f t="shared" si="0"/>
        <v>成都市</v>
      </c>
      <c r="J10" s="12">
        <v>74</v>
      </c>
      <c r="K10" s="12" t="str">
        <f t="shared" si="1"/>
        <v>B</v>
      </c>
      <c r="L10" s="12">
        <v>22</v>
      </c>
      <c r="M10" s="12">
        <f t="shared" si="2"/>
        <v>200</v>
      </c>
      <c r="N10" s="12">
        <f t="shared" si="3"/>
        <v>9000</v>
      </c>
      <c r="O10" s="16" t="str">
        <f t="shared" si="4"/>
        <v>TRUE</v>
      </c>
    </row>
    <row r="11" ht="20" customHeight="1" spans="1:15">
      <c r="A11" s="11" t="s">
        <v>49</v>
      </c>
      <c r="B11" s="12" t="s">
        <v>17</v>
      </c>
      <c r="C11" s="12">
        <v>9</v>
      </c>
      <c r="D11" s="12" t="s">
        <v>50</v>
      </c>
      <c r="E11" s="12" t="s">
        <v>29</v>
      </c>
      <c r="F11" s="12">
        <v>22</v>
      </c>
      <c r="G11" s="12" t="s">
        <v>30</v>
      </c>
      <c r="H11" s="12" t="s">
        <v>51</v>
      </c>
      <c r="I11" s="12" t="str">
        <f t="shared" si="0"/>
        <v>济南市</v>
      </c>
      <c r="J11" s="12">
        <v>69</v>
      </c>
      <c r="K11" s="12" t="str">
        <f t="shared" si="1"/>
        <v>C</v>
      </c>
      <c r="L11" s="12">
        <v>24</v>
      </c>
      <c r="M11" s="12">
        <f t="shared" si="2"/>
        <v>0</v>
      </c>
      <c r="N11" s="12">
        <f t="shared" si="3"/>
        <v>9600</v>
      </c>
      <c r="O11" s="16" t="str">
        <f t="shared" si="4"/>
        <v>TRUE</v>
      </c>
    </row>
    <row r="12" ht="20" customHeight="1" spans="1:15">
      <c r="A12" s="11" t="s">
        <v>52</v>
      </c>
      <c r="B12" s="12" t="s">
        <v>27</v>
      </c>
      <c r="C12" s="12">
        <v>19</v>
      </c>
      <c r="D12" s="12" t="s">
        <v>53</v>
      </c>
      <c r="E12" s="12" t="s">
        <v>29</v>
      </c>
      <c r="F12" s="12">
        <v>29</v>
      </c>
      <c r="G12" s="12" t="s">
        <v>34</v>
      </c>
      <c r="H12" s="12" t="s">
        <v>42</v>
      </c>
      <c r="I12" s="12" t="str">
        <f t="shared" si="0"/>
        <v>合肥市</v>
      </c>
      <c r="J12" s="12">
        <v>78</v>
      </c>
      <c r="K12" s="12" t="str">
        <f t="shared" si="1"/>
        <v>B</v>
      </c>
      <c r="L12" s="12">
        <v>21</v>
      </c>
      <c r="M12" s="12">
        <f t="shared" si="2"/>
        <v>200</v>
      </c>
      <c r="N12" s="12">
        <f t="shared" si="3"/>
        <v>8600</v>
      </c>
      <c r="O12" s="16" t="str">
        <f t="shared" si="4"/>
        <v>TRUE</v>
      </c>
    </row>
    <row r="13" ht="20" customHeight="1" spans="1:15">
      <c r="A13" s="11" t="s">
        <v>54</v>
      </c>
      <c r="B13" s="12" t="s">
        <v>17</v>
      </c>
      <c r="C13" s="12">
        <v>7</v>
      </c>
      <c r="D13" s="12" t="s">
        <v>55</v>
      </c>
      <c r="E13" s="12" t="s">
        <v>29</v>
      </c>
      <c r="F13" s="12">
        <v>23</v>
      </c>
      <c r="G13" s="12" t="s">
        <v>30</v>
      </c>
      <c r="H13" s="12" t="s">
        <v>56</v>
      </c>
      <c r="I13" s="12" t="str">
        <f t="shared" si="0"/>
        <v>杭州市</v>
      </c>
      <c r="J13" s="12">
        <v>75</v>
      </c>
      <c r="K13" s="12" t="str">
        <f t="shared" si="1"/>
        <v>B</v>
      </c>
      <c r="L13" s="12">
        <v>22</v>
      </c>
      <c r="M13" s="12">
        <f t="shared" si="2"/>
        <v>200</v>
      </c>
      <c r="N13" s="12">
        <f t="shared" si="3"/>
        <v>9000</v>
      </c>
      <c r="O13" s="16" t="str">
        <f t="shared" si="4"/>
        <v>TRUE</v>
      </c>
    </row>
    <row r="14" ht="20" customHeight="1" spans="1:15">
      <c r="A14" s="11" t="s">
        <v>57</v>
      </c>
      <c r="B14" s="12" t="s">
        <v>58</v>
      </c>
      <c r="C14" s="12">
        <v>37</v>
      </c>
      <c r="D14" s="12" t="s">
        <v>59</v>
      </c>
      <c r="E14" s="12" t="s">
        <v>19</v>
      </c>
      <c r="F14" s="12">
        <v>24</v>
      </c>
      <c r="G14" s="12" t="s">
        <v>20</v>
      </c>
      <c r="H14" s="12" t="s">
        <v>56</v>
      </c>
      <c r="I14" s="12" t="str">
        <f t="shared" si="0"/>
        <v>杭州市</v>
      </c>
      <c r="J14" s="12">
        <v>82</v>
      </c>
      <c r="K14" s="12" t="str">
        <f t="shared" si="1"/>
        <v>B</v>
      </c>
      <c r="L14" s="12">
        <v>24</v>
      </c>
      <c r="M14" s="12">
        <f t="shared" si="2"/>
        <v>200</v>
      </c>
      <c r="N14" s="12">
        <f t="shared" si="3"/>
        <v>9800</v>
      </c>
      <c r="O14" s="16" t="str">
        <f t="shared" si="4"/>
        <v>TRUE</v>
      </c>
    </row>
    <row r="15" ht="20" customHeight="1" spans="1:15">
      <c r="A15" s="11" t="s">
        <v>60</v>
      </c>
      <c r="B15" s="12" t="s">
        <v>27</v>
      </c>
      <c r="C15" s="12">
        <v>10</v>
      </c>
      <c r="D15" s="12" t="s">
        <v>61</v>
      </c>
      <c r="E15" s="12" t="s">
        <v>29</v>
      </c>
      <c r="F15" s="12">
        <v>30</v>
      </c>
      <c r="G15" s="12" t="s">
        <v>30</v>
      </c>
      <c r="H15" s="12" t="s">
        <v>62</v>
      </c>
      <c r="I15" s="12" t="str">
        <f t="shared" si="0"/>
        <v>青岛市</v>
      </c>
      <c r="J15" s="12">
        <v>76</v>
      </c>
      <c r="K15" s="12" t="str">
        <f t="shared" si="1"/>
        <v>B</v>
      </c>
      <c r="L15" s="12">
        <v>18</v>
      </c>
      <c r="M15" s="12">
        <f t="shared" si="2"/>
        <v>200</v>
      </c>
      <c r="N15" s="12">
        <f t="shared" si="3"/>
        <v>7400</v>
      </c>
      <c r="O15" s="16" t="str">
        <f t="shared" si="4"/>
        <v>FALSE</v>
      </c>
    </row>
    <row r="16" ht="20" customHeight="1" spans="1:15">
      <c r="A16" s="11" t="s">
        <v>63</v>
      </c>
      <c r="B16" s="12" t="s">
        <v>37</v>
      </c>
      <c r="C16" s="12">
        <v>34</v>
      </c>
      <c r="D16" s="12" t="s">
        <v>64</v>
      </c>
      <c r="E16" s="12" t="s">
        <v>19</v>
      </c>
      <c r="F16" s="12">
        <v>27</v>
      </c>
      <c r="G16" s="12" t="s">
        <v>30</v>
      </c>
      <c r="H16" s="12" t="s">
        <v>65</v>
      </c>
      <c r="I16" s="12" t="str">
        <f t="shared" si="0"/>
        <v>遵义市</v>
      </c>
      <c r="J16" s="12">
        <v>98</v>
      </c>
      <c r="K16" s="12" t="str">
        <f t="shared" si="1"/>
        <v>A</v>
      </c>
      <c r="L16" s="12">
        <v>19</v>
      </c>
      <c r="M16" s="12">
        <f t="shared" si="2"/>
        <v>200</v>
      </c>
      <c r="N16" s="12">
        <f t="shared" si="3"/>
        <v>7800</v>
      </c>
      <c r="O16" s="16" t="str">
        <f t="shared" si="4"/>
        <v>FALSE</v>
      </c>
    </row>
    <row r="17" ht="20" customHeight="1" spans="1:15">
      <c r="A17" s="11" t="s">
        <v>66</v>
      </c>
      <c r="B17" s="12" t="s">
        <v>27</v>
      </c>
      <c r="C17" s="12">
        <v>26</v>
      </c>
      <c r="D17" s="12" t="s">
        <v>67</v>
      </c>
      <c r="E17" s="12" t="s">
        <v>29</v>
      </c>
      <c r="F17" s="12">
        <v>28</v>
      </c>
      <c r="G17" s="12" t="s">
        <v>30</v>
      </c>
      <c r="H17" s="12" t="s">
        <v>68</v>
      </c>
      <c r="I17" s="12" t="str">
        <f t="shared" si="0"/>
        <v>芜湖市</v>
      </c>
      <c r="J17" s="12">
        <v>75</v>
      </c>
      <c r="K17" s="12" t="str">
        <f t="shared" si="1"/>
        <v>B</v>
      </c>
      <c r="L17" s="12">
        <v>21</v>
      </c>
      <c r="M17" s="12">
        <f t="shared" si="2"/>
        <v>200</v>
      </c>
      <c r="N17" s="12">
        <f t="shared" si="3"/>
        <v>8600</v>
      </c>
      <c r="O17" s="16" t="str">
        <f t="shared" si="4"/>
        <v>TRUE</v>
      </c>
    </row>
    <row r="18" ht="20" customHeight="1" spans="1:15">
      <c r="A18" s="11" t="s">
        <v>69</v>
      </c>
      <c r="B18" s="12" t="s">
        <v>17</v>
      </c>
      <c r="C18" s="12">
        <v>3</v>
      </c>
      <c r="D18" s="12" t="s">
        <v>70</v>
      </c>
      <c r="E18" s="12" t="s">
        <v>19</v>
      </c>
      <c r="F18" s="12">
        <v>23</v>
      </c>
      <c r="G18" s="12" t="s">
        <v>24</v>
      </c>
      <c r="H18" s="12" t="s">
        <v>71</v>
      </c>
      <c r="I18" s="12" t="str">
        <f t="shared" si="0"/>
        <v>广州市</v>
      </c>
      <c r="J18" s="12">
        <v>95</v>
      </c>
      <c r="K18" s="12" t="str">
        <f t="shared" si="1"/>
        <v>A</v>
      </c>
      <c r="L18" s="12">
        <v>23</v>
      </c>
      <c r="M18" s="12">
        <f t="shared" si="2"/>
        <v>200</v>
      </c>
      <c r="N18" s="12">
        <f t="shared" si="3"/>
        <v>9400</v>
      </c>
      <c r="O18" s="16" t="str">
        <f t="shared" si="4"/>
        <v>TRUE</v>
      </c>
    </row>
    <row r="19" ht="20" customHeight="1" spans="1:15">
      <c r="A19" s="11" t="s">
        <v>72</v>
      </c>
      <c r="B19" s="12" t="s">
        <v>37</v>
      </c>
      <c r="C19" s="12">
        <v>33</v>
      </c>
      <c r="D19" s="12" t="s">
        <v>73</v>
      </c>
      <c r="E19" s="12" t="s">
        <v>29</v>
      </c>
      <c r="F19" s="12">
        <v>23</v>
      </c>
      <c r="G19" s="12" t="s">
        <v>30</v>
      </c>
      <c r="H19" s="12" t="s">
        <v>74</v>
      </c>
      <c r="I19" s="12" t="str">
        <f t="shared" si="0"/>
        <v>贵阳市</v>
      </c>
      <c r="J19" s="12">
        <v>63</v>
      </c>
      <c r="K19" s="12" t="str">
        <f t="shared" si="1"/>
        <v>C</v>
      </c>
      <c r="L19" s="12">
        <v>19</v>
      </c>
      <c r="M19" s="12">
        <f t="shared" si="2"/>
        <v>0</v>
      </c>
      <c r="N19" s="12">
        <f t="shared" si="3"/>
        <v>7600</v>
      </c>
      <c r="O19" s="16" t="str">
        <f t="shared" si="4"/>
        <v>FALSE</v>
      </c>
    </row>
    <row r="20" ht="20" customHeight="1" spans="1:15">
      <c r="A20" s="11" t="s">
        <v>75</v>
      </c>
      <c r="B20" s="12" t="s">
        <v>37</v>
      </c>
      <c r="C20" s="12">
        <v>32</v>
      </c>
      <c r="D20" s="12" t="s">
        <v>76</v>
      </c>
      <c r="E20" s="12" t="s">
        <v>29</v>
      </c>
      <c r="F20" s="12">
        <v>22</v>
      </c>
      <c r="G20" s="12" t="s">
        <v>30</v>
      </c>
      <c r="H20" s="12" t="s">
        <v>77</v>
      </c>
      <c r="I20" s="12" t="str">
        <f t="shared" si="0"/>
        <v>丽江市</v>
      </c>
      <c r="J20" s="12">
        <v>79</v>
      </c>
      <c r="K20" s="12" t="str">
        <f t="shared" si="1"/>
        <v>B</v>
      </c>
      <c r="L20" s="12">
        <v>22</v>
      </c>
      <c r="M20" s="12">
        <f t="shared" si="2"/>
        <v>200</v>
      </c>
      <c r="N20" s="12">
        <f t="shared" si="3"/>
        <v>9000</v>
      </c>
      <c r="O20" s="16" t="str">
        <f t="shared" si="4"/>
        <v>TRUE</v>
      </c>
    </row>
    <row r="21" ht="20" customHeight="1" spans="1:15">
      <c r="A21" s="11" t="s">
        <v>78</v>
      </c>
      <c r="B21" s="12" t="s">
        <v>17</v>
      </c>
      <c r="C21" s="12">
        <v>6</v>
      </c>
      <c r="D21" s="12" t="s">
        <v>79</v>
      </c>
      <c r="E21" s="12" t="s">
        <v>29</v>
      </c>
      <c r="F21" s="12">
        <v>23</v>
      </c>
      <c r="G21" s="12" t="s">
        <v>30</v>
      </c>
      <c r="H21" s="12" t="s">
        <v>80</v>
      </c>
      <c r="I21" s="12" t="str">
        <f t="shared" si="0"/>
        <v>苏州市</v>
      </c>
      <c r="J21" s="12">
        <v>60</v>
      </c>
      <c r="K21" s="12" t="str">
        <f t="shared" si="1"/>
        <v>C</v>
      </c>
      <c r="L21" s="12">
        <v>19</v>
      </c>
      <c r="M21" s="12">
        <f t="shared" si="2"/>
        <v>0</v>
      </c>
      <c r="N21" s="12">
        <f t="shared" si="3"/>
        <v>7600</v>
      </c>
      <c r="O21" s="16" t="str">
        <f t="shared" si="4"/>
        <v>FALSE</v>
      </c>
    </row>
    <row r="22" ht="20" customHeight="1" spans="1:15">
      <c r="A22" s="11" t="s">
        <v>81</v>
      </c>
      <c r="B22" s="12" t="s">
        <v>27</v>
      </c>
      <c r="C22" s="12">
        <v>13</v>
      </c>
      <c r="D22" s="12" t="s">
        <v>82</v>
      </c>
      <c r="E22" s="12" t="s">
        <v>19</v>
      </c>
      <c r="F22" s="12">
        <v>24</v>
      </c>
      <c r="G22" s="12" t="s">
        <v>34</v>
      </c>
      <c r="H22" s="12" t="s">
        <v>25</v>
      </c>
      <c r="I22" s="12" t="str">
        <f t="shared" si="0"/>
        <v>武汉市</v>
      </c>
      <c r="J22" s="12">
        <v>66</v>
      </c>
      <c r="K22" s="12" t="str">
        <f t="shared" si="1"/>
        <v>C</v>
      </c>
      <c r="L22" s="12">
        <v>22</v>
      </c>
      <c r="M22" s="12">
        <f t="shared" si="2"/>
        <v>0</v>
      </c>
      <c r="N22" s="12">
        <f t="shared" si="3"/>
        <v>8800</v>
      </c>
      <c r="O22" s="16" t="str">
        <f t="shared" si="4"/>
        <v>TRUE</v>
      </c>
    </row>
    <row r="23" ht="20" customHeight="1" spans="1:15">
      <c r="A23" s="11" t="s">
        <v>83</v>
      </c>
      <c r="B23" s="12" t="s">
        <v>37</v>
      </c>
      <c r="C23" s="12">
        <v>29</v>
      </c>
      <c r="D23" s="12" t="s">
        <v>84</v>
      </c>
      <c r="E23" s="12" t="s">
        <v>29</v>
      </c>
      <c r="F23" s="12">
        <v>25</v>
      </c>
      <c r="G23" s="12" t="s">
        <v>24</v>
      </c>
      <c r="H23" s="12" t="s">
        <v>56</v>
      </c>
      <c r="I23" s="12" t="str">
        <f t="shared" si="0"/>
        <v>杭州市</v>
      </c>
      <c r="J23" s="12">
        <v>72</v>
      </c>
      <c r="K23" s="12" t="str">
        <f t="shared" si="1"/>
        <v>B</v>
      </c>
      <c r="L23" s="12">
        <v>23</v>
      </c>
      <c r="M23" s="12">
        <f t="shared" si="2"/>
        <v>200</v>
      </c>
      <c r="N23" s="12">
        <f t="shared" si="3"/>
        <v>9400</v>
      </c>
      <c r="O23" s="16" t="str">
        <f t="shared" si="4"/>
        <v>TRUE</v>
      </c>
    </row>
    <row r="24" ht="20" customHeight="1" spans="1:15">
      <c r="A24" s="11" t="s">
        <v>85</v>
      </c>
      <c r="B24" s="12" t="s">
        <v>27</v>
      </c>
      <c r="C24" s="12">
        <v>22</v>
      </c>
      <c r="D24" s="12" t="s">
        <v>86</v>
      </c>
      <c r="E24" s="12" t="s">
        <v>19</v>
      </c>
      <c r="F24" s="12">
        <v>28</v>
      </c>
      <c r="G24" s="12" t="s">
        <v>34</v>
      </c>
      <c r="H24" s="12" t="s">
        <v>87</v>
      </c>
      <c r="I24" s="12" t="str">
        <f t="shared" si="0"/>
        <v>岳阳市</v>
      </c>
      <c r="J24" s="12">
        <v>90</v>
      </c>
      <c r="K24" s="12" t="str">
        <f t="shared" si="1"/>
        <v>A</v>
      </c>
      <c r="L24" s="12">
        <v>19</v>
      </c>
      <c r="M24" s="12">
        <f t="shared" si="2"/>
        <v>200</v>
      </c>
      <c r="N24" s="12">
        <f t="shared" si="3"/>
        <v>7800</v>
      </c>
      <c r="O24" s="16" t="str">
        <f t="shared" si="4"/>
        <v>FALSE</v>
      </c>
    </row>
    <row r="25" ht="20" customHeight="1" spans="1:15">
      <c r="A25" s="11" t="s">
        <v>88</v>
      </c>
      <c r="B25" s="12" t="s">
        <v>27</v>
      </c>
      <c r="C25" s="12">
        <v>21</v>
      </c>
      <c r="D25" s="12" t="s">
        <v>89</v>
      </c>
      <c r="E25" s="12" t="s">
        <v>19</v>
      </c>
      <c r="F25" s="12">
        <v>22</v>
      </c>
      <c r="G25" s="12" t="s">
        <v>34</v>
      </c>
      <c r="H25" s="12" t="s">
        <v>90</v>
      </c>
      <c r="I25" s="12" t="str">
        <f t="shared" si="0"/>
        <v>长沙市</v>
      </c>
      <c r="J25" s="12">
        <v>83</v>
      </c>
      <c r="K25" s="12" t="str">
        <f t="shared" si="1"/>
        <v>B</v>
      </c>
      <c r="L25" s="12">
        <v>23</v>
      </c>
      <c r="M25" s="12">
        <f t="shared" si="2"/>
        <v>200</v>
      </c>
      <c r="N25" s="12">
        <f t="shared" si="3"/>
        <v>9400</v>
      </c>
      <c r="O25" s="16" t="str">
        <f t="shared" si="4"/>
        <v>TRUE</v>
      </c>
    </row>
    <row r="26" ht="20" customHeight="1" spans="1:15">
      <c r="A26" s="11" t="s">
        <v>91</v>
      </c>
      <c r="B26" s="12" t="s">
        <v>27</v>
      </c>
      <c r="C26" s="12">
        <v>20</v>
      </c>
      <c r="D26" s="12" t="s">
        <v>92</v>
      </c>
      <c r="E26" s="12" t="s">
        <v>29</v>
      </c>
      <c r="F26" s="12">
        <v>28</v>
      </c>
      <c r="G26" s="12" t="s">
        <v>34</v>
      </c>
      <c r="H26" s="12" t="s">
        <v>93</v>
      </c>
      <c r="I26" s="12" t="str">
        <f t="shared" si="0"/>
        <v>唐山市</v>
      </c>
      <c r="J26" s="12">
        <v>91</v>
      </c>
      <c r="K26" s="12" t="str">
        <f t="shared" si="1"/>
        <v>A</v>
      </c>
      <c r="L26" s="12">
        <v>18</v>
      </c>
      <c r="M26" s="12">
        <f t="shared" si="2"/>
        <v>200</v>
      </c>
      <c r="N26" s="12">
        <f t="shared" si="3"/>
        <v>7400</v>
      </c>
      <c r="O26" s="16" t="str">
        <f t="shared" si="4"/>
        <v>FALSE</v>
      </c>
    </row>
    <row r="27" ht="20" customHeight="1" spans="1:15">
      <c r="A27" s="11" t="s">
        <v>94</v>
      </c>
      <c r="B27" s="12" t="s">
        <v>27</v>
      </c>
      <c r="C27" s="12">
        <v>17</v>
      </c>
      <c r="D27" s="12" t="s">
        <v>95</v>
      </c>
      <c r="E27" s="12" t="s">
        <v>29</v>
      </c>
      <c r="F27" s="12">
        <v>27</v>
      </c>
      <c r="G27" s="12" t="s">
        <v>34</v>
      </c>
      <c r="H27" s="12" t="s">
        <v>96</v>
      </c>
      <c r="I27" s="12" t="str">
        <f t="shared" si="0"/>
        <v>郑州市</v>
      </c>
      <c r="J27" s="12">
        <v>85</v>
      </c>
      <c r="K27" s="12" t="str">
        <f t="shared" si="1"/>
        <v>A</v>
      </c>
      <c r="L27" s="12">
        <v>23</v>
      </c>
      <c r="M27" s="12">
        <f t="shared" si="2"/>
        <v>200</v>
      </c>
      <c r="N27" s="12">
        <f t="shared" si="3"/>
        <v>9400</v>
      </c>
      <c r="O27" s="16" t="str">
        <f t="shared" si="4"/>
        <v>TRUE</v>
      </c>
    </row>
    <row r="28" ht="20" customHeight="1" spans="1:15">
      <c r="A28" s="11" t="s">
        <v>97</v>
      </c>
      <c r="B28" s="12" t="s">
        <v>27</v>
      </c>
      <c r="C28" s="12">
        <v>14</v>
      </c>
      <c r="D28" s="12" t="s">
        <v>98</v>
      </c>
      <c r="E28" s="12" t="s">
        <v>19</v>
      </c>
      <c r="F28" s="12">
        <v>28</v>
      </c>
      <c r="G28" s="12" t="s">
        <v>34</v>
      </c>
      <c r="H28" s="12" t="s">
        <v>99</v>
      </c>
      <c r="I28" s="12" t="str">
        <f t="shared" si="0"/>
        <v>宜昌市</v>
      </c>
      <c r="J28" s="12">
        <v>79</v>
      </c>
      <c r="K28" s="12" t="str">
        <f t="shared" si="1"/>
        <v>B</v>
      </c>
      <c r="L28" s="12">
        <v>18</v>
      </c>
      <c r="M28" s="12">
        <f t="shared" si="2"/>
        <v>200</v>
      </c>
      <c r="N28" s="12">
        <f t="shared" si="3"/>
        <v>7400</v>
      </c>
      <c r="O28" s="16" t="str">
        <f t="shared" si="4"/>
        <v>FALSE</v>
      </c>
    </row>
    <row r="29" ht="20" customHeight="1" spans="1:15">
      <c r="A29" s="11" t="s">
        <v>100</v>
      </c>
      <c r="B29" s="12" t="s">
        <v>27</v>
      </c>
      <c r="C29" s="12">
        <v>27</v>
      </c>
      <c r="D29" s="12" t="s">
        <v>101</v>
      </c>
      <c r="E29" s="12" t="s">
        <v>29</v>
      </c>
      <c r="F29" s="12">
        <v>28</v>
      </c>
      <c r="G29" s="12" t="s">
        <v>30</v>
      </c>
      <c r="H29" s="12" t="s">
        <v>102</v>
      </c>
      <c r="I29" s="12" t="str">
        <f t="shared" si="0"/>
        <v>沈阳市</v>
      </c>
      <c r="J29" s="12">
        <v>66</v>
      </c>
      <c r="K29" s="12" t="str">
        <f t="shared" si="1"/>
        <v>C</v>
      </c>
      <c r="L29" s="12">
        <v>21</v>
      </c>
      <c r="M29" s="12">
        <f t="shared" si="2"/>
        <v>0</v>
      </c>
      <c r="N29" s="12">
        <f t="shared" si="3"/>
        <v>8400</v>
      </c>
      <c r="O29" s="16" t="str">
        <f t="shared" si="4"/>
        <v>TRUE</v>
      </c>
    </row>
    <row r="30" ht="20" customHeight="1" spans="1:15">
      <c r="A30" s="11" t="s">
        <v>103</v>
      </c>
      <c r="B30" s="12" t="s">
        <v>17</v>
      </c>
      <c r="C30" s="12">
        <v>2</v>
      </c>
      <c r="D30" s="12" t="s">
        <v>104</v>
      </c>
      <c r="E30" s="12" t="s">
        <v>19</v>
      </c>
      <c r="F30" s="12">
        <v>27</v>
      </c>
      <c r="G30" s="12" t="s">
        <v>24</v>
      </c>
      <c r="H30" s="12" t="s">
        <v>105</v>
      </c>
      <c r="I30" s="12" t="str">
        <f t="shared" si="0"/>
        <v>十堰市</v>
      </c>
      <c r="J30" s="12">
        <v>86</v>
      </c>
      <c r="K30" s="12" t="str">
        <f t="shared" si="1"/>
        <v>A</v>
      </c>
      <c r="L30" s="12">
        <v>24</v>
      </c>
      <c r="M30" s="12">
        <f t="shared" si="2"/>
        <v>200</v>
      </c>
      <c r="N30" s="12">
        <f t="shared" si="3"/>
        <v>9800</v>
      </c>
      <c r="O30" s="16" t="str">
        <f t="shared" si="4"/>
        <v>TRUE</v>
      </c>
    </row>
    <row r="31" ht="20" customHeight="1" spans="1:15">
      <c r="A31" s="11" t="s">
        <v>106</v>
      </c>
      <c r="B31" s="12" t="s">
        <v>27</v>
      </c>
      <c r="C31" s="12">
        <v>24</v>
      </c>
      <c r="D31" s="12" t="s">
        <v>107</v>
      </c>
      <c r="E31" s="12" t="s">
        <v>19</v>
      </c>
      <c r="F31" s="12">
        <v>28</v>
      </c>
      <c r="G31" s="12" t="s">
        <v>30</v>
      </c>
      <c r="H31" s="12" t="s">
        <v>108</v>
      </c>
      <c r="I31" s="12" t="str">
        <f t="shared" si="0"/>
        <v>厦门市</v>
      </c>
      <c r="J31" s="12">
        <v>91</v>
      </c>
      <c r="K31" s="12" t="str">
        <f t="shared" si="1"/>
        <v>A</v>
      </c>
      <c r="L31" s="12">
        <v>18</v>
      </c>
      <c r="M31" s="12">
        <f t="shared" si="2"/>
        <v>200</v>
      </c>
      <c r="N31" s="12">
        <f t="shared" si="3"/>
        <v>7400</v>
      </c>
      <c r="O31" s="16" t="str">
        <f t="shared" si="4"/>
        <v>FALSE</v>
      </c>
    </row>
    <row r="32" ht="20" customHeight="1" spans="1:15">
      <c r="A32" s="11" t="s">
        <v>109</v>
      </c>
      <c r="B32" s="12" t="s">
        <v>27</v>
      </c>
      <c r="C32" s="12">
        <v>18</v>
      </c>
      <c r="D32" s="12" t="s">
        <v>110</v>
      </c>
      <c r="E32" s="12" t="s">
        <v>29</v>
      </c>
      <c r="F32" s="12">
        <v>26</v>
      </c>
      <c r="G32" s="12" t="s">
        <v>34</v>
      </c>
      <c r="H32" s="12" t="s">
        <v>111</v>
      </c>
      <c r="I32" s="12" t="str">
        <f t="shared" si="0"/>
        <v>洛阳市</v>
      </c>
      <c r="J32" s="12">
        <v>68</v>
      </c>
      <c r="K32" s="12" t="str">
        <f t="shared" si="1"/>
        <v>C</v>
      </c>
      <c r="L32" s="12">
        <v>23</v>
      </c>
      <c r="M32" s="12">
        <f t="shared" si="2"/>
        <v>0</v>
      </c>
      <c r="N32" s="12">
        <f t="shared" si="3"/>
        <v>9200</v>
      </c>
      <c r="O32" s="16" t="str">
        <f t="shared" si="4"/>
        <v>TRUE</v>
      </c>
    </row>
    <row r="33" ht="20" customHeight="1" spans="1:15">
      <c r="A33" s="11" t="s">
        <v>112</v>
      </c>
      <c r="B33" s="12" t="s">
        <v>27</v>
      </c>
      <c r="C33" s="12">
        <v>15</v>
      </c>
      <c r="D33" s="12" t="s">
        <v>113</v>
      </c>
      <c r="E33" s="12" t="s">
        <v>19</v>
      </c>
      <c r="F33" s="12">
        <v>24</v>
      </c>
      <c r="G33" s="12" t="s">
        <v>34</v>
      </c>
      <c r="H33" s="12" t="s">
        <v>114</v>
      </c>
      <c r="I33" s="12" t="str">
        <f t="shared" si="0"/>
        <v>西安市</v>
      </c>
      <c r="J33" s="12">
        <v>72</v>
      </c>
      <c r="K33" s="12" t="str">
        <f t="shared" si="1"/>
        <v>B</v>
      </c>
      <c r="L33" s="12">
        <v>21</v>
      </c>
      <c r="M33" s="12">
        <f t="shared" si="2"/>
        <v>200</v>
      </c>
      <c r="N33" s="12">
        <f t="shared" si="3"/>
        <v>8600</v>
      </c>
      <c r="O33" s="16" t="str">
        <f t="shared" si="4"/>
        <v>TRUE</v>
      </c>
    </row>
    <row r="34" ht="20" customHeight="1" spans="1:15">
      <c r="A34" s="11" t="s">
        <v>115</v>
      </c>
      <c r="B34" s="12" t="s">
        <v>58</v>
      </c>
      <c r="C34" s="12">
        <v>38</v>
      </c>
      <c r="D34" s="12" t="s">
        <v>116</v>
      </c>
      <c r="E34" s="12" t="s">
        <v>19</v>
      </c>
      <c r="F34" s="12">
        <v>26</v>
      </c>
      <c r="G34" s="12" t="s">
        <v>24</v>
      </c>
      <c r="H34" s="12" t="s">
        <v>56</v>
      </c>
      <c r="I34" s="12" t="str">
        <f t="shared" si="0"/>
        <v>杭州市</v>
      </c>
      <c r="J34" s="12">
        <v>79</v>
      </c>
      <c r="K34" s="12" t="str">
        <f t="shared" si="1"/>
        <v>B</v>
      </c>
      <c r="L34" s="12">
        <v>21</v>
      </c>
      <c r="M34" s="12">
        <f t="shared" si="2"/>
        <v>200</v>
      </c>
      <c r="N34" s="12">
        <f t="shared" si="3"/>
        <v>8600</v>
      </c>
      <c r="O34" s="16" t="str">
        <f t="shared" si="4"/>
        <v>TRUE</v>
      </c>
    </row>
    <row r="35" ht="20" customHeight="1" spans="1:15">
      <c r="A35" s="11" t="s">
        <v>117</v>
      </c>
      <c r="B35" s="12" t="s">
        <v>37</v>
      </c>
      <c r="C35" s="12">
        <v>36</v>
      </c>
      <c r="D35" s="12" t="s">
        <v>118</v>
      </c>
      <c r="E35" s="12" t="s">
        <v>19</v>
      </c>
      <c r="F35" s="12">
        <v>23</v>
      </c>
      <c r="G35" s="12" t="s">
        <v>30</v>
      </c>
      <c r="H35" s="12" t="s">
        <v>119</v>
      </c>
      <c r="I35" s="12" t="str">
        <f t="shared" si="0"/>
        <v>天水市</v>
      </c>
      <c r="J35" s="12">
        <v>85</v>
      </c>
      <c r="K35" s="12" t="str">
        <f t="shared" si="1"/>
        <v>A</v>
      </c>
      <c r="L35" s="12">
        <v>24</v>
      </c>
      <c r="M35" s="12">
        <f t="shared" si="2"/>
        <v>200</v>
      </c>
      <c r="N35" s="12">
        <f t="shared" si="3"/>
        <v>9800</v>
      </c>
      <c r="O35" s="16" t="str">
        <f t="shared" si="4"/>
        <v>TRUE</v>
      </c>
    </row>
    <row r="36" ht="20" customHeight="1" spans="1:15">
      <c r="A36" s="11" t="s">
        <v>120</v>
      </c>
      <c r="B36" s="12" t="s">
        <v>17</v>
      </c>
      <c r="C36" s="12">
        <v>8</v>
      </c>
      <c r="D36" s="12" t="s">
        <v>121</v>
      </c>
      <c r="E36" s="12" t="s">
        <v>29</v>
      </c>
      <c r="F36" s="12">
        <v>28</v>
      </c>
      <c r="G36" s="12" t="s">
        <v>30</v>
      </c>
      <c r="H36" s="12" t="s">
        <v>122</v>
      </c>
      <c r="I36" s="12" t="str">
        <f t="shared" si="0"/>
        <v>宁波市</v>
      </c>
      <c r="J36" s="12">
        <v>61</v>
      </c>
      <c r="K36" s="12" t="str">
        <f t="shared" si="1"/>
        <v>C</v>
      </c>
      <c r="L36" s="12">
        <v>20</v>
      </c>
      <c r="M36" s="12">
        <f t="shared" si="2"/>
        <v>0</v>
      </c>
      <c r="N36" s="12">
        <f t="shared" si="3"/>
        <v>8000</v>
      </c>
      <c r="O36" s="16" t="str">
        <f t="shared" si="4"/>
        <v>FALSE</v>
      </c>
    </row>
    <row r="37" ht="20" customHeight="1" spans="1:15">
      <c r="A37" s="11" t="s">
        <v>123</v>
      </c>
      <c r="B37" s="12" t="s">
        <v>37</v>
      </c>
      <c r="C37" s="12">
        <v>31</v>
      </c>
      <c r="D37" s="12" t="s">
        <v>124</v>
      </c>
      <c r="E37" s="12" t="s">
        <v>29</v>
      </c>
      <c r="F37" s="12">
        <v>29</v>
      </c>
      <c r="G37" s="12" t="s">
        <v>125</v>
      </c>
      <c r="H37" s="12" t="s">
        <v>126</v>
      </c>
      <c r="I37" s="12" t="str">
        <f t="shared" si="0"/>
        <v>昆明市</v>
      </c>
      <c r="J37" s="12">
        <v>79</v>
      </c>
      <c r="K37" s="12" t="str">
        <f t="shared" si="1"/>
        <v>B</v>
      </c>
      <c r="L37" s="12">
        <v>18</v>
      </c>
      <c r="M37" s="12">
        <f t="shared" si="2"/>
        <v>200</v>
      </c>
      <c r="N37" s="12">
        <f t="shared" si="3"/>
        <v>7400</v>
      </c>
      <c r="O37" s="16" t="str">
        <f t="shared" si="4"/>
        <v>FALSE</v>
      </c>
    </row>
    <row r="38" ht="20" customHeight="1" spans="1:15">
      <c r="A38" s="11" t="s">
        <v>127</v>
      </c>
      <c r="B38" s="12" t="s">
        <v>37</v>
      </c>
      <c r="C38" s="12">
        <v>30</v>
      </c>
      <c r="D38" s="12" t="s">
        <v>128</v>
      </c>
      <c r="E38" s="12" t="s">
        <v>29</v>
      </c>
      <c r="F38" s="12">
        <v>22</v>
      </c>
      <c r="G38" s="12" t="s">
        <v>30</v>
      </c>
      <c r="H38" s="12" t="s">
        <v>56</v>
      </c>
      <c r="I38" s="12" t="str">
        <f t="shared" si="0"/>
        <v>杭州市</v>
      </c>
      <c r="J38" s="12">
        <v>83</v>
      </c>
      <c r="K38" s="12" t="str">
        <f t="shared" si="1"/>
        <v>B</v>
      </c>
      <c r="L38" s="12">
        <v>23</v>
      </c>
      <c r="M38" s="12">
        <f t="shared" si="2"/>
        <v>200</v>
      </c>
      <c r="N38" s="12">
        <f t="shared" si="3"/>
        <v>9400</v>
      </c>
      <c r="O38" s="16" t="str">
        <f t="shared" si="4"/>
        <v>TRUE</v>
      </c>
    </row>
    <row r="39" ht="20" customHeight="1" spans="1:15">
      <c r="A39" s="11" t="s">
        <v>129</v>
      </c>
      <c r="B39" s="12" t="s">
        <v>17</v>
      </c>
      <c r="C39" s="12">
        <v>4</v>
      </c>
      <c r="D39" s="12" t="s">
        <v>130</v>
      </c>
      <c r="E39" s="12" t="s">
        <v>19</v>
      </c>
      <c r="F39" s="12">
        <v>30</v>
      </c>
      <c r="G39" s="12" t="s">
        <v>30</v>
      </c>
      <c r="H39" s="12" t="s">
        <v>131</v>
      </c>
      <c r="I39" s="12" t="str">
        <f t="shared" si="0"/>
        <v>深圳市</v>
      </c>
      <c r="J39" s="12">
        <v>95</v>
      </c>
      <c r="K39" s="12" t="str">
        <f t="shared" si="1"/>
        <v>A</v>
      </c>
      <c r="L39" s="12">
        <v>18</v>
      </c>
      <c r="M39" s="12">
        <f t="shared" si="2"/>
        <v>200</v>
      </c>
      <c r="N39" s="12">
        <f t="shared" si="3"/>
        <v>7400</v>
      </c>
      <c r="O39" s="16" t="str">
        <f t="shared" si="4"/>
        <v>FALSE</v>
      </c>
    </row>
    <row r="40" ht="20" customHeight="1" spans="1:15">
      <c r="A40" s="13" t="s">
        <v>132</v>
      </c>
      <c r="B40" s="14" t="s">
        <v>27</v>
      </c>
      <c r="C40" s="14">
        <v>23</v>
      </c>
      <c r="D40" s="14" t="s">
        <v>133</v>
      </c>
      <c r="E40" s="14" t="s">
        <v>19</v>
      </c>
      <c r="F40" s="14">
        <v>26</v>
      </c>
      <c r="G40" s="14" t="s">
        <v>34</v>
      </c>
      <c r="H40" s="14" t="s">
        <v>134</v>
      </c>
      <c r="I40" s="14" t="str">
        <f t="shared" si="0"/>
        <v>福州市</v>
      </c>
      <c r="J40" s="14">
        <v>67</v>
      </c>
      <c r="K40" s="14" t="str">
        <f t="shared" si="1"/>
        <v>C</v>
      </c>
      <c r="L40" s="14">
        <v>18</v>
      </c>
      <c r="M40" s="14">
        <f t="shared" si="2"/>
        <v>0</v>
      </c>
      <c r="N40" s="14">
        <f t="shared" si="3"/>
        <v>7200</v>
      </c>
      <c r="O40" s="17" t="str">
        <f t="shared" si="4"/>
        <v>FALSE</v>
      </c>
    </row>
  </sheetData>
  <conditionalFormatting sqref="A3:O40">
    <cfRule type="expression" dxfId="0" priority="1">
      <formula>FIND("湖北省",$H3)</formula>
    </cfRule>
  </conditionalFormatting>
  <pageMargins left="0.700694444444445" right="0.700694444444445" top="0.751388888888889" bottom="0.751388888888889" header="0.298611111111111" footer="0.298611111111111"/>
  <pageSetup paperSize="9" scale="76" fitToHeight="0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"/>
  <sheetViews>
    <sheetView workbookViewId="0">
      <selection activeCell="D32" sqref="D32"/>
    </sheetView>
  </sheetViews>
  <sheetFormatPr defaultColWidth="9" defaultRowHeight="13.5" outlineLevelRow="2" outlineLevelCol="2"/>
  <cols>
    <col min="3" max="3" width="12.625"/>
  </cols>
  <sheetData>
    <row r="1" ht="14.25" spans="1:3">
      <c r="A1" s="3" t="s">
        <v>5</v>
      </c>
      <c r="B1" s="3" t="s">
        <v>135</v>
      </c>
      <c r="C1" s="3" t="s">
        <v>136</v>
      </c>
    </row>
    <row r="2" spans="1:3">
      <c r="A2" s="4" t="s">
        <v>19</v>
      </c>
      <c r="B2" s="4">
        <f>COUNTIF(员工信息!$E$3:$E$40,A2)</f>
        <v>20</v>
      </c>
      <c r="C2" s="5">
        <f>B2/COUNT(员工信息!$C$3:$C$40)</f>
        <v>0.526315789473684</v>
      </c>
    </row>
    <row r="3" spans="1:3">
      <c r="A3" s="6" t="s">
        <v>29</v>
      </c>
      <c r="B3" s="6">
        <f>COUNTIF(员工信息!$E$3:$E$40,A3)</f>
        <v>18</v>
      </c>
      <c r="C3" s="7">
        <f>B3/COUNT(员工信息!$C$3:$C$40)</f>
        <v>0.473684210526316</v>
      </c>
    </row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I13"/>
  <sheetViews>
    <sheetView workbookViewId="0">
      <selection activeCell="S16" sqref="S16"/>
    </sheetView>
  </sheetViews>
  <sheetFormatPr defaultColWidth="9" defaultRowHeight="13.5"/>
  <cols>
    <col min="3" max="3" width="12.75"/>
    <col min="4" max="4" width="9.375"/>
    <col min="5" max="8" width="9.125"/>
    <col min="9" max="9" width="4.875"/>
    <col min="10" max="11" width="9.125"/>
    <col min="12" max="12" width="4.875"/>
    <col min="13" max="13" width="8"/>
    <col min="14" max="14" width="5.125"/>
    <col min="15" max="23" width="7.125"/>
    <col min="24" max="24" width="8"/>
    <col min="25" max="42" width="4.95833333333333"/>
    <col min="43" max="43" width="8"/>
    <col min="44" max="44" width="5.125"/>
  </cols>
  <sheetData>
    <row r="3" spans="3:9">
      <c r="C3" s="1" t="s">
        <v>137</v>
      </c>
      <c r="D3" s="1"/>
      <c r="E3" s="1" t="s">
        <v>2</v>
      </c>
      <c r="F3" s="1"/>
      <c r="G3" s="1"/>
      <c r="H3" s="1"/>
      <c r="I3" s="1"/>
    </row>
    <row r="4" spans="3:9">
      <c r="C4" s="1" t="s">
        <v>5</v>
      </c>
      <c r="D4" s="1" t="s">
        <v>7</v>
      </c>
      <c r="E4" s="2" t="s">
        <v>58</v>
      </c>
      <c r="F4" s="2" t="s">
        <v>17</v>
      </c>
      <c r="G4" s="2" t="s">
        <v>27</v>
      </c>
      <c r="H4" s="2" t="s">
        <v>37</v>
      </c>
      <c r="I4" s="2" t="s">
        <v>138</v>
      </c>
    </row>
    <row r="5" spans="3:9">
      <c r="C5" s="2" t="s">
        <v>19</v>
      </c>
      <c r="D5" s="2" t="s">
        <v>20</v>
      </c>
      <c r="E5">
        <v>1</v>
      </c>
      <c r="F5">
        <v>1</v>
      </c>
      <c r="I5">
        <v>2</v>
      </c>
    </row>
    <row r="6" spans="3:9">
      <c r="C6" s="1"/>
      <c r="D6" s="2" t="s">
        <v>24</v>
      </c>
      <c r="E6">
        <v>1</v>
      </c>
      <c r="F6">
        <v>3</v>
      </c>
      <c r="I6">
        <v>4</v>
      </c>
    </row>
    <row r="7" spans="3:9">
      <c r="C7" s="1"/>
      <c r="D7" s="2" t="s">
        <v>30</v>
      </c>
      <c r="F7">
        <v>1</v>
      </c>
      <c r="G7">
        <v>4</v>
      </c>
      <c r="H7">
        <v>3</v>
      </c>
      <c r="I7">
        <v>8</v>
      </c>
    </row>
    <row r="8" spans="3:9">
      <c r="C8" s="1"/>
      <c r="D8" s="2" t="s">
        <v>34</v>
      </c>
      <c r="G8">
        <v>6</v>
      </c>
      <c r="I8">
        <v>6</v>
      </c>
    </row>
    <row r="9" spans="3:9">
      <c r="C9" s="2" t="s">
        <v>29</v>
      </c>
      <c r="D9" s="2" t="s">
        <v>24</v>
      </c>
      <c r="H9">
        <v>1</v>
      </c>
      <c r="I9">
        <v>1</v>
      </c>
    </row>
    <row r="10" spans="3:9">
      <c r="C10" s="1"/>
      <c r="D10" s="2" t="s">
        <v>30</v>
      </c>
      <c r="F10">
        <v>4</v>
      </c>
      <c r="G10">
        <v>4</v>
      </c>
      <c r="H10">
        <v>3</v>
      </c>
      <c r="I10">
        <v>11</v>
      </c>
    </row>
    <row r="11" spans="3:9">
      <c r="C11" s="1"/>
      <c r="D11" s="2" t="s">
        <v>125</v>
      </c>
      <c r="H11">
        <v>1</v>
      </c>
      <c r="I11">
        <v>1</v>
      </c>
    </row>
    <row r="12" spans="3:9">
      <c r="C12" s="1"/>
      <c r="D12" s="2" t="s">
        <v>34</v>
      </c>
      <c r="G12">
        <v>5</v>
      </c>
      <c r="I12">
        <v>5</v>
      </c>
    </row>
    <row r="13" spans="3:9">
      <c r="C13" s="2" t="s">
        <v>138</v>
      </c>
      <c r="D13" s="1"/>
      <c r="E13">
        <v>2</v>
      </c>
      <c r="F13">
        <v>9</v>
      </c>
      <c r="G13">
        <v>19</v>
      </c>
      <c r="H13">
        <v>8</v>
      </c>
      <c r="I13">
        <v>38</v>
      </c>
    </row>
  </sheetData>
  <mergeCells count="3">
    <mergeCell ref="C13:D13"/>
    <mergeCell ref="C5:C8"/>
    <mergeCell ref="C9:C12"/>
  </mergeCells>
  <pageMargins left="0.7" right="0.7" top="0.75" bottom="0.75" header="0.3" footer="0.3"/>
  <pageSetup paperSize="9" orientation="portrait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员工信息</vt:lpstr>
      <vt:lpstr>人数占比</vt:lpstr>
      <vt:lpstr>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25472</cp:lastModifiedBy>
  <dcterms:created xsi:type="dcterms:W3CDTF">2023-05-12T11:15:00Z</dcterms:created>
  <dcterms:modified xsi:type="dcterms:W3CDTF">2025-12-08T07:42:20Z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
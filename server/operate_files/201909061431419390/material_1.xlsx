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3" i="1"/>
  <c r="C15" i="1"/>
  <c r="D15" i="1"/>
  <c r="E15" i="1"/>
  <c r="F15" i="1"/>
  <c r="B15" i="1"/>
  <c r="G4" i="1"/>
  <c r="G5" i="1"/>
  <c r="G6" i="1"/>
  <c r="G7" i="1"/>
  <c r="G8" i="1"/>
  <c r="G9" i="1"/>
  <c r="G10" i="1"/>
  <c r="G11" i="1"/>
  <c r="G12" i="1"/>
  <c r="G13" i="1"/>
  <c r="G14" i="1"/>
  <c r="G3" i="1"/>
  <c r="F4" i="1"/>
  <c r="F5" i="1"/>
  <c r="F6" i="1"/>
  <c r="F7" i="1"/>
  <c r="F8" i="1"/>
  <c r="F9" i="1"/>
  <c r="F10" i="1"/>
  <c r="F11" i="1"/>
  <c r="F12" i="1"/>
  <c r="F13" i="1"/>
  <c r="F14" i="1"/>
  <c r="F3" i="1"/>
  <c r="C14" i="1"/>
  <c r="D14" i="1"/>
  <c r="E14" i="1"/>
  <c r="B14" i="1"/>
</calcChain>
</file>

<file path=xl/sharedStrings.xml><?xml version="1.0" encoding="utf-8"?>
<sst xmlns="http://schemas.openxmlformats.org/spreadsheetml/2006/main" count="22" uniqueCount="22">
  <si>
    <t>全年软件销售统计表</t>
  </si>
  <si>
    <t>地区</t>
  </si>
  <si>
    <t>第一季度</t>
  </si>
  <si>
    <t>第二季度</t>
  </si>
  <si>
    <t>第三季度</t>
  </si>
  <si>
    <t>第四季度</t>
  </si>
  <si>
    <t>备注</t>
  </si>
  <si>
    <t>北京</t>
  </si>
  <si>
    <t>武汉</t>
  </si>
  <si>
    <t>上海</t>
  </si>
  <si>
    <t>南京</t>
  </si>
  <si>
    <t>石家张</t>
  </si>
  <si>
    <t>天津</t>
  </si>
  <si>
    <t>西安</t>
  </si>
  <si>
    <t>重庆</t>
  </si>
  <si>
    <t>兰州</t>
  </si>
  <si>
    <t>湖南</t>
  </si>
  <si>
    <t>湖北</t>
  </si>
  <si>
    <t>季度总计</t>
  </si>
  <si>
    <t>按地区占比</t>
    <phoneticPr fontId="4" type="noConversion"/>
  </si>
  <si>
    <t>按季度占比</t>
    <phoneticPr fontId="4" type="noConversion"/>
  </si>
  <si>
    <t>地区总计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</si>
</sst>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left" vertical="center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按地区占比</a:t>
            </a:r>
            <a:endParaRPr lang="en-US" altLang="zh-C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按地区占比</c:v>
                </c:pt>
              </c:strCache>
            </c:strRef>
          </c:tx>
          <c:invertIfNegative val="0"/>
          <c:cat>
            <c:strRef>
              <c:f>Sheet1!$A$3:$A$13</c:f>
              <c:strCache>
                <c:ptCount val="11"/>
                <c:pt idx="0">
                  <c:v>北京</c:v>
                </c:pt>
                <c:pt idx="1">
                  <c:v>武汉</c:v>
                </c:pt>
                <c:pt idx="2">
                  <c:v>上海</c:v>
                </c:pt>
                <c:pt idx="3">
                  <c:v>南京</c:v>
                </c:pt>
                <c:pt idx="4">
                  <c:v>石家张</c:v>
                </c:pt>
                <c:pt idx="5">
                  <c:v>天津</c:v>
                </c:pt>
                <c:pt idx="6">
                  <c:v>西安</c:v>
                </c:pt>
                <c:pt idx="7">
                  <c:v>重庆</c:v>
                </c:pt>
                <c:pt idx="8">
                  <c:v>兰州</c:v>
                </c:pt>
                <c:pt idx="9">
                  <c:v>湖南</c:v>
                </c:pt>
                <c:pt idx="10">
                  <c:v>湖北</c:v>
                </c:pt>
              </c:strCache>
            </c:strRef>
          </c:cat>
          <c:val>
            <c:numRef>
              <c:f>Sheet1!$G$3:$G$13</c:f>
              <c:numCache>
                <c:formatCode>0.00%</c:formatCode>
                <c:ptCount val="11"/>
                <c:pt idx="0">
                  <c:v>0.1485001485001485</c:v>
                </c:pt>
                <c:pt idx="1">
                  <c:v>0.15963765963765963</c:v>
                </c:pt>
                <c:pt idx="2">
                  <c:v>0.13662013662013661</c:v>
                </c:pt>
                <c:pt idx="3">
                  <c:v>0.10469260469260469</c:v>
                </c:pt>
                <c:pt idx="4">
                  <c:v>9.4000594000594004E-2</c:v>
                </c:pt>
                <c:pt idx="5">
                  <c:v>8.8357588357588362E-2</c:v>
                </c:pt>
                <c:pt idx="6">
                  <c:v>5.8924858924858922E-2</c:v>
                </c:pt>
                <c:pt idx="7">
                  <c:v>5.1143451143451146E-2</c:v>
                </c:pt>
                <c:pt idx="8">
                  <c:v>4.3362043362043363E-2</c:v>
                </c:pt>
                <c:pt idx="9">
                  <c:v>4.8351648351648353E-2</c:v>
                </c:pt>
                <c:pt idx="10">
                  <c:v>6.6409266409266407E-2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816000"/>
        <c:axId val="86250240"/>
        <c:axId val="0"/>
      </c:bar3DChart>
      <c:catAx>
        <c:axId val="82816000"/>
        <c:scaling>
          <c:orientation val="minMax"/>
        </c:scaling>
        <c:delete val="0"/>
        <c:axPos val="b"/>
        <c:majorTickMark val="none"/>
        <c:minorTickMark val="none"/>
        <c:tickLblPos val="nextTo"/>
        <c:crossAx val="86250240"/>
        <c:crosses val="autoZero"/>
        <c:auto val="1"/>
        <c:lblAlgn val="ctr"/>
        <c:lblOffset val="100"/>
        <c:noMultiLvlLbl val="0"/>
      </c:catAx>
      <c:valAx>
        <c:axId val="8625024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82816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15</xdr:row>
      <xdr:rowOff>148590</xdr:rowOff>
    </xdr:from>
    <xdr:to>
      <xdr:col>7</xdr:col>
      <xdr:colOff>91440</xdr:colOff>
      <xdr:row>30</xdr:row>
      <xdr:rowOff>148590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J6" sqref="J6"/>
    </sheetView>
  </sheetViews>
  <sheetFormatPr defaultRowHeight="14.4" x14ac:dyDescent="0.25"/>
  <cols>
    <col min="1" max="1" width="10.6640625" customWidth="1"/>
    <col min="6" max="6" width="9.33203125" bestFit="1" customWidth="1"/>
    <col min="7" max="7" width="14.33203125" customWidth="1"/>
  </cols>
  <sheetData>
    <row r="1" spans="1:8" ht="22.2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21</v>
      </c>
      <c r="G2" s="1" t="s">
        <v>19</v>
      </c>
      <c r="H2" s="1" t="s">
        <v>6</v>
      </c>
    </row>
    <row r="3" spans="1:8" ht="15.6" x14ac:dyDescent="0.25">
      <c r="A3" s="1" t="s">
        <v>7</v>
      </c>
      <c r="B3" s="2">
        <v>150000</v>
      </c>
      <c r="C3" s="2">
        <v>150000</v>
      </c>
      <c r="D3" s="2">
        <v>300000</v>
      </c>
      <c r="E3" s="2">
        <v>400000</v>
      </c>
      <c r="F3" s="3">
        <f>SUM(B3:E3)</f>
        <v>1000000</v>
      </c>
      <c r="G3" s="5">
        <f>F3/$F$14</f>
        <v>0.1485001485001485</v>
      </c>
      <c r="H3" s="3" t="str">
        <f>IF(G3&gt;AVERAGE($G$3:$G$13),"好样的","加油")</f>
        <v>好样的</v>
      </c>
    </row>
    <row r="4" spans="1:8" ht="15.6" x14ac:dyDescent="0.25">
      <c r="A4" s="1" t="s">
        <v>8</v>
      </c>
      <c r="B4" s="2">
        <v>150000</v>
      </c>
      <c r="C4" s="2">
        <v>180000</v>
      </c>
      <c r="D4" s="2">
        <v>255000</v>
      </c>
      <c r="E4" s="2">
        <v>490000</v>
      </c>
      <c r="F4" s="3">
        <f t="shared" ref="F4:F15" si="0">SUM(B4:E4)</f>
        <v>1075000</v>
      </c>
      <c r="G4" s="5">
        <f t="shared" ref="G4:G15" si="1">F4/$F$14</f>
        <v>0.15963765963765963</v>
      </c>
      <c r="H4" s="3" t="str">
        <f t="shared" ref="H4:H15" si="2">IF(G4&gt;AVERAGE($G$3:$G$13),"好样的","加油")</f>
        <v>好样的</v>
      </c>
    </row>
    <row r="5" spans="1:8" ht="15.6" x14ac:dyDescent="0.25">
      <c r="A5" s="1" t="s">
        <v>9</v>
      </c>
      <c r="B5" s="2">
        <v>120000</v>
      </c>
      <c r="C5" s="2">
        <v>180000</v>
      </c>
      <c r="D5" s="2">
        <v>180000</v>
      </c>
      <c r="E5" s="2">
        <v>440000</v>
      </c>
      <c r="F5" s="3">
        <f t="shared" si="0"/>
        <v>920000</v>
      </c>
      <c r="G5" s="5">
        <f t="shared" si="1"/>
        <v>0.13662013662013661</v>
      </c>
      <c r="H5" s="3" t="str">
        <f t="shared" si="2"/>
        <v>好样的</v>
      </c>
    </row>
    <row r="6" spans="1:8" ht="15.6" x14ac:dyDescent="0.25">
      <c r="A6" s="1" t="s">
        <v>10</v>
      </c>
      <c r="B6" s="2">
        <v>130000</v>
      </c>
      <c r="C6" s="2">
        <v>150000</v>
      </c>
      <c r="D6" s="2">
        <v>195000</v>
      </c>
      <c r="E6" s="2">
        <v>230000</v>
      </c>
      <c r="F6" s="3">
        <f t="shared" si="0"/>
        <v>705000</v>
      </c>
      <c r="G6" s="5">
        <f t="shared" si="1"/>
        <v>0.10469260469260469</v>
      </c>
      <c r="H6" s="3" t="str">
        <f t="shared" si="2"/>
        <v>好样的</v>
      </c>
    </row>
    <row r="7" spans="1:8" ht="15.6" x14ac:dyDescent="0.25">
      <c r="A7" s="1" t="s">
        <v>11</v>
      </c>
      <c r="B7" s="2">
        <v>146000</v>
      </c>
      <c r="C7" s="2">
        <v>135000</v>
      </c>
      <c r="D7" s="2">
        <v>165000</v>
      </c>
      <c r="E7" s="2">
        <v>187000</v>
      </c>
      <c r="F7" s="3">
        <f t="shared" si="0"/>
        <v>633000</v>
      </c>
      <c r="G7" s="5">
        <f t="shared" si="1"/>
        <v>9.4000594000594004E-2</v>
      </c>
      <c r="H7" s="3" t="str">
        <f t="shared" si="2"/>
        <v>好样的</v>
      </c>
    </row>
    <row r="8" spans="1:8" ht="15.6" x14ac:dyDescent="0.25">
      <c r="A8" s="1" t="s">
        <v>12</v>
      </c>
      <c r="B8" s="2">
        <v>162000</v>
      </c>
      <c r="C8" s="2">
        <v>154000</v>
      </c>
      <c r="D8" s="2">
        <v>135000</v>
      </c>
      <c r="E8" s="2">
        <v>144000</v>
      </c>
      <c r="F8" s="3">
        <f t="shared" si="0"/>
        <v>595000</v>
      </c>
      <c r="G8" s="5">
        <f t="shared" si="1"/>
        <v>8.8357588357588362E-2</v>
      </c>
      <c r="H8" s="3" t="str">
        <f t="shared" si="2"/>
        <v>加油</v>
      </c>
    </row>
    <row r="9" spans="1:8" ht="15.6" x14ac:dyDescent="0.25">
      <c r="A9" s="1" t="s">
        <v>13</v>
      </c>
      <c r="B9" s="2">
        <v>17800</v>
      </c>
      <c r="C9" s="2">
        <v>173000</v>
      </c>
      <c r="D9" s="2">
        <v>105000</v>
      </c>
      <c r="E9" s="2">
        <v>101000</v>
      </c>
      <c r="F9" s="3">
        <f t="shared" si="0"/>
        <v>396800</v>
      </c>
      <c r="G9" s="5">
        <f t="shared" si="1"/>
        <v>5.8924858924858922E-2</v>
      </c>
      <c r="H9" s="3" t="str">
        <f t="shared" si="2"/>
        <v>加油</v>
      </c>
    </row>
    <row r="10" spans="1:8" ht="15.6" x14ac:dyDescent="0.25">
      <c r="A10" s="1" t="s">
        <v>14</v>
      </c>
      <c r="B10" s="2">
        <v>19400</v>
      </c>
      <c r="C10" s="2">
        <v>192000</v>
      </c>
      <c r="D10" s="2">
        <v>75000</v>
      </c>
      <c r="E10" s="2">
        <v>58000</v>
      </c>
      <c r="F10" s="3">
        <f t="shared" si="0"/>
        <v>344400</v>
      </c>
      <c r="G10" s="5">
        <f t="shared" si="1"/>
        <v>5.1143451143451146E-2</v>
      </c>
      <c r="H10" s="3" t="str">
        <f t="shared" si="2"/>
        <v>加油</v>
      </c>
    </row>
    <row r="11" spans="1:8" ht="15.6" x14ac:dyDescent="0.25">
      <c r="A11" s="1" t="s">
        <v>15</v>
      </c>
      <c r="B11" s="2">
        <v>21000</v>
      </c>
      <c r="C11" s="2">
        <v>211000</v>
      </c>
      <c r="D11" s="2">
        <v>45000</v>
      </c>
      <c r="E11" s="2">
        <v>15000</v>
      </c>
      <c r="F11" s="3">
        <f t="shared" si="0"/>
        <v>292000</v>
      </c>
      <c r="G11" s="5">
        <f t="shared" si="1"/>
        <v>4.3362043362043363E-2</v>
      </c>
      <c r="H11" s="3" t="str">
        <f t="shared" si="2"/>
        <v>加油</v>
      </c>
    </row>
    <row r="12" spans="1:8" ht="15.6" x14ac:dyDescent="0.25">
      <c r="A12" s="1" t="s">
        <v>16</v>
      </c>
      <c r="B12" s="2">
        <v>22600</v>
      </c>
      <c r="C12" s="2">
        <v>230000</v>
      </c>
      <c r="D12" s="2">
        <v>15000</v>
      </c>
      <c r="E12" s="2">
        <v>58000</v>
      </c>
      <c r="F12" s="3">
        <f t="shared" si="0"/>
        <v>325600</v>
      </c>
      <c r="G12" s="5">
        <f t="shared" si="1"/>
        <v>4.8351648351648353E-2</v>
      </c>
      <c r="H12" s="3" t="str">
        <f t="shared" si="2"/>
        <v>加油</v>
      </c>
    </row>
    <row r="13" spans="1:8" ht="15.6" x14ac:dyDescent="0.25">
      <c r="A13" s="1" t="s">
        <v>17</v>
      </c>
      <c r="B13" s="2">
        <v>24200</v>
      </c>
      <c r="C13" s="2">
        <v>249000</v>
      </c>
      <c r="D13" s="2">
        <v>30000</v>
      </c>
      <c r="E13" s="2">
        <v>144000</v>
      </c>
      <c r="F13" s="3">
        <f t="shared" si="0"/>
        <v>447200</v>
      </c>
      <c r="G13" s="5">
        <f t="shared" si="1"/>
        <v>6.6409266409266407E-2</v>
      </c>
      <c r="H13" s="3" t="str">
        <f t="shared" si="2"/>
        <v>加油</v>
      </c>
    </row>
    <row r="14" spans="1:8" ht="15.6" x14ac:dyDescent="0.25">
      <c r="A14" s="1" t="s">
        <v>18</v>
      </c>
      <c r="B14" s="3">
        <f>SUM(B3:B13)</f>
        <v>963000</v>
      </c>
      <c r="C14" s="3">
        <f t="shared" ref="C14:E14" si="3">SUM(C3:C13)</f>
        <v>2004000</v>
      </c>
      <c r="D14" s="3">
        <f t="shared" si="3"/>
        <v>1500000</v>
      </c>
      <c r="E14" s="3">
        <f t="shared" si="3"/>
        <v>2267000</v>
      </c>
      <c r="F14" s="3">
        <f t="shared" si="0"/>
        <v>6734000</v>
      </c>
      <c r="G14" s="5">
        <f t="shared" si="1"/>
        <v>1</v>
      </c>
      <c r="H14" s="3"/>
    </row>
    <row r="15" spans="1:8" ht="15.6" x14ac:dyDescent="0.25">
      <c r="A15" s="1" t="s">
        <v>20</v>
      </c>
      <c r="B15" s="6">
        <f>B14/$F$14</f>
        <v>0.143005643005643</v>
      </c>
      <c r="C15" s="6">
        <f t="shared" ref="C15:F15" si="4">C14/$F$14</f>
        <v>0.29759429759429762</v>
      </c>
      <c r="D15" s="6">
        <f t="shared" si="4"/>
        <v>0.22275022275022274</v>
      </c>
      <c r="E15" s="6">
        <f t="shared" si="4"/>
        <v>0.33664983664983666</v>
      </c>
      <c r="F15" s="6">
        <f t="shared" si="4"/>
        <v>1</v>
      </c>
      <c r="G15" s="3"/>
      <c r="H15" s="3"/>
    </row>
  </sheetData>
  <mergeCells count="1">
    <mergeCell ref="A1:H1"/>
  </mergeCells>
  <phoneticPr fontId="4" type="noConversion"/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2021-04-20T07:29:47Z</dcterms:modified>
</cp:coreProperties>
</file>
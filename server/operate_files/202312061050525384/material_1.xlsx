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770" windowHeight="10065"/>
  </bookViews>
  <sheets>
    <sheet name="期中成绩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筛选!$A$1:$C$4</definedName>
    <definedName name="_xlnm.Extract" localSheetId="2">筛选!$A$8</definedName>
  </definedNames>
  <calcPr calcId="144525"/>
</workbook>
</file>

<file path=xl/sharedStrings.xml><?xml version="1.0" encoding="utf-8"?>
<sst xmlns="http://schemas.openxmlformats.org/spreadsheetml/2006/main" count="306" uniqueCount="76">
  <si>
    <t>2019年高一部分学生期中成绩汇总表</t>
  </si>
  <si>
    <t>学号</t>
  </si>
  <si>
    <t>姓名</t>
  </si>
  <si>
    <t>语文</t>
  </si>
  <si>
    <t>数学</t>
  </si>
  <si>
    <t>英语</t>
  </si>
  <si>
    <t>政治</t>
  </si>
  <si>
    <t>物理</t>
  </si>
  <si>
    <t>化学</t>
  </si>
  <si>
    <t>历史</t>
  </si>
  <si>
    <t>总分</t>
  </si>
  <si>
    <t>c11310</t>
  </si>
  <si>
    <t>胡晓兵</t>
  </si>
  <si>
    <t>c11312</t>
  </si>
  <si>
    <t>王欣雨</t>
  </si>
  <si>
    <t>c11304</t>
  </si>
  <si>
    <t>程本基</t>
  </si>
  <si>
    <t>c11303</t>
  </si>
  <si>
    <t>陈新平</t>
  </si>
  <si>
    <t>c11306</t>
  </si>
  <si>
    <t>吴健树</t>
  </si>
  <si>
    <t>c11302</t>
  </si>
  <si>
    <t>李东敏</t>
  </si>
  <si>
    <t>金凯</t>
  </si>
  <si>
    <t>c11309</t>
  </si>
  <si>
    <t>刘燕</t>
  </si>
  <si>
    <t>c11311</t>
  </si>
  <si>
    <t>欧阳飞</t>
  </si>
  <si>
    <t>c11367</t>
  </si>
  <si>
    <t>李阳阳</t>
  </si>
  <si>
    <t>c11362</t>
  </si>
  <si>
    <t>高靖</t>
  </si>
  <si>
    <t>c11305</t>
  </si>
  <si>
    <t>李江一</t>
  </si>
  <si>
    <t>c11366</t>
  </si>
  <si>
    <t>陈松</t>
  </si>
  <si>
    <t>c21312</t>
  </si>
  <si>
    <t>刘彬彬</t>
  </si>
  <si>
    <t>c20118</t>
  </si>
  <si>
    <t>孙汉臣</t>
  </si>
  <si>
    <t>c21326</t>
  </si>
  <si>
    <t>严和平</t>
  </si>
  <si>
    <t>c21320</t>
  </si>
  <si>
    <t>殷美娟</t>
  </si>
  <si>
    <t>c21350</t>
  </si>
  <si>
    <t>邓康</t>
  </si>
  <si>
    <t>c21366</t>
  </si>
  <si>
    <t>李晓</t>
  </si>
  <si>
    <t>c21329</t>
  </si>
  <si>
    <t>严枝</t>
  </si>
  <si>
    <t>c21355</t>
  </si>
  <si>
    <t>单奇</t>
  </si>
  <si>
    <t>c31306</t>
  </si>
  <si>
    <t>黄心迪</t>
  </si>
  <si>
    <t>c31305</t>
  </si>
  <si>
    <t>邵军</t>
  </si>
  <si>
    <t>c31322</t>
  </si>
  <si>
    <t>汪津</t>
  </si>
  <si>
    <t>c31315</t>
  </si>
  <si>
    <t>王铭</t>
  </si>
  <si>
    <t>c31328</t>
  </si>
  <si>
    <t>雪莉花</t>
  </si>
  <si>
    <t>c31320</t>
  </si>
  <si>
    <t>陈松军</t>
  </si>
  <si>
    <t>班级</t>
  </si>
  <si>
    <t>等级</t>
  </si>
  <si>
    <t>&gt;=120</t>
  </si>
  <si>
    <t>c3</t>
  </si>
  <si>
    <t>合格</t>
  </si>
  <si>
    <t>c3 平均值</t>
  </si>
  <si>
    <t>c2</t>
  </si>
  <si>
    <t>优秀</t>
  </si>
  <si>
    <t>c2 平均值</t>
  </si>
  <si>
    <t>c1</t>
  </si>
  <si>
    <t>c1 平均值</t>
  </si>
  <si>
    <t>总平均值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</si>
</sst>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2"/>
      <name val="宋体"/>
      <charset val="134"/>
    </font>
    <font>
      <b/>
      <sz val="12"/>
      <name val="宋体"/>
      <charset val="134"/>
    </font>
    <font>
      <sz val="12"/>
      <name val="楷体"/>
      <charset val="134"/>
    </font>
    <font>
      <b/>
      <sz val="16"/>
      <color rgb="FF7030A0"/>
      <name val="楷体"/>
      <charset val="134"/>
    </font>
    <font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ck">
        <color rgb="FFFF0000"/>
      </left>
      <right style="double">
        <color rgb="FF00B050"/>
      </right>
      <top style="thick">
        <color rgb="FFFF0000"/>
      </top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 style="thick">
        <color rgb="FFFF0000"/>
      </top>
      <bottom style="double">
        <color rgb="FF00B050"/>
      </bottom>
      <diagonal/>
    </border>
    <border>
      <left style="thick">
        <color rgb="FFFF000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thick">
        <color rgb="FFFF0000"/>
      </left>
      <right style="double">
        <color rgb="FF00B050"/>
      </right>
      <top style="double">
        <color rgb="FF00B050"/>
      </top>
      <bottom style="thick">
        <color rgb="FFFF0000"/>
      </bottom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thick">
        <color rgb="FFFF0000"/>
      </bottom>
      <diagonal/>
    </border>
    <border>
      <left style="double">
        <color rgb="FF00B050"/>
      </left>
      <right style="thick">
        <color rgb="FFFF0000"/>
      </right>
      <top style="thick">
        <color rgb="FFFF0000"/>
      </top>
      <bottom style="double">
        <color rgb="FF00B050"/>
      </bottom>
      <diagonal/>
    </border>
    <border>
      <left style="double">
        <color rgb="FF00B050"/>
      </left>
      <right style="thick">
        <color rgb="FFFF0000"/>
      </right>
      <top style="double">
        <color rgb="FF00B050"/>
      </top>
      <bottom style="double">
        <color rgb="FF00B050"/>
      </bottom>
      <diagonal/>
    </border>
    <border>
      <left style="double">
        <color rgb="FF00B050"/>
      </left>
      <right style="thick">
        <color rgb="FFFF0000"/>
      </right>
      <top style="double">
        <color rgb="FF00B050"/>
      </top>
      <bottom style="thick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176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高一年级语数英平均分统计图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分类汇总!$D$1</c:f>
              <c:strCache>
                <c:ptCount val="1"/>
                <c:pt idx="0">
                  <c:v>语文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分类汇总!$A$2:$A$31</c:f>
              <c:strCache>
                <c:ptCount val="3"/>
                <c:pt idx="0">
                  <c:v>c3 平均值</c:v>
                </c:pt>
                <c:pt idx="1">
                  <c:v>c2 平均值</c:v>
                </c:pt>
                <c:pt idx="2">
                  <c:v>c1 平均值</c:v>
                </c:pt>
              </c:strCache>
            </c:strRef>
          </c:cat>
          <c:val>
            <c:numRef>
              <c:f>分类汇总!$D$2:$D$31</c:f>
              <c:numCache>
                <c:formatCode>0.00_ </c:formatCode>
                <c:ptCount val="3"/>
                <c:pt idx="0">
                  <c:v>106.666666666667</c:v>
                </c:pt>
                <c:pt idx="1">
                  <c:v>116.875</c:v>
                </c:pt>
                <c:pt idx="2">
                  <c:v>111.153846153846</c:v>
                </c:pt>
              </c:numCache>
            </c:numRef>
          </c:val>
        </c:ser>
        <c:ser>
          <c:idx val="1"/>
          <c:order val="1"/>
          <c:tx>
            <c:strRef>
              <c:f>分类汇总!$E$1</c:f>
              <c:strCache>
                <c:ptCount val="1"/>
                <c:pt idx="0">
                  <c:v>数学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分类汇总!$A$2:$A$31</c:f>
              <c:strCache>
                <c:ptCount val="3"/>
                <c:pt idx="0">
                  <c:v>c3 平均值</c:v>
                </c:pt>
                <c:pt idx="1">
                  <c:v>c2 平均值</c:v>
                </c:pt>
                <c:pt idx="2">
                  <c:v>c1 平均值</c:v>
                </c:pt>
              </c:strCache>
            </c:strRef>
          </c:cat>
          <c:val>
            <c:numRef>
              <c:f>分类汇总!$E$2:$E$31</c:f>
              <c:numCache>
                <c:formatCode>0.00_ </c:formatCode>
                <c:ptCount val="3"/>
                <c:pt idx="0">
                  <c:v>109.166666666667</c:v>
                </c:pt>
                <c:pt idx="1">
                  <c:v>131.25</c:v>
                </c:pt>
                <c:pt idx="2">
                  <c:v>115.307692307692</c:v>
                </c:pt>
              </c:numCache>
            </c:numRef>
          </c:val>
        </c:ser>
        <c:ser>
          <c:idx val="2"/>
          <c:order val="2"/>
          <c:tx>
            <c:strRef>
              <c:f>分类汇总!$F$1</c:f>
              <c:strCache>
                <c:ptCount val="1"/>
                <c:pt idx="0">
                  <c:v>英语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分类汇总!$A$2:$A$31</c:f>
              <c:strCache>
                <c:ptCount val="3"/>
                <c:pt idx="0">
                  <c:v>c3 平均值</c:v>
                </c:pt>
                <c:pt idx="1">
                  <c:v>c2 平均值</c:v>
                </c:pt>
                <c:pt idx="2">
                  <c:v>c1 平均值</c:v>
                </c:pt>
              </c:strCache>
            </c:strRef>
          </c:cat>
          <c:val>
            <c:numRef>
              <c:f>分类汇总!$F$2:$F$31</c:f>
              <c:numCache>
                <c:formatCode>0.00_ </c:formatCode>
                <c:ptCount val="3"/>
                <c:pt idx="0">
                  <c:v>94</c:v>
                </c:pt>
                <c:pt idx="1">
                  <c:v>84.375</c:v>
                </c:pt>
                <c:pt idx="2">
                  <c:v>90.3076923076923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529848"/>
        <c:axId val="362528879"/>
      </c:barChart>
      <c:catAx>
        <c:axId val="368529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2528879"/>
        <c:crosses val="autoZero"/>
        <c:auto val="1"/>
        <c:lblAlgn val="ctr"/>
        <c:lblOffset val="100"/>
        <c:noMultiLvlLbl val="0"/>
      </c:catAx>
      <c:valAx>
        <c:axId val="3625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852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9</xdr:row>
      <xdr:rowOff>0</xdr:rowOff>
    </xdr:from>
    <xdr:to>
      <xdr:col>8</xdr:col>
      <xdr:colOff>457200</xdr:colOff>
      <xdr:row>24</xdr:row>
      <xdr:rowOff>28575</xdr:rowOff>
    </xdr:to>
    <xdr:graphicFrame>
      <xdr:nvGraphicFramePr>
        <xdr:cNvPr id="2" name="图表 1"/>
        <xdr:cNvGraphicFramePr/>
      </xdr:nvGraphicFramePr>
      <xdr:xfrm>
        <a:off x="1371600" y="162877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30"/>
  <sheetViews>
    <sheetView tabSelected="1" zoomScale="70" zoomScaleNormal="70" workbookViewId="0">
      <selection activeCell="P32" sqref="P32"/>
    </sheetView>
  </sheetViews>
  <sheetFormatPr defaultColWidth="9" defaultRowHeight="14.25"/>
  <cols>
    <col min="10" max="10" width="11.625" customWidth="1"/>
  </cols>
  <sheetData>
    <row r="1" s="14" customFormat="1" ht="32" customHeight="1" spans="1:10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6" t="s">
        <v>1</v>
      </c>
      <c r="B2" s="16" t="s">
        <v>2</v>
      </c>
      <c r="C2" s="16" t="s">
        <v>3</v>
      </c>
      <c r="D2" s="16" t="s">
        <v>4</v>
      </c>
      <c r="E2" s="16" t="s">
        <v>5</v>
      </c>
      <c r="F2" s="16" t="s">
        <v>6</v>
      </c>
      <c r="G2" s="16" t="s">
        <v>7</v>
      </c>
      <c r="H2" s="16" t="s">
        <v>8</v>
      </c>
      <c r="I2" s="16" t="s">
        <v>9</v>
      </c>
      <c r="J2" s="16" t="s">
        <v>10</v>
      </c>
    </row>
    <row r="3" spans="1:10">
      <c r="A3" s="16" t="s">
        <v>11</v>
      </c>
      <c r="B3" s="16" t="s">
        <v>12</v>
      </c>
      <c r="C3" s="17">
        <v>120</v>
      </c>
      <c r="D3" s="17">
        <v>148</v>
      </c>
      <c r="E3" s="17">
        <v>99</v>
      </c>
      <c r="F3" s="17">
        <v>44</v>
      </c>
      <c r="G3" s="17">
        <v>89</v>
      </c>
      <c r="H3" s="17">
        <v>60</v>
      </c>
      <c r="I3" s="17">
        <v>45</v>
      </c>
      <c r="J3" s="16"/>
    </row>
    <row r="4" spans="1:10">
      <c r="A4" s="16" t="s">
        <v>13</v>
      </c>
      <c r="B4" s="16" t="s">
        <v>14</v>
      </c>
      <c r="C4" s="17">
        <v>115</v>
      </c>
      <c r="D4" s="17">
        <v>120</v>
      </c>
      <c r="E4" s="17">
        <v>89</v>
      </c>
      <c r="F4" s="17">
        <v>43</v>
      </c>
      <c r="G4" s="17">
        <v>89</v>
      </c>
      <c r="H4" s="17">
        <v>57</v>
      </c>
      <c r="I4" s="17">
        <v>45</v>
      </c>
      <c r="J4" s="16"/>
    </row>
    <row r="5" spans="1:10">
      <c r="A5" s="16" t="s">
        <v>15</v>
      </c>
      <c r="B5" s="16" t="s">
        <v>16</v>
      </c>
      <c r="C5" s="17">
        <v>103</v>
      </c>
      <c r="D5" s="17">
        <v>115</v>
      </c>
      <c r="E5" s="17">
        <v>98</v>
      </c>
      <c r="F5" s="17">
        <v>45</v>
      </c>
      <c r="G5" s="17">
        <v>57</v>
      </c>
      <c r="H5" s="17">
        <v>50</v>
      </c>
      <c r="I5" s="17">
        <v>40</v>
      </c>
      <c r="J5" s="16"/>
    </row>
    <row r="6" spans="1:10">
      <c r="A6" s="16" t="s">
        <v>17</v>
      </c>
      <c r="B6" s="16" t="s">
        <v>18</v>
      </c>
      <c r="C6" s="17">
        <v>106</v>
      </c>
      <c r="D6" s="17">
        <v>95</v>
      </c>
      <c r="E6" s="17">
        <v>110</v>
      </c>
      <c r="F6" s="17">
        <v>43</v>
      </c>
      <c r="G6" s="17">
        <v>74</v>
      </c>
      <c r="H6" s="17">
        <v>40</v>
      </c>
      <c r="I6" s="17">
        <v>38</v>
      </c>
      <c r="J6" s="16"/>
    </row>
    <row r="7" spans="1:10">
      <c r="A7" s="16" t="s">
        <v>19</v>
      </c>
      <c r="B7" s="16" t="s">
        <v>20</v>
      </c>
      <c r="C7" s="17">
        <v>118</v>
      </c>
      <c r="D7" s="17">
        <v>130</v>
      </c>
      <c r="E7" s="17">
        <v>72</v>
      </c>
      <c r="F7" s="17">
        <v>43</v>
      </c>
      <c r="G7" s="17">
        <v>86</v>
      </c>
      <c r="H7" s="17">
        <v>54</v>
      </c>
      <c r="I7" s="17">
        <v>38</v>
      </c>
      <c r="J7" s="16"/>
    </row>
    <row r="8" spans="1:10">
      <c r="A8" s="16" t="s">
        <v>21</v>
      </c>
      <c r="B8" s="16" t="s">
        <v>22</v>
      </c>
      <c r="C8" s="17">
        <v>90</v>
      </c>
      <c r="D8" s="17">
        <v>125</v>
      </c>
      <c r="E8" s="17">
        <v>105</v>
      </c>
      <c r="F8" s="17">
        <v>40</v>
      </c>
      <c r="G8" s="17">
        <v>71</v>
      </c>
      <c r="H8" s="17">
        <v>51</v>
      </c>
      <c r="I8" s="17">
        <v>34</v>
      </c>
      <c r="J8" s="16"/>
    </row>
    <row r="9" spans="1:10">
      <c r="A9" s="16" t="s">
        <v>15</v>
      </c>
      <c r="B9" s="16" t="s">
        <v>23</v>
      </c>
      <c r="C9" s="17">
        <v>95</v>
      </c>
      <c r="D9" s="17">
        <v>118</v>
      </c>
      <c r="E9" s="17">
        <v>68</v>
      </c>
      <c r="F9" s="17">
        <v>40</v>
      </c>
      <c r="G9" s="17">
        <v>84</v>
      </c>
      <c r="H9" s="17">
        <v>58</v>
      </c>
      <c r="I9" s="17">
        <v>42</v>
      </c>
      <c r="J9" s="16"/>
    </row>
    <row r="10" spans="1:10">
      <c r="A10" s="16" t="s">
        <v>24</v>
      </c>
      <c r="B10" s="16" t="s">
        <v>25</v>
      </c>
      <c r="C10" s="17">
        <v>118</v>
      </c>
      <c r="D10" s="17">
        <v>125</v>
      </c>
      <c r="E10" s="17">
        <v>88</v>
      </c>
      <c r="F10" s="17">
        <v>47</v>
      </c>
      <c r="G10" s="17">
        <v>75</v>
      </c>
      <c r="H10" s="17">
        <v>49</v>
      </c>
      <c r="I10" s="17">
        <v>44</v>
      </c>
      <c r="J10" s="16"/>
    </row>
    <row r="11" spans="1:10">
      <c r="A11" s="16" t="s">
        <v>26</v>
      </c>
      <c r="B11" s="16" t="s">
        <v>27</v>
      </c>
      <c r="C11" s="17">
        <v>110</v>
      </c>
      <c r="D11" s="17">
        <v>111</v>
      </c>
      <c r="E11" s="17">
        <v>69</v>
      </c>
      <c r="F11" s="17">
        <v>46</v>
      </c>
      <c r="G11" s="17">
        <v>71</v>
      </c>
      <c r="H11" s="17">
        <v>48</v>
      </c>
      <c r="I11" s="17">
        <v>41</v>
      </c>
      <c r="J11" s="16"/>
    </row>
    <row r="12" spans="1:10">
      <c r="A12" s="16" t="s">
        <v>28</v>
      </c>
      <c r="B12" s="16" t="s">
        <v>29</v>
      </c>
      <c r="C12" s="17">
        <v>110</v>
      </c>
      <c r="D12" s="17">
        <v>86</v>
      </c>
      <c r="E12" s="17">
        <v>84</v>
      </c>
      <c r="F12" s="17">
        <v>45</v>
      </c>
      <c r="G12" s="17">
        <v>86</v>
      </c>
      <c r="H12" s="17">
        <v>53</v>
      </c>
      <c r="I12" s="17">
        <v>41</v>
      </c>
      <c r="J12" s="16"/>
    </row>
    <row r="13" spans="1:10">
      <c r="A13" s="16" t="s">
        <v>30</v>
      </c>
      <c r="B13" s="16" t="s">
        <v>31</v>
      </c>
      <c r="C13" s="17">
        <v>130</v>
      </c>
      <c r="D13" s="17">
        <v>85</v>
      </c>
      <c r="E13" s="17">
        <v>103</v>
      </c>
      <c r="F13" s="17">
        <v>38</v>
      </c>
      <c r="G13" s="17">
        <v>80</v>
      </c>
      <c r="H13" s="17">
        <v>52</v>
      </c>
      <c r="I13" s="17">
        <v>42</v>
      </c>
      <c r="J13" s="16"/>
    </row>
    <row r="14" spans="1:10">
      <c r="A14" s="16" t="s">
        <v>32</v>
      </c>
      <c r="B14" s="16" t="s">
        <v>33</v>
      </c>
      <c r="C14" s="17">
        <v>106</v>
      </c>
      <c r="D14" s="17">
        <v>95</v>
      </c>
      <c r="E14" s="17">
        <v>89</v>
      </c>
      <c r="F14" s="17">
        <v>40</v>
      </c>
      <c r="G14" s="17">
        <v>86</v>
      </c>
      <c r="H14" s="17">
        <v>48</v>
      </c>
      <c r="I14" s="17">
        <v>43</v>
      </c>
      <c r="J14" s="16"/>
    </row>
    <row r="15" spans="1:10">
      <c r="A15" s="16" t="s">
        <v>34</v>
      </c>
      <c r="B15" s="16" t="s">
        <v>35</v>
      </c>
      <c r="C15" s="17">
        <v>124</v>
      </c>
      <c r="D15" s="17">
        <v>146</v>
      </c>
      <c r="E15" s="17">
        <v>100</v>
      </c>
      <c r="F15" s="17">
        <v>43</v>
      </c>
      <c r="G15" s="17">
        <v>74</v>
      </c>
      <c r="H15" s="17">
        <v>40</v>
      </c>
      <c r="I15" s="17">
        <v>38</v>
      </c>
      <c r="J15" s="16"/>
    </row>
    <row r="16" spans="1:10">
      <c r="A16" s="16" t="s">
        <v>36</v>
      </c>
      <c r="B16" s="16" t="s">
        <v>37</v>
      </c>
      <c r="C16" s="17">
        <v>124</v>
      </c>
      <c r="D16" s="17">
        <v>146</v>
      </c>
      <c r="E16" s="17">
        <v>83</v>
      </c>
      <c r="F16" s="17">
        <v>45</v>
      </c>
      <c r="G16" s="17">
        <v>87</v>
      </c>
      <c r="H16" s="17">
        <v>58</v>
      </c>
      <c r="I16" s="17">
        <v>37</v>
      </c>
      <c r="J16" s="16"/>
    </row>
    <row r="17" spans="1:10">
      <c r="A17" s="16" t="s">
        <v>38</v>
      </c>
      <c r="B17" s="16" t="s">
        <v>39</v>
      </c>
      <c r="C17" s="17">
        <v>128</v>
      </c>
      <c r="D17" s="17">
        <v>121</v>
      </c>
      <c r="E17" s="17">
        <v>74</v>
      </c>
      <c r="F17" s="17">
        <v>44</v>
      </c>
      <c r="G17" s="17">
        <v>75</v>
      </c>
      <c r="H17" s="17">
        <v>60</v>
      </c>
      <c r="I17" s="17">
        <v>40</v>
      </c>
      <c r="J17" s="16"/>
    </row>
    <row r="18" spans="1:10">
      <c r="A18" s="16" t="s">
        <v>40</v>
      </c>
      <c r="B18" s="16" t="s">
        <v>41</v>
      </c>
      <c r="C18" s="17">
        <v>116</v>
      </c>
      <c r="D18" s="17">
        <v>138</v>
      </c>
      <c r="E18" s="17">
        <v>101</v>
      </c>
      <c r="F18" s="17">
        <v>44</v>
      </c>
      <c r="G18" s="17">
        <v>70</v>
      </c>
      <c r="H18" s="17">
        <v>41</v>
      </c>
      <c r="I18" s="17">
        <v>33</v>
      </c>
      <c r="J18" s="16"/>
    </row>
    <row r="19" spans="1:10">
      <c r="A19" s="16" t="s">
        <v>42</v>
      </c>
      <c r="B19" s="16" t="s">
        <v>43</v>
      </c>
      <c r="C19" s="17">
        <v>93</v>
      </c>
      <c r="D19" s="17">
        <v>103</v>
      </c>
      <c r="E19" s="17">
        <v>90</v>
      </c>
      <c r="F19" s="17">
        <v>41</v>
      </c>
      <c r="G19" s="17">
        <v>73</v>
      </c>
      <c r="H19" s="17">
        <v>60</v>
      </c>
      <c r="I19" s="17">
        <v>43</v>
      </c>
      <c r="J19" s="16"/>
    </row>
    <row r="20" spans="1:10">
      <c r="A20" s="16" t="s">
        <v>44</v>
      </c>
      <c r="B20" s="16" t="s">
        <v>45</v>
      </c>
      <c r="C20" s="17">
        <v>117</v>
      </c>
      <c r="D20" s="17">
        <v>142</v>
      </c>
      <c r="E20" s="17">
        <v>100</v>
      </c>
      <c r="F20" s="17">
        <v>30</v>
      </c>
      <c r="G20" s="17">
        <v>79</v>
      </c>
      <c r="H20" s="17">
        <v>48</v>
      </c>
      <c r="I20" s="17">
        <v>38</v>
      </c>
      <c r="J20" s="16"/>
    </row>
    <row r="21" spans="1:10">
      <c r="A21" s="16" t="s">
        <v>46</v>
      </c>
      <c r="B21" s="16" t="s">
        <v>47</v>
      </c>
      <c r="C21" s="17">
        <v>122</v>
      </c>
      <c r="D21" s="17">
        <v>130</v>
      </c>
      <c r="E21" s="17">
        <v>40</v>
      </c>
      <c r="F21" s="17">
        <v>40</v>
      </c>
      <c r="G21" s="17">
        <v>80</v>
      </c>
      <c r="H21" s="17">
        <v>49</v>
      </c>
      <c r="I21" s="17">
        <v>39</v>
      </c>
      <c r="J21" s="16"/>
    </row>
    <row r="22" spans="1:10">
      <c r="A22" s="16" t="s">
        <v>48</v>
      </c>
      <c r="B22" s="16" t="s">
        <v>49</v>
      </c>
      <c r="C22" s="17">
        <v>117</v>
      </c>
      <c r="D22" s="17">
        <v>140</v>
      </c>
      <c r="E22" s="17">
        <v>85</v>
      </c>
      <c r="F22" s="17">
        <v>35</v>
      </c>
      <c r="G22" s="17">
        <v>70</v>
      </c>
      <c r="H22" s="17">
        <v>25</v>
      </c>
      <c r="I22" s="17">
        <v>37</v>
      </c>
      <c r="J22" s="16"/>
    </row>
    <row r="23" spans="1:10">
      <c r="A23" s="16" t="s">
        <v>50</v>
      </c>
      <c r="B23" s="16" t="s">
        <v>51</v>
      </c>
      <c r="C23" s="17">
        <v>118</v>
      </c>
      <c r="D23" s="17">
        <v>130</v>
      </c>
      <c r="E23" s="17">
        <v>102</v>
      </c>
      <c r="F23" s="17">
        <v>40</v>
      </c>
      <c r="G23" s="17">
        <v>84</v>
      </c>
      <c r="H23" s="17">
        <v>58</v>
      </c>
      <c r="I23" s="17">
        <v>42</v>
      </c>
      <c r="J23" s="16"/>
    </row>
    <row r="24" spans="1:10">
      <c r="A24" s="16" t="s">
        <v>52</v>
      </c>
      <c r="B24" s="16" t="s">
        <v>53</v>
      </c>
      <c r="C24" s="17">
        <v>112</v>
      </c>
      <c r="D24" s="17">
        <v>135</v>
      </c>
      <c r="E24" s="17">
        <v>110</v>
      </c>
      <c r="F24" s="17">
        <v>43</v>
      </c>
      <c r="G24" s="17">
        <v>75</v>
      </c>
      <c r="H24" s="17">
        <v>58</v>
      </c>
      <c r="I24" s="17">
        <v>42</v>
      </c>
      <c r="J24" s="16"/>
    </row>
    <row r="25" spans="1:10">
      <c r="A25" s="16" t="s">
        <v>54</v>
      </c>
      <c r="B25" s="16" t="s">
        <v>55</v>
      </c>
      <c r="C25" s="17">
        <v>125</v>
      </c>
      <c r="D25" s="17">
        <v>80</v>
      </c>
      <c r="E25" s="17">
        <v>68</v>
      </c>
      <c r="F25" s="17">
        <v>40</v>
      </c>
      <c r="G25" s="17">
        <v>86</v>
      </c>
      <c r="H25" s="17">
        <v>48</v>
      </c>
      <c r="I25" s="17">
        <v>43</v>
      </c>
      <c r="J25" s="16"/>
    </row>
    <row r="26" spans="1:10">
      <c r="A26" s="16" t="s">
        <v>56</v>
      </c>
      <c r="B26" s="16" t="s">
        <v>57</v>
      </c>
      <c r="C26" s="17">
        <v>84</v>
      </c>
      <c r="D26" s="17">
        <v>92</v>
      </c>
      <c r="E26" s="17">
        <v>101</v>
      </c>
      <c r="F26" s="17">
        <v>45</v>
      </c>
      <c r="G26" s="17">
        <v>59</v>
      </c>
      <c r="H26" s="17">
        <v>49</v>
      </c>
      <c r="I26" s="17">
        <v>44</v>
      </c>
      <c r="J26" s="16"/>
    </row>
    <row r="27" spans="1:10">
      <c r="A27" s="16" t="s">
        <v>58</v>
      </c>
      <c r="B27" s="16" t="s">
        <v>59</v>
      </c>
      <c r="C27" s="17">
        <v>103</v>
      </c>
      <c r="D27" s="17">
        <v>125</v>
      </c>
      <c r="E27" s="17">
        <v>91</v>
      </c>
      <c r="F27" s="17">
        <v>45</v>
      </c>
      <c r="G27" s="17">
        <v>25</v>
      </c>
      <c r="H27" s="17">
        <v>30</v>
      </c>
      <c r="I27" s="17">
        <v>40</v>
      </c>
      <c r="J27" s="16"/>
    </row>
    <row r="28" spans="1:10">
      <c r="A28" s="16" t="s">
        <v>60</v>
      </c>
      <c r="B28" s="16" t="s">
        <v>61</v>
      </c>
      <c r="C28" s="17">
        <v>110</v>
      </c>
      <c r="D28" s="17">
        <v>128</v>
      </c>
      <c r="E28" s="17">
        <v>96</v>
      </c>
      <c r="F28" s="17">
        <v>40</v>
      </c>
      <c r="G28" s="17">
        <v>42</v>
      </c>
      <c r="H28" s="17">
        <v>37</v>
      </c>
      <c r="I28" s="17">
        <v>38</v>
      </c>
      <c r="J28" s="16"/>
    </row>
    <row r="29" spans="1:10">
      <c r="A29" s="16" t="s">
        <v>62</v>
      </c>
      <c r="B29" s="16" t="s">
        <v>63</v>
      </c>
      <c r="C29" s="17">
        <v>106</v>
      </c>
      <c r="D29" s="17">
        <v>95</v>
      </c>
      <c r="E29" s="17">
        <v>98</v>
      </c>
      <c r="F29" s="17">
        <v>44</v>
      </c>
      <c r="G29" s="17">
        <v>75</v>
      </c>
      <c r="H29" s="17">
        <v>60</v>
      </c>
      <c r="I29" s="17">
        <v>40</v>
      </c>
      <c r="J29" s="16"/>
    </row>
    <row r="30" ht="15.75" spans="3:5">
      <c r="C30" s="18"/>
      <c r="D30" s="19"/>
      <c r="E30" s="18"/>
    </row>
  </sheetData>
  <mergeCells count="1">
    <mergeCell ref="A1:J1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2:L29"/>
  <sheetViews>
    <sheetView zoomScale="70" zoomScaleNormal="70" workbookViewId="0">
      <selection activeCell="I16" sqref="I16"/>
    </sheetView>
  </sheetViews>
  <sheetFormatPr defaultColWidth="9" defaultRowHeight="14.25"/>
  <sheetData>
    <row r="2" spans="1:12">
      <c r="A2" t="s">
        <v>64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65</v>
      </c>
    </row>
    <row r="3" spans="1:12">
      <c r="A3" t="str">
        <f>LEFT(B3,2)</f>
        <v>c1</v>
      </c>
      <c r="B3" t="s">
        <v>11</v>
      </c>
      <c r="C3" t="s">
        <v>12</v>
      </c>
      <c r="D3">
        <v>120</v>
      </c>
      <c r="E3">
        <v>148</v>
      </c>
      <c r="F3">
        <v>99</v>
      </c>
      <c r="G3">
        <v>44</v>
      </c>
      <c r="H3">
        <v>89</v>
      </c>
      <c r="I3">
        <v>60</v>
      </c>
      <c r="J3">
        <v>45</v>
      </c>
      <c r="K3">
        <f>SUM(D3:J3)</f>
        <v>605</v>
      </c>
      <c r="L3" t="str">
        <f>IF(AND(D3&gt;=115,E3&gt;=130,F3&gt;=90),"优秀","合格")</f>
        <v>优秀</v>
      </c>
    </row>
    <row r="4" spans="1:12">
      <c r="A4" t="str">
        <f t="shared" ref="A4:A29" si="0">LEFT(B4,2)</f>
        <v>c1</v>
      </c>
      <c r="B4" t="s">
        <v>13</v>
      </c>
      <c r="C4" t="s">
        <v>14</v>
      </c>
      <c r="D4">
        <v>115</v>
      </c>
      <c r="E4">
        <v>120</v>
      </c>
      <c r="F4">
        <v>89</v>
      </c>
      <c r="G4">
        <v>43</v>
      </c>
      <c r="H4">
        <v>89</v>
      </c>
      <c r="I4">
        <v>57</v>
      </c>
      <c r="J4">
        <v>45</v>
      </c>
      <c r="K4">
        <f t="shared" ref="K4:K29" si="1">SUM(D4:J4)</f>
        <v>558</v>
      </c>
      <c r="L4" t="str">
        <f t="shared" ref="L4:L29" si="2">IF(AND(D4&gt;=115,E4&gt;=130,F4&gt;=90),"优秀","合格")</f>
        <v>合格</v>
      </c>
    </row>
    <row r="5" spans="1:12">
      <c r="A5" t="str">
        <f t="shared" si="0"/>
        <v>c1</v>
      </c>
      <c r="B5" t="s">
        <v>15</v>
      </c>
      <c r="C5" t="s">
        <v>16</v>
      </c>
      <c r="D5">
        <v>103</v>
      </c>
      <c r="E5">
        <v>115</v>
      </c>
      <c r="F5">
        <v>98</v>
      </c>
      <c r="G5">
        <v>45</v>
      </c>
      <c r="H5">
        <v>57</v>
      </c>
      <c r="I5">
        <v>50</v>
      </c>
      <c r="J5">
        <v>40</v>
      </c>
      <c r="K5">
        <f t="shared" si="1"/>
        <v>508</v>
      </c>
      <c r="L5" t="str">
        <f t="shared" si="2"/>
        <v>合格</v>
      </c>
    </row>
    <row r="6" spans="1:12">
      <c r="A6" t="str">
        <f t="shared" si="0"/>
        <v>c1</v>
      </c>
      <c r="B6" t="s">
        <v>17</v>
      </c>
      <c r="C6" t="s">
        <v>18</v>
      </c>
      <c r="D6">
        <v>106</v>
      </c>
      <c r="E6">
        <v>95</v>
      </c>
      <c r="F6">
        <v>110</v>
      </c>
      <c r="G6">
        <v>43</v>
      </c>
      <c r="H6">
        <v>74</v>
      </c>
      <c r="I6">
        <v>40</v>
      </c>
      <c r="J6">
        <v>38</v>
      </c>
      <c r="K6">
        <f t="shared" si="1"/>
        <v>506</v>
      </c>
      <c r="L6" t="str">
        <f t="shared" si="2"/>
        <v>合格</v>
      </c>
    </row>
    <row r="7" spans="1:12">
      <c r="A7" t="str">
        <f t="shared" si="0"/>
        <v>c1</v>
      </c>
      <c r="B7" t="s">
        <v>19</v>
      </c>
      <c r="C7" t="s">
        <v>20</v>
      </c>
      <c r="D7">
        <v>118</v>
      </c>
      <c r="E7">
        <v>130</v>
      </c>
      <c r="F7">
        <v>72</v>
      </c>
      <c r="G7">
        <v>43</v>
      </c>
      <c r="H7">
        <v>86</v>
      </c>
      <c r="I7">
        <v>54</v>
      </c>
      <c r="J7">
        <v>38</v>
      </c>
      <c r="K7">
        <f t="shared" si="1"/>
        <v>541</v>
      </c>
      <c r="L7" t="str">
        <f t="shared" si="2"/>
        <v>合格</v>
      </c>
    </row>
    <row r="8" spans="1:12">
      <c r="A8" t="str">
        <f t="shared" si="0"/>
        <v>c1</v>
      </c>
      <c r="B8" t="s">
        <v>21</v>
      </c>
      <c r="C8" t="s">
        <v>22</v>
      </c>
      <c r="D8">
        <v>90</v>
      </c>
      <c r="E8">
        <v>125</v>
      </c>
      <c r="F8">
        <v>105</v>
      </c>
      <c r="G8">
        <v>40</v>
      </c>
      <c r="H8">
        <v>71</v>
      </c>
      <c r="I8">
        <v>51</v>
      </c>
      <c r="J8">
        <v>34</v>
      </c>
      <c r="K8">
        <f t="shared" si="1"/>
        <v>516</v>
      </c>
      <c r="L8" t="str">
        <f t="shared" si="2"/>
        <v>合格</v>
      </c>
    </row>
    <row r="9" spans="1:12">
      <c r="A9" t="str">
        <f t="shared" si="0"/>
        <v>c1</v>
      </c>
      <c r="B9" t="s">
        <v>15</v>
      </c>
      <c r="C9" t="s">
        <v>23</v>
      </c>
      <c r="D9">
        <v>95</v>
      </c>
      <c r="E9">
        <v>118</v>
      </c>
      <c r="F9">
        <v>68</v>
      </c>
      <c r="G9">
        <v>40</v>
      </c>
      <c r="H9">
        <v>84</v>
      </c>
      <c r="I9">
        <v>58</v>
      </c>
      <c r="J9">
        <v>42</v>
      </c>
      <c r="K9">
        <f t="shared" si="1"/>
        <v>505</v>
      </c>
      <c r="L9" t="str">
        <f t="shared" si="2"/>
        <v>合格</v>
      </c>
    </row>
    <row r="10" spans="1:12">
      <c r="A10" t="str">
        <f t="shared" si="0"/>
        <v>c1</v>
      </c>
      <c r="B10" t="s">
        <v>24</v>
      </c>
      <c r="C10" t="s">
        <v>25</v>
      </c>
      <c r="D10">
        <v>118</v>
      </c>
      <c r="E10">
        <v>125</v>
      </c>
      <c r="F10">
        <v>88</v>
      </c>
      <c r="G10">
        <v>47</v>
      </c>
      <c r="H10">
        <v>75</v>
      </c>
      <c r="I10">
        <v>49</v>
      </c>
      <c r="J10">
        <v>44</v>
      </c>
      <c r="K10">
        <f t="shared" si="1"/>
        <v>546</v>
      </c>
      <c r="L10" t="str">
        <f t="shared" si="2"/>
        <v>合格</v>
      </c>
    </row>
    <row r="11" spans="1:12">
      <c r="A11" t="str">
        <f t="shared" si="0"/>
        <v>c1</v>
      </c>
      <c r="B11" t="s">
        <v>26</v>
      </c>
      <c r="C11" t="s">
        <v>27</v>
      </c>
      <c r="D11">
        <v>110</v>
      </c>
      <c r="E11">
        <v>111</v>
      </c>
      <c r="F11">
        <v>69</v>
      </c>
      <c r="G11">
        <v>46</v>
      </c>
      <c r="H11">
        <v>71</v>
      </c>
      <c r="I11">
        <v>48</v>
      </c>
      <c r="J11">
        <v>41</v>
      </c>
      <c r="K11">
        <f t="shared" si="1"/>
        <v>496</v>
      </c>
      <c r="L11" t="str">
        <f t="shared" si="2"/>
        <v>合格</v>
      </c>
    </row>
    <row r="12" spans="1:12">
      <c r="A12" t="str">
        <f t="shared" si="0"/>
        <v>c1</v>
      </c>
      <c r="B12" t="s">
        <v>28</v>
      </c>
      <c r="C12" t="s">
        <v>29</v>
      </c>
      <c r="D12">
        <v>110</v>
      </c>
      <c r="E12">
        <v>86</v>
      </c>
      <c r="F12">
        <v>84</v>
      </c>
      <c r="G12">
        <v>45</v>
      </c>
      <c r="H12">
        <v>86</v>
      </c>
      <c r="I12">
        <v>53</v>
      </c>
      <c r="J12">
        <v>41</v>
      </c>
      <c r="K12">
        <f t="shared" si="1"/>
        <v>505</v>
      </c>
      <c r="L12" t="str">
        <f t="shared" si="2"/>
        <v>合格</v>
      </c>
    </row>
    <row r="13" spans="1:12">
      <c r="A13" t="str">
        <f t="shared" si="0"/>
        <v>c1</v>
      </c>
      <c r="B13" t="s">
        <v>30</v>
      </c>
      <c r="C13" t="s">
        <v>31</v>
      </c>
      <c r="D13">
        <v>130</v>
      </c>
      <c r="E13">
        <v>85</v>
      </c>
      <c r="F13">
        <v>103</v>
      </c>
      <c r="G13">
        <v>38</v>
      </c>
      <c r="H13">
        <v>80</v>
      </c>
      <c r="I13">
        <v>52</v>
      </c>
      <c r="J13">
        <v>42</v>
      </c>
      <c r="K13">
        <f t="shared" si="1"/>
        <v>530</v>
      </c>
      <c r="L13" t="str">
        <f t="shared" si="2"/>
        <v>合格</v>
      </c>
    </row>
    <row r="14" spans="1:12">
      <c r="A14" t="str">
        <f t="shared" si="0"/>
        <v>c1</v>
      </c>
      <c r="B14" t="s">
        <v>32</v>
      </c>
      <c r="C14" t="s">
        <v>33</v>
      </c>
      <c r="D14">
        <v>106</v>
      </c>
      <c r="E14">
        <v>95</v>
      </c>
      <c r="F14">
        <v>89</v>
      </c>
      <c r="G14">
        <v>40</v>
      </c>
      <c r="H14">
        <v>86</v>
      </c>
      <c r="I14">
        <v>48</v>
      </c>
      <c r="J14">
        <v>43</v>
      </c>
      <c r="K14">
        <f t="shared" si="1"/>
        <v>507</v>
      </c>
      <c r="L14" t="str">
        <f t="shared" si="2"/>
        <v>合格</v>
      </c>
    </row>
    <row r="15" spans="1:12">
      <c r="A15" t="str">
        <f t="shared" si="0"/>
        <v>c1</v>
      </c>
      <c r="B15" t="s">
        <v>34</v>
      </c>
      <c r="C15" t="s">
        <v>35</v>
      </c>
      <c r="D15">
        <v>124</v>
      </c>
      <c r="E15">
        <v>146</v>
      </c>
      <c r="F15">
        <v>100</v>
      </c>
      <c r="G15">
        <v>43</v>
      </c>
      <c r="H15">
        <v>74</v>
      </c>
      <c r="I15">
        <v>40</v>
      </c>
      <c r="J15">
        <v>38</v>
      </c>
      <c r="K15">
        <f t="shared" si="1"/>
        <v>565</v>
      </c>
      <c r="L15" t="str">
        <f t="shared" si="2"/>
        <v>优秀</v>
      </c>
    </row>
    <row r="16" spans="1:12">
      <c r="A16" t="str">
        <f t="shared" si="0"/>
        <v>c2</v>
      </c>
      <c r="B16" t="s">
        <v>36</v>
      </c>
      <c r="C16" t="s">
        <v>37</v>
      </c>
      <c r="D16">
        <v>124</v>
      </c>
      <c r="E16">
        <v>146</v>
      </c>
      <c r="F16">
        <v>83</v>
      </c>
      <c r="G16">
        <v>45</v>
      </c>
      <c r="H16">
        <v>87</v>
      </c>
      <c r="I16">
        <v>58</v>
      </c>
      <c r="J16">
        <v>37</v>
      </c>
      <c r="K16">
        <f t="shared" si="1"/>
        <v>580</v>
      </c>
      <c r="L16" t="str">
        <f t="shared" si="2"/>
        <v>合格</v>
      </c>
    </row>
    <row r="17" spans="1:12">
      <c r="A17" t="str">
        <f t="shared" si="0"/>
        <v>c2</v>
      </c>
      <c r="B17" t="s">
        <v>38</v>
      </c>
      <c r="C17" t="s">
        <v>39</v>
      </c>
      <c r="D17">
        <v>128</v>
      </c>
      <c r="E17">
        <v>121</v>
      </c>
      <c r="F17">
        <v>74</v>
      </c>
      <c r="G17">
        <v>44</v>
      </c>
      <c r="H17">
        <v>75</v>
      </c>
      <c r="I17">
        <v>60</v>
      </c>
      <c r="J17">
        <v>40</v>
      </c>
      <c r="K17">
        <f t="shared" si="1"/>
        <v>542</v>
      </c>
      <c r="L17" t="str">
        <f t="shared" si="2"/>
        <v>合格</v>
      </c>
    </row>
    <row r="18" spans="1:12">
      <c r="A18" t="str">
        <f t="shared" si="0"/>
        <v>c2</v>
      </c>
      <c r="B18" t="s">
        <v>40</v>
      </c>
      <c r="C18" t="s">
        <v>41</v>
      </c>
      <c r="D18">
        <v>116</v>
      </c>
      <c r="E18">
        <v>138</v>
      </c>
      <c r="F18">
        <v>101</v>
      </c>
      <c r="G18">
        <v>44</v>
      </c>
      <c r="H18">
        <v>70</v>
      </c>
      <c r="I18">
        <v>41</v>
      </c>
      <c r="J18">
        <v>33</v>
      </c>
      <c r="K18">
        <f t="shared" si="1"/>
        <v>543</v>
      </c>
      <c r="L18" t="str">
        <f t="shared" si="2"/>
        <v>优秀</v>
      </c>
    </row>
    <row r="19" spans="1:12">
      <c r="A19" t="str">
        <f t="shared" si="0"/>
        <v>c2</v>
      </c>
      <c r="B19" t="s">
        <v>42</v>
      </c>
      <c r="C19" t="s">
        <v>43</v>
      </c>
      <c r="D19">
        <v>93</v>
      </c>
      <c r="E19">
        <v>103</v>
      </c>
      <c r="F19">
        <v>90</v>
      </c>
      <c r="G19">
        <v>41</v>
      </c>
      <c r="H19">
        <v>73</v>
      </c>
      <c r="I19">
        <v>60</v>
      </c>
      <c r="J19">
        <v>43</v>
      </c>
      <c r="K19">
        <f t="shared" si="1"/>
        <v>503</v>
      </c>
      <c r="L19" t="str">
        <f t="shared" si="2"/>
        <v>合格</v>
      </c>
    </row>
    <row r="20" spans="1:12">
      <c r="A20" t="str">
        <f t="shared" si="0"/>
        <v>c2</v>
      </c>
      <c r="B20" t="s">
        <v>44</v>
      </c>
      <c r="C20" t="s">
        <v>45</v>
      </c>
      <c r="D20">
        <v>117</v>
      </c>
      <c r="E20">
        <v>142</v>
      </c>
      <c r="F20">
        <v>100</v>
      </c>
      <c r="G20">
        <v>30</v>
      </c>
      <c r="H20">
        <v>79</v>
      </c>
      <c r="I20">
        <v>48</v>
      </c>
      <c r="J20">
        <v>38</v>
      </c>
      <c r="K20">
        <f t="shared" si="1"/>
        <v>554</v>
      </c>
      <c r="L20" t="str">
        <f t="shared" si="2"/>
        <v>优秀</v>
      </c>
    </row>
    <row r="21" spans="1:12">
      <c r="A21" t="str">
        <f t="shared" si="0"/>
        <v>c2</v>
      </c>
      <c r="B21" t="s">
        <v>46</v>
      </c>
      <c r="C21" t="s">
        <v>47</v>
      </c>
      <c r="D21">
        <v>122</v>
      </c>
      <c r="E21">
        <v>130</v>
      </c>
      <c r="F21">
        <v>40</v>
      </c>
      <c r="G21">
        <v>40</v>
      </c>
      <c r="H21">
        <v>80</v>
      </c>
      <c r="I21">
        <v>49</v>
      </c>
      <c r="J21">
        <v>39</v>
      </c>
      <c r="K21">
        <f t="shared" si="1"/>
        <v>500</v>
      </c>
      <c r="L21" t="str">
        <f t="shared" si="2"/>
        <v>合格</v>
      </c>
    </row>
    <row r="22" spans="1:12">
      <c r="A22" t="str">
        <f t="shared" si="0"/>
        <v>c2</v>
      </c>
      <c r="B22" t="s">
        <v>48</v>
      </c>
      <c r="C22" t="s">
        <v>49</v>
      </c>
      <c r="D22">
        <v>117</v>
      </c>
      <c r="E22">
        <v>140</v>
      </c>
      <c r="F22">
        <v>85</v>
      </c>
      <c r="G22">
        <v>35</v>
      </c>
      <c r="H22">
        <v>70</v>
      </c>
      <c r="I22">
        <v>25</v>
      </c>
      <c r="J22">
        <v>37</v>
      </c>
      <c r="K22">
        <f t="shared" si="1"/>
        <v>509</v>
      </c>
      <c r="L22" t="str">
        <f t="shared" si="2"/>
        <v>合格</v>
      </c>
    </row>
    <row r="23" spans="1:12">
      <c r="A23" t="str">
        <f t="shared" si="0"/>
        <v>c2</v>
      </c>
      <c r="B23" t="s">
        <v>50</v>
      </c>
      <c r="C23" t="s">
        <v>51</v>
      </c>
      <c r="D23">
        <v>118</v>
      </c>
      <c r="E23">
        <v>130</v>
      </c>
      <c r="F23">
        <v>102</v>
      </c>
      <c r="G23">
        <v>40</v>
      </c>
      <c r="H23">
        <v>84</v>
      </c>
      <c r="I23">
        <v>58</v>
      </c>
      <c r="J23">
        <v>42</v>
      </c>
      <c r="K23">
        <f t="shared" si="1"/>
        <v>574</v>
      </c>
      <c r="L23" t="str">
        <f t="shared" si="2"/>
        <v>优秀</v>
      </c>
    </row>
    <row r="24" spans="1:12">
      <c r="A24" t="str">
        <f t="shared" si="0"/>
        <v>c3</v>
      </c>
      <c r="B24" t="s">
        <v>52</v>
      </c>
      <c r="C24" t="s">
        <v>53</v>
      </c>
      <c r="D24">
        <v>112</v>
      </c>
      <c r="E24">
        <v>135</v>
      </c>
      <c r="F24">
        <v>110</v>
      </c>
      <c r="G24">
        <v>43</v>
      </c>
      <c r="H24">
        <v>75</v>
      </c>
      <c r="I24">
        <v>58</v>
      </c>
      <c r="J24">
        <v>42</v>
      </c>
      <c r="K24">
        <f t="shared" si="1"/>
        <v>575</v>
      </c>
      <c r="L24" t="str">
        <f t="shared" si="2"/>
        <v>合格</v>
      </c>
    </row>
    <row r="25" spans="1:12">
      <c r="A25" t="str">
        <f t="shared" si="0"/>
        <v>c3</v>
      </c>
      <c r="B25" t="s">
        <v>54</v>
      </c>
      <c r="C25" t="s">
        <v>55</v>
      </c>
      <c r="D25">
        <v>125</v>
      </c>
      <c r="E25">
        <v>80</v>
      </c>
      <c r="F25">
        <v>68</v>
      </c>
      <c r="G25">
        <v>40</v>
      </c>
      <c r="H25">
        <v>86</v>
      </c>
      <c r="I25">
        <v>48</v>
      </c>
      <c r="J25">
        <v>43</v>
      </c>
      <c r="K25">
        <f t="shared" si="1"/>
        <v>490</v>
      </c>
      <c r="L25" t="str">
        <f t="shared" si="2"/>
        <v>合格</v>
      </c>
    </row>
    <row r="26" spans="1:12">
      <c r="A26" t="str">
        <f t="shared" si="0"/>
        <v>c3</v>
      </c>
      <c r="B26" t="s">
        <v>56</v>
      </c>
      <c r="C26" t="s">
        <v>57</v>
      </c>
      <c r="D26">
        <v>84</v>
      </c>
      <c r="E26">
        <v>92</v>
      </c>
      <c r="F26">
        <v>101</v>
      </c>
      <c r="G26">
        <v>45</v>
      </c>
      <c r="H26">
        <v>59</v>
      </c>
      <c r="I26">
        <v>49</v>
      </c>
      <c r="J26">
        <v>44</v>
      </c>
      <c r="K26">
        <f t="shared" si="1"/>
        <v>474</v>
      </c>
      <c r="L26" t="str">
        <f t="shared" si="2"/>
        <v>合格</v>
      </c>
    </row>
    <row r="27" spans="1:12">
      <c r="A27" t="str">
        <f t="shared" si="0"/>
        <v>c3</v>
      </c>
      <c r="B27" t="s">
        <v>58</v>
      </c>
      <c r="C27" t="s">
        <v>59</v>
      </c>
      <c r="D27">
        <v>103</v>
      </c>
      <c r="E27">
        <v>125</v>
      </c>
      <c r="F27">
        <v>91</v>
      </c>
      <c r="G27">
        <v>45</v>
      </c>
      <c r="H27">
        <v>25</v>
      </c>
      <c r="I27">
        <v>30</v>
      </c>
      <c r="J27">
        <v>40</v>
      </c>
      <c r="K27">
        <f t="shared" si="1"/>
        <v>459</v>
      </c>
      <c r="L27" t="str">
        <f t="shared" si="2"/>
        <v>合格</v>
      </c>
    </row>
    <row r="28" spans="1:12">
      <c r="A28" t="str">
        <f t="shared" si="0"/>
        <v>c3</v>
      </c>
      <c r="B28" t="s">
        <v>60</v>
      </c>
      <c r="C28" t="s">
        <v>61</v>
      </c>
      <c r="D28">
        <v>110</v>
      </c>
      <c r="E28">
        <v>128</v>
      </c>
      <c r="F28">
        <v>96</v>
      </c>
      <c r="G28">
        <v>40</v>
      </c>
      <c r="H28">
        <v>42</v>
      </c>
      <c r="I28">
        <v>37</v>
      </c>
      <c r="J28">
        <v>38</v>
      </c>
      <c r="K28">
        <f t="shared" si="1"/>
        <v>491</v>
      </c>
      <c r="L28" t="str">
        <f t="shared" si="2"/>
        <v>合格</v>
      </c>
    </row>
    <row r="29" spans="1:12">
      <c r="A29" t="str">
        <f t="shared" si="0"/>
        <v>c3</v>
      </c>
      <c r="B29" t="s">
        <v>62</v>
      </c>
      <c r="C29" t="s">
        <v>63</v>
      </c>
      <c r="D29">
        <v>106</v>
      </c>
      <c r="E29">
        <v>95</v>
      </c>
      <c r="F29">
        <v>98</v>
      </c>
      <c r="G29">
        <v>44</v>
      </c>
      <c r="H29">
        <v>75</v>
      </c>
      <c r="I29">
        <v>60</v>
      </c>
      <c r="J29">
        <v>40</v>
      </c>
      <c r="K29">
        <f t="shared" si="1"/>
        <v>518</v>
      </c>
      <c r="L29" t="str">
        <f t="shared" si="2"/>
        <v>合格</v>
      </c>
    </row>
  </sheetData>
  <printOptions horizontalCentered="1" verticalCentered="1"/>
  <pageMargins left="0.751388888888889" right="0.751388888888889" top="1" bottom="1" header="0.5" footer="0.5"/>
  <pageSetup paperSize="9" firstPageNumber="6" orientation="landscape" useFirstPageNumber="1" horizontalDpi="600"/>
  <headerFooter alignWithMargins="0">
    <oddHeader>&amp;C&amp;10高一期中成绩抽测</oddHeader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27"/>
  <sheetViews>
    <sheetView zoomScale="85" zoomScaleNormal="85" workbookViewId="0">
      <selection activeCell="F16" sqref="F16"/>
    </sheetView>
  </sheetViews>
  <sheetFormatPr defaultColWidth="9" defaultRowHeight="14.25"/>
  <sheetData>
    <row r="1" spans="1:3">
      <c r="A1" t="s">
        <v>3</v>
      </c>
      <c r="B1" t="s">
        <v>4</v>
      </c>
      <c r="C1" t="s">
        <v>5</v>
      </c>
    </row>
    <row r="2" spans="1:1">
      <c r="A2" t="s">
        <v>66</v>
      </c>
    </row>
    <row r="3" spans="2:2">
      <c r="B3" t="s">
        <v>66</v>
      </c>
    </row>
    <row r="4" spans="3:3">
      <c r="C4" t="s">
        <v>66</v>
      </c>
    </row>
    <row r="7" ht="15"/>
    <row r="8" ht="15.75" spans="1:9">
      <c r="A8" s="3" t="s">
        <v>1</v>
      </c>
      <c r="B8" s="4" t="s">
        <v>2</v>
      </c>
      <c r="C8" s="4" t="s">
        <v>3</v>
      </c>
      <c r="D8" s="4" t="s">
        <v>4</v>
      </c>
      <c r="E8" s="4" t="s">
        <v>5</v>
      </c>
      <c r="F8" s="4" t="s">
        <v>6</v>
      </c>
      <c r="G8" s="4" t="s">
        <v>7</v>
      </c>
      <c r="H8" s="4" t="s">
        <v>8</v>
      </c>
      <c r="I8" s="11" t="s">
        <v>9</v>
      </c>
    </row>
    <row r="9" ht="15.75" spans="1:9">
      <c r="A9" s="5" t="s">
        <v>11</v>
      </c>
      <c r="B9" s="6" t="s">
        <v>12</v>
      </c>
      <c r="C9" s="7">
        <v>120</v>
      </c>
      <c r="D9" s="7">
        <v>148</v>
      </c>
      <c r="E9" s="7">
        <v>99</v>
      </c>
      <c r="F9" s="7">
        <v>44</v>
      </c>
      <c r="G9" s="7">
        <v>89</v>
      </c>
      <c r="H9" s="7">
        <v>60</v>
      </c>
      <c r="I9" s="12">
        <v>45</v>
      </c>
    </row>
    <row r="10" ht="15.75" spans="1:9">
      <c r="A10" s="5" t="s">
        <v>13</v>
      </c>
      <c r="B10" s="6" t="s">
        <v>14</v>
      </c>
      <c r="C10" s="7">
        <v>115</v>
      </c>
      <c r="D10" s="7">
        <v>120</v>
      </c>
      <c r="E10" s="7">
        <v>89</v>
      </c>
      <c r="F10" s="7">
        <v>43</v>
      </c>
      <c r="G10" s="7">
        <v>89</v>
      </c>
      <c r="H10" s="7">
        <v>57</v>
      </c>
      <c r="I10" s="12">
        <v>45</v>
      </c>
    </row>
    <row r="11" ht="15.75" spans="1:9">
      <c r="A11" s="5" t="s">
        <v>19</v>
      </c>
      <c r="B11" s="6" t="s">
        <v>20</v>
      </c>
      <c r="C11" s="7">
        <v>118</v>
      </c>
      <c r="D11" s="7">
        <v>130</v>
      </c>
      <c r="E11" s="7">
        <v>72</v>
      </c>
      <c r="F11" s="7">
        <v>43</v>
      </c>
      <c r="G11" s="7">
        <v>86</v>
      </c>
      <c r="H11" s="7">
        <v>54</v>
      </c>
      <c r="I11" s="12">
        <v>38</v>
      </c>
    </row>
    <row r="12" ht="15.75" spans="1:9">
      <c r="A12" s="5" t="s">
        <v>21</v>
      </c>
      <c r="B12" s="6" t="s">
        <v>22</v>
      </c>
      <c r="C12" s="7">
        <v>90</v>
      </c>
      <c r="D12" s="7">
        <v>125</v>
      </c>
      <c r="E12" s="7">
        <v>105</v>
      </c>
      <c r="F12" s="7">
        <v>40</v>
      </c>
      <c r="G12" s="7">
        <v>71</v>
      </c>
      <c r="H12" s="7">
        <v>51</v>
      </c>
      <c r="I12" s="12">
        <v>34</v>
      </c>
    </row>
    <row r="13" ht="15.75" spans="1:9">
      <c r="A13" s="5" t="s">
        <v>24</v>
      </c>
      <c r="B13" s="6" t="s">
        <v>25</v>
      </c>
      <c r="C13" s="7">
        <v>118</v>
      </c>
      <c r="D13" s="7">
        <v>125</v>
      </c>
      <c r="E13" s="7">
        <v>88</v>
      </c>
      <c r="F13" s="7">
        <v>47</v>
      </c>
      <c r="G13" s="7">
        <v>75</v>
      </c>
      <c r="H13" s="7">
        <v>49</v>
      </c>
      <c r="I13" s="12">
        <v>44</v>
      </c>
    </row>
    <row r="14" ht="15.75" spans="1:9">
      <c r="A14" s="5" t="s">
        <v>30</v>
      </c>
      <c r="B14" s="6" t="s">
        <v>31</v>
      </c>
      <c r="C14" s="7">
        <v>130</v>
      </c>
      <c r="D14" s="7">
        <v>85</v>
      </c>
      <c r="E14" s="7">
        <v>103</v>
      </c>
      <c r="F14" s="7">
        <v>38</v>
      </c>
      <c r="G14" s="7">
        <v>80</v>
      </c>
      <c r="H14" s="7">
        <v>52</v>
      </c>
      <c r="I14" s="12">
        <v>42</v>
      </c>
    </row>
    <row r="15" ht="15.75" spans="1:9">
      <c r="A15" s="5" t="s">
        <v>34</v>
      </c>
      <c r="B15" s="6" t="s">
        <v>35</v>
      </c>
      <c r="C15" s="7">
        <v>124</v>
      </c>
      <c r="D15" s="7">
        <v>146</v>
      </c>
      <c r="E15" s="7">
        <v>100</v>
      </c>
      <c r="F15" s="7">
        <v>43</v>
      </c>
      <c r="G15" s="7">
        <v>74</v>
      </c>
      <c r="H15" s="7">
        <v>40</v>
      </c>
      <c r="I15" s="12">
        <v>38</v>
      </c>
    </row>
    <row r="16" ht="15.75" spans="1:9">
      <c r="A16" s="5" t="s">
        <v>36</v>
      </c>
      <c r="B16" s="6" t="s">
        <v>37</v>
      </c>
      <c r="C16" s="7">
        <v>124</v>
      </c>
      <c r="D16" s="7">
        <v>146</v>
      </c>
      <c r="E16" s="7">
        <v>83</v>
      </c>
      <c r="F16" s="7">
        <v>45</v>
      </c>
      <c r="G16" s="7">
        <v>87</v>
      </c>
      <c r="H16" s="7">
        <v>58</v>
      </c>
      <c r="I16" s="12">
        <v>37</v>
      </c>
    </row>
    <row r="17" ht="15.75" spans="1:9">
      <c r="A17" s="5" t="s">
        <v>38</v>
      </c>
      <c r="B17" s="6" t="s">
        <v>39</v>
      </c>
      <c r="C17" s="7">
        <v>128</v>
      </c>
      <c r="D17" s="7">
        <v>121</v>
      </c>
      <c r="E17" s="7">
        <v>74</v>
      </c>
      <c r="F17" s="7">
        <v>44</v>
      </c>
      <c r="G17" s="7">
        <v>75</v>
      </c>
      <c r="H17" s="7">
        <v>60</v>
      </c>
      <c r="I17" s="12">
        <v>40</v>
      </c>
    </row>
    <row r="18" ht="15.75" spans="1:9">
      <c r="A18" s="5" t="s">
        <v>40</v>
      </c>
      <c r="B18" s="6" t="s">
        <v>41</v>
      </c>
      <c r="C18" s="7">
        <v>116</v>
      </c>
      <c r="D18" s="7">
        <v>138</v>
      </c>
      <c r="E18" s="7">
        <v>101</v>
      </c>
      <c r="F18" s="7">
        <v>44</v>
      </c>
      <c r="G18" s="7">
        <v>70</v>
      </c>
      <c r="H18" s="7">
        <v>41</v>
      </c>
      <c r="I18" s="12">
        <v>33</v>
      </c>
    </row>
    <row r="19" ht="15.75" spans="1:9">
      <c r="A19" s="5" t="s">
        <v>44</v>
      </c>
      <c r="B19" s="6" t="s">
        <v>45</v>
      </c>
      <c r="C19" s="7">
        <v>117</v>
      </c>
      <c r="D19" s="7">
        <v>142</v>
      </c>
      <c r="E19" s="7">
        <v>100</v>
      </c>
      <c r="F19" s="7">
        <v>30</v>
      </c>
      <c r="G19" s="7">
        <v>79</v>
      </c>
      <c r="H19" s="7">
        <v>48</v>
      </c>
      <c r="I19" s="12">
        <v>38</v>
      </c>
    </row>
    <row r="20" ht="15.75" spans="1:9">
      <c r="A20" s="5" t="s">
        <v>46</v>
      </c>
      <c r="B20" s="6" t="s">
        <v>47</v>
      </c>
      <c r="C20" s="7">
        <v>122</v>
      </c>
      <c r="D20" s="7">
        <v>130</v>
      </c>
      <c r="E20" s="7">
        <v>40</v>
      </c>
      <c r="F20" s="7">
        <v>40</v>
      </c>
      <c r="G20" s="7">
        <v>80</v>
      </c>
      <c r="H20" s="7">
        <v>49</v>
      </c>
      <c r="I20" s="12">
        <v>39</v>
      </c>
    </row>
    <row r="21" ht="15.75" spans="1:9">
      <c r="A21" s="5" t="s">
        <v>48</v>
      </c>
      <c r="B21" s="6" t="s">
        <v>49</v>
      </c>
      <c r="C21" s="7">
        <v>117</v>
      </c>
      <c r="D21" s="7">
        <v>140</v>
      </c>
      <c r="E21" s="7">
        <v>85</v>
      </c>
      <c r="F21" s="7">
        <v>35</v>
      </c>
      <c r="G21" s="7">
        <v>70</v>
      </c>
      <c r="H21" s="7">
        <v>25</v>
      </c>
      <c r="I21" s="12">
        <v>37</v>
      </c>
    </row>
    <row r="22" ht="15.75" spans="1:9">
      <c r="A22" s="5" t="s">
        <v>50</v>
      </c>
      <c r="B22" s="6" t="s">
        <v>51</v>
      </c>
      <c r="C22" s="7">
        <v>118</v>
      </c>
      <c r="D22" s="7">
        <v>130</v>
      </c>
      <c r="E22" s="7">
        <v>102</v>
      </c>
      <c r="F22" s="7">
        <v>40</v>
      </c>
      <c r="G22" s="7">
        <v>84</v>
      </c>
      <c r="H22" s="7">
        <v>58</v>
      </c>
      <c r="I22" s="12">
        <v>42</v>
      </c>
    </row>
    <row r="23" ht="15.75" spans="1:9">
      <c r="A23" s="5" t="s">
        <v>52</v>
      </c>
      <c r="B23" s="6" t="s">
        <v>53</v>
      </c>
      <c r="C23" s="7">
        <v>112</v>
      </c>
      <c r="D23" s="7">
        <v>135</v>
      </c>
      <c r="E23" s="7">
        <v>110</v>
      </c>
      <c r="F23" s="7">
        <v>43</v>
      </c>
      <c r="G23" s="7">
        <v>75</v>
      </c>
      <c r="H23" s="7">
        <v>58</v>
      </c>
      <c r="I23" s="12">
        <v>42</v>
      </c>
    </row>
    <row r="24" ht="15.75" spans="1:9">
      <c r="A24" s="5" t="s">
        <v>54</v>
      </c>
      <c r="B24" s="6" t="s">
        <v>55</v>
      </c>
      <c r="C24" s="7">
        <v>125</v>
      </c>
      <c r="D24" s="7">
        <v>80</v>
      </c>
      <c r="E24" s="7">
        <v>68</v>
      </c>
      <c r="F24" s="7">
        <v>40</v>
      </c>
      <c r="G24" s="7">
        <v>86</v>
      </c>
      <c r="H24" s="7">
        <v>48</v>
      </c>
      <c r="I24" s="12">
        <v>43</v>
      </c>
    </row>
    <row r="25" ht="15.75" spans="1:9">
      <c r="A25" s="5" t="s">
        <v>58</v>
      </c>
      <c r="B25" s="6" t="s">
        <v>59</v>
      </c>
      <c r="C25" s="7">
        <v>103</v>
      </c>
      <c r="D25" s="7">
        <v>125</v>
      </c>
      <c r="E25" s="7">
        <v>91</v>
      </c>
      <c r="F25" s="7">
        <v>45</v>
      </c>
      <c r="G25" s="7">
        <v>25</v>
      </c>
      <c r="H25" s="7">
        <v>30</v>
      </c>
      <c r="I25" s="12">
        <v>40</v>
      </c>
    </row>
    <row r="26" ht="15.75" spans="1:9">
      <c r="A26" s="8" t="s">
        <v>60</v>
      </c>
      <c r="B26" s="9" t="s">
        <v>61</v>
      </c>
      <c r="C26" s="10">
        <v>110</v>
      </c>
      <c r="D26" s="10">
        <v>128</v>
      </c>
      <c r="E26" s="10">
        <v>96</v>
      </c>
      <c r="F26" s="10">
        <v>40</v>
      </c>
      <c r="G26" s="10">
        <v>42</v>
      </c>
      <c r="H26" s="10">
        <v>37</v>
      </c>
      <c r="I26" s="13">
        <v>38</v>
      </c>
    </row>
    <row r="27" ht="15"/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85" zoomScaleNormal="85" workbookViewId="0">
      <selection activeCell="F17" sqref="F17"/>
    </sheetView>
  </sheetViews>
  <sheetFormatPr defaultColWidth="9" defaultRowHeight="14.25"/>
  <cols>
    <col min="4" max="6" width="12.625"/>
    <col min="11" max="11" width="12.625"/>
    <col min="12" max="12" width="9.11666666666667" customWidth="1"/>
  </cols>
  <sheetData>
    <row r="1" spans="1:12">
      <c r="A1" t="s">
        <v>64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65</v>
      </c>
    </row>
    <row r="2" hidden="1" outlineLevel="2" spans="1:12">
      <c r="A2" t="s">
        <v>67</v>
      </c>
      <c r="B2" t="s">
        <v>52</v>
      </c>
      <c r="C2" t="s">
        <v>53</v>
      </c>
      <c r="D2">
        <v>112</v>
      </c>
      <c r="E2">
        <v>135</v>
      </c>
      <c r="F2">
        <v>110</v>
      </c>
      <c r="G2">
        <v>43</v>
      </c>
      <c r="H2">
        <v>75</v>
      </c>
      <c r="I2">
        <v>58</v>
      </c>
      <c r="J2">
        <v>42</v>
      </c>
      <c r="K2">
        <v>575</v>
      </c>
      <c r="L2" t="s">
        <v>68</v>
      </c>
    </row>
    <row r="3" hidden="1" outlineLevel="2" spans="1:12">
      <c r="A3" t="s">
        <v>67</v>
      </c>
      <c r="B3" t="s">
        <v>54</v>
      </c>
      <c r="C3" t="s">
        <v>55</v>
      </c>
      <c r="D3">
        <v>125</v>
      </c>
      <c r="E3">
        <v>80</v>
      </c>
      <c r="F3">
        <v>68</v>
      </c>
      <c r="G3">
        <v>40</v>
      </c>
      <c r="H3">
        <v>86</v>
      </c>
      <c r="I3">
        <v>48</v>
      </c>
      <c r="J3">
        <v>43</v>
      </c>
      <c r="K3">
        <v>490</v>
      </c>
      <c r="L3" t="s">
        <v>68</v>
      </c>
    </row>
    <row r="4" hidden="1" outlineLevel="2" spans="1:12">
      <c r="A4" t="s">
        <v>67</v>
      </c>
      <c r="B4" t="s">
        <v>56</v>
      </c>
      <c r="C4" t="s">
        <v>57</v>
      </c>
      <c r="D4">
        <v>84</v>
      </c>
      <c r="E4">
        <v>92</v>
      </c>
      <c r="F4">
        <v>101</v>
      </c>
      <c r="G4">
        <v>45</v>
      </c>
      <c r="H4">
        <v>59</v>
      </c>
      <c r="I4">
        <v>49</v>
      </c>
      <c r="J4">
        <v>44</v>
      </c>
      <c r="K4">
        <v>474</v>
      </c>
      <c r="L4" t="s">
        <v>68</v>
      </c>
    </row>
    <row r="5" hidden="1" outlineLevel="2" spans="1:12">
      <c r="A5" t="s">
        <v>67</v>
      </c>
      <c r="B5" t="s">
        <v>58</v>
      </c>
      <c r="C5" t="s">
        <v>59</v>
      </c>
      <c r="D5">
        <v>103</v>
      </c>
      <c r="E5">
        <v>125</v>
      </c>
      <c r="F5">
        <v>91</v>
      </c>
      <c r="G5">
        <v>45</v>
      </c>
      <c r="H5">
        <v>25</v>
      </c>
      <c r="I5">
        <v>30</v>
      </c>
      <c r="J5">
        <v>40</v>
      </c>
      <c r="K5">
        <v>459</v>
      </c>
      <c r="L5" t="s">
        <v>68</v>
      </c>
    </row>
    <row r="6" hidden="1" outlineLevel="2" spans="1:12">
      <c r="A6" t="s">
        <v>67</v>
      </c>
      <c r="B6" t="s">
        <v>60</v>
      </c>
      <c r="C6" t="s">
        <v>61</v>
      </c>
      <c r="D6">
        <v>110</v>
      </c>
      <c r="E6">
        <v>128</v>
      </c>
      <c r="F6">
        <v>96</v>
      </c>
      <c r="G6">
        <v>40</v>
      </c>
      <c r="H6">
        <v>42</v>
      </c>
      <c r="I6">
        <v>37</v>
      </c>
      <c r="J6">
        <v>38</v>
      </c>
      <c r="K6">
        <v>491</v>
      </c>
      <c r="L6" t="s">
        <v>68</v>
      </c>
    </row>
    <row r="7" hidden="1" outlineLevel="2" spans="1:12">
      <c r="A7" t="s">
        <v>67</v>
      </c>
      <c r="B7" t="s">
        <v>62</v>
      </c>
      <c r="C7" t="s">
        <v>63</v>
      </c>
      <c r="D7">
        <v>106</v>
      </c>
      <c r="E7">
        <v>95</v>
      </c>
      <c r="F7">
        <v>98</v>
      </c>
      <c r="G7">
        <v>44</v>
      </c>
      <c r="H7">
        <v>75</v>
      </c>
      <c r="I7">
        <v>60</v>
      </c>
      <c r="J7">
        <v>40</v>
      </c>
      <c r="K7">
        <v>518</v>
      </c>
      <c r="L7" t="s">
        <v>68</v>
      </c>
    </row>
    <row r="8" outlineLevel="1" collapsed="1" spans="1:12">
      <c r="A8" s="1" t="s">
        <v>69</v>
      </c>
      <c r="D8" s="2">
        <f>SUBTOTAL(1,D2:D7)</f>
        <v>106.666666666667</v>
      </c>
      <c r="E8" s="2">
        <f>SUBTOTAL(1,E2:E7)</f>
        <v>109.166666666667</v>
      </c>
      <c r="F8" s="2">
        <f>SUBTOTAL(1,F2:F7)</f>
        <v>94</v>
      </c>
      <c r="G8" s="2"/>
      <c r="H8" s="2"/>
      <c r="I8" s="2"/>
      <c r="J8" s="2"/>
      <c r="K8" s="2">
        <f>SUBTOTAL(1,K2:K7)</f>
        <v>501.166666666667</v>
      </c>
      <c r="L8" t="e">
        <f>SUBTOTAL(1,L2:L7)</f>
        <v>#DIV/0!</v>
      </c>
    </row>
    <row r="9" hidden="1" outlineLevel="2" spans="1:12">
      <c r="A9" t="s">
        <v>70</v>
      </c>
      <c r="B9" t="s">
        <v>36</v>
      </c>
      <c r="C9" t="s">
        <v>37</v>
      </c>
      <c r="D9" s="2">
        <v>124</v>
      </c>
      <c r="E9" s="2">
        <v>146</v>
      </c>
      <c r="F9" s="2">
        <v>83</v>
      </c>
      <c r="G9" s="2">
        <v>45</v>
      </c>
      <c r="H9" s="2">
        <v>87</v>
      </c>
      <c r="I9" s="2">
        <v>58</v>
      </c>
      <c r="J9" s="2">
        <v>37</v>
      </c>
      <c r="K9" s="2">
        <v>580</v>
      </c>
      <c r="L9" t="s">
        <v>68</v>
      </c>
    </row>
    <row r="10" hidden="1" outlineLevel="2" spans="1:12">
      <c r="A10" t="s">
        <v>70</v>
      </c>
      <c r="B10" t="s">
        <v>38</v>
      </c>
      <c r="C10" t="s">
        <v>39</v>
      </c>
      <c r="D10" s="2">
        <v>128</v>
      </c>
      <c r="E10" s="2">
        <v>121</v>
      </c>
      <c r="F10" s="2">
        <v>74</v>
      </c>
      <c r="G10" s="2">
        <v>44</v>
      </c>
      <c r="H10" s="2">
        <v>75</v>
      </c>
      <c r="I10" s="2">
        <v>60</v>
      </c>
      <c r="J10" s="2">
        <v>40</v>
      </c>
      <c r="K10" s="2">
        <v>542</v>
      </c>
      <c r="L10" t="s">
        <v>68</v>
      </c>
    </row>
    <row r="11" hidden="1" outlineLevel="2" spans="1:12">
      <c r="A11" t="s">
        <v>70</v>
      </c>
      <c r="B11" t="s">
        <v>40</v>
      </c>
      <c r="C11" t="s">
        <v>41</v>
      </c>
      <c r="D11" s="2">
        <v>116</v>
      </c>
      <c r="E11" s="2">
        <v>138</v>
      </c>
      <c r="F11" s="2">
        <v>101</v>
      </c>
      <c r="G11" s="2">
        <v>44</v>
      </c>
      <c r="H11" s="2">
        <v>70</v>
      </c>
      <c r="I11" s="2">
        <v>41</v>
      </c>
      <c r="J11" s="2">
        <v>33</v>
      </c>
      <c r="K11" s="2">
        <v>543</v>
      </c>
      <c r="L11" t="s">
        <v>71</v>
      </c>
    </row>
    <row r="12" hidden="1" outlineLevel="2" spans="1:12">
      <c r="A12" t="s">
        <v>70</v>
      </c>
      <c r="B12" t="s">
        <v>42</v>
      </c>
      <c r="C12" t="s">
        <v>43</v>
      </c>
      <c r="D12" s="2">
        <v>93</v>
      </c>
      <c r="E12" s="2">
        <v>103</v>
      </c>
      <c r="F12" s="2">
        <v>90</v>
      </c>
      <c r="G12" s="2">
        <v>41</v>
      </c>
      <c r="H12" s="2">
        <v>73</v>
      </c>
      <c r="I12" s="2">
        <v>60</v>
      </c>
      <c r="J12" s="2">
        <v>43</v>
      </c>
      <c r="K12" s="2">
        <v>503</v>
      </c>
      <c r="L12" t="s">
        <v>68</v>
      </c>
    </row>
    <row r="13" hidden="1" outlineLevel="2" spans="1:12">
      <c r="A13" t="s">
        <v>70</v>
      </c>
      <c r="B13" t="s">
        <v>44</v>
      </c>
      <c r="C13" t="s">
        <v>45</v>
      </c>
      <c r="D13" s="2">
        <v>117</v>
      </c>
      <c r="E13" s="2">
        <v>142</v>
      </c>
      <c r="F13" s="2">
        <v>100</v>
      </c>
      <c r="G13" s="2">
        <v>30</v>
      </c>
      <c r="H13" s="2">
        <v>79</v>
      </c>
      <c r="I13" s="2">
        <v>48</v>
      </c>
      <c r="J13" s="2">
        <v>38</v>
      </c>
      <c r="K13" s="2">
        <v>554</v>
      </c>
      <c r="L13" t="s">
        <v>71</v>
      </c>
    </row>
    <row r="14" hidden="1" outlineLevel="2" spans="1:12">
      <c r="A14" t="s">
        <v>70</v>
      </c>
      <c r="B14" t="s">
        <v>46</v>
      </c>
      <c r="C14" t="s">
        <v>47</v>
      </c>
      <c r="D14" s="2">
        <v>122</v>
      </c>
      <c r="E14" s="2">
        <v>130</v>
      </c>
      <c r="F14" s="2">
        <v>40</v>
      </c>
      <c r="G14" s="2">
        <v>40</v>
      </c>
      <c r="H14" s="2">
        <v>80</v>
      </c>
      <c r="I14" s="2">
        <v>49</v>
      </c>
      <c r="J14" s="2">
        <v>39</v>
      </c>
      <c r="K14" s="2">
        <v>500</v>
      </c>
      <c r="L14" t="s">
        <v>68</v>
      </c>
    </row>
    <row r="15" hidden="1" outlineLevel="2" spans="1:12">
      <c r="A15" t="s">
        <v>70</v>
      </c>
      <c r="B15" t="s">
        <v>48</v>
      </c>
      <c r="C15" t="s">
        <v>49</v>
      </c>
      <c r="D15" s="2">
        <v>117</v>
      </c>
      <c r="E15" s="2">
        <v>140</v>
      </c>
      <c r="F15" s="2">
        <v>85</v>
      </c>
      <c r="G15" s="2">
        <v>35</v>
      </c>
      <c r="H15" s="2">
        <v>70</v>
      </c>
      <c r="I15" s="2">
        <v>25</v>
      </c>
      <c r="J15" s="2">
        <v>37</v>
      </c>
      <c r="K15" s="2">
        <v>509</v>
      </c>
      <c r="L15" t="s">
        <v>68</v>
      </c>
    </row>
    <row r="16" hidden="1" outlineLevel="2" spans="1:12">
      <c r="A16" t="s">
        <v>70</v>
      </c>
      <c r="B16" t="s">
        <v>50</v>
      </c>
      <c r="C16" t="s">
        <v>51</v>
      </c>
      <c r="D16" s="2">
        <v>118</v>
      </c>
      <c r="E16" s="2">
        <v>130</v>
      </c>
      <c r="F16" s="2">
        <v>102</v>
      </c>
      <c r="G16" s="2">
        <v>40</v>
      </c>
      <c r="H16" s="2">
        <v>84</v>
      </c>
      <c r="I16" s="2">
        <v>58</v>
      </c>
      <c r="J16" s="2">
        <v>42</v>
      </c>
      <c r="K16" s="2">
        <v>574</v>
      </c>
      <c r="L16" t="s">
        <v>71</v>
      </c>
    </row>
    <row r="17" outlineLevel="1" collapsed="1" spans="1:12">
      <c r="A17" s="1" t="s">
        <v>72</v>
      </c>
      <c r="D17" s="2">
        <f>SUBTOTAL(1,D9:D16)</f>
        <v>116.875</v>
      </c>
      <c r="E17" s="2">
        <f>SUBTOTAL(1,E9:E16)</f>
        <v>131.25</v>
      </c>
      <c r="F17" s="2">
        <f>SUBTOTAL(1,F9:F16)</f>
        <v>84.375</v>
      </c>
      <c r="G17" s="2"/>
      <c r="H17" s="2"/>
      <c r="I17" s="2"/>
      <c r="J17" s="2"/>
      <c r="K17" s="2">
        <f>SUBTOTAL(1,K9:K16)</f>
        <v>538.125</v>
      </c>
      <c r="L17" t="e">
        <f>SUBTOTAL(1,L9:L16)</f>
        <v>#DIV/0!</v>
      </c>
    </row>
    <row r="18" hidden="1" outlineLevel="2" spans="1:12">
      <c r="A18" t="s">
        <v>73</v>
      </c>
      <c r="B18" t="s">
        <v>11</v>
      </c>
      <c r="C18" t="s">
        <v>12</v>
      </c>
      <c r="D18" s="2">
        <v>120</v>
      </c>
      <c r="E18" s="2">
        <v>148</v>
      </c>
      <c r="F18" s="2">
        <v>99</v>
      </c>
      <c r="G18" s="2">
        <v>44</v>
      </c>
      <c r="H18" s="2">
        <v>89</v>
      </c>
      <c r="I18" s="2">
        <v>60</v>
      </c>
      <c r="J18" s="2">
        <v>45</v>
      </c>
      <c r="K18" s="2">
        <v>605</v>
      </c>
      <c r="L18" t="s">
        <v>71</v>
      </c>
    </row>
    <row r="19" hidden="1" outlineLevel="2" spans="1:12">
      <c r="A19" t="s">
        <v>73</v>
      </c>
      <c r="B19" t="s">
        <v>13</v>
      </c>
      <c r="C19" t="s">
        <v>14</v>
      </c>
      <c r="D19" s="2">
        <v>115</v>
      </c>
      <c r="E19" s="2">
        <v>120</v>
      </c>
      <c r="F19" s="2">
        <v>89</v>
      </c>
      <c r="G19" s="2">
        <v>43</v>
      </c>
      <c r="H19" s="2">
        <v>89</v>
      </c>
      <c r="I19" s="2">
        <v>57</v>
      </c>
      <c r="J19" s="2">
        <v>45</v>
      </c>
      <c r="K19" s="2">
        <v>558</v>
      </c>
      <c r="L19" t="s">
        <v>68</v>
      </c>
    </row>
    <row r="20" hidden="1" outlineLevel="2" spans="1:12">
      <c r="A20" t="s">
        <v>73</v>
      </c>
      <c r="B20" t="s">
        <v>15</v>
      </c>
      <c r="C20" t="s">
        <v>16</v>
      </c>
      <c r="D20" s="2">
        <v>103</v>
      </c>
      <c r="E20" s="2">
        <v>115</v>
      </c>
      <c r="F20" s="2">
        <v>98</v>
      </c>
      <c r="G20" s="2">
        <v>45</v>
      </c>
      <c r="H20" s="2">
        <v>57</v>
      </c>
      <c r="I20" s="2">
        <v>50</v>
      </c>
      <c r="J20" s="2">
        <v>40</v>
      </c>
      <c r="K20" s="2">
        <v>508</v>
      </c>
      <c r="L20" t="s">
        <v>68</v>
      </c>
    </row>
    <row r="21" hidden="1" outlineLevel="2" spans="1:12">
      <c r="A21" t="s">
        <v>73</v>
      </c>
      <c r="B21" t="s">
        <v>17</v>
      </c>
      <c r="C21" t="s">
        <v>18</v>
      </c>
      <c r="D21" s="2">
        <v>106</v>
      </c>
      <c r="E21" s="2">
        <v>95</v>
      </c>
      <c r="F21" s="2">
        <v>110</v>
      </c>
      <c r="G21" s="2">
        <v>43</v>
      </c>
      <c r="H21" s="2">
        <v>74</v>
      </c>
      <c r="I21" s="2">
        <v>40</v>
      </c>
      <c r="J21" s="2">
        <v>38</v>
      </c>
      <c r="K21" s="2">
        <v>506</v>
      </c>
      <c r="L21" t="s">
        <v>68</v>
      </c>
    </row>
    <row r="22" hidden="1" outlineLevel="2" spans="1:12">
      <c r="A22" t="s">
        <v>73</v>
      </c>
      <c r="B22" t="s">
        <v>19</v>
      </c>
      <c r="C22" t="s">
        <v>20</v>
      </c>
      <c r="D22" s="2">
        <v>118</v>
      </c>
      <c r="E22" s="2">
        <v>130</v>
      </c>
      <c r="F22" s="2">
        <v>72</v>
      </c>
      <c r="G22" s="2">
        <v>43</v>
      </c>
      <c r="H22" s="2">
        <v>86</v>
      </c>
      <c r="I22" s="2">
        <v>54</v>
      </c>
      <c r="J22" s="2">
        <v>38</v>
      </c>
      <c r="K22" s="2">
        <v>541</v>
      </c>
      <c r="L22" t="s">
        <v>68</v>
      </c>
    </row>
    <row r="23" hidden="1" outlineLevel="2" spans="1:12">
      <c r="A23" t="s">
        <v>73</v>
      </c>
      <c r="B23" t="s">
        <v>21</v>
      </c>
      <c r="C23" t="s">
        <v>22</v>
      </c>
      <c r="D23" s="2">
        <v>90</v>
      </c>
      <c r="E23" s="2">
        <v>125</v>
      </c>
      <c r="F23" s="2">
        <v>105</v>
      </c>
      <c r="G23" s="2">
        <v>40</v>
      </c>
      <c r="H23" s="2">
        <v>71</v>
      </c>
      <c r="I23" s="2">
        <v>51</v>
      </c>
      <c r="J23" s="2">
        <v>34</v>
      </c>
      <c r="K23" s="2">
        <v>516</v>
      </c>
      <c r="L23" t="s">
        <v>68</v>
      </c>
    </row>
    <row r="24" hidden="1" outlineLevel="2" spans="1:12">
      <c r="A24" t="s">
        <v>73</v>
      </c>
      <c r="B24" t="s">
        <v>15</v>
      </c>
      <c r="C24" t="s">
        <v>23</v>
      </c>
      <c r="D24" s="2">
        <v>95</v>
      </c>
      <c r="E24" s="2">
        <v>118</v>
      </c>
      <c r="F24" s="2">
        <v>68</v>
      </c>
      <c r="G24" s="2">
        <v>40</v>
      </c>
      <c r="H24" s="2">
        <v>84</v>
      </c>
      <c r="I24" s="2">
        <v>58</v>
      </c>
      <c r="J24" s="2">
        <v>42</v>
      </c>
      <c r="K24" s="2">
        <v>505</v>
      </c>
      <c r="L24" t="s">
        <v>68</v>
      </c>
    </row>
    <row r="25" hidden="1" outlineLevel="2" spans="1:12">
      <c r="A25" t="s">
        <v>73</v>
      </c>
      <c r="B25" t="s">
        <v>24</v>
      </c>
      <c r="C25" t="s">
        <v>25</v>
      </c>
      <c r="D25" s="2">
        <v>118</v>
      </c>
      <c r="E25" s="2">
        <v>125</v>
      </c>
      <c r="F25" s="2">
        <v>88</v>
      </c>
      <c r="G25" s="2">
        <v>47</v>
      </c>
      <c r="H25" s="2">
        <v>75</v>
      </c>
      <c r="I25" s="2">
        <v>49</v>
      </c>
      <c r="J25" s="2">
        <v>44</v>
      </c>
      <c r="K25" s="2">
        <v>546</v>
      </c>
      <c r="L25" t="s">
        <v>68</v>
      </c>
    </row>
    <row r="26" hidden="1" outlineLevel="2" spans="1:12">
      <c r="A26" t="s">
        <v>73</v>
      </c>
      <c r="B26" t="s">
        <v>26</v>
      </c>
      <c r="C26" t="s">
        <v>27</v>
      </c>
      <c r="D26" s="2">
        <v>110</v>
      </c>
      <c r="E26" s="2">
        <v>111</v>
      </c>
      <c r="F26" s="2">
        <v>69</v>
      </c>
      <c r="G26" s="2">
        <v>46</v>
      </c>
      <c r="H26" s="2">
        <v>71</v>
      </c>
      <c r="I26" s="2">
        <v>48</v>
      </c>
      <c r="J26" s="2">
        <v>41</v>
      </c>
      <c r="K26" s="2">
        <v>496</v>
      </c>
      <c r="L26" t="s">
        <v>68</v>
      </c>
    </row>
    <row r="27" hidden="1" outlineLevel="2" spans="1:12">
      <c r="A27" t="s">
        <v>73</v>
      </c>
      <c r="B27" t="s">
        <v>28</v>
      </c>
      <c r="C27" t="s">
        <v>29</v>
      </c>
      <c r="D27" s="2">
        <v>110</v>
      </c>
      <c r="E27" s="2">
        <v>86</v>
      </c>
      <c r="F27" s="2">
        <v>84</v>
      </c>
      <c r="G27" s="2">
        <v>45</v>
      </c>
      <c r="H27" s="2">
        <v>86</v>
      </c>
      <c r="I27" s="2">
        <v>53</v>
      </c>
      <c r="J27" s="2">
        <v>41</v>
      </c>
      <c r="K27" s="2">
        <v>505</v>
      </c>
      <c r="L27" t="s">
        <v>68</v>
      </c>
    </row>
    <row r="28" hidden="1" outlineLevel="2" spans="1:12">
      <c r="A28" t="s">
        <v>73</v>
      </c>
      <c r="B28" t="s">
        <v>30</v>
      </c>
      <c r="C28" t="s">
        <v>31</v>
      </c>
      <c r="D28" s="2">
        <v>130</v>
      </c>
      <c r="E28" s="2">
        <v>85</v>
      </c>
      <c r="F28" s="2">
        <v>103</v>
      </c>
      <c r="G28" s="2">
        <v>38</v>
      </c>
      <c r="H28" s="2">
        <v>80</v>
      </c>
      <c r="I28" s="2">
        <v>52</v>
      </c>
      <c r="J28" s="2">
        <v>42</v>
      </c>
      <c r="K28" s="2">
        <v>530</v>
      </c>
      <c r="L28" t="s">
        <v>68</v>
      </c>
    </row>
    <row r="29" hidden="1" outlineLevel="2" spans="1:12">
      <c r="A29" t="s">
        <v>73</v>
      </c>
      <c r="B29" t="s">
        <v>32</v>
      </c>
      <c r="C29" t="s">
        <v>33</v>
      </c>
      <c r="D29" s="2">
        <v>106</v>
      </c>
      <c r="E29" s="2">
        <v>95</v>
      </c>
      <c r="F29" s="2">
        <v>89</v>
      </c>
      <c r="G29" s="2">
        <v>40</v>
      </c>
      <c r="H29" s="2">
        <v>86</v>
      </c>
      <c r="I29" s="2">
        <v>48</v>
      </c>
      <c r="J29" s="2">
        <v>43</v>
      </c>
      <c r="K29" s="2">
        <v>507</v>
      </c>
      <c r="L29" t="s">
        <v>68</v>
      </c>
    </row>
    <row r="30" hidden="1" outlineLevel="2" spans="1:12">
      <c r="A30" t="s">
        <v>73</v>
      </c>
      <c r="B30" t="s">
        <v>34</v>
      </c>
      <c r="C30" t="s">
        <v>35</v>
      </c>
      <c r="D30" s="2">
        <v>124</v>
      </c>
      <c r="E30" s="2">
        <v>146</v>
      </c>
      <c r="F30" s="2">
        <v>100</v>
      </c>
      <c r="G30" s="2">
        <v>43</v>
      </c>
      <c r="H30" s="2">
        <v>74</v>
      </c>
      <c r="I30" s="2">
        <v>40</v>
      </c>
      <c r="J30" s="2">
        <v>38</v>
      </c>
      <c r="K30" s="2">
        <v>565</v>
      </c>
      <c r="L30" t="s">
        <v>71</v>
      </c>
    </row>
    <row r="31" outlineLevel="1" collapsed="1" spans="1:12">
      <c r="A31" s="1" t="s">
        <v>74</v>
      </c>
      <c r="D31" s="2">
        <f>SUBTOTAL(1,D18:D30)</f>
        <v>111.153846153846</v>
      </c>
      <c r="E31" s="2">
        <f>SUBTOTAL(1,E18:E30)</f>
        <v>115.307692307692</v>
      </c>
      <c r="F31" s="2">
        <f>SUBTOTAL(1,F18:F30)</f>
        <v>90.3076923076923</v>
      </c>
      <c r="G31" s="2"/>
      <c r="H31" s="2"/>
      <c r="I31" s="2"/>
      <c r="J31" s="2"/>
      <c r="K31" s="2">
        <f>SUBTOTAL(1,K18:K30)</f>
        <v>529.846153846154</v>
      </c>
      <c r="L31" t="e">
        <f>SUBTOTAL(1,L18:L30)</f>
        <v>#DIV/0!</v>
      </c>
    </row>
    <row r="32" spans="1:12">
      <c r="A32" s="1" t="s">
        <v>75</v>
      </c>
      <c r="D32" s="2">
        <f>SUBTOTAL(1,D2:D30)</f>
        <v>111.851851851852</v>
      </c>
      <c r="E32" s="2">
        <f>SUBTOTAL(1,E2:E30)</f>
        <v>118.666666666667</v>
      </c>
      <c r="F32" s="2">
        <f>SUBTOTAL(1,F2:F30)</f>
        <v>89.3703703703704</v>
      </c>
      <c r="G32" s="2"/>
      <c r="H32" s="2"/>
      <c r="I32" s="2"/>
      <c r="J32" s="2"/>
      <c r="K32" s="2">
        <f>SUBTOTAL(1,K2:K30)</f>
        <v>525.925925925926</v>
      </c>
      <c r="L32" t="e">
        <f>SUBTOTAL(1,L2:L30)</f>
        <v>#DIV/0!</v>
      </c>
    </row>
  </sheetData>
  <sortState ref="A2:L28">
    <sortCondition ref="A2:A28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2" sqref="M22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期中成绩表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1996-12-17T01:32:00Z</dcterms:created>
  <dcterms:modified xsi:type="dcterms:W3CDTF">2023-12-11T00:43:37Z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F9BC4A99A09E427C8812A6A63E6C50E3_12</vt:lpwstr>
  </property>
  <property fmtid="{D5CDD505-2E9C-101B-9397-08002B2CF9AE}" pid="3" name="KSOProductBuildVer">
    <vt:lpwstr>2052-12.1.0.15712</vt:lpwstr>
  </property>
</Properties>
</file>
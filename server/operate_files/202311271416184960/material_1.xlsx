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20"/>
  </bookViews>
  <sheets>
    <sheet name="数据透视" sheetId="4" r:id="rId1"/>
    <sheet name="选修课程成绩单" sheetId="1" r:id="rId2"/>
    <sheet name="Sheet2" sheetId="2" r:id="rId3"/>
    <sheet name="Sheet3" sheetId="3" r:id="rId4"/>
  </sheets>
  <calcPr calcId="144525"/>
  <pivotCaches>
    <pivotCache cacheId="0" r:id="rId5"/>
  </pivotCaches>
</workbook>
</file>

<file path=xl/sharedStrings.xml><?xml version="1.0" encoding="utf-8"?>
<sst xmlns="http://schemas.openxmlformats.org/spreadsheetml/2006/main" count="38" uniqueCount="23">
  <si>
    <t>计数项:学号</t>
  </si>
  <si>
    <t>系别</t>
  </si>
  <si>
    <t>课程名称</t>
  </si>
  <si>
    <t>机电系</t>
  </si>
  <si>
    <t>计算机系</t>
  </si>
  <si>
    <t>经管系</t>
  </si>
  <si>
    <t>旅游系</t>
  </si>
  <si>
    <t>英语系</t>
  </si>
  <si>
    <t>总计</t>
  </si>
  <si>
    <t>计算机</t>
  </si>
  <si>
    <t>某校计算机课程选课成绩表</t>
  </si>
  <si>
    <t>学号</t>
  </si>
  <si>
    <t>姓名</t>
  </si>
  <si>
    <t>成绩</t>
  </si>
  <si>
    <t>张三</t>
  </si>
  <si>
    <t>李明明</t>
  </si>
  <si>
    <t>何小鑫</t>
  </si>
  <si>
    <t>刘伟</t>
  </si>
  <si>
    <t>李鹏</t>
  </si>
  <si>
    <t>张慧</t>
  </si>
  <si>
    <t>计算机 平均值</t>
  </si>
  <si>
    <t>总平均值</t>
  </si>
  <si>
    <t>总分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</si>
</sst>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color theme="1"/>
      <name val="仿宋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选修课程成绩单!$E$2</c:f>
              <c:strCache>
                <c:ptCount val="1"/>
                <c:pt idx="0">
                  <c:v>成绩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选修课程成绩单!$A$3:$D$8</c:f>
              <c:multiLvlStrCache>
                <c:ptCount val="6"/>
                <c:lvl>
                  <c:pt idx="0">
                    <c:v>计算机</c:v>
                  </c:pt>
                  <c:pt idx="1">
                    <c:v>计算机</c:v>
                  </c:pt>
                  <c:pt idx="2">
                    <c:v>计算机</c:v>
                  </c:pt>
                  <c:pt idx="3">
                    <c:v>计算机</c:v>
                  </c:pt>
                  <c:pt idx="4">
                    <c:v>计算机</c:v>
                  </c:pt>
                  <c:pt idx="5">
                    <c:v>计算机</c:v>
                  </c:pt>
                </c:lvl>
                <c:lvl>
                  <c:pt idx="0">
                    <c:v>计算机系</c:v>
                  </c:pt>
                  <c:pt idx="1">
                    <c:v>旅游系</c:v>
                  </c:pt>
                  <c:pt idx="2">
                    <c:v>机电系</c:v>
                  </c:pt>
                  <c:pt idx="3">
                    <c:v>英语系</c:v>
                  </c:pt>
                  <c:pt idx="4">
                    <c:v>经管系</c:v>
                  </c:pt>
                  <c:pt idx="5">
                    <c:v>计算机系</c:v>
                  </c:pt>
                </c:lvl>
                <c:lvl>
                  <c:pt idx="0">
                    <c:v>张三</c:v>
                  </c:pt>
                  <c:pt idx="1">
                    <c:v>李明明</c:v>
                  </c:pt>
                  <c:pt idx="2">
                    <c:v>何小鑫</c:v>
                  </c:pt>
                  <c:pt idx="3">
                    <c:v>刘伟</c:v>
                  </c:pt>
                  <c:pt idx="4">
                    <c:v>李鹏</c:v>
                  </c:pt>
                  <c:pt idx="5">
                    <c:v>张慧</c:v>
                  </c:pt>
                </c:lvl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</c:lvl>
              </c:multiLvlStrCache>
            </c:multiLvlStrRef>
          </c:cat>
          <c:val>
            <c:numRef>
              <c:f>选修课程成绩单!$E$3:$E$8</c:f>
              <c:numCache>
                <c:formatCode>General</c:formatCode>
                <c:ptCount val="6"/>
                <c:pt idx="0">
                  <c:v>80</c:v>
                </c:pt>
                <c:pt idx="1">
                  <c:v>88</c:v>
                </c:pt>
                <c:pt idx="2">
                  <c:v>92</c:v>
                </c:pt>
                <c:pt idx="3">
                  <c:v>86</c:v>
                </c:pt>
                <c:pt idx="4">
                  <c:v>92</c:v>
                </c:pt>
                <c:pt idx="5">
                  <c:v>78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73368101"/>
        <c:axId val="404782748"/>
      </c:barChart>
      <c:catAx>
        <c:axId val="67336810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4782748"/>
        <c:crosses val="autoZero"/>
        <c:auto val="1"/>
        <c:lblAlgn val="ctr"/>
        <c:lblOffset val="100"/>
        <c:noMultiLvlLbl val="0"/>
      </c:catAx>
      <c:valAx>
        <c:axId val="4047827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336810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574675</xdr:colOff>
      <xdr:row>13</xdr:row>
      <xdr:rowOff>6350</xdr:rowOff>
    </xdr:from>
    <xdr:to>
      <xdr:col>14</xdr:col>
      <xdr:colOff>346075</xdr:colOff>
      <xdr:row>29</xdr:row>
      <xdr:rowOff>6350</xdr:rowOff>
    </xdr:to>
    <xdr:graphicFrame>
      <xdr:nvGraphicFramePr>
        <xdr:cNvPr id="2" name="图表 1"/>
        <xdr:cNvGraphicFramePr/>
      </xdr:nvGraphicFramePr>
      <xdr:xfrm>
        <a:off x="6379845" y="23495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219.6056712963" refreshedBy="Administrator" recordCount="6">
  <cacheSource type="worksheet">
    <worksheetSource ref="A2:E8" sheet="选修课程成绩单"/>
  </cacheSource>
  <cacheFields count="5">
    <cacheField name="学号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姓名" numFmtId="0">
      <sharedItems count="6">
        <s v="张三"/>
        <s v="李明明"/>
        <s v="何小鑫"/>
        <s v="刘伟"/>
        <s v="李鹏"/>
        <s v="张慧"/>
      </sharedItems>
    </cacheField>
    <cacheField name="系别" numFmtId="0">
      <sharedItems count="5">
        <s v="计算机系"/>
        <s v="旅游系"/>
        <s v="机电系"/>
        <s v="英语系"/>
        <s v="经管系"/>
      </sharedItems>
    </cacheField>
    <cacheField name="课程名称" numFmtId="0">
      <sharedItems count="1">
        <s v="计算机"/>
      </sharedItems>
    </cacheField>
    <cacheField name="成绩" numFmtId="0">
      <sharedItems containsSemiMixedTypes="0" containsString="0" containsNumber="1" containsInteger="1" minValue="78" maxValue="92" count="5">
        <n v="80"/>
        <n v="88"/>
        <n v="92"/>
        <n v="86"/>
        <n v="7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x v="0"/>
    <x v="0"/>
    <x v="0"/>
  </r>
  <r>
    <x v="1"/>
    <x v="1"/>
    <x v="1"/>
    <x v="0"/>
    <x v="1"/>
  </r>
  <r>
    <x v="2"/>
    <x v="2"/>
    <x v="2"/>
    <x v="0"/>
    <x v="2"/>
  </r>
  <r>
    <x v="3"/>
    <x v="3"/>
    <x v="3"/>
    <x v="0"/>
    <x v="3"/>
  </r>
  <r>
    <x v="4"/>
    <x v="4"/>
    <x v="4"/>
    <x v="0"/>
    <x v="2"/>
  </r>
  <r>
    <x v="5"/>
    <x v="5"/>
    <x v="0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G6" firstHeaderRow="1" firstDataRow="2" firstDataCol="1"/>
  <pivotFields count="5">
    <pivotField dataField="1" compact="0" showAll="0"/>
    <pivotField compact="0" showAll="0"/>
    <pivotField axis="axisCol" compact="0" showAll="0">
      <items count="6">
        <item x="2"/>
        <item x="0"/>
        <item x="4"/>
        <item x="1"/>
        <item x="3"/>
        <item t="default"/>
      </items>
    </pivotField>
    <pivotField axis="axisRow" compact="0" showAll="0">
      <items count="2">
        <item x="0"/>
        <item t="default"/>
      </items>
    </pivotField>
    <pivotField compact="0" showAll="0"/>
  </pivotFields>
  <rowFields count="1">
    <field x="3"/>
  </rowFields>
  <rowItems count="2">
    <i>
      <x/>
    </i>
    <i t="grand">
      <x/>
    </i>
  </rowItems>
  <colFields count="1">
    <field x="2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计数项:学号" fld="0" subtotal="count" baseField="0" baseItem="0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G6"/>
  <sheetViews>
    <sheetView tabSelected="1" workbookViewId="0">
      <selection activeCell="G18" sqref="G18"/>
    </sheetView>
  </sheetViews>
  <sheetFormatPr defaultColWidth="9" defaultRowHeight="13.5" outlineLevelRow="5" outlineLevelCol="6"/>
  <cols>
    <col min="1" max="1" width="12.75"/>
    <col min="2" max="6" width="8.875"/>
    <col min="7" max="7" width="5.125"/>
  </cols>
  <sheetData>
    <row r="3" spans="1:2">
      <c r="A3" t="s">
        <v>0</v>
      </c>
      <c r="B3" t="s">
        <v>1</v>
      </c>
    </row>
    <row r="4" spans="1:7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 spans="1:7">
      <c r="A5" t="s">
        <v>9</v>
      </c>
      <c r="B5">
        <v>1</v>
      </c>
      <c r="C5">
        <v>2</v>
      </c>
      <c r="D5">
        <v>1</v>
      </c>
      <c r="E5">
        <v>1</v>
      </c>
      <c r="F5">
        <v>1</v>
      </c>
      <c r="G5">
        <v>6</v>
      </c>
    </row>
    <row r="6" spans="1:7">
      <c r="A6" t="s">
        <v>8</v>
      </c>
      <c r="B6">
        <v>1</v>
      </c>
      <c r="C6">
        <v>2</v>
      </c>
      <c r="D6">
        <v>1</v>
      </c>
      <c r="E6">
        <v>1</v>
      </c>
      <c r="F6">
        <v>1</v>
      </c>
      <c r="G6">
        <v>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P8" sqref="P8"/>
    </sheetView>
  </sheetViews>
  <sheetFormatPr defaultColWidth="9" defaultRowHeight="13.5" outlineLevelCol="4"/>
  <cols>
    <col min="3" max="3" width="10.5583333333333" customWidth="1"/>
    <col min="4" max="4" width="20.625" customWidth="1"/>
  </cols>
  <sheetData>
    <row r="1" ht="22.5" spans="1:5">
      <c r="A1" s="1" t="s">
        <v>10</v>
      </c>
      <c r="B1" s="2"/>
      <c r="C1" s="2"/>
      <c r="D1" s="2"/>
      <c r="E1" s="2"/>
    </row>
    <row r="2" spans="1:5">
      <c r="A2" s="3" t="s">
        <v>11</v>
      </c>
      <c r="B2" s="3" t="s">
        <v>12</v>
      </c>
      <c r="C2" s="3" t="s">
        <v>1</v>
      </c>
      <c r="D2" s="3" t="s">
        <v>2</v>
      </c>
      <c r="E2" s="3" t="s">
        <v>13</v>
      </c>
    </row>
    <row r="3" outlineLevel="2" spans="1:5">
      <c r="A3" s="3">
        <v>1</v>
      </c>
      <c r="B3" s="3" t="s">
        <v>14</v>
      </c>
      <c r="C3" s="3" t="s">
        <v>4</v>
      </c>
      <c r="D3" s="3" t="s">
        <v>9</v>
      </c>
      <c r="E3" s="3">
        <v>80</v>
      </c>
    </row>
    <row r="4" outlineLevel="2" spans="1:5">
      <c r="A4" s="3">
        <v>2</v>
      </c>
      <c r="B4" s="3" t="s">
        <v>15</v>
      </c>
      <c r="C4" s="3" t="s">
        <v>6</v>
      </c>
      <c r="D4" s="3" t="s">
        <v>9</v>
      </c>
      <c r="E4" s="3">
        <v>88</v>
      </c>
    </row>
    <row r="5" outlineLevel="2" spans="1:5">
      <c r="A5" s="3">
        <v>3</v>
      </c>
      <c r="B5" s="3" t="s">
        <v>16</v>
      </c>
      <c r="C5" s="3" t="s">
        <v>3</v>
      </c>
      <c r="D5" s="3" t="s">
        <v>9</v>
      </c>
      <c r="E5" s="3">
        <v>92</v>
      </c>
    </row>
    <row r="6" outlineLevel="2" spans="1:5">
      <c r="A6" s="3">
        <v>4</v>
      </c>
      <c r="B6" s="3" t="s">
        <v>17</v>
      </c>
      <c r="C6" s="3" t="s">
        <v>7</v>
      </c>
      <c r="D6" s="3" t="s">
        <v>9</v>
      </c>
      <c r="E6" s="3">
        <v>86</v>
      </c>
    </row>
    <row r="7" outlineLevel="2" spans="1:5">
      <c r="A7" s="3">
        <v>5</v>
      </c>
      <c r="B7" s="3" t="s">
        <v>18</v>
      </c>
      <c r="C7" s="3" t="s">
        <v>5</v>
      </c>
      <c r="D7" s="3" t="s">
        <v>9</v>
      </c>
      <c r="E7" s="3">
        <v>92</v>
      </c>
    </row>
    <row r="8" outlineLevel="2" spans="1:5">
      <c r="A8" s="3">
        <v>6</v>
      </c>
      <c r="B8" s="3" t="s">
        <v>19</v>
      </c>
      <c r="C8" s="3" t="s">
        <v>4</v>
      </c>
      <c r="D8" s="3" t="s">
        <v>9</v>
      </c>
      <c r="E8" s="3">
        <v>78</v>
      </c>
    </row>
    <row r="9" outlineLevel="1" spans="1:5">
      <c r="A9" s="3"/>
      <c r="B9" s="3"/>
      <c r="C9" s="3"/>
      <c r="D9" s="4" t="s">
        <v>20</v>
      </c>
      <c r="E9" s="3">
        <f>SUBTOTAL(1,E3:E8)</f>
        <v>86</v>
      </c>
    </row>
    <row r="10" spans="1:5">
      <c r="A10" s="3"/>
      <c r="B10" s="3"/>
      <c r="C10" s="3"/>
      <c r="D10" s="4" t="s">
        <v>21</v>
      </c>
      <c r="E10" s="3">
        <f>SUBTOTAL(1,E3:E8)</f>
        <v>86</v>
      </c>
    </row>
    <row r="11" spans="1:5">
      <c r="A11" t="s">
        <v>22</v>
      </c>
      <c r="E11">
        <f>SUM(E3:E8)</f>
        <v>516</v>
      </c>
    </row>
  </sheetData>
  <sortState ref="A3:E8">
    <sortCondition ref="D3:D8"/>
  </sortState>
  <mergeCells count="1">
    <mergeCell ref="A1:E1"/>
  </mergeCells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数据透视</vt:lpstr>
      <vt:lpstr>选修课程成绩单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2023-10-20T06:36:20Z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BFC7E2602F82442DAAB9D4E6B471E31D_12</vt:lpwstr>
  </property>
  <property fmtid="{D5CDD505-2E9C-101B-9397-08002B2CF9AE}" pid="3" name="KSOProductBuildVer">
    <vt:lpwstr>2052-11.1.0.14227</vt:lpwstr>
  </property>
</Properties>
</file>
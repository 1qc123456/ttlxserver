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355" windowHeight="9930" activeTab="4"/>
  </bookViews>
  <sheets>
    <sheet name="产品销售情况表" sheetId="1" r:id="rId1"/>
    <sheet name="Sheet2" sheetId="2" r:id="rId2"/>
    <sheet name="筛选" sheetId="6" r:id="rId3"/>
    <sheet name="分类汇总" sheetId="7" r:id="rId4"/>
    <sheet name="图表" sheetId="8" r:id="rId5"/>
  </sheets>
  <definedNames>
    <definedName name="_xlnm.Criteria" localSheetId="2">筛选!$A$1:$B$3</definedName>
    <definedName name="_xlnm.Extract" localSheetId="2">筛选!$A$5</definedName>
  </definedNames>
  <calcPr calcId="144525"/>
</workbook>
</file>

<file path=xl/sharedStrings.xml><?xml version="1.0" encoding="utf-8"?>
<sst xmlns="http://schemas.openxmlformats.org/spreadsheetml/2006/main" count="123" uniqueCount="28">
  <si>
    <t>某产品第一季度销售情况表</t>
  </si>
  <si>
    <t>产品型号</t>
  </si>
  <si>
    <t>类别</t>
  </si>
  <si>
    <t>1月销量（台）</t>
  </si>
  <si>
    <t>2月销量（台）</t>
  </si>
  <si>
    <t>3月销量（台）</t>
  </si>
  <si>
    <t>总销量</t>
  </si>
  <si>
    <t>销量排名</t>
  </si>
  <si>
    <t>A-1</t>
  </si>
  <si>
    <t>C</t>
  </si>
  <si>
    <t>A-2</t>
  </si>
  <si>
    <t>B</t>
  </si>
  <si>
    <t>A-3</t>
  </si>
  <si>
    <t>A</t>
  </si>
  <si>
    <t>A-4</t>
  </si>
  <si>
    <t>A-5</t>
  </si>
  <si>
    <t>A-6</t>
  </si>
  <si>
    <t>A-7</t>
  </si>
  <si>
    <t>A-8</t>
  </si>
  <si>
    <t>A-9</t>
  </si>
  <si>
    <t>A-10</t>
  </si>
  <si>
    <t>A-11</t>
  </si>
  <si>
    <t>A-12</t>
  </si>
  <si>
    <t>&gt;700</t>
  </si>
  <si>
    <t>A 最大值</t>
  </si>
  <si>
    <t>B 最大值</t>
  </si>
  <si>
    <t>C 最大值</t>
  </si>
  <si>
    <t>总最大值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</si>
</sst>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3">
    <font>
      <sz val="12"/>
      <name val="宋体"/>
      <charset val="134"/>
    </font>
    <font>
      <b/>
      <sz val="12"/>
      <name val="宋体"/>
      <charset val="134"/>
    </font>
    <font>
      <sz val="17"/>
      <color rgb="FF0070C0"/>
      <name val="楷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Font="1" applyBorder="1"/>
    <xf numFmtId="0" fontId="0" fillId="0" borderId="5" xfId="0" applyFont="1" applyBorder="1"/>
    <xf numFmtId="0" fontId="0" fillId="0" borderId="5" xfId="0" applyBorder="1"/>
    <xf numFmtId="176" fontId="0" fillId="0" borderId="5" xfId="0" applyNumberFormat="1" applyBorder="1"/>
    <xf numFmtId="0" fontId="0" fillId="0" borderId="6" xfId="0" applyBorder="1"/>
    <xf numFmtId="0" fontId="0" fillId="0" borderId="7" xfId="0" applyFont="1" applyBorder="1"/>
    <xf numFmtId="0" fontId="0" fillId="0" borderId="8" xfId="0" applyFont="1" applyBorder="1"/>
    <xf numFmtId="0" fontId="0" fillId="0" borderId="8" xfId="0" applyBorder="1"/>
    <xf numFmtId="176" fontId="0" fillId="0" borderId="8" xfId="0" applyNumberFormat="1" applyBorder="1"/>
    <xf numFmtId="0" fontId="0" fillId="0" borderId="9" xfId="0" applyBorder="1"/>
    <xf numFmtId="0" fontId="2" fillId="0" borderId="0" xfId="0" applyFont="1" applyAlignment="1">
      <alignment horizontal="center"/>
    </xf>
    <xf numFmtId="0" fontId="0" fillId="0" borderId="0" xfId="0" applyFont="1"/>
    <xf numFmtId="0" fontId="0" fillId="0" borderId="0" xfId="0" applyNumberFormat="1"/>
    <xf numFmtId="177" fontId="0" fillId="0" borderId="0" xfId="0" applyNumberFormat="1"/>
    <xf numFmtId="0" fontId="0" fillId="0" borderId="0" xfId="0" applyFon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产品总销量图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Sheet2!$F$2</c:f>
              <c:strCache>
                <c:ptCount val="1"/>
                <c:pt idx="0">
                  <c:v>总销量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Sheet2!$A$3:$A$14</c:f>
              <c:strCache>
                <c:ptCount val="12"/>
                <c:pt idx="0">
                  <c:v>A-1</c:v>
                </c:pt>
                <c:pt idx="1">
                  <c:v>A-2</c:v>
                </c:pt>
                <c:pt idx="2">
                  <c:v>A-3</c:v>
                </c:pt>
                <c:pt idx="3">
                  <c:v>A-4</c:v>
                </c:pt>
                <c:pt idx="4">
                  <c:v>A-5</c:v>
                </c:pt>
                <c:pt idx="5">
                  <c:v>A-6</c:v>
                </c:pt>
                <c:pt idx="6">
                  <c:v>A-7</c:v>
                </c:pt>
                <c:pt idx="7">
                  <c:v>A-8</c:v>
                </c:pt>
                <c:pt idx="8">
                  <c:v>A-9</c:v>
                </c:pt>
                <c:pt idx="9">
                  <c:v>A-10</c:v>
                </c:pt>
                <c:pt idx="10">
                  <c:v>A-11</c:v>
                </c:pt>
                <c:pt idx="11">
                  <c:v>A-12</c:v>
                </c:pt>
              </c:strCache>
            </c:strRef>
          </c:cat>
          <c:val>
            <c:numRef>
              <c:f>Sheet2!$F$3:$F$14</c:f>
              <c:numCache>
                <c:formatCode>0_ </c:formatCode>
                <c:ptCount val="12"/>
                <c:pt idx="0">
                  <c:v>746</c:v>
                </c:pt>
                <c:pt idx="1">
                  <c:v>870</c:v>
                </c:pt>
                <c:pt idx="2">
                  <c:v>565</c:v>
                </c:pt>
                <c:pt idx="3">
                  <c:v>694</c:v>
                </c:pt>
                <c:pt idx="4">
                  <c:v>635</c:v>
                </c:pt>
                <c:pt idx="5">
                  <c:v>598</c:v>
                </c:pt>
                <c:pt idx="6">
                  <c:v>1027</c:v>
                </c:pt>
                <c:pt idx="7">
                  <c:v>546</c:v>
                </c:pt>
                <c:pt idx="8">
                  <c:v>628</c:v>
                </c:pt>
                <c:pt idx="9">
                  <c:v>701</c:v>
                </c:pt>
                <c:pt idx="10">
                  <c:v>838</c:v>
                </c:pt>
                <c:pt idx="11">
                  <c:v>1077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6351591"/>
        <c:axId val="883013467"/>
      </c:lineChart>
      <c:catAx>
        <c:axId val="6063515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3013467"/>
        <c:crosses val="autoZero"/>
        <c:auto val="1"/>
        <c:lblAlgn val="ctr"/>
        <c:lblOffset val="100"/>
        <c:noMultiLvlLbl val="0"/>
      </c:catAx>
      <c:valAx>
        <c:axId val="8830134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6351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647700</xdr:colOff>
      <xdr:row>2</xdr:row>
      <xdr:rowOff>34925</xdr:rowOff>
    </xdr:from>
    <xdr:to>
      <xdr:col>7</xdr:col>
      <xdr:colOff>673100</xdr:colOff>
      <xdr:row>17</xdr:row>
      <xdr:rowOff>63500</xdr:rowOff>
    </xdr:to>
    <xdr:graphicFrame>
      <xdr:nvGraphicFramePr>
        <xdr:cNvPr id="2" name="图表 1"/>
        <xdr:cNvGraphicFramePr/>
      </xdr:nvGraphicFramePr>
      <xdr:xfrm>
        <a:off x="647700" y="3968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A2" sqref="A2:G14"/>
    </sheetView>
  </sheetViews>
  <sheetFormatPr defaultColWidth="9" defaultRowHeight="14.25"/>
  <cols>
    <col min="1" max="1" width="9.125" customWidth="1"/>
    <col min="2" max="2" width="6.125" customWidth="1"/>
    <col min="3" max="3" width="14.625" customWidth="1"/>
    <col min="4" max="4" width="14.5" customWidth="1"/>
    <col min="5" max="5" width="14.875" customWidth="1"/>
    <col min="6" max="6" width="10" customWidth="1"/>
    <col min="7" max="7" width="11.375" customWidth="1"/>
    <col min="9" max="9" width="13.625" customWidth="1"/>
  </cols>
  <sheetData>
    <row r="1" ht="28" customHeight="1" spans="1:7">
      <c r="A1" s="15" t="s">
        <v>0</v>
      </c>
      <c r="B1" s="15"/>
      <c r="C1" s="15"/>
      <c r="D1" s="15"/>
      <c r="E1" s="15"/>
      <c r="F1" s="15"/>
      <c r="G1" s="15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6">
      <c r="A3" s="16" t="s">
        <v>8</v>
      </c>
      <c r="B3" s="16" t="s">
        <v>9</v>
      </c>
      <c r="C3">
        <v>223</v>
      </c>
      <c r="D3">
        <v>178</v>
      </c>
      <c r="E3">
        <v>345</v>
      </c>
      <c r="F3" s="17"/>
    </row>
    <row r="4" spans="1:6">
      <c r="A4" s="16" t="s">
        <v>10</v>
      </c>
      <c r="B4" s="16" t="s">
        <v>11</v>
      </c>
      <c r="C4">
        <v>453</v>
      </c>
      <c r="D4">
        <v>198</v>
      </c>
      <c r="E4">
        <v>219</v>
      </c>
      <c r="F4" s="17"/>
    </row>
    <row r="5" spans="1:6">
      <c r="A5" s="16" t="s">
        <v>12</v>
      </c>
      <c r="B5" s="16" t="s">
        <v>13</v>
      </c>
      <c r="C5">
        <v>156</v>
      </c>
      <c r="D5">
        <v>111</v>
      </c>
      <c r="E5">
        <v>298</v>
      </c>
      <c r="F5" s="17"/>
    </row>
    <row r="6" spans="1:6">
      <c r="A6" s="16" t="s">
        <v>14</v>
      </c>
      <c r="B6" s="16" t="s">
        <v>13</v>
      </c>
      <c r="C6">
        <v>266</v>
      </c>
      <c r="D6">
        <v>189</v>
      </c>
      <c r="E6">
        <v>239</v>
      </c>
      <c r="F6" s="17"/>
    </row>
    <row r="7" spans="1:6">
      <c r="A7" s="16" t="s">
        <v>15</v>
      </c>
      <c r="B7" s="16" t="s">
        <v>9</v>
      </c>
      <c r="C7">
        <v>101</v>
      </c>
      <c r="D7">
        <v>167</v>
      </c>
      <c r="E7">
        <v>367</v>
      </c>
      <c r="F7" s="17"/>
    </row>
    <row r="8" spans="1:6">
      <c r="A8" s="16" t="s">
        <v>16</v>
      </c>
      <c r="B8" s="16" t="s">
        <v>11</v>
      </c>
      <c r="C8">
        <v>179</v>
      </c>
      <c r="D8">
        <v>189</v>
      </c>
      <c r="E8">
        <v>230</v>
      </c>
      <c r="F8" s="17"/>
    </row>
    <row r="9" spans="1:6">
      <c r="A9" s="16" t="s">
        <v>17</v>
      </c>
      <c r="B9" s="16" t="s">
        <v>13</v>
      </c>
      <c r="C9">
        <v>362</v>
      </c>
      <c r="D9">
        <v>254</v>
      </c>
      <c r="E9">
        <v>411</v>
      </c>
      <c r="F9" s="17"/>
    </row>
    <row r="10" spans="1:6">
      <c r="A10" s="16" t="s">
        <v>18</v>
      </c>
      <c r="B10" s="16" t="s">
        <v>13</v>
      </c>
      <c r="C10">
        <v>168</v>
      </c>
      <c r="D10">
        <v>122</v>
      </c>
      <c r="E10">
        <v>256</v>
      </c>
      <c r="F10" s="17"/>
    </row>
    <row r="11" spans="1:6">
      <c r="A11" s="16" t="s">
        <v>19</v>
      </c>
      <c r="B11" s="16" t="s">
        <v>11</v>
      </c>
      <c r="C11">
        <v>191</v>
      </c>
      <c r="D11">
        <v>189</v>
      </c>
      <c r="E11">
        <v>248</v>
      </c>
      <c r="F11" s="17"/>
    </row>
    <row r="12" spans="1:6">
      <c r="A12" s="16" t="s">
        <v>20</v>
      </c>
      <c r="B12" s="16" t="s">
        <v>11</v>
      </c>
      <c r="C12">
        <v>189</v>
      </c>
      <c r="D12">
        <v>167</v>
      </c>
      <c r="E12">
        <v>345</v>
      </c>
      <c r="F12" s="17"/>
    </row>
    <row r="13" spans="1:8">
      <c r="A13" s="16" t="s">
        <v>21</v>
      </c>
      <c r="B13" s="16" t="s">
        <v>9</v>
      </c>
      <c r="C13">
        <v>265</v>
      </c>
      <c r="D13">
        <v>198</v>
      </c>
      <c r="E13">
        <v>375</v>
      </c>
      <c r="H13" s="18"/>
    </row>
    <row r="14" spans="1:8">
      <c r="A14" s="16" t="s">
        <v>22</v>
      </c>
      <c r="B14" s="16" t="s">
        <v>9</v>
      </c>
      <c r="C14">
        <v>345</v>
      </c>
      <c r="D14">
        <v>211</v>
      </c>
      <c r="E14">
        <v>521</v>
      </c>
      <c r="H14" s="18"/>
    </row>
    <row r="15" spans="1:9">
      <c r="A15" s="19"/>
      <c r="B15" s="19"/>
      <c r="C15" s="19"/>
      <c r="D15" s="19"/>
      <c r="E15" s="19"/>
      <c r="F15" s="18"/>
      <c r="I15" s="18"/>
    </row>
    <row r="16" spans="6:9">
      <c r="F16" s="18"/>
      <c r="I16" s="18"/>
    </row>
    <row r="17" spans="9:9">
      <c r="I17" s="18"/>
    </row>
  </sheetData>
  <mergeCells count="2">
    <mergeCell ref="A1:G1"/>
    <mergeCell ref="A15:E15"/>
  </mergeCells>
  <pageMargins left="0.75" right="0.75" top="1" bottom="1" header="0.5" footer="0.5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4"/>
  <sheetViews>
    <sheetView workbookViewId="0">
      <selection activeCell="A2" sqref="A2:G14"/>
    </sheetView>
  </sheetViews>
  <sheetFormatPr defaultColWidth="9" defaultRowHeight="14.25" outlineLevelCol="6"/>
  <sheetData>
    <row r="2" ht="15" spans="1:7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</row>
    <row r="3" spans="1:7">
      <c r="A3" s="5" t="s">
        <v>8</v>
      </c>
      <c r="B3" s="6" t="s">
        <v>9</v>
      </c>
      <c r="C3" s="7">
        <v>223</v>
      </c>
      <c r="D3" s="7">
        <v>178</v>
      </c>
      <c r="E3" s="7">
        <v>345</v>
      </c>
      <c r="F3" s="8">
        <f>SUM(C3:E3)</f>
        <v>746</v>
      </c>
      <c r="G3" s="9">
        <f>RANK(F3,$F$3:$F$14,0)</f>
        <v>5</v>
      </c>
    </row>
    <row r="4" spans="1:7">
      <c r="A4" s="5" t="s">
        <v>10</v>
      </c>
      <c r="B4" s="6" t="s">
        <v>11</v>
      </c>
      <c r="C4" s="7">
        <v>453</v>
      </c>
      <c r="D4" s="7">
        <v>198</v>
      </c>
      <c r="E4" s="7">
        <v>219</v>
      </c>
      <c r="F4" s="8">
        <f t="shared" ref="F4:F14" si="0">SUM(C4:E4)</f>
        <v>870</v>
      </c>
      <c r="G4" s="9">
        <f t="shared" ref="G4:G14" si="1">RANK(F4,$F$3:$F$14,0)</f>
        <v>3</v>
      </c>
    </row>
    <row r="5" spans="1:7">
      <c r="A5" s="5" t="s">
        <v>12</v>
      </c>
      <c r="B5" s="6" t="s">
        <v>13</v>
      </c>
      <c r="C5" s="7">
        <v>156</v>
      </c>
      <c r="D5" s="7">
        <v>111</v>
      </c>
      <c r="E5" s="7">
        <v>298</v>
      </c>
      <c r="F5" s="8">
        <f t="shared" si="0"/>
        <v>565</v>
      </c>
      <c r="G5" s="9">
        <f t="shared" si="1"/>
        <v>11</v>
      </c>
    </row>
    <row r="6" spans="1:7">
      <c r="A6" s="5" t="s">
        <v>14</v>
      </c>
      <c r="B6" s="6" t="s">
        <v>13</v>
      </c>
      <c r="C6" s="7">
        <v>266</v>
      </c>
      <c r="D6" s="7">
        <v>189</v>
      </c>
      <c r="E6" s="7">
        <v>239</v>
      </c>
      <c r="F6" s="8">
        <f t="shared" si="0"/>
        <v>694</v>
      </c>
      <c r="G6" s="9">
        <f t="shared" si="1"/>
        <v>7</v>
      </c>
    </row>
    <row r="7" spans="1:7">
      <c r="A7" s="5" t="s">
        <v>15</v>
      </c>
      <c r="B7" s="6" t="s">
        <v>9</v>
      </c>
      <c r="C7" s="7">
        <v>101</v>
      </c>
      <c r="D7" s="7">
        <v>167</v>
      </c>
      <c r="E7" s="7">
        <v>367</v>
      </c>
      <c r="F7" s="8">
        <f t="shared" si="0"/>
        <v>635</v>
      </c>
      <c r="G7" s="9">
        <f t="shared" si="1"/>
        <v>8</v>
      </c>
    </row>
    <row r="8" spans="1:7">
      <c r="A8" s="5" t="s">
        <v>16</v>
      </c>
      <c r="B8" s="6" t="s">
        <v>11</v>
      </c>
      <c r="C8" s="7">
        <v>179</v>
      </c>
      <c r="D8" s="7">
        <v>189</v>
      </c>
      <c r="E8" s="7">
        <v>230</v>
      </c>
      <c r="F8" s="8">
        <f t="shared" si="0"/>
        <v>598</v>
      </c>
      <c r="G8" s="9">
        <f t="shared" si="1"/>
        <v>10</v>
      </c>
    </row>
    <row r="9" spans="1:7">
      <c r="A9" s="5" t="s">
        <v>17</v>
      </c>
      <c r="B9" s="6" t="s">
        <v>13</v>
      </c>
      <c r="C9" s="7">
        <v>362</v>
      </c>
      <c r="D9" s="7">
        <v>254</v>
      </c>
      <c r="E9" s="7">
        <v>411</v>
      </c>
      <c r="F9" s="8">
        <f t="shared" si="0"/>
        <v>1027</v>
      </c>
      <c r="G9" s="9">
        <f t="shared" si="1"/>
        <v>2</v>
      </c>
    </row>
    <row r="10" spans="1:7">
      <c r="A10" s="5" t="s">
        <v>18</v>
      </c>
      <c r="B10" s="6" t="s">
        <v>13</v>
      </c>
      <c r="C10" s="7">
        <v>168</v>
      </c>
      <c r="D10" s="7">
        <v>122</v>
      </c>
      <c r="E10" s="7">
        <v>256</v>
      </c>
      <c r="F10" s="8">
        <f t="shared" si="0"/>
        <v>546</v>
      </c>
      <c r="G10" s="9">
        <f t="shared" si="1"/>
        <v>12</v>
      </c>
    </row>
    <row r="11" spans="1:7">
      <c r="A11" s="5" t="s">
        <v>19</v>
      </c>
      <c r="B11" s="6" t="s">
        <v>11</v>
      </c>
      <c r="C11" s="7">
        <v>191</v>
      </c>
      <c r="D11" s="7">
        <v>189</v>
      </c>
      <c r="E11" s="7">
        <v>248</v>
      </c>
      <c r="F11" s="8">
        <f t="shared" si="0"/>
        <v>628</v>
      </c>
      <c r="G11" s="9">
        <f t="shared" si="1"/>
        <v>9</v>
      </c>
    </row>
    <row r="12" spans="1:7">
      <c r="A12" s="5" t="s">
        <v>20</v>
      </c>
      <c r="B12" s="6" t="s">
        <v>11</v>
      </c>
      <c r="C12" s="7">
        <v>189</v>
      </c>
      <c r="D12" s="7">
        <v>167</v>
      </c>
      <c r="E12" s="7">
        <v>345</v>
      </c>
      <c r="F12" s="8">
        <f t="shared" si="0"/>
        <v>701</v>
      </c>
      <c r="G12" s="9">
        <f t="shared" si="1"/>
        <v>6</v>
      </c>
    </row>
    <row r="13" spans="1:7">
      <c r="A13" s="5" t="s">
        <v>21</v>
      </c>
      <c r="B13" s="6" t="s">
        <v>9</v>
      </c>
      <c r="C13" s="7">
        <v>265</v>
      </c>
      <c r="D13" s="7">
        <v>198</v>
      </c>
      <c r="E13" s="7">
        <v>375</v>
      </c>
      <c r="F13" s="8">
        <f t="shared" si="0"/>
        <v>838</v>
      </c>
      <c r="G13" s="9">
        <f t="shared" si="1"/>
        <v>4</v>
      </c>
    </row>
    <row r="14" ht="15" spans="1:7">
      <c r="A14" s="10" t="s">
        <v>22</v>
      </c>
      <c r="B14" s="11" t="s">
        <v>9</v>
      </c>
      <c r="C14" s="12">
        <v>345</v>
      </c>
      <c r="D14" s="12">
        <v>211</v>
      </c>
      <c r="E14" s="12">
        <v>521</v>
      </c>
      <c r="F14" s="13">
        <f t="shared" si="0"/>
        <v>1077</v>
      </c>
      <c r="G14" s="14">
        <f t="shared" si="1"/>
        <v>1</v>
      </c>
    </row>
  </sheetData>
  <conditionalFormatting sqref="F3:F14">
    <cfRule type="cellIs" dxfId="0" priority="1" operator="between">
      <formula>500</formula>
      <formula>800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C20" sqref="C20"/>
    </sheetView>
  </sheetViews>
  <sheetFormatPr defaultColWidth="9" defaultRowHeight="14.25" outlineLevelCol="6"/>
  <sheetData>
    <row r="1" spans="1:2">
      <c r="A1" t="s">
        <v>2</v>
      </c>
      <c r="B1" t="s">
        <v>6</v>
      </c>
    </row>
    <row r="2" spans="1:1">
      <c r="A2" t="s">
        <v>9</v>
      </c>
    </row>
    <row r="3" spans="2:2">
      <c r="B3" t="s">
        <v>23</v>
      </c>
    </row>
    <row r="4" ht="15"/>
    <row r="5" ht="15" spans="1:7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 t="s">
        <v>7</v>
      </c>
    </row>
    <row r="6" spans="1:7">
      <c r="A6" s="5" t="s">
        <v>8</v>
      </c>
      <c r="B6" s="6" t="s">
        <v>9</v>
      </c>
      <c r="C6" s="7">
        <v>223</v>
      </c>
      <c r="D6" s="7">
        <v>178</v>
      </c>
      <c r="E6" s="7">
        <v>345</v>
      </c>
      <c r="F6" s="8">
        <v>746</v>
      </c>
      <c r="G6" s="9">
        <v>5</v>
      </c>
    </row>
    <row r="7" spans="1:7">
      <c r="A7" s="5" t="s">
        <v>10</v>
      </c>
      <c r="B7" s="6" t="s">
        <v>11</v>
      </c>
      <c r="C7" s="7">
        <v>453</v>
      </c>
      <c r="D7" s="7">
        <v>198</v>
      </c>
      <c r="E7" s="7">
        <v>219</v>
      </c>
      <c r="F7" s="8">
        <v>870</v>
      </c>
      <c r="G7" s="9">
        <v>3</v>
      </c>
    </row>
    <row r="8" spans="1:7">
      <c r="A8" s="5" t="s">
        <v>15</v>
      </c>
      <c r="B8" s="6" t="s">
        <v>9</v>
      </c>
      <c r="C8" s="7">
        <v>101</v>
      </c>
      <c r="D8" s="7">
        <v>167</v>
      </c>
      <c r="E8" s="7">
        <v>367</v>
      </c>
      <c r="F8" s="8">
        <v>635</v>
      </c>
      <c r="G8" s="9">
        <v>8</v>
      </c>
    </row>
    <row r="9" spans="1:7">
      <c r="A9" s="5" t="s">
        <v>17</v>
      </c>
      <c r="B9" s="6" t="s">
        <v>13</v>
      </c>
      <c r="C9" s="7">
        <v>362</v>
      </c>
      <c r="D9" s="7">
        <v>254</v>
      </c>
      <c r="E9" s="7">
        <v>411</v>
      </c>
      <c r="F9" s="8">
        <v>1027</v>
      </c>
      <c r="G9" s="9">
        <v>2</v>
      </c>
    </row>
    <row r="10" spans="1:7">
      <c r="A10" s="5" t="s">
        <v>20</v>
      </c>
      <c r="B10" s="6" t="s">
        <v>11</v>
      </c>
      <c r="C10" s="7">
        <v>189</v>
      </c>
      <c r="D10" s="7">
        <v>167</v>
      </c>
      <c r="E10" s="7">
        <v>345</v>
      </c>
      <c r="F10" s="8">
        <v>701</v>
      </c>
      <c r="G10" s="9">
        <v>6</v>
      </c>
    </row>
    <row r="11" spans="1:7">
      <c r="A11" s="5" t="s">
        <v>21</v>
      </c>
      <c r="B11" s="6" t="s">
        <v>9</v>
      </c>
      <c r="C11" s="7">
        <v>265</v>
      </c>
      <c r="D11" s="7">
        <v>198</v>
      </c>
      <c r="E11" s="7">
        <v>375</v>
      </c>
      <c r="F11" s="8">
        <v>838</v>
      </c>
      <c r="G11" s="9">
        <v>4</v>
      </c>
    </row>
    <row r="12" ht="15" spans="1:7">
      <c r="A12" s="10" t="s">
        <v>22</v>
      </c>
      <c r="B12" s="11" t="s">
        <v>9</v>
      </c>
      <c r="C12" s="12">
        <v>345</v>
      </c>
      <c r="D12" s="12">
        <v>211</v>
      </c>
      <c r="E12" s="12">
        <v>521</v>
      </c>
      <c r="F12" s="13">
        <v>1077</v>
      </c>
      <c r="G12" s="14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H21" sqref="H21"/>
    </sheetView>
  </sheetViews>
  <sheetFormatPr defaultColWidth="9" defaultRowHeight="14.25" outlineLevelCol="6"/>
  <sheetData>
    <row r="1" spans="1:7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outlineLevel="2" spans="1:7">
      <c r="A2" t="s">
        <v>12</v>
      </c>
      <c r="B2" t="s">
        <v>13</v>
      </c>
      <c r="C2">
        <v>156</v>
      </c>
      <c r="D2">
        <v>111</v>
      </c>
      <c r="E2">
        <v>298</v>
      </c>
      <c r="F2">
        <v>565</v>
      </c>
      <c r="G2">
        <v>11</v>
      </c>
    </row>
    <row r="3" outlineLevel="2" spans="1:7">
      <c r="A3" t="s">
        <v>14</v>
      </c>
      <c r="B3" t="s">
        <v>13</v>
      </c>
      <c r="C3">
        <v>266</v>
      </c>
      <c r="D3">
        <v>189</v>
      </c>
      <c r="E3">
        <v>239</v>
      </c>
      <c r="F3">
        <v>694</v>
      </c>
      <c r="G3">
        <v>7</v>
      </c>
    </row>
    <row r="4" outlineLevel="2" spans="1:7">
      <c r="A4" t="s">
        <v>17</v>
      </c>
      <c r="B4" t="s">
        <v>13</v>
      </c>
      <c r="C4">
        <v>362</v>
      </c>
      <c r="D4">
        <v>254</v>
      </c>
      <c r="E4">
        <v>411</v>
      </c>
      <c r="F4">
        <v>1027</v>
      </c>
      <c r="G4">
        <v>2</v>
      </c>
    </row>
    <row r="5" outlineLevel="2" spans="1:7">
      <c r="A5" t="s">
        <v>18</v>
      </c>
      <c r="B5" t="s">
        <v>13</v>
      </c>
      <c r="C5">
        <v>168</v>
      </c>
      <c r="D5">
        <v>122</v>
      </c>
      <c r="E5">
        <v>256</v>
      </c>
      <c r="F5">
        <v>546</v>
      </c>
      <c r="G5">
        <v>12</v>
      </c>
    </row>
    <row r="6" outlineLevel="1" spans="2:6">
      <c r="B6" s="1" t="s">
        <v>24</v>
      </c>
      <c r="F6">
        <f>SUBTOTAL(4,F2:F5)</f>
        <v>1027</v>
      </c>
    </row>
    <row r="7" outlineLevel="2" spans="1:7">
      <c r="A7" t="s">
        <v>10</v>
      </c>
      <c r="B7" t="s">
        <v>11</v>
      </c>
      <c r="C7">
        <v>453</v>
      </c>
      <c r="D7">
        <v>198</v>
      </c>
      <c r="E7">
        <v>219</v>
      </c>
      <c r="F7">
        <v>870</v>
      </c>
      <c r="G7">
        <v>3</v>
      </c>
    </row>
    <row r="8" outlineLevel="2" spans="1:7">
      <c r="A8" t="s">
        <v>16</v>
      </c>
      <c r="B8" t="s">
        <v>11</v>
      </c>
      <c r="C8">
        <v>179</v>
      </c>
      <c r="D8">
        <v>189</v>
      </c>
      <c r="E8">
        <v>230</v>
      </c>
      <c r="F8">
        <v>598</v>
      </c>
      <c r="G8">
        <v>10</v>
      </c>
    </row>
    <row r="9" outlineLevel="2" spans="1:7">
      <c r="A9" t="s">
        <v>19</v>
      </c>
      <c r="B9" t="s">
        <v>11</v>
      </c>
      <c r="C9">
        <v>191</v>
      </c>
      <c r="D9">
        <v>189</v>
      </c>
      <c r="E9">
        <v>248</v>
      </c>
      <c r="F9">
        <v>628</v>
      </c>
      <c r="G9">
        <v>9</v>
      </c>
    </row>
    <row r="10" outlineLevel="2" spans="1:7">
      <c r="A10" t="s">
        <v>20</v>
      </c>
      <c r="B10" t="s">
        <v>11</v>
      </c>
      <c r="C10">
        <v>189</v>
      </c>
      <c r="D10">
        <v>167</v>
      </c>
      <c r="E10">
        <v>345</v>
      </c>
      <c r="F10">
        <v>701</v>
      </c>
      <c r="G10">
        <v>6</v>
      </c>
    </row>
    <row r="11" outlineLevel="1" spans="2:6">
      <c r="B11" s="1" t="s">
        <v>25</v>
      </c>
      <c r="F11">
        <f>SUBTOTAL(4,F7:F10)</f>
        <v>870</v>
      </c>
    </row>
    <row r="12" outlineLevel="2" spans="1:7">
      <c r="A12" t="s">
        <v>8</v>
      </c>
      <c r="B12" t="s">
        <v>9</v>
      </c>
      <c r="C12">
        <v>223</v>
      </c>
      <c r="D12">
        <v>178</v>
      </c>
      <c r="E12">
        <v>345</v>
      </c>
      <c r="F12">
        <v>746</v>
      </c>
      <c r="G12">
        <v>5</v>
      </c>
    </row>
    <row r="13" outlineLevel="2" spans="1:7">
      <c r="A13" t="s">
        <v>15</v>
      </c>
      <c r="B13" t="s">
        <v>9</v>
      </c>
      <c r="C13">
        <v>101</v>
      </c>
      <c r="D13">
        <v>167</v>
      </c>
      <c r="E13">
        <v>367</v>
      </c>
      <c r="F13">
        <v>635</v>
      </c>
      <c r="G13">
        <v>8</v>
      </c>
    </row>
    <row r="14" outlineLevel="2" spans="1:7">
      <c r="A14" t="s">
        <v>21</v>
      </c>
      <c r="B14" t="s">
        <v>9</v>
      </c>
      <c r="C14">
        <v>265</v>
      </c>
      <c r="D14">
        <v>198</v>
      </c>
      <c r="E14">
        <v>375</v>
      </c>
      <c r="F14">
        <v>838</v>
      </c>
      <c r="G14">
        <v>4</v>
      </c>
    </row>
    <row r="15" outlineLevel="2" spans="1:7">
      <c r="A15" t="s">
        <v>22</v>
      </c>
      <c r="B15" t="s">
        <v>9</v>
      </c>
      <c r="C15">
        <v>345</v>
      </c>
      <c r="D15">
        <v>211</v>
      </c>
      <c r="E15">
        <v>521</v>
      </c>
      <c r="F15">
        <v>1077</v>
      </c>
      <c r="G15">
        <v>1</v>
      </c>
    </row>
    <row r="16" outlineLevel="1" spans="2:6">
      <c r="B16" s="1" t="s">
        <v>26</v>
      </c>
      <c r="F16">
        <f>SUBTOTAL(4,F12:F15)</f>
        <v>1077</v>
      </c>
    </row>
    <row r="17" spans="2:6">
      <c r="B17" s="1" t="s">
        <v>27</v>
      </c>
      <c r="F17">
        <f>SUBTOTAL(4,F2:F15)</f>
        <v>1077</v>
      </c>
    </row>
  </sheetData>
  <sortState ref="A2:G13">
    <sortCondition ref="B2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J11" sqref="J11"/>
    </sheetView>
  </sheetViews>
  <sheetFormatPr defaultColWidth="9" defaultRowHeight="14.2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Legend (Beijing) Limited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产品销售情况表</vt:lpstr>
      <vt:lpstr>Sheet2</vt:lpstr>
      <vt:lpstr>筛选</vt:lpstr>
      <vt:lpstr>分类汇总</vt:lpstr>
      <vt:lpstr>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zy</cp:lastModifiedBy>
  <dcterms:created xsi:type="dcterms:W3CDTF">2006-09-05T00:03:00Z</dcterms:created>
  <dcterms:modified xsi:type="dcterms:W3CDTF">2024-01-05T01:05:32Z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B26346C4C2B840B1B7C0020BD774C03F_12</vt:lpwstr>
  </property>
  <property fmtid="{D5CDD505-2E9C-101B-9397-08002B2CF9AE}" pid="3" name="KSOProductBuildVer">
    <vt:lpwstr>2052-12.1.0.15712</vt:lpwstr>
  </property>
</Properties>
</file>
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 activeTab="1"/>
  </bookViews>
  <sheets>
    <sheet name="交易数量统计" sheetId="2" r:id="rId1"/>
    <sheet name="登记表" sheetId="1" r:id="rId2"/>
  </sheets>
  <definedNames>
    <definedName name="_xlnm.Print_Area" localSheetId="1">登记表!$C$2:$U$34</definedName>
  </definedNames>
  <calcPr calcId="144525"/>
  <pivotCaches>
    <pivotCache cacheId="0" r:id="rId3"/>
  </pivotCaches>
</workbook>
</file>

<file path=xl/comments1.xml><?xml version="1.0" encoding="utf-8"?>
<comments xmlns="http://schemas.openxmlformats.org/spreadsheetml/2006/main">
  <authors>
    <author>25472</author>
  </authors>
  <commentList>
    <comment ref="U5" authorId="0">
      <text>
        <r>
          <rPr>
            <sz val="9"/>
            <rFont val="宋体"/>
            <charset val="134"/>
          </rPr>
          <t>优惠金额：500=SVIP，200=VIP，100=普通。</t>
        </r>
      </text>
    </comment>
  </commentList>
</comments>
</file>

<file path=xl/sharedStrings.xml><?xml version="1.0" encoding="utf-8"?>
<sst xmlns="http://schemas.openxmlformats.org/spreadsheetml/2006/main" count="160" uniqueCount="64">
  <si>
    <t>计数项:客户名称</t>
  </si>
  <si>
    <t>货物名称</t>
  </si>
  <si>
    <t>交易日期</t>
  </si>
  <si>
    <t>iPad</t>
  </si>
  <si>
    <t>笔记本</t>
  </si>
  <si>
    <t>手机</t>
  </si>
  <si>
    <t>总计</t>
  </si>
  <si>
    <t>2月</t>
  </si>
  <si>
    <t>3月</t>
  </si>
  <si>
    <t>客户购买登记表-销售管理</t>
  </si>
  <si>
    <t>三月交易次数</t>
  </si>
  <si>
    <t>序号</t>
  </si>
  <si>
    <t>客户名称</t>
  </si>
  <si>
    <t>客户电话</t>
  </si>
  <si>
    <t>客户等级</t>
  </si>
  <si>
    <t>等级符号</t>
  </si>
  <si>
    <t>销售金额</t>
  </si>
  <si>
    <t>客户地址</t>
  </si>
  <si>
    <t>优惠金额</t>
  </si>
  <si>
    <t>备注</t>
  </si>
  <si>
    <t>购买次数</t>
  </si>
  <si>
    <t>温先生</t>
  </si>
  <si>
    <t>1234-5678-9874</t>
  </si>
  <si>
    <t>江苏省苏州市XX路</t>
  </si>
  <si>
    <t>李丽娇</t>
  </si>
  <si>
    <t>1234-5678-9875</t>
  </si>
  <si>
    <t>赵小姐</t>
  </si>
  <si>
    <t>1234-5678-9876</t>
  </si>
  <si>
    <t>1234-5678-9878</t>
  </si>
  <si>
    <t>1234-5678-9879</t>
  </si>
  <si>
    <t>1234-5678-9880</t>
  </si>
  <si>
    <t>1234-5678-9881</t>
  </si>
  <si>
    <t>1234-5678-9882</t>
  </si>
  <si>
    <t>1234-5678-9883</t>
  </si>
  <si>
    <t>1234-5678-9884</t>
  </si>
  <si>
    <t>1234-5678-9885</t>
  </si>
  <si>
    <t>1234-5678-9886</t>
  </si>
  <si>
    <t>1234-5678-9887</t>
  </si>
  <si>
    <t>销售额</t>
  </si>
  <si>
    <t>符号标注</t>
  </si>
  <si>
    <t>1234-5678-9888</t>
  </si>
  <si>
    <t>C</t>
  </si>
  <si>
    <t>1234-5678-9889</t>
  </si>
  <si>
    <t>5001-10000</t>
  </si>
  <si>
    <t>B</t>
  </si>
  <si>
    <t>1234-5678-9890</t>
  </si>
  <si>
    <t>A</t>
  </si>
  <si>
    <t>1234-5678-9891</t>
  </si>
  <si>
    <t>1234-5678-9892</t>
  </si>
  <si>
    <t>总销售金额</t>
  </si>
  <si>
    <t>1234-5678-9893</t>
  </si>
  <si>
    <t>1234-5678-9894</t>
  </si>
  <si>
    <t>总优惠金额</t>
  </si>
  <si>
    <t>1234-5678-9895</t>
  </si>
  <si>
    <t>1234-5678-9896</t>
  </si>
  <si>
    <t>开始时间</t>
  </si>
  <si>
    <t>1234-5678-9897</t>
  </si>
  <si>
    <t>1234-5678-9898</t>
  </si>
  <si>
    <t>结束时间</t>
  </si>
  <si>
    <t>1234-5678-9899</t>
  </si>
  <si>
    <t>1234-5678-9900</t>
  </si>
  <si>
    <t>对应时间段销售金额</t>
  </si>
  <si>
    <t>1234-5678-9901</t>
  </si>
  <si>
    <t>1234-5678-9902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</si>
</sst>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yyyy/m/d\ aaaa"/>
    <numFmt numFmtId="179" formatCode="0.00_ ;[Red]\-0.00\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22"/>
      <color theme="0"/>
      <name val="微软雅黑"/>
      <charset val="134"/>
    </font>
    <font>
      <b/>
      <sz val="12"/>
      <color theme="0"/>
      <name val="微软雅黑"/>
      <charset val="134"/>
    </font>
    <font>
      <sz val="11"/>
      <color theme="0"/>
      <name val="微软雅黑"/>
      <charset val="134"/>
    </font>
    <font>
      <sz val="16"/>
      <color theme="1"/>
      <name val="微软雅黑"/>
      <charset val="134"/>
    </font>
    <font>
      <sz val="10"/>
      <color theme="0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FF0E6"/>
        <bgColor indexed="64"/>
      </patternFill>
    </fill>
    <fill>
      <patternFill patternType="solid">
        <fgColor rgb="FF4DC3BC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0" tint="-0.05"/>
      </left>
      <right/>
      <top style="thin">
        <color theme="0" tint="-0.05"/>
      </top>
      <bottom/>
      <diagonal/>
    </border>
    <border>
      <left/>
      <right/>
      <top style="thin">
        <color theme="0" tint="-0.05"/>
      </top>
      <bottom/>
      <diagonal/>
    </border>
    <border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>
      <left/>
      <right/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/>
      <top/>
      <bottom style="thin">
        <color theme="0" tint="-0.15"/>
      </bottom>
      <diagonal/>
    </border>
    <border>
      <left/>
      <right/>
      <top/>
      <bottom style="thin">
        <color theme="0" tint="-0.15"/>
      </bottom>
      <diagonal/>
    </border>
    <border>
      <left/>
      <right style="thin">
        <color theme="0" tint="-0.15"/>
      </right>
      <top/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>
      <left/>
      <right style="thin">
        <color theme="0" tint="-0.05"/>
      </right>
      <top style="thin">
        <color theme="0" tint="-0.05"/>
      </top>
      <bottom/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/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 style="thin">
        <color theme="0" tint="-0.05"/>
      </left>
      <right/>
      <top style="thin">
        <color theme="0" tint="-0.05"/>
      </top>
      <bottom style="thin">
        <color theme="0" tint="-0.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8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0" fontId="5" fillId="3" borderId="3" xfId="0" applyNumberFormat="1" applyFont="1" applyFill="1" applyBorder="1" applyAlignment="1" applyProtection="1">
      <alignment horizontal="center" vertical="center" wrapText="1"/>
    </xf>
    <xf numFmtId="0" fontId="5" fillId="3" borderId="4" xfId="0" applyNumberFormat="1" applyFont="1" applyFill="1" applyBorder="1" applyAlignment="1" applyProtection="1">
      <alignment horizontal="center" vertical="center" wrapText="1"/>
    </xf>
    <xf numFmtId="0" fontId="5" fillId="3" borderId="5" xfId="0" applyNumberFormat="1" applyFont="1" applyFill="1" applyBorder="1" applyAlignment="1" applyProtection="1">
      <alignment horizontal="center" vertical="center" wrapText="1"/>
    </xf>
    <xf numFmtId="0" fontId="5" fillId="3" borderId="6" xfId="0" applyNumberFormat="1" applyFont="1" applyFill="1" applyBorder="1" applyAlignment="1" applyProtection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7" fontId="2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3" borderId="11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3" borderId="12" xfId="0" applyNumberFormat="1" applyFont="1" applyFill="1" applyBorder="1" applyAlignment="1" applyProtection="1">
      <alignment horizontal="center" vertical="center" wrapText="1"/>
    </xf>
    <xf numFmtId="0" fontId="5" fillId="3" borderId="13" xfId="0" applyNumberFormat="1" applyFont="1" applyFill="1" applyBorder="1" applyAlignment="1" applyProtection="1">
      <alignment horizontal="center" vertical="center" wrapText="1"/>
    </xf>
    <xf numFmtId="0" fontId="10" fillId="0" borderId="6" xfId="0" applyFont="1" applyFill="1" applyBorder="1" applyAlignment="1">
      <alignment horizontal="center" vertical="center" shrinkToFit="1"/>
    </xf>
    <xf numFmtId="178" fontId="10" fillId="0" borderId="6" xfId="0" applyNumberFormat="1" applyFont="1" applyFill="1" applyBorder="1" applyAlignment="1">
      <alignment horizontal="center" vertical="center" shrinkToFit="1"/>
    </xf>
    <xf numFmtId="0" fontId="10" fillId="4" borderId="5" xfId="0" applyFont="1" applyFill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76" fontId="3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0" fontId="5" fillId="3" borderId="14" xfId="0" applyNumberFormat="1" applyFont="1" applyFill="1" applyBorder="1" applyAlignment="1" applyProtection="1">
      <alignment horizontal="center" vertical="center" wrapText="1"/>
    </xf>
    <xf numFmtId="176" fontId="5" fillId="3" borderId="12" xfId="0" applyNumberFormat="1" applyFont="1" applyFill="1" applyBorder="1" applyAlignment="1" applyProtection="1">
      <alignment horizontal="center" vertical="center" wrapText="1"/>
    </xf>
    <xf numFmtId="177" fontId="5" fillId="3" borderId="12" xfId="0" applyNumberFormat="1" applyFont="1" applyFill="1" applyBorder="1" applyAlignment="1" applyProtection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 shrinkToFit="1"/>
    </xf>
    <xf numFmtId="0" fontId="10" fillId="4" borderId="3" xfId="0" applyFont="1" applyFill="1" applyBorder="1" applyAlignment="1">
      <alignment horizontal="center" vertical="center" shrinkToFit="1"/>
    </xf>
    <xf numFmtId="176" fontId="10" fillId="0" borderId="6" xfId="0" applyNumberFormat="1" applyFont="1" applyFill="1" applyBorder="1" applyAlignment="1">
      <alignment horizontal="center" vertical="center" shrinkToFit="1"/>
    </xf>
    <xf numFmtId="179" fontId="10" fillId="0" borderId="6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E0CFC"/>
      <color rgb="00697EEB"/>
      <color rgb="00FD4F4E"/>
      <color rgb="0035CDD2"/>
      <color rgb="00C332F7"/>
      <color rgb="007ADFDB"/>
      <color rgb="0063CFD5"/>
      <color rgb="004BD4BA"/>
      <color rgb="004DC3BC"/>
      <color rgb="00BFF0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登记表!$I$6</c:f>
              <c:strCache>
                <c:ptCount val="1"/>
                <c:pt idx="0">
                  <c:v>购买次数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noFill/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0">
                    <a:srgbClr val="BFF0E6"/>
                  </a:gs>
                  <a:gs pos="100000">
                    <a:srgbClr val="4DC3BC"/>
                  </a:gs>
                </a:gsLst>
                <a:lin ang="5400000" scaled="0"/>
              </a:gradFill>
              <a:ln>
                <a:noFill/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登记表!$H$7:$H$9</c:f>
              <c:strCache>
                <c:ptCount val="3"/>
                <c:pt idx="0">
                  <c:v>笔记本</c:v>
                </c:pt>
                <c:pt idx="1">
                  <c:v>手机</c:v>
                </c:pt>
                <c:pt idx="2">
                  <c:v>iPad</c:v>
                </c:pt>
              </c:strCache>
            </c:strRef>
          </c:cat>
          <c:val>
            <c:numRef>
              <c:f>登记表!$I$7:$I$9</c:f>
              <c:numCache>
                <c:formatCode>General</c:formatCode>
                <c:ptCount val="3"/>
                <c:pt idx="0">
                  <c:v>4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47007163"/>
        <c:axId val="142031294"/>
      </c:barChart>
      <c:catAx>
        <c:axId val="7470071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031294"/>
        <c:crosses val="autoZero"/>
        <c:auto val="1"/>
        <c:lblAlgn val="ctr"/>
        <c:lblOffset val="100"/>
        <c:noMultiLvlLbl val="0"/>
      </c:catAx>
      <c:valAx>
        <c:axId val="14203129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70071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bg1"/>
        </a:gs>
        <a:gs pos="100000">
          <a:schemeClr val="bg1">
            <a:lumMod val="95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22225</xdr:colOff>
      <xdr:row>9</xdr:row>
      <xdr:rowOff>41910</xdr:rowOff>
    </xdr:from>
    <xdr:to>
      <xdr:col>8</xdr:col>
      <xdr:colOff>846455</xdr:colOff>
      <xdr:row>17</xdr:row>
      <xdr:rowOff>269875</xdr:rowOff>
    </xdr:to>
    <xdr:graphicFrame>
      <xdr:nvGraphicFramePr>
        <xdr:cNvPr id="4" name="图表 3"/>
        <xdr:cNvGraphicFramePr/>
      </xdr:nvGraphicFramePr>
      <xdr:xfrm>
        <a:off x="269875" y="2340610"/>
        <a:ext cx="3571875" cy="2463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28.6876736111" refreshedBy="25472" recordCount="29">
  <cacheSource type="worksheet">
    <worksheetSource ref="K5:U34" sheet="登记表"/>
  </cacheSource>
  <cacheFields count="11">
    <cacheField name="序号" numFmtId="0">
      <sharedItems containsSemiMixedTypes="0" containsString="0" containsNumber="1" containsInteger="1" minValue="0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交易日期" numFmtId="0">
      <sharedItems containsSemiMixedTypes="0" containsString="0" containsNonDate="0" containsDate="1" minDate="2021-02-01T00:00:00" maxDate="2021-03-29T00:00:00" count="24">
        <d v="2021-02-01T00:00:00"/>
        <d v="2021-02-02T00:00:00"/>
        <d v="2021-02-10T00:00:00"/>
        <d v="2021-02-11T00:00:00"/>
        <d v="2021-02-12T00:00:00"/>
        <d v="2021-02-13T00:00:00"/>
        <d v="2021-02-14T00:00:00"/>
        <d v="2021-02-15T00:00:00"/>
        <d v="2021-03-01T00:00:00"/>
        <d v="2021-03-10T00:00:00"/>
        <d v="2021-03-15T00:00:00"/>
        <d v="2021-03-12T00:00:00"/>
        <d v="2021-03-13T00:00:00"/>
        <d v="2021-03-25T00:00:00"/>
        <d v="2021-03-09T00:00:00"/>
        <d v="2021-03-20T00:00:00"/>
        <d v="2021-03-21T00:00:00"/>
        <d v="2021-03-22T00:00:00"/>
        <d v="2021-03-23T00:00:00"/>
        <d v="2021-03-24T00:00:00"/>
        <d v="2021-03-26T00:00:00"/>
        <d v="2021-03-27T00:00:00"/>
        <d v="2021-03-28T00:00:00"/>
        <d v="2021-03-29T00:00:00"/>
      </sharedItems>
      <fieldGroup base="1">
        <rangePr groupBy="months" startDate="2021-02-01T00:00:00" endDate="2021-03-29T00:00:00" groupInterval="1"/>
        <groupItems count="14">
          <s v="&lt;2021/2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1/3/29"/>
        </groupItems>
      </fieldGroup>
    </cacheField>
    <cacheField name="货物名称" numFmtId="0">
      <sharedItems count="3">
        <s v="笔记本"/>
        <s v="手机"/>
        <s v="iPad"/>
      </sharedItems>
    </cacheField>
    <cacheField name="客户名称" numFmtId="0">
      <sharedItems count="3">
        <s v="温先生"/>
        <s v="李丽娇"/>
        <s v="赵小姐"/>
      </sharedItems>
    </cacheField>
    <cacheField name="客户电话" numFmtId="0">
      <sharedItems count="28">
        <s v="1234-5678-9874"/>
        <s v="1234-5678-9875"/>
        <s v="1234-5678-9876"/>
        <s v="1234-5678-9878"/>
        <s v="1234-5678-9879"/>
        <s v="1234-5678-9880"/>
        <s v="1234-5678-9881"/>
        <s v="1234-5678-9882"/>
        <s v="1234-5678-9883"/>
        <s v="1234-5678-9884"/>
        <s v="1234-5678-9885"/>
        <s v="1234-5678-9886"/>
        <s v="1234-5678-9887"/>
        <s v="1234-5678-9888"/>
        <s v="1234-5678-9889"/>
        <s v="1234-5678-9890"/>
        <s v="1234-5678-9891"/>
        <s v="1234-5678-9892"/>
        <s v="1234-5678-9893"/>
        <s v="1234-5678-9894"/>
        <s v="1234-5678-9895"/>
        <s v="1234-5678-9896"/>
        <s v="1234-5678-9897"/>
        <s v="1234-5678-9898"/>
        <s v="1234-5678-9899"/>
        <s v="1234-5678-9900"/>
        <s v="1234-5678-9901"/>
        <s v="1234-5678-9902"/>
      </sharedItems>
    </cacheField>
    <cacheField name="等级符号" numFmtId="0">
      <sharedItems containsSemiMixedTypes="0" containsString="0" containsNumber="1" containsInteger="1" minValue="0" maxValue="3" count="3">
        <n v="1"/>
        <n v="2"/>
        <n v="3"/>
      </sharedItems>
    </cacheField>
    <cacheField name="客户等级" numFmtId="0">
      <sharedItems count="3">
        <s v="C"/>
        <s v="B"/>
        <s v="A"/>
      </sharedItems>
    </cacheField>
    <cacheField name="销售金额" numFmtId="176">
      <sharedItems containsSemiMixedTypes="0" containsString="0" containsNumber="1" containsInteger="1" minValue="0" maxValue="44175" count="20">
        <n v="5000"/>
        <n v="5900"/>
        <n v="15000"/>
        <n v="8000"/>
        <n v="19800"/>
        <n v="4500"/>
        <n v="4173"/>
        <n v="474"/>
        <n v="44175"/>
        <n v="4417"/>
        <n v="4177"/>
        <n v="4418"/>
        <n v="4419"/>
        <n v="4420"/>
        <n v="4421"/>
        <n v="4422"/>
        <n v="4423"/>
        <n v="4424"/>
        <n v="4425"/>
        <n v="4426"/>
      </sharedItems>
    </cacheField>
    <cacheField name="客户地址" numFmtId="179">
      <sharedItems count="1">
        <s v="江苏省苏州市XX路"/>
      </sharedItems>
    </cacheField>
    <cacheField name="优惠金额" numFmtId="176">
      <sharedItems containsSemiMixedTypes="0" containsString="0" containsNumber="1" containsInteger="1" minValue="0" maxValue="500" count="3">
        <n v="500"/>
        <n v="100"/>
        <n v="200"/>
      </sharedItems>
    </cacheField>
    <cacheField name="备注" numFmtId="179">
      <sharedItems count="3">
        <s v="SVIP"/>
        <s v="普通"/>
        <s v="VIP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</r>
  <r>
    <x v="2"/>
    <x v="2"/>
    <x v="2"/>
    <x v="2"/>
    <x v="2"/>
    <x v="2"/>
    <x v="2"/>
    <x v="2"/>
    <x v="0"/>
    <x v="2"/>
    <x v="2"/>
  </r>
  <r>
    <x v="3"/>
    <x v="3"/>
    <x v="0"/>
    <x v="0"/>
    <x v="0"/>
    <x v="1"/>
    <x v="1"/>
    <x v="3"/>
    <x v="0"/>
    <x v="0"/>
    <x v="0"/>
  </r>
  <r>
    <x v="4"/>
    <x v="4"/>
    <x v="1"/>
    <x v="1"/>
    <x v="3"/>
    <x v="2"/>
    <x v="2"/>
    <x v="4"/>
    <x v="0"/>
    <x v="1"/>
    <x v="1"/>
  </r>
  <r>
    <x v="5"/>
    <x v="5"/>
    <x v="2"/>
    <x v="2"/>
    <x v="4"/>
    <x v="0"/>
    <x v="0"/>
    <x v="5"/>
    <x v="0"/>
    <x v="2"/>
    <x v="2"/>
  </r>
  <r>
    <x v="6"/>
    <x v="6"/>
    <x v="0"/>
    <x v="0"/>
    <x v="5"/>
    <x v="2"/>
    <x v="2"/>
    <x v="2"/>
    <x v="0"/>
    <x v="0"/>
    <x v="0"/>
  </r>
  <r>
    <x v="7"/>
    <x v="7"/>
    <x v="1"/>
    <x v="1"/>
    <x v="6"/>
    <x v="1"/>
    <x v="1"/>
    <x v="3"/>
    <x v="0"/>
    <x v="1"/>
    <x v="1"/>
  </r>
  <r>
    <x v="8"/>
    <x v="8"/>
    <x v="2"/>
    <x v="2"/>
    <x v="7"/>
    <x v="0"/>
    <x v="0"/>
    <x v="6"/>
    <x v="0"/>
    <x v="2"/>
    <x v="2"/>
  </r>
  <r>
    <x v="9"/>
    <x v="9"/>
    <x v="0"/>
    <x v="0"/>
    <x v="8"/>
    <x v="0"/>
    <x v="0"/>
    <x v="7"/>
    <x v="0"/>
    <x v="0"/>
    <x v="0"/>
  </r>
  <r>
    <x v="10"/>
    <x v="10"/>
    <x v="1"/>
    <x v="1"/>
    <x v="9"/>
    <x v="2"/>
    <x v="2"/>
    <x v="8"/>
    <x v="0"/>
    <x v="1"/>
    <x v="1"/>
  </r>
  <r>
    <x v="11"/>
    <x v="11"/>
    <x v="2"/>
    <x v="2"/>
    <x v="10"/>
    <x v="0"/>
    <x v="0"/>
    <x v="9"/>
    <x v="0"/>
    <x v="2"/>
    <x v="2"/>
  </r>
  <r>
    <x v="12"/>
    <x v="12"/>
    <x v="0"/>
    <x v="0"/>
    <x v="11"/>
    <x v="0"/>
    <x v="0"/>
    <x v="10"/>
    <x v="0"/>
    <x v="0"/>
    <x v="0"/>
  </r>
  <r>
    <x v="13"/>
    <x v="13"/>
    <x v="1"/>
    <x v="1"/>
    <x v="12"/>
    <x v="0"/>
    <x v="0"/>
    <x v="5"/>
    <x v="0"/>
    <x v="1"/>
    <x v="1"/>
  </r>
  <r>
    <x v="14"/>
    <x v="10"/>
    <x v="2"/>
    <x v="2"/>
    <x v="13"/>
    <x v="2"/>
    <x v="2"/>
    <x v="2"/>
    <x v="0"/>
    <x v="2"/>
    <x v="2"/>
  </r>
  <r>
    <x v="15"/>
    <x v="14"/>
    <x v="0"/>
    <x v="0"/>
    <x v="14"/>
    <x v="1"/>
    <x v="1"/>
    <x v="3"/>
    <x v="0"/>
    <x v="0"/>
    <x v="0"/>
  </r>
  <r>
    <x v="16"/>
    <x v="9"/>
    <x v="1"/>
    <x v="1"/>
    <x v="15"/>
    <x v="0"/>
    <x v="0"/>
    <x v="6"/>
    <x v="0"/>
    <x v="1"/>
    <x v="1"/>
  </r>
  <r>
    <x v="17"/>
    <x v="10"/>
    <x v="2"/>
    <x v="2"/>
    <x v="16"/>
    <x v="0"/>
    <x v="0"/>
    <x v="7"/>
    <x v="0"/>
    <x v="2"/>
    <x v="2"/>
  </r>
  <r>
    <x v="18"/>
    <x v="11"/>
    <x v="0"/>
    <x v="0"/>
    <x v="17"/>
    <x v="2"/>
    <x v="2"/>
    <x v="8"/>
    <x v="0"/>
    <x v="1"/>
    <x v="1"/>
  </r>
  <r>
    <x v="19"/>
    <x v="15"/>
    <x v="1"/>
    <x v="1"/>
    <x v="18"/>
    <x v="0"/>
    <x v="0"/>
    <x v="9"/>
    <x v="0"/>
    <x v="2"/>
    <x v="2"/>
  </r>
  <r>
    <x v="20"/>
    <x v="16"/>
    <x v="1"/>
    <x v="1"/>
    <x v="19"/>
    <x v="0"/>
    <x v="0"/>
    <x v="11"/>
    <x v="0"/>
    <x v="2"/>
    <x v="2"/>
  </r>
  <r>
    <x v="21"/>
    <x v="17"/>
    <x v="1"/>
    <x v="1"/>
    <x v="20"/>
    <x v="0"/>
    <x v="0"/>
    <x v="12"/>
    <x v="0"/>
    <x v="2"/>
    <x v="2"/>
  </r>
  <r>
    <x v="22"/>
    <x v="18"/>
    <x v="1"/>
    <x v="1"/>
    <x v="21"/>
    <x v="0"/>
    <x v="0"/>
    <x v="13"/>
    <x v="0"/>
    <x v="2"/>
    <x v="2"/>
  </r>
  <r>
    <x v="23"/>
    <x v="19"/>
    <x v="1"/>
    <x v="1"/>
    <x v="22"/>
    <x v="0"/>
    <x v="0"/>
    <x v="14"/>
    <x v="0"/>
    <x v="2"/>
    <x v="2"/>
  </r>
  <r>
    <x v="24"/>
    <x v="13"/>
    <x v="1"/>
    <x v="1"/>
    <x v="23"/>
    <x v="0"/>
    <x v="0"/>
    <x v="15"/>
    <x v="0"/>
    <x v="2"/>
    <x v="2"/>
  </r>
  <r>
    <x v="25"/>
    <x v="20"/>
    <x v="1"/>
    <x v="1"/>
    <x v="24"/>
    <x v="0"/>
    <x v="0"/>
    <x v="16"/>
    <x v="0"/>
    <x v="2"/>
    <x v="2"/>
  </r>
  <r>
    <x v="26"/>
    <x v="21"/>
    <x v="1"/>
    <x v="1"/>
    <x v="25"/>
    <x v="0"/>
    <x v="0"/>
    <x v="17"/>
    <x v="0"/>
    <x v="2"/>
    <x v="2"/>
  </r>
  <r>
    <x v="27"/>
    <x v="22"/>
    <x v="1"/>
    <x v="1"/>
    <x v="26"/>
    <x v="0"/>
    <x v="0"/>
    <x v="18"/>
    <x v="0"/>
    <x v="2"/>
    <x v="2"/>
  </r>
  <r>
    <x v="28"/>
    <x v="23"/>
    <x v="1"/>
    <x v="1"/>
    <x v="27"/>
    <x v="0"/>
    <x v="0"/>
    <x v="19"/>
    <x v="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E7" firstHeaderRow="1" firstDataRow="2" firstDataCol="1"/>
  <pivotFields count="11"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showAll="0">
      <items count="4">
        <item x="2"/>
        <item x="0"/>
        <item x="1"/>
        <item t="default"/>
      </items>
    </pivotField>
    <pivotField dataField="1" compact="0" showAll="0">
      <items count="4">
        <item x="1"/>
        <item x="0"/>
        <item x="2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numFmtId="176" showAll="0">
      <items count="21">
        <item x="7"/>
        <item x="6"/>
        <item x="10"/>
        <item x="9"/>
        <item x="11"/>
        <item x="12"/>
        <item x="13"/>
        <item x="14"/>
        <item x="15"/>
        <item x="16"/>
        <item x="17"/>
        <item x="18"/>
        <item x="19"/>
        <item x="5"/>
        <item x="0"/>
        <item x="1"/>
        <item x="3"/>
        <item x="2"/>
        <item x="4"/>
        <item x="8"/>
        <item t="default"/>
      </items>
    </pivotField>
    <pivotField compact="0" showAll="0">
      <items count="2">
        <item x="0"/>
        <item t="default"/>
      </items>
    </pivotField>
    <pivotField compact="0" numFmtId="176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1"/>
  </rowFields>
  <rowItems count="3"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计数项:客户名称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"/>
  <sheetViews>
    <sheetView workbookViewId="0">
      <selection activeCell="E6" sqref="E6"/>
    </sheetView>
  </sheetViews>
  <sheetFormatPr defaultColWidth="9" defaultRowHeight="13.5" outlineLevelRow="6" outlineLevelCol="4"/>
  <cols>
    <col min="1" max="1" width="17.25"/>
    <col min="2" max="4" width="10.875"/>
    <col min="5" max="5" width="5.125"/>
    <col min="6" max="6" width="7"/>
    <col min="7" max="7" width="9.875"/>
    <col min="8" max="8" width="5.125"/>
  </cols>
  <sheetData>
    <row r="3" spans="1:2">
      <c r="A3" t="s">
        <v>0</v>
      </c>
      <c r="B3" t="s">
        <v>1</v>
      </c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>
        <v>2</v>
      </c>
      <c r="C5">
        <v>3</v>
      </c>
      <c r="D5">
        <v>3</v>
      </c>
      <c r="E5">
        <v>8</v>
      </c>
    </row>
    <row r="6" spans="1:5">
      <c r="A6" t="s">
        <v>8</v>
      </c>
      <c r="B6">
        <v>4</v>
      </c>
      <c r="C6">
        <v>4</v>
      </c>
      <c r="D6">
        <v>13</v>
      </c>
      <c r="E6">
        <v>21</v>
      </c>
    </row>
    <row r="7" spans="1:5">
      <c r="A7" t="s">
        <v>6</v>
      </c>
      <c r="B7">
        <v>6</v>
      </c>
      <c r="C7">
        <v>7</v>
      </c>
      <c r="D7">
        <v>16</v>
      </c>
      <c r="E7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C1:AA34"/>
  <sheetViews>
    <sheetView showGridLines="0" tabSelected="1" topLeftCell="A2" workbookViewId="0">
      <selection activeCell="C24" sqref="C24"/>
    </sheetView>
  </sheetViews>
  <sheetFormatPr defaultColWidth="9" defaultRowHeight="21" customHeight="1"/>
  <cols>
    <col min="1" max="2" width="1.625" customWidth="1"/>
    <col min="3" max="3" width="4.75" customWidth="1"/>
    <col min="4" max="4" width="7.05833333333333" customWidth="1"/>
    <col min="5" max="5" width="3.625" customWidth="1"/>
    <col min="6" max="6" width="4.125" style="3" customWidth="1"/>
    <col min="7" max="7" width="4.5" style="3" customWidth="1"/>
    <col min="8" max="8" width="12" style="3" customWidth="1"/>
    <col min="9" max="9" width="11.375" style="3" customWidth="1"/>
    <col min="10" max="10" width="2.2" style="3" customWidth="1"/>
    <col min="11" max="11" width="9.55833333333333" style="4" customWidth="1"/>
    <col min="12" max="12" width="17" style="4" customWidth="1"/>
    <col min="13" max="13" width="13.375" style="4" customWidth="1"/>
    <col min="14" max="14" width="14.125" style="4" customWidth="1"/>
    <col min="15" max="15" width="17.05" style="4" customWidth="1"/>
    <col min="16" max="16" width="13.125" style="4" customWidth="1"/>
    <col min="17" max="17" width="12.5" style="4" customWidth="1"/>
    <col min="18" max="18" width="13.25" style="5" customWidth="1"/>
    <col min="19" max="19" width="16.875" style="6" customWidth="1"/>
    <col min="20" max="20" width="17.05" style="5" customWidth="1"/>
    <col min="21" max="21" width="17.05" style="4" customWidth="1"/>
    <col min="22" max="22" width="1.625" customWidth="1"/>
  </cols>
  <sheetData>
    <row r="1" ht="12" hidden="1" customHeight="1"/>
    <row r="2" ht="9" customHeight="1" spans="3:21">
      <c r="C2" s="7"/>
      <c r="D2" s="7"/>
      <c r="E2" s="7"/>
      <c r="F2" s="8"/>
      <c r="G2" s="8"/>
      <c r="H2" s="8"/>
      <c r="I2" s="8"/>
      <c r="J2" s="8"/>
      <c r="K2" s="39"/>
      <c r="L2" s="39"/>
      <c r="M2" s="39"/>
      <c r="N2" s="39"/>
      <c r="O2" s="39"/>
      <c r="P2" s="39"/>
      <c r="Q2" s="39"/>
      <c r="R2" s="50"/>
      <c r="S2" s="51"/>
      <c r="T2" s="50"/>
      <c r="U2" s="39"/>
    </row>
    <row r="3" ht="46" customHeight="1" spans="3:21">
      <c r="C3" s="9" t="s">
        <v>9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52"/>
      <c r="S3" s="9"/>
      <c r="T3" s="52"/>
      <c r="U3" s="9"/>
    </row>
    <row r="4" s="1" customFormat="1" ht="9" customHeight="1" spans="3:27">
      <c r="C4" s="10"/>
      <c r="D4" s="10"/>
      <c r="E4" s="10"/>
      <c r="F4" s="11"/>
      <c r="G4" s="11"/>
      <c r="H4" s="11"/>
      <c r="I4" s="11"/>
      <c r="J4" s="11"/>
      <c r="K4" s="40"/>
      <c r="L4" s="40"/>
      <c r="M4" s="40"/>
      <c r="N4" s="40"/>
      <c r="O4" s="40"/>
      <c r="P4" s="40"/>
      <c r="Q4" s="40"/>
      <c r="R4" s="53"/>
      <c r="S4" s="54"/>
      <c r="T4" s="53"/>
      <c r="U4" s="40"/>
      <c r="W4"/>
      <c r="X4"/>
      <c r="Y4"/>
      <c r="Z4"/>
      <c r="AA4"/>
    </row>
    <row r="5" s="1" customFormat="1" ht="29" customHeight="1" spans="3:27">
      <c r="C5" s="12" t="s">
        <v>10</v>
      </c>
      <c r="D5" s="13"/>
      <c r="E5" s="13"/>
      <c r="F5" s="13"/>
      <c r="G5" s="13"/>
      <c r="H5" s="13"/>
      <c r="I5" s="41"/>
      <c r="J5" s="42"/>
      <c r="K5" s="43" t="s">
        <v>11</v>
      </c>
      <c r="L5" s="43" t="s">
        <v>2</v>
      </c>
      <c r="M5" s="43" t="s">
        <v>1</v>
      </c>
      <c r="N5" s="43" t="s">
        <v>12</v>
      </c>
      <c r="O5" s="43" t="s">
        <v>13</v>
      </c>
      <c r="P5" s="44" t="s">
        <v>14</v>
      </c>
      <c r="Q5" s="55" t="s">
        <v>15</v>
      </c>
      <c r="R5" s="56" t="s">
        <v>16</v>
      </c>
      <c r="S5" s="57" t="s">
        <v>17</v>
      </c>
      <c r="T5" s="56" t="s">
        <v>18</v>
      </c>
      <c r="U5" s="58" t="s">
        <v>19</v>
      </c>
      <c r="W5"/>
      <c r="X5"/>
      <c r="Y5"/>
      <c r="Z5"/>
      <c r="AA5"/>
    </row>
    <row r="6" s="2" customFormat="1" ht="22" customHeight="1" spans="3:27">
      <c r="C6" s="14" t="s">
        <v>12</v>
      </c>
      <c r="D6" s="15"/>
      <c r="E6" s="15"/>
      <c r="F6" s="15"/>
      <c r="G6" s="16"/>
      <c r="H6" s="17" t="s">
        <v>1</v>
      </c>
      <c r="I6" s="17" t="s">
        <v>20</v>
      </c>
      <c r="K6" s="45">
        <v>1</v>
      </c>
      <c r="L6" s="46">
        <v>44228</v>
      </c>
      <c r="M6" s="45" t="s">
        <v>4</v>
      </c>
      <c r="N6" s="45" t="s">
        <v>21</v>
      </c>
      <c r="O6" s="45" t="s">
        <v>22</v>
      </c>
      <c r="P6" s="47" t="str">
        <f>IF(R6&lt;=5000,"C",IF(R6&lt;=10000,"B","A"))</f>
        <v>C</v>
      </c>
      <c r="Q6" s="59">
        <f>IF(P6="A",3,IF(P6="B",2,1))</f>
        <v>1</v>
      </c>
      <c r="R6" s="60">
        <v>5000</v>
      </c>
      <c r="S6" s="61" t="s">
        <v>23</v>
      </c>
      <c r="T6" s="60">
        <v>500</v>
      </c>
      <c r="U6" s="61" t="str">
        <f>_xlfn.IFS(T6=100,"普通",T6=200,"VIP",T6=500,"SVIP")</f>
        <v>SVIP</v>
      </c>
      <c r="W6"/>
      <c r="X6"/>
      <c r="Y6"/>
      <c r="Z6"/>
      <c r="AA6"/>
    </row>
    <row r="7" s="2" customFormat="1" ht="22" customHeight="1" spans="3:27">
      <c r="C7" s="18" t="s">
        <v>21</v>
      </c>
      <c r="D7" s="19"/>
      <c r="E7" s="19"/>
      <c r="F7" s="19"/>
      <c r="G7" s="20"/>
      <c r="H7" s="21" t="s">
        <v>4</v>
      </c>
      <c r="I7" s="21">
        <f>COUNTIFS($L$6:$L$34,"&gt;=2021-3-1",$L$6:$L$34,"&lt;2021-4-1",$M$6:$M$34,H7)</f>
        <v>4</v>
      </c>
      <c r="K7" s="45">
        <v>2</v>
      </c>
      <c r="L7" s="46">
        <v>44229</v>
      </c>
      <c r="M7" s="45" t="s">
        <v>5</v>
      </c>
      <c r="N7" s="45" t="s">
        <v>24</v>
      </c>
      <c r="O7" s="45" t="s">
        <v>25</v>
      </c>
      <c r="P7" s="47" t="str">
        <f t="shared" ref="P7:P25" si="0">IF(R7&lt;=5000,"C",IF(R7&lt;=10000,"B","A"))</f>
        <v>B</v>
      </c>
      <c r="Q7" s="59">
        <f t="shared" ref="Q7:Q25" si="1">IF(P7="A",3,IF(P7="B",2,1))</f>
        <v>2</v>
      </c>
      <c r="R7" s="60">
        <v>5900</v>
      </c>
      <c r="S7" s="61" t="s">
        <v>23</v>
      </c>
      <c r="T7" s="60">
        <v>100</v>
      </c>
      <c r="U7" s="61" t="str">
        <f t="shared" ref="U7:U34" si="2">_xlfn.IFS(T7=100,"普通",T7=200,"VIP",T7=500,"SVIP")</f>
        <v>普通</v>
      </c>
      <c r="W7"/>
      <c r="X7"/>
      <c r="Y7"/>
      <c r="Z7"/>
      <c r="AA7"/>
    </row>
    <row r="8" s="2" customFormat="1" ht="22" customHeight="1" spans="3:27">
      <c r="C8" s="22" t="s">
        <v>24</v>
      </c>
      <c r="D8" s="23"/>
      <c r="E8" s="23"/>
      <c r="F8" s="23"/>
      <c r="G8" s="24"/>
      <c r="H8" s="21" t="s">
        <v>5</v>
      </c>
      <c r="I8" s="21">
        <f>COUNTIFS($L$6:$L$34,"&gt;=2021-3-1",$L$6:$L$34,"&lt;2021-4-1",$M$6:$M$34,H8)</f>
        <v>13</v>
      </c>
      <c r="K8" s="45">
        <v>3</v>
      </c>
      <c r="L8" s="46">
        <v>44237</v>
      </c>
      <c r="M8" s="45" t="s">
        <v>3</v>
      </c>
      <c r="N8" s="45" t="s">
        <v>26</v>
      </c>
      <c r="O8" s="45" t="s">
        <v>27</v>
      </c>
      <c r="P8" s="47" t="str">
        <f t="shared" si="0"/>
        <v>A</v>
      </c>
      <c r="Q8" s="59">
        <f t="shared" si="1"/>
        <v>3</v>
      </c>
      <c r="R8" s="60">
        <v>15000</v>
      </c>
      <c r="S8" s="61" t="s">
        <v>23</v>
      </c>
      <c r="T8" s="60">
        <v>200</v>
      </c>
      <c r="U8" s="61" t="str">
        <f t="shared" si="2"/>
        <v>VIP</v>
      </c>
      <c r="W8"/>
      <c r="X8"/>
      <c r="Y8"/>
      <c r="Z8"/>
      <c r="AA8"/>
    </row>
    <row r="9" s="2" customFormat="1" ht="22" customHeight="1" spans="3:27">
      <c r="C9" s="22" t="s">
        <v>26</v>
      </c>
      <c r="D9" s="23"/>
      <c r="E9" s="23"/>
      <c r="F9" s="23"/>
      <c r="G9" s="24"/>
      <c r="H9" s="21" t="s">
        <v>3</v>
      </c>
      <c r="I9" s="21">
        <f>COUNTIFS($L$6:$L$34,"&gt;=2021-3-1",$L$6:$L$34,"&lt;2021-4-1",$M$6:$M$34,H9)</f>
        <v>4</v>
      </c>
      <c r="K9" s="45">
        <v>4</v>
      </c>
      <c r="L9" s="46">
        <v>44238</v>
      </c>
      <c r="M9" s="45" t="s">
        <v>4</v>
      </c>
      <c r="N9" s="45" t="s">
        <v>21</v>
      </c>
      <c r="O9" s="45" t="s">
        <v>22</v>
      </c>
      <c r="P9" s="47" t="str">
        <f t="shared" si="0"/>
        <v>B</v>
      </c>
      <c r="Q9" s="59">
        <f t="shared" si="1"/>
        <v>2</v>
      </c>
      <c r="R9" s="60">
        <v>8000</v>
      </c>
      <c r="S9" s="61" t="s">
        <v>23</v>
      </c>
      <c r="T9" s="60">
        <v>500</v>
      </c>
      <c r="U9" s="61" t="str">
        <f t="shared" si="2"/>
        <v>SVIP</v>
      </c>
      <c r="W9"/>
      <c r="X9"/>
      <c r="Y9"/>
      <c r="Z9"/>
      <c r="AA9"/>
    </row>
    <row r="10" s="2" customFormat="1" ht="22" customHeight="1" spans="3:27">
      <c r="C10" s="25"/>
      <c r="D10" s="25"/>
      <c r="E10" s="25"/>
      <c r="F10" s="25"/>
      <c r="G10" s="25"/>
      <c r="H10" s="26"/>
      <c r="I10" s="26"/>
      <c r="K10" s="45">
        <v>5</v>
      </c>
      <c r="L10" s="46">
        <v>44239</v>
      </c>
      <c r="M10" s="45" t="s">
        <v>5</v>
      </c>
      <c r="N10" s="45" t="s">
        <v>24</v>
      </c>
      <c r="O10" s="45" t="s">
        <v>28</v>
      </c>
      <c r="P10" s="47" t="str">
        <f t="shared" si="0"/>
        <v>A</v>
      </c>
      <c r="Q10" s="59">
        <f t="shared" si="1"/>
        <v>3</v>
      </c>
      <c r="R10" s="60">
        <v>19800</v>
      </c>
      <c r="S10" s="61" t="s">
        <v>23</v>
      </c>
      <c r="T10" s="60">
        <v>100</v>
      </c>
      <c r="U10" s="61" t="str">
        <f t="shared" si="2"/>
        <v>普通</v>
      </c>
      <c r="W10"/>
      <c r="X10"/>
      <c r="Y10"/>
      <c r="Z10"/>
      <c r="AA10"/>
    </row>
    <row r="11" s="2" customFormat="1" ht="22" customHeight="1" spans="3:21">
      <c r="C11" s="27"/>
      <c r="D11" s="27"/>
      <c r="E11" s="27"/>
      <c r="F11" s="27"/>
      <c r="G11" s="27"/>
      <c r="H11" s="26"/>
      <c r="I11" s="26"/>
      <c r="K11" s="45">
        <v>6</v>
      </c>
      <c r="L11" s="46">
        <v>44240</v>
      </c>
      <c r="M11" s="45" t="s">
        <v>3</v>
      </c>
      <c r="N11" s="45" t="s">
        <v>26</v>
      </c>
      <c r="O11" s="45" t="s">
        <v>29</v>
      </c>
      <c r="P11" s="47" t="str">
        <f t="shared" si="0"/>
        <v>C</v>
      </c>
      <c r="Q11" s="59">
        <f t="shared" si="1"/>
        <v>1</v>
      </c>
      <c r="R11" s="60">
        <v>4500</v>
      </c>
      <c r="S11" s="61" t="s">
        <v>23</v>
      </c>
      <c r="T11" s="60">
        <v>200</v>
      </c>
      <c r="U11" s="61" t="str">
        <f t="shared" si="2"/>
        <v>VIP</v>
      </c>
    </row>
    <row r="12" s="2" customFormat="1" ht="22" customHeight="1" spans="3:21">
      <c r="C12" s="27"/>
      <c r="D12" s="27"/>
      <c r="E12" s="27"/>
      <c r="F12" s="27"/>
      <c r="G12" s="27"/>
      <c r="H12" s="26"/>
      <c r="I12" s="26"/>
      <c r="K12" s="45">
        <v>7</v>
      </c>
      <c r="L12" s="46">
        <v>44241</v>
      </c>
      <c r="M12" s="45" t="s">
        <v>4</v>
      </c>
      <c r="N12" s="45" t="s">
        <v>21</v>
      </c>
      <c r="O12" s="45" t="s">
        <v>30</v>
      </c>
      <c r="P12" s="47" t="str">
        <f t="shared" si="0"/>
        <v>A</v>
      </c>
      <c r="Q12" s="59">
        <f t="shared" si="1"/>
        <v>3</v>
      </c>
      <c r="R12" s="60">
        <v>15000</v>
      </c>
      <c r="S12" s="61" t="s">
        <v>23</v>
      </c>
      <c r="T12" s="60">
        <v>500</v>
      </c>
      <c r="U12" s="61" t="str">
        <f t="shared" si="2"/>
        <v>SVIP</v>
      </c>
    </row>
    <row r="13" s="2" customFormat="1" ht="22" customHeight="1" spans="3:21">
      <c r="C13" s="27"/>
      <c r="D13" s="27"/>
      <c r="E13" s="27"/>
      <c r="F13" s="27"/>
      <c r="G13" s="27"/>
      <c r="H13" s="26"/>
      <c r="I13" s="26"/>
      <c r="K13" s="45">
        <v>8</v>
      </c>
      <c r="L13" s="46">
        <v>44242</v>
      </c>
      <c r="M13" s="45" t="s">
        <v>5</v>
      </c>
      <c r="N13" s="45" t="s">
        <v>24</v>
      </c>
      <c r="O13" s="45" t="s">
        <v>31</v>
      </c>
      <c r="P13" s="47" t="str">
        <f t="shared" si="0"/>
        <v>B</v>
      </c>
      <c r="Q13" s="59">
        <f t="shared" si="1"/>
        <v>2</v>
      </c>
      <c r="R13" s="60">
        <v>8000</v>
      </c>
      <c r="S13" s="61" t="s">
        <v>23</v>
      </c>
      <c r="T13" s="60">
        <v>100</v>
      </c>
      <c r="U13" s="61" t="str">
        <f t="shared" si="2"/>
        <v>普通</v>
      </c>
    </row>
    <row r="14" s="2" customFormat="1" ht="22" customHeight="1" spans="3:21">
      <c r="C14" s="28"/>
      <c r="D14" s="29"/>
      <c r="E14" s="29"/>
      <c r="F14" s="29"/>
      <c r="G14" s="30"/>
      <c r="H14" s="26"/>
      <c r="I14" s="26"/>
      <c r="K14" s="45">
        <v>9</v>
      </c>
      <c r="L14" s="46">
        <v>44256</v>
      </c>
      <c r="M14" s="45" t="s">
        <v>3</v>
      </c>
      <c r="N14" s="45" t="s">
        <v>26</v>
      </c>
      <c r="O14" s="45" t="s">
        <v>32</v>
      </c>
      <c r="P14" s="47" t="str">
        <f t="shared" si="0"/>
        <v>C</v>
      </c>
      <c r="Q14" s="59">
        <f t="shared" si="1"/>
        <v>1</v>
      </c>
      <c r="R14" s="60">
        <v>4173</v>
      </c>
      <c r="S14" s="61" t="s">
        <v>23</v>
      </c>
      <c r="T14" s="60">
        <v>200</v>
      </c>
      <c r="U14" s="61" t="str">
        <f t="shared" si="2"/>
        <v>VIP</v>
      </c>
    </row>
    <row r="15" s="2" customFormat="1" ht="22" customHeight="1" spans="3:21">
      <c r="C15" s="28"/>
      <c r="D15" s="29"/>
      <c r="E15" s="29"/>
      <c r="F15" s="29"/>
      <c r="G15" s="30"/>
      <c r="H15" s="26"/>
      <c r="I15" s="26"/>
      <c r="K15" s="45">
        <v>10</v>
      </c>
      <c r="L15" s="46">
        <v>44265</v>
      </c>
      <c r="M15" s="45" t="s">
        <v>4</v>
      </c>
      <c r="N15" s="45" t="s">
        <v>21</v>
      </c>
      <c r="O15" s="45" t="s">
        <v>33</v>
      </c>
      <c r="P15" s="47" t="str">
        <f t="shared" si="0"/>
        <v>C</v>
      </c>
      <c r="Q15" s="59">
        <f t="shared" si="1"/>
        <v>1</v>
      </c>
      <c r="R15" s="60">
        <v>474</v>
      </c>
      <c r="S15" s="61" t="s">
        <v>23</v>
      </c>
      <c r="T15" s="60">
        <v>500</v>
      </c>
      <c r="U15" s="61" t="str">
        <f t="shared" si="2"/>
        <v>SVIP</v>
      </c>
    </row>
    <row r="16" s="2" customFormat="1" ht="22" customHeight="1" spans="3:21">
      <c r="C16" s="28"/>
      <c r="D16" s="29"/>
      <c r="E16" s="29"/>
      <c r="F16" s="29"/>
      <c r="G16" s="30"/>
      <c r="H16" s="26"/>
      <c r="I16" s="26"/>
      <c r="K16" s="45">
        <v>11</v>
      </c>
      <c r="L16" s="46">
        <v>44270</v>
      </c>
      <c r="M16" s="45" t="s">
        <v>5</v>
      </c>
      <c r="N16" s="45" t="s">
        <v>24</v>
      </c>
      <c r="O16" s="45" t="s">
        <v>34</v>
      </c>
      <c r="P16" s="47" t="str">
        <f t="shared" si="0"/>
        <v>A</v>
      </c>
      <c r="Q16" s="59">
        <f t="shared" si="1"/>
        <v>3</v>
      </c>
      <c r="R16" s="60">
        <v>44175</v>
      </c>
      <c r="S16" s="61" t="s">
        <v>23</v>
      </c>
      <c r="T16" s="60">
        <v>100</v>
      </c>
      <c r="U16" s="61" t="str">
        <f t="shared" si="2"/>
        <v>普通</v>
      </c>
    </row>
    <row r="17" s="2" customFormat="1" ht="22" customHeight="1" spans="3:21">
      <c r="C17" s="28"/>
      <c r="D17" s="29"/>
      <c r="E17" s="29"/>
      <c r="F17" s="29"/>
      <c r="G17" s="30"/>
      <c r="H17" s="26"/>
      <c r="I17" s="26"/>
      <c r="K17" s="45">
        <v>12</v>
      </c>
      <c r="L17" s="46">
        <v>44267</v>
      </c>
      <c r="M17" s="45" t="s">
        <v>3</v>
      </c>
      <c r="N17" s="45" t="s">
        <v>26</v>
      </c>
      <c r="O17" s="45" t="s">
        <v>35</v>
      </c>
      <c r="P17" s="47" t="str">
        <f t="shared" si="0"/>
        <v>C</v>
      </c>
      <c r="Q17" s="59">
        <f t="shared" si="1"/>
        <v>1</v>
      </c>
      <c r="R17" s="60">
        <v>4417</v>
      </c>
      <c r="S17" s="61" t="s">
        <v>23</v>
      </c>
      <c r="T17" s="60">
        <v>200</v>
      </c>
      <c r="U17" s="61" t="str">
        <f t="shared" si="2"/>
        <v>VIP</v>
      </c>
    </row>
    <row r="18" s="2" customFormat="1" ht="22" customHeight="1" spans="3:21">
      <c r="C18" s="28"/>
      <c r="D18" s="29"/>
      <c r="E18" s="29"/>
      <c r="F18" s="29"/>
      <c r="G18" s="30"/>
      <c r="H18" s="26"/>
      <c r="I18" s="26"/>
      <c r="K18" s="45">
        <v>13</v>
      </c>
      <c r="L18" s="46">
        <v>44268</v>
      </c>
      <c r="M18" s="45" t="s">
        <v>4</v>
      </c>
      <c r="N18" s="45" t="s">
        <v>21</v>
      </c>
      <c r="O18" s="45" t="s">
        <v>36</v>
      </c>
      <c r="P18" s="47" t="str">
        <f t="shared" si="0"/>
        <v>C</v>
      </c>
      <c r="Q18" s="59">
        <f t="shared" si="1"/>
        <v>1</v>
      </c>
      <c r="R18" s="60">
        <v>4177</v>
      </c>
      <c r="S18" s="61" t="s">
        <v>23</v>
      </c>
      <c r="T18" s="60">
        <v>500</v>
      </c>
      <c r="U18" s="61" t="str">
        <f t="shared" si="2"/>
        <v>SVIP</v>
      </c>
    </row>
    <row r="19" s="2" customFormat="1" ht="22" customHeight="1" spans="11:21">
      <c r="K19" s="45">
        <v>14</v>
      </c>
      <c r="L19" s="46">
        <v>44280</v>
      </c>
      <c r="M19" s="45" t="s">
        <v>5</v>
      </c>
      <c r="N19" s="45" t="s">
        <v>24</v>
      </c>
      <c r="O19" s="45" t="s">
        <v>37</v>
      </c>
      <c r="P19" s="47" t="str">
        <f t="shared" si="0"/>
        <v>C</v>
      </c>
      <c r="Q19" s="59">
        <f t="shared" si="1"/>
        <v>1</v>
      </c>
      <c r="R19" s="60">
        <v>4500</v>
      </c>
      <c r="S19" s="61" t="s">
        <v>23</v>
      </c>
      <c r="T19" s="60">
        <v>100</v>
      </c>
      <c r="U19" s="61" t="str">
        <f t="shared" si="2"/>
        <v>普通</v>
      </c>
    </row>
    <row r="20" s="2" customFormat="1" ht="22" customHeight="1" spans="3:21">
      <c r="C20" s="31" t="s">
        <v>38</v>
      </c>
      <c r="D20" s="32"/>
      <c r="E20" s="33"/>
      <c r="F20" s="31" t="s">
        <v>14</v>
      </c>
      <c r="G20" s="33"/>
      <c r="H20" s="31" t="s">
        <v>39</v>
      </c>
      <c r="I20" s="33"/>
      <c r="K20" s="45">
        <v>15</v>
      </c>
      <c r="L20" s="46">
        <v>44270</v>
      </c>
      <c r="M20" s="45" t="s">
        <v>3</v>
      </c>
      <c r="N20" s="45" t="s">
        <v>26</v>
      </c>
      <c r="O20" s="45" t="s">
        <v>40</v>
      </c>
      <c r="P20" s="47" t="str">
        <f t="shared" si="0"/>
        <v>A</v>
      </c>
      <c r="Q20" s="59">
        <f t="shared" si="1"/>
        <v>3</v>
      </c>
      <c r="R20" s="60">
        <v>15000</v>
      </c>
      <c r="S20" s="61" t="s">
        <v>23</v>
      </c>
      <c r="T20" s="60">
        <v>200</v>
      </c>
      <c r="U20" s="61" t="str">
        <f t="shared" si="2"/>
        <v>VIP</v>
      </c>
    </row>
    <row r="21" s="2" customFormat="1" ht="22" customHeight="1" spans="3:21">
      <c r="C21" s="31">
        <v>5000</v>
      </c>
      <c r="D21" s="32"/>
      <c r="E21" s="33"/>
      <c r="F21" s="31" t="s">
        <v>41</v>
      </c>
      <c r="G21" s="33"/>
      <c r="H21" s="34">
        <v>1</v>
      </c>
      <c r="I21" s="48"/>
      <c r="K21" s="45">
        <v>16</v>
      </c>
      <c r="L21" s="46">
        <v>44264</v>
      </c>
      <c r="M21" s="45" t="s">
        <v>4</v>
      </c>
      <c r="N21" s="45" t="s">
        <v>21</v>
      </c>
      <c r="O21" s="45" t="s">
        <v>42</v>
      </c>
      <c r="P21" s="47" t="str">
        <f t="shared" si="0"/>
        <v>B</v>
      </c>
      <c r="Q21" s="59">
        <f t="shared" si="1"/>
        <v>2</v>
      </c>
      <c r="R21" s="60">
        <v>8000</v>
      </c>
      <c r="S21" s="61" t="s">
        <v>23</v>
      </c>
      <c r="T21" s="60">
        <v>500</v>
      </c>
      <c r="U21" s="61" t="str">
        <f t="shared" si="2"/>
        <v>SVIP</v>
      </c>
    </row>
    <row r="22" s="2" customFormat="1" ht="22" customHeight="1" spans="3:21">
      <c r="C22" s="31" t="s">
        <v>43</v>
      </c>
      <c r="D22" s="32"/>
      <c r="E22" s="33"/>
      <c r="F22" s="31" t="s">
        <v>44</v>
      </c>
      <c r="G22" s="33"/>
      <c r="H22" s="34">
        <v>2</v>
      </c>
      <c r="I22" s="48"/>
      <c r="K22" s="45">
        <v>17</v>
      </c>
      <c r="L22" s="46">
        <v>44265</v>
      </c>
      <c r="M22" s="45" t="s">
        <v>5</v>
      </c>
      <c r="N22" s="45" t="s">
        <v>24</v>
      </c>
      <c r="O22" s="45" t="s">
        <v>45</v>
      </c>
      <c r="P22" s="47" t="str">
        <f t="shared" si="0"/>
        <v>C</v>
      </c>
      <c r="Q22" s="59">
        <f t="shared" si="1"/>
        <v>1</v>
      </c>
      <c r="R22" s="60">
        <v>4173</v>
      </c>
      <c r="S22" s="61" t="s">
        <v>23</v>
      </c>
      <c r="T22" s="60">
        <v>100</v>
      </c>
      <c r="U22" s="61" t="str">
        <f t="shared" si="2"/>
        <v>普通</v>
      </c>
    </row>
    <row r="23" s="2" customFormat="1" ht="22" customHeight="1" spans="3:21">
      <c r="C23" s="31">
        <v>10001</v>
      </c>
      <c r="D23" s="32"/>
      <c r="E23" s="33"/>
      <c r="F23" s="31" t="s">
        <v>46</v>
      </c>
      <c r="G23" s="33"/>
      <c r="H23" s="34">
        <v>3</v>
      </c>
      <c r="I23" s="48"/>
      <c r="K23" s="45">
        <v>18</v>
      </c>
      <c r="L23" s="46">
        <v>44270</v>
      </c>
      <c r="M23" s="45" t="s">
        <v>3</v>
      </c>
      <c r="N23" s="45" t="s">
        <v>26</v>
      </c>
      <c r="O23" s="45" t="s">
        <v>47</v>
      </c>
      <c r="P23" s="47" t="str">
        <f t="shared" si="0"/>
        <v>C</v>
      </c>
      <c r="Q23" s="59">
        <f t="shared" si="1"/>
        <v>1</v>
      </c>
      <c r="R23" s="60">
        <v>474</v>
      </c>
      <c r="S23" s="61" t="s">
        <v>23</v>
      </c>
      <c r="T23" s="60">
        <v>200</v>
      </c>
      <c r="U23" s="61" t="str">
        <f t="shared" si="2"/>
        <v>VIP</v>
      </c>
    </row>
    <row r="24" s="2" customFormat="1" ht="22" customHeight="1" spans="11:21">
      <c r="K24" s="45">
        <v>19</v>
      </c>
      <c r="L24" s="46">
        <v>44267</v>
      </c>
      <c r="M24" s="45" t="s">
        <v>4</v>
      </c>
      <c r="N24" s="45" t="s">
        <v>21</v>
      </c>
      <c r="O24" s="45" t="s">
        <v>48</v>
      </c>
      <c r="P24" s="47" t="str">
        <f t="shared" si="0"/>
        <v>A</v>
      </c>
      <c r="Q24" s="59">
        <f t="shared" si="1"/>
        <v>3</v>
      </c>
      <c r="R24" s="60">
        <v>44175</v>
      </c>
      <c r="S24" s="61" t="s">
        <v>23</v>
      </c>
      <c r="T24" s="60">
        <v>100</v>
      </c>
      <c r="U24" s="61" t="str">
        <f t="shared" si="2"/>
        <v>普通</v>
      </c>
    </row>
    <row r="25" s="2" customFormat="1" ht="22" customHeight="1" spans="3:21">
      <c r="C25" s="35" t="s">
        <v>49</v>
      </c>
      <c r="D25" s="35"/>
      <c r="E25" s="35"/>
      <c r="F25" s="36">
        <f>SUM(R:R)</f>
        <v>259153</v>
      </c>
      <c r="G25" s="36"/>
      <c r="H25" s="36"/>
      <c r="I25" s="36"/>
      <c r="K25" s="45">
        <v>20</v>
      </c>
      <c r="L25" s="46">
        <v>44275</v>
      </c>
      <c r="M25" s="45" t="s">
        <v>5</v>
      </c>
      <c r="N25" s="45" t="s">
        <v>24</v>
      </c>
      <c r="O25" s="45" t="s">
        <v>50</v>
      </c>
      <c r="P25" s="47" t="str">
        <f t="shared" si="0"/>
        <v>C</v>
      </c>
      <c r="Q25" s="59">
        <f t="shared" si="1"/>
        <v>1</v>
      </c>
      <c r="R25" s="60">
        <v>4417</v>
      </c>
      <c r="S25" s="61" t="s">
        <v>23</v>
      </c>
      <c r="T25" s="60">
        <v>200</v>
      </c>
      <c r="U25" s="61" t="str">
        <f t="shared" si="2"/>
        <v>VIP</v>
      </c>
    </row>
    <row r="26" ht="22" customHeight="1" spans="6:21">
      <c r="F26" s="4"/>
      <c r="G26" s="4"/>
      <c r="H26" s="4"/>
      <c r="I26" s="49"/>
      <c r="K26" s="45">
        <v>21</v>
      </c>
      <c r="L26" s="46">
        <v>44276</v>
      </c>
      <c r="M26" s="45" t="s">
        <v>5</v>
      </c>
      <c r="N26" s="45" t="s">
        <v>24</v>
      </c>
      <c r="O26" s="45" t="s">
        <v>51</v>
      </c>
      <c r="P26" s="47" t="str">
        <f t="shared" ref="P26:P34" si="3">IF(R26&lt;=5000,"C",IF(R26&lt;=10000,"B","A"))</f>
        <v>C</v>
      </c>
      <c r="Q26" s="59">
        <f t="shared" ref="Q26:Q34" si="4">IF(P26="A",3,IF(P26="B",2,1))</f>
        <v>1</v>
      </c>
      <c r="R26" s="60">
        <v>4418</v>
      </c>
      <c r="S26" s="61" t="s">
        <v>23</v>
      </c>
      <c r="T26" s="60">
        <v>200</v>
      </c>
      <c r="U26" s="61" t="str">
        <f t="shared" si="2"/>
        <v>VIP</v>
      </c>
    </row>
    <row r="27" ht="22" customHeight="1" spans="3:21">
      <c r="C27" s="35" t="s">
        <v>52</v>
      </c>
      <c r="D27" s="35"/>
      <c r="E27" s="35"/>
      <c r="F27" s="36">
        <f>SUM(T:T)</f>
        <v>6900</v>
      </c>
      <c r="G27" s="36"/>
      <c r="H27" s="36"/>
      <c r="I27" s="36"/>
      <c r="K27" s="45">
        <v>22</v>
      </c>
      <c r="L27" s="46">
        <v>44277</v>
      </c>
      <c r="M27" s="45" t="s">
        <v>5</v>
      </c>
      <c r="N27" s="45" t="s">
        <v>24</v>
      </c>
      <c r="O27" s="45" t="s">
        <v>53</v>
      </c>
      <c r="P27" s="47" t="str">
        <f t="shared" si="3"/>
        <v>C</v>
      </c>
      <c r="Q27" s="59">
        <f t="shared" si="4"/>
        <v>1</v>
      </c>
      <c r="R27" s="60">
        <v>4419</v>
      </c>
      <c r="S27" s="61" t="s">
        <v>23</v>
      </c>
      <c r="T27" s="60">
        <v>200</v>
      </c>
      <c r="U27" s="61" t="str">
        <f t="shared" si="2"/>
        <v>VIP</v>
      </c>
    </row>
    <row r="28" ht="22" customHeight="1" spans="6:21">
      <c r="F28" s="4"/>
      <c r="G28" s="4"/>
      <c r="H28" s="4"/>
      <c r="I28" s="49"/>
      <c r="K28" s="45">
        <v>23</v>
      </c>
      <c r="L28" s="46">
        <v>44278</v>
      </c>
      <c r="M28" s="45" t="s">
        <v>5</v>
      </c>
      <c r="N28" s="45" t="s">
        <v>24</v>
      </c>
      <c r="O28" s="45" t="s">
        <v>54</v>
      </c>
      <c r="P28" s="47" t="str">
        <f t="shared" si="3"/>
        <v>C</v>
      </c>
      <c r="Q28" s="59">
        <f t="shared" si="4"/>
        <v>1</v>
      </c>
      <c r="R28" s="60">
        <v>4420</v>
      </c>
      <c r="S28" s="61" t="s">
        <v>23</v>
      </c>
      <c r="T28" s="60">
        <v>200</v>
      </c>
      <c r="U28" s="61" t="str">
        <f t="shared" si="2"/>
        <v>VIP</v>
      </c>
    </row>
    <row r="29" ht="22" customHeight="1" spans="3:21">
      <c r="C29" s="35" t="s">
        <v>55</v>
      </c>
      <c r="D29" s="35"/>
      <c r="E29" s="35"/>
      <c r="F29" s="37">
        <v>44256</v>
      </c>
      <c r="G29" s="38"/>
      <c r="H29" s="38"/>
      <c r="I29" s="38"/>
      <c r="K29" s="45">
        <v>24</v>
      </c>
      <c r="L29" s="46">
        <v>44279</v>
      </c>
      <c r="M29" s="45" t="s">
        <v>5</v>
      </c>
      <c r="N29" s="45" t="s">
        <v>24</v>
      </c>
      <c r="O29" s="45" t="s">
        <v>56</v>
      </c>
      <c r="P29" s="47" t="str">
        <f t="shared" si="3"/>
        <v>C</v>
      </c>
      <c r="Q29" s="59">
        <f t="shared" si="4"/>
        <v>1</v>
      </c>
      <c r="R29" s="60">
        <v>4421</v>
      </c>
      <c r="S29" s="61" t="s">
        <v>23</v>
      </c>
      <c r="T29" s="60">
        <v>200</v>
      </c>
      <c r="U29" s="61" t="str">
        <f t="shared" si="2"/>
        <v>VIP</v>
      </c>
    </row>
    <row r="30" ht="22" customHeight="1" spans="6:21">
      <c r="F30" s="4"/>
      <c r="G30" s="4"/>
      <c r="H30" s="4"/>
      <c r="I30" s="49"/>
      <c r="K30" s="45">
        <v>25</v>
      </c>
      <c r="L30" s="46">
        <v>44280</v>
      </c>
      <c r="M30" s="45" t="s">
        <v>5</v>
      </c>
      <c r="N30" s="45" t="s">
        <v>24</v>
      </c>
      <c r="O30" s="45" t="s">
        <v>57</v>
      </c>
      <c r="P30" s="47" t="str">
        <f t="shared" si="3"/>
        <v>C</v>
      </c>
      <c r="Q30" s="59">
        <f t="shared" si="4"/>
        <v>1</v>
      </c>
      <c r="R30" s="60">
        <v>4422</v>
      </c>
      <c r="S30" s="61" t="s">
        <v>23</v>
      </c>
      <c r="T30" s="60">
        <v>200</v>
      </c>
      <c r="U30" s="61" t="str">
        <f t="shared" si="2"/>
        <v>VIP</v>
      </c>
    </row>
    <row r="31" ht="22" customHeight="1" spans="3:21">
      <c r="C31" s="35" t="s">
        <v>58</v>
      </c>
      <c r="D31" s="35"/>
      <c r="E31" s="35"/>
      <c r="F31" s="37">
        <v>44265</v>
      </c>
      <c r="G31" s="38"/>
      <c r="H31" s="38"/>
      <c r="I31" s="38"/>
      <c r="K31" s="45">
        <v>26</v>
      </c>
      <c r="L31" s="46">
        <v>44281</v>
      </c>
      <c r="M31" s="45" t="s">
        <v>5</v>
      </c>
      <c r="N31" s="45" t="s">
        <v>24</v>
      </c>
      <c r="O31" s="45" t="s">
        <v>59</v>
      </c>
      <c r="P31" s="47" t="str">
        <f t="shared" si="3"/>
        <v>C</v>
      </c>
      <c r="Q31" s="59">
        <f t="shared" si="4"/>
        <v>1</v>
      </c>
      <c r="R31" s="60">
        <v>4423</v>
      </c>
      <c r="S31" s="61" t="s">
        <v>23</v>
      </c>
      <c r="T31" s="60">
        <v>200</v>
      </c>
      <c r="U31" s="61" t="str">
        <f t="shared" si="2"/>
        <v>VIP</v>
      </c>
    </row>
    <row r="32" ht="22" customHeight="1" spans="6:21">
      <c r="F32" s="4"/>
      <c r="G32" s="4"/>
      <c r="H32" s="4"/>
      <c r="I32" s="49"/>
      <c r="K32" s="45">
        <v>27</v>
      </c>
      <c r="L32" s="46">
        <v>44282</v>
      </c>
      <c r="M32" s="45" t="s">
        <v>5</v>
      </c>
      <c r="N32" s="45" t="s">
        <v>24</v>
      </c>
      <c r="O32" s="45" t="s">
        <v>60</v>
      </c>
      <c r="P32" s="47" t="str">
        <f t="shared" si="3"/>
        <v>C</v>
      </c>
      <c r="Q32" s="59">
        <f t="shared" si="4"/>
        <v>1</v>
      </c>
      <c r="R32" s="60">
        <v>4424</v>
      </c>
      <c r="S32" s="61" t="s">
        <v>23</v>
      </c>
      <c r="T32" s="60">
        <v>200</v>
      </c>
      <c r="U32" s="61" t="str">
        <f t="shared" si="2"/>
        <v>VIP</v>
      </c>
    </row>
    <row r="33" ht="22" customHeight="1" spans="3:21">
      <c r="C33" s="35" t="s">
        <v>61</v>
      </c>
      <c r="D33" s="35"/>
      <c r="E33" s="35"/>
      <c r="F33" s="36">
        <f>SUMPRODUCT(($L$6:$L$3400&gt;=$F$29)*($L$6:$L$3400&lt;=$F$31)*$R$6:$R$3400)</f>
        <v>16820</v>
      </c>
      <c r="G33" s="36"/>
      <c r="H33" s="36"/>
      <c r="I33" s="36"/>
      <c r="K33" s="45">
        <v>28</v>
      </c>
      <c r="L33" s="46">
        <v>44283</v>
      </c>
      <c r="M33" s="45" t="s">
        <v>5</v>
      </c>
      <c r="N33" s="45" t="s">
        <v>24</v>
      </c>
      <c r="O33" s="45" t="s">
        <v>62</v>
      </c>
      <c r="P33" s="47" t="str">
        <f t="shared" si="3"/>
        <v>C</v>
      </c>
      <c r="Q33" s="59">
        <f t="shared" si="4"/>
        <v>1</v>
      </c>
      <c r="R33" s="60">
        <v>4425</v>
      </c>
      <c r="S33" s="61" t="s">
        <v>23</v>
      </c>
      <c r="T33" s="60">
        <v>200</v>
      </c>
      <c r="U33" s="61" t="str">
        <f t="shared" si="2"/>
        <v>VIP</v>
      </c>
    </row>
    <row r="34" ht="22" customHeight="1" spans="6:21">
      <c r="F34" s="4"/>
      <c r="G34" s="4"/>
      <c r="H34" s="4"/>
      <c r="I34" s="49"/>
      <c r="K34" s="45">
        <v>29</v>
      </c>
      <c r="L34" s="46">
        <v>44284</v>
      </c>
      <c r="M34" s="45" t="s">
        <v>5</v>
      </c>
      <c r="N34" s="45" t="s">
        <v>24</v>
      </c>
      <c r="O34" s="45" t="s">
        <v>63</v>
      </c>
      <c r="P34" s="47" t="str">
        <f t="shared" si="3"/>
        <v>C</v>
      </c>
      <c r="Q34" s="59">
        <f t="shared" si="4"/>
        <v>1</v>
      </c>
      <c r="R34" s="60">
        <v>4426</v>
      </c>
      <c r="S34" s="61" t="s">
        <v>23</v>
      </c>
      <c r="T34" s="60">
        <v>200</v>
      </c>
      <c r="U34" s="61" t="str">
        <f t="shared" si="2"/>
        <v>VIP</v>
      </c>
    </row>
  </sheetData>
  <mergeCells count="42">
    <mergeCell ref="C3:U3"/>
    <mergeCell ref="C5:I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20:E20"/>
    <mergeCell ref="F20:G20"/>
    <mergeCell ref="H20:I20"/>
    <mergeCell ref="C21:E21"/>
    <mergeCell ref="F21:G21"/>
    <mergeCell ref="H21:I21"/>
    <mergeCell ref="C22:E22"/>
    <mergeCell ref="F22:G22"/>
    <mergeCell ref="H22:I22"/>
    <mergeCell ref="C23:E23"/>
    <mergeCell ref="F23:G23"/>
    <mergeCell ref="H23:I23"/>
    <mergeCell ref="C25:E25"/>
    <mergeCell ref="F25:I25"/>
    <mergeCell ref="F26:H26"/>
    <mergeCell ref="C27:E27"/>
    <mergeCell ref="F27:I27"/>
    <mergeCell ref="F28:H28"/>
    <mergeCell ref="C29:E29"/>
    <mergeCell ref="F29:I29"/>
    <mergeCell ref="F30:H30"/>
    <mergeCell ref="C31:E31"/>
    <mergeCell ref="F31:I31"/>
    <mergeCell ref="F32:H32"/>
    <mergeCell ref="C33:E33"/>
    <mergeCell ref="F33:I33"/>
    <mergeCell ref="F34:H34"/>
  </mergeCells>
  <pageMargins left="0.590277777777778" right="0.984027777777778" top="0.786805555555556" bottom="1.18055555555556" header="0.5" footer="0.5"/>
  <pageSetup paperSize="8" orientation="landscape" horizontalDpi="600"/>
  <headerFooter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bf77424-e4e2-4219-a317-9da0bdebc886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Q6:Q34</xm:sqref>
        </x14:conditionalFormatting>
        <x14:conditionalFormatting xmlns:xm="http://schemas.microsoft.com/office/excel/2006/main">
          <x14:cfRule type="iconSet" priority="2" id="{32a0ed40-864b-4cee-8425-9ba5f7df04fb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H21:I23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交易数量统计</vt:lpstr>
      <vt:lpstr>登记表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</dc:creator>
  <cp:lastModifiedBy>25472</cp:lastModifiedBy>
  <dcterms:created xsi:type="dcterms:W3CDTF">2020-10-03T06:00:00Z</dcterms:created>
  <dcterms:modified xsi:type="dcterms:W3CDTF">2025-12-03T08:46:23Z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65C9A337EF2F40599F8A7FED4697CA32_13</vt:lpwstr>
  </property>
  <property fmtid="{D5CDD505-2E9C-101B-9397-08002B2CF9AE}" pid="3" name="KSOProductBuildVer">
    <vt:lpwstr>2052-12.1.0.15712</vt:lpwstr>
  </property>
  <property fmtid="{D5CDD505-2E9C-101B-9397-08002B2CF9AE}" pid="4" name="KSOReadingLayout">
    <vt:bool>false</vt:bool>
  </property>
  <property fmtid="{D5CDD505-2E9C-101B-9397-08002B2CF9AE}" pid="5" name="KSOTemplateUUID">
    <vt:lpwstr>v1.0_mb_eY7OsLlJr9HeR0CfBwphkg==</vt:lpwstr>
  </property>
</Properties>
</file>
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445" windowHeight="9750" activeTab="1"/>
  </bookViews>
  <sheets>
    <sheet name="工资统计表" sheetId="1" r:id="rId1"/>
    <sheet name="Sheet2" sheetId="4" r:id="rId2"/>
    <sheet name="筛选" sheetId="5" r:id="rId3"/>
    <sheet name="分类汇总" sheetId="6" r:id="rId4"/>
    <sheet name="图表" sheetId="7" r:id="rId5"/>
  </sheets>
  <definedNames>
    <definedName name="_xlnm.Criteria" localSheetId="2">筛选!$A$1:$B$2</definedName>
    <definedName name="_xlnm.Extract" localSheetId="2">筛选!$A$5</definedName>
  </definedNames>
  <calcPr calcId="144525"/>
</workbook>
</file>

<file path=xl/sharedStrings.xml><?xml version="1.0" encoding="utf-8"?>
<sst xmlns="http://schemas.openxmlformats.org/spreadsheetml/2006/main" count="176" uniqueCount="37">
  <si>
    <t>某单位人员工资情况</t>
  </si>
  <si>
    <t>职工号</t>
  </si>
  <si>
    <t>职称</t>
  </si>
  <si>
    <t>基本工资</t>
  </si>
  <si>
    <t>岗位补贴</t>
  </si>
  <si>
    <t>工资合计</t>
  </si>
  <si>
    <t>人数</t>
  </si>
  <si>
    <t>AB001</t>
  </si>
  <si>
    <t>高工</t>
  </si>
  <si>
    <t>工程师</t>
  </si>
  <si>
    <t>AB002</t>
  </si>
  <si>
    <t>AB003</t>
  </si>
  <si>
    <t>AB004</t>
  </si>
  <si>
    <t>AB005</t>
  </si>
  <si>
    <t>AB006</t>
  </si>
  <si>
    <t>助工</t>
  </si>
  <si>
    <t>AB007</t>
  </si>
  <si>
    <t>AB008</t>
  </si>
  <si>
    <t>AB009</t>
  </si>
  <si>
    <t>AB010</t>
  </si>
  <si>
    <t>AB011</t>
  </si>
  <si>
    <t>AB012</t>
  </si>
  <si>
    <t>AB013</t>
  </si>
  <si>
    <t>AB014</t>
  </si>
  <si>
    <t>AB015</t>
  </si>
  <si>
    <t>AB016</t>
  </si>
  <si>
    <t>AB017</t>
  </si>
  <si>
    <t>AB018</t>
  </si>
  <si>
    <t>AB019</t>
  </si>
  <si>
    <t>AB020</t>
  </si>
  <si>
    <t>AB021</t>
  </si>
  <si>
    <t>AB022</t>
  </si>
  <si>
    <t>&gt;6400</t>
  </si>
  <si>
    <t>助工 最小值</t>
  </si>
  <si>
    <t>工程师 最小值</t>
  </si>
  <si>
    <t>高工 最小值</t>
  </si>
  <si>
    <t>总最小值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</si>
</sst>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2"/>
      <name val="宋体"/>
      <charset val="134"/>
    </font>
    <font>
      <b/>
      <sz val="12"/>
      <name val="宋体"/>
      <charset val="134"/>
    </font>
    <font>
      <b/>
      <sz val="15"/>
      <color rgb="FF7030A0"/>
      <name val="仿宋"/>
      <charset val="134"/>
    </font>
    <font>
      <sz val="1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Font="1" applyAlignment="1"/>
    <xf numFmtId="0" fontId="0" fillId="0" borderId="0" xfId="0" applyFont="1"/>
    <xf numFmtId="176" fontId="0" fillId="0" borderId="0" xfId="0" applyNumberFormat="1" applyFont="1"/>
    <xf numFmtId="0" fontId="2" fillId="0" borderId="0" xfId="0" applyFont="1" applyAlignment="1">
      <alignment horizontal="center"/>
    </xf>
    <xf numFmtId="0" fontId="0" fillId="0" borderId="1" xfId="0" applyFont="1" applyBorder="1"/>
    <xf numFmtId="0" fontId="0" fillId="0" borderId="1" xfId="0" applyNumberFormat="1" applyFont="1" applyBorder="1"/>
    <xf numFmtId="0" fontId="0" fillId="0" borderId="0" xfId="0" applyFont="1" applyBorder="1"/>
    <xf numFmtId="0" fontId="0" fillId="0" borderId="0" xfId="0" applyNumberFormat="1" applyFont="1" applyBorder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none"/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职工工资统计图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基本工资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Sheet2!$B$3:$B$10</c:f>
              <c:strCache>
                <c:ptCount val="8"/>
                <c:pt idx="0">
                  <c:v>高工</c:v>
                </c:pt>
                <c:pt idx="1">
                  <c:v>高工</c:v>
                </c:pt>
                <c:pt idx="2">
                  <c:v>工程师</c:v>
                </c:pt>
                <c:pt idx="3">
                  <c:v>高工</c:v>
                </c:pt>
                <c:pt idx="4">
                  <c:v>工程师</c:v>
                </c:pt>
                <c:pt idx="5">
                  <c:v>助工</c:v>
                </c:pt>
                <c:pt idx="6">
                  <c:v>工程师</c:v>
                </c:pt>
                <c:pt idx="7">
                  <c:v>高工</c:v>
                </c:pt>
              </c:strCache>
            </c:strRef>
          </c:cat>
          <c:val>
            <c:numRef>
              <c:f>Sheet2!$C$3:$C$10</c:f>
              <c:numCache>
                <c:formatCode>General</c:formatCode>
                <c:ptCount val="8"/>
                <c:pt idx="0">
                  <c:v>8700</c:v>
                </c:pt>
                <c:pt idx="1">
                  <c:v>8200</c:v>
                </c:pt>
                <c:pt idx="2">
                  <c:v>7100</c:v>
                </c:pt>
                <c:pt idx="3">
                  <c:v>8500</c:v>
                </c:pt>
                <c:pt idx="4">
                  <c:v>6500</c:v>
                </c:pt>
                <c:pt idx="5">
                  <c:v>5600</c:v>
                </c:pt>
                <c:pt idx="6">
                  <c:v>6700</c:v>
                </c:pt>
                <c:pt idx="7">
                  <c:v>8100</c:v>
                </c:pt>
              </c:numCache>
            </c:numRef>
          </c:val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岗位补贴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Sheet2!$B$3:$B$10</c:f>
              <c:strCache>
                <c:ptCount val="8"/>
                <c:pt idx="0">
                  <c:v>高工</c:v>
                </c:pt>
                <c:pt idx="1">
                  <c:v>高工</c:v>
                </c:pt>
                <c:pt idx="2">
                  <c:v>工程师</c:v>
                </c:pt>
                <c:pt idx="3">
                  <c:v>高工</c:v>
                </c:pt>
                <c:pt idx="4">
                  <c:v>工程师</c:v>
                </c:pt>
                <c:pt idx="5">
                  <c:v>助工</c:v>
                </c:pt>
                <c:pt idx="6">
                  <c:v>工程师</c:v>
                </c:pt>
                <c:pt idx="7">
                  <c:v>高工</c:v>
                </c:pt>
              </c:strCache>
            </c:strRef>
          </c:cat>
          <c:val>
            <c:numRef>
              <c:f>Sheet2!$D$3:$D$10</c:f>
              <c:numCache>
                <c:formatCode>General</c:formatCode>
                <c:ptCount val="8"/>
                <c:pt idx="0">
                  <c:v>6500</c:v>
                </c:pt>
                <c:pt idx="1">
                  <c:v>6300</c:v>
                </c:pt>
                <c:pt idx="2">
                  <c:v>4500</c:v>
                </c:pt>
                <c:pt idx="3">
                  <c:v>6800</c:v>
                </c:pt>
                <c:pt idx="4">
                  <c:v>4800</c:v>
                </c:pt>
                <c:pt idx="5">
                  <c:v>3500</c:v>
                </c:pt>
                <c:pt idx="6">
                  <c:v>4300</c:v>
                </c:pt>
                <c:pt idx="7">
                  <c:v>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5458882"/>
        <c:axId val="198446136"/>
      </c:barChart>
      <c:catAx>
        <c:axId val="7554588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46136"/>
        <c:crosses val="autoZero"/>
        <c:auto val="1"/>
        <c:lblAlgn val="ctr"/>
        <c:lblOffset val="100"/>
        <c:noMultiLvlLbl val="0"/>
      </c:catAx>
      <c:valAx>
        <c:axId val="19844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4588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8</xdr:row>
      <xdr:rowOff>139700</xdr:rowOff>
    </xdr:from>
    <xdr:to>
      <xdr:col>10</xdr:col>
      <xdr:colOff>101600</xdr:colOff>
      <xdr:row>23</xdr:row>
      <xdr:rowOff>168275</xdr:rowOff>
    </xdr:to>
    <xdr:graphicFrame>
      <xdr:nvGraphicFramePr>
        <xdr:cNvPr id="2" name="图表 1"/>
        <xdr:cNvGraphicFramePr/>
      </xdr:nvGraphicFramePr>
      <xdr:xfrm>
        <a:off x="2133600" y="1587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1" sqref="A1:E1"/>
    </sheetView>
  </sheetViews>
  <sheetFormatPr defaultColWidth="8.625" defaultRowHeight="14.25"/>
  <cols>
    <col min="1" max="1" width="11.5" style="3" customWidth="1"/>
    <col min="2" max="6" width="8.625" style="3" customWidth="1"/>
    <col min="7" max="7" width="12.875" style="3" customWidth="1"/>
    <col min="8" max="8" width="7.375" style="3" customWidth="1"/>
    <col min="9" max="9" width="13.375" style="3" customWidth="1"/>
    <col min="10" max="16384" width="8.625" style="3"/>
  </cols>
  <sheetData>
    <row r="1" ht="19.5" spans="1:5">
      <c r="A1" s="5" t="s">
        <v>0</v>
      </c>
      <c r="B1" s="5"/>
      <c r="C1" s="5"/>
      <c r="D1" s="5"/>
      <c r="E1" s="5"/>
    </row>
    <row r="2" spans="1:8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G2" s="6" t="s">
        <v>2</v>
      </c>
      <c r="H2" s="7" t="s">
        <v>6</v>
      </c>
    </row>
    <row r="3" spans="1:9">
      <c r="A3" s="2" t="s">
        <v>7</v>
      </c>
      <c r="B3" s="2" t="s">
        <v>8</v>
      </c>
      <c r="C3" s="3">
        <v>8700</v>
      </c>
      <c r="D3" s="3">
        <v>6500</v>
      </c>
      <c r="F3" s="8"/>
      <c r="G3" s="6" t="s">
        <v>9</v>
      </c>
      <c r="H3" s="7"/>
      <c r="I3" s="8"/>
    </row>
    <row r="4" spans="1:9">
      <c r="A4" s="2" t="s">
        <v>10</v>
      </c>
      <c r="B4" s="2" t="s">
        <v>8</v>
      </c>
      <c r="C4" s="3">
        <v>8200</v>
      </c>
      <c r="D4" s="3">
        <v>6300</v>
      </c>
      <c r="F4" s="8"/>
      <c r="I4" s="9"/>
    </row>
    <row r="5" spans="1:9">
      <c r="A5" s="2" t="s">
        <v>11</v>
      </c>
      <c r="B5" s="2" t="s">
        <v>9</v>
      </c>
      <c r="C5" s="3">
        <v>7100</v>
      </c>
      <c r="D5" s="3">
        <v>4500</v>
      </c>
      <c r="F5" s="8"/>
      <c r="I5" s="9"/>
    </row>
    <row r="6" spans="1:9">
      <c r="A6" s="2" t="s">
        <v>12</v>
      </c>
      <c r="B6" s="2" t="s">
        <v>8</v>
      </c>
      <c r="C6" s="3">
        <v>8500</v>
      </c>
      <c r="D6" s="3">
        <v>6800</v>
      </c>
      <c r="F6" s="8"/>
      <c r="G6" s="8"/>
      <c r="H6" s="9"/>
      <c r="I6" s="9"/>
    </row>
    <row r="7" spans="1:9">
      <c r="A7" s="2" t="s">
        <v>13</v>
      </c>
      <c r="B7" s="2" t="s">
        <v>9</v>
      </c>
      <c r="C7" s="3">
        <v>6500</v>
      </c>
      <c r="D7" s="3">
        <v>4800</v>
      </c>
      <c r="F7" s="8"/>
      <c r="G7" s="8"/>
      <c r="H7" s="9"/>
      <c r="I7" s="9"/>
    </row>
    <row r="8" spans="1:5">
      <c r="A8" s="2" t="s">
        <v>14</v>
      </c>
      <c r="B8" s="2" t="s">
        <v>15</v>
      </c>
      <c r="C8" s="3">
        <v>5600</v>
      </c>
      <c r="D8" s="3">
        <v>3500</v>
      </c>
      <c r="E8" s="8"/>
    </row>
    <row r="9" spans="1:5">
      <c r="A9" s="2" t="s">
        <v>16</v>
      </c>
      <c r="B9" s="2" t="s">
        <v>9</v>
      </c>
      <c r="C9" s="3">
        <v>6700</v>
      </c>
      <c r="D9" s="3">
        <v>4300</v>
      </c>
      <c r="E9" s="8"/>
    </row>
    <row r="10" spans="1:5">
      <c r="A10" s="2" t="s">
        <v>17</v>
      </c>
      <c r="B10" s="2" t="s">
        <v>8</v>
      </c>
      <c r="C10" s="3">
        <v>8100</v>
      </c>
      <c r="D10" s="3">
        <v>6500</v>
      </c>
      <c r="E10" s="8"/>
    </row>
    <row r="11" spans="1:5">
      <c r="A11" s="2" t="s">
        <v>18</v>
      </c>
      <c r="B11" s="2" t="s">
        <v>15</v>
      </c>
      <c r="C11" s="3">
        <v>4600</v>
      </c>
      <c r="D11" s="3">
        <v>3300</v>
      </c>
      <c r="E11" s="8"/>
    </row>
    <row r="12" spans="1:5">
      <c r="A12" s="2" t="s">
        <v>19</v>
      </c>
      <c r="B12" s="2" t="s">
        <v>8</v>
      </c>
      <c r="C12" s="3">
        <v>7800</v>
      </c>
      <c r="D12" s="3">
        <v>6500</v>
      </c>
      <c r="E12" s="8"/>
    </row>
    <row r="13" spans="1:4">
      <c r="A13" s="2" t="s">
        <v>20</v>
      </c>
      <c r="B13" s="2" t="s">
        <v>9</v>
      </c>
      <c r="C13" s="3">
        <v>6500</v>
      </c>
      <c r="D13" s="3">
        <v>5000</v>
      </c>
    </row>
    <row r="14" spans="1:4">
      <c r="A14" s="2" t="s">
        <v>21</v>
      </c>
      <c r="B14" s="2" t="s">
        <v>8</v>
      </c>
      <c r="C14" s="3">
        <v>8700</v>
      </c>
      <c r="D14" s="3">
        <v>6300</v>
      </c>
    </row>
    <row r="15" spans="1:4">
      <c r="A15" s="2" t="s">
        <v>22</v>
      </c>
      <c r="B15" s="2" t="s">
        <v>9</v>
      </c>
      <c r="C15" s="3">
        <v>6300</v>
      </c>
      <c r="D15" s="3">
        <v>4700</v>
      </c>
    </row>
    <row r="16" spans="1:4">
      <c r="A16" s="2" t="s">
        <v>23</v>
      </c>
      <c r="B16" s="2" t="s">
        <v>9</v>
      </c>
      <c r="C16" s="3">
        <v>6100</v>
      </c>
      <c r="D16" s="3">
        <v>4500</v>
      </c>
    </row>
    <row r="17" ht="15.75" spans="1:8">
      <c r="A17" s="2" t="s">
        <v>24</v>
      </c>
      <c r="B17" s="2" t="s">
        <v>8</v>
      </c>
      <c r="C17" s="3">
        <v>8200</v>
      </c>
      <c r="D17" s="3">
        <v>6200</v>
      </c>
      <c r="H17" s="10"/>
    </row>
    <row r="18" ht="15.75" spans="1:8">
      <c r="A18" s="2" t="s">
        <v>25</v>
      </c>
      <c r="B18" s="2" t="s">
        <v>8</v>
      </c>
      <c r="C18" s="3">
        <v>8500</v>
      </c>
      <c r="D18" s="3">
        <v>6300</v>
      </c>
      <c r="H18" s="10"/>
    </row>
    <row r="19" ht="15.75" spans="1:8">
      <c r="A19" s="2" t="s">
        <v>26</v>
      </c>
      <c r="B19" s="2" t="s">
        <v>9</v>
      </c>
      <c r="C19" s="3">
        <v>6900</v>
      </c>
      <c r="D19" s="3">
        <v>4800</v>
      </c>
      <c r="H19" s="10"/>
    </row>
    <row r="20" ht="15.75" spans="1:8">
      <c r="A20" s="2" t="s">
        <v>27</v>
      </c>
      <c r="B20" s="2" t="s">
        <v>9</v>
      </c>
      <c r="C20" s="3">
        <v>7200</v>
      </c>
      <c r="D20" s="3">
        <v>4200</v>
      </c>
      <c r="H20" s="10"/>
    </row>
    <row r="21" ht="15.75" spans="1:8">
      <c r="A21" s="2" t="s">
        <v>28</v>
      </c>
      <c r="B21" s="2" t="s">
        <v>15</v>
      </c>
      <c r="C21" s="3">
        <v>4800</v>
      </c>
      <c r="D21" s="3">
        <v>3000</v>
      </c>
      <c r="H21" s="10"/>
    </row>
    <row r="22" spans="1:4">
      <c r="A22" s="2" t="s">
        <v>29</v>
      </c>
      <c r="B22" s="2" t="s">
        <v>9</v>
      </c>
      <c r="C22" s="3">
        <v>7200</v>
      </c>
      <c r="D22" s="3">
        <v>4500</v>
      </c>
    </row>
    <row r="23" spans="1:4">
      <c r="A23" s="2" t="s">
        <v>30</v>
      </c>
      <c r="B23" s="2" t="s">
        <v>15</v>
      </c>
      <c r="C23" s="3">
        <v>4500</v>
      </c>
      <c r="D23" s="3">
        <v>3400</v>
      </c>
    </row>
    <row r="24" spans="1:4">
      <c r="A24" s="2" t="s">
        <v>31</v>
      </c>
      <c r="B24" s="2" t="s">
        <v>9</v>
      </c>
      <c r="C24" s="3">
        <v>6500</v>
      </c>
      <c r="D24" s="3">
        <v>4900</v>
      </c>
    </row>
  </sheetData>
  <mergeCells count="1">
    <mergeCell ref="A1:E1"/>
  </mergeCells>
  <conditionalFormatting sqref="B10:B14 B6:B8 B3:B4 B5:C5 D3:D8 D10:D14">
    <cfRule type="cellIs" dxfId="0" priority="2" stopIfTrue="1" operator="greaterThanOrEqual">
      <formula>130</formula>
    </cfRule>
  </conditionalFormatting>
  <conditionalFormatting sqref="E8 E3 E10">
    <cfRule type="cellIs" dxfId="0" priority="1" stopIfTrue="1" operator="greaterThanOrEqual">
      <formula>130</formula>
    </cfRule>
  </conditionalFormatting>
  <conditionalFormatting sqref="G3 I3">
    <cfRule type="cellIs" dxfId="0" priority="5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H18" sqref="H18"/>
    </sheetView>
  </sheetViews>
  <sheetFormatPr defaultColWidth="9" defaultRowHeight="14.25" outlineLevelCol="7"/>
  <sheetData>
    <row r="1" ht="19.5" spans="1:8">
      <c r="A1" s="5" t="s">
        <v>0</v>
      </c>
      <c r="B1" s="5"/>
      <c r="C1" s="5"/>
      <c r="D1" s="5"/>
      <c r="E1" s="5"/>
      <c r="F1" s="3"/>
      <c r="G1" s="3"/>
      <c r="H1" s="3"/>
    </row>
    <row r="2" spans="1:8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/>
      <c r="G2" s="6" t="s">
        <v>2</v>
      </c>
      <c r="H2" s="7" t="s">
        <v>6</v>
      </c>
    </row>
    <row r="3" spans="1:8">
      <c r="A3" s="2" t="s">
        <v>7</v>
      </c>
      <c r="B3" s="2" t="s">
        <v>8</v>
      </c>
      <c r="C3" s="3">
        <v>8700</v>
      </c>
      <c r="D3" s="3">
        <v>6500</v>
      </c>
      <c r="E3" s="4">
        <f>SUM(C3:D3)</f>
        <v>15200</v>
      </c>
      <c r="F3" s="8"/>
      <c r="G3" s="6" t="s">
        <v>9</v>
      </c>
      <c r="H3" s="7">
        <f>COUNTIF(B3:B24,G3)</f>
        <v>10</v>
      </c>
    </row>
    <row r="4" spans="1:8">
      <c r="A4" s="2" t="s">
        <v>10</v>
      </c>
      <c r="B4" s="2" t="s">
        <v>8</v>
      </c>
      <c r="C4" s="3">
        <v>8200</v>
      </c>
      <c r="D4" s="3">
        <v>6300</v>
      </c>
      <c r="E4" s="4">
        <f t="shared" ref="E4:E24" si="0">SUM(C4:D4)</f>
        <v>14500</v>
      </c>
      <c r="F4" s="8"/>
      <c r="G4" s="3"/>
      <c r="H4" s="3"/>
    </row>
    <row r="5" spans="1:8">
      <c r="A5" s="2" t="s">
        <v>11</v>
      </c>
      <c r="B5" s="2" t="s">
        <v>9</v>
      </c>
      <c r="C5" s="3">
        <v>7100</v>
      </c>
      <c r="D5" s="3">
        <v>4500</v>
      </c>
      <c r="E5" s="4">
        <f t="shared" si="0"/>
        <v>11600</v>
      </c>
      <c r="F5" s="8"/>
      <c r="G5" s="3"/>
      <c r="H5" s="3"/>
    </row>
    <row r="6" spans="1:8">
      <c r="A6" s="2" t="s">
        <v>12</v>
      </c>
      <c r="B6" s="2" t="s">
        <v>8</v>
      </c>
      <c r="C6" s="3">
        <v>8500</v>
      </c>
      <c r="D6" s="3">
        <v>6800</v>
      </c>
      <c r="E6" s="4">
        <f t="shared" si="0"/>
        <v>15300</v>
      </c>
      <c r="F6" s="8"/>
      <c r="G6" s="8"/>
      <c r="H6" s="9"/>
    </row>
    <row r="7" spans="1:8">
      <c r="A7" s="2" t="s">
        <v>13</v>
      </c>
      <c r="B7" s="2" t="s">
        <v>9</v>
      </c>
      <c r="C7" s="3">
        <v>6500</v>
      </c>
      <c r="D7" s="3">
        <v>4800</v>
      </c>
      <c r="E7" s="4">
        <f t="shared" si="0"/>
        <v>11300</v>
      </c>
      <c r="F7" s="8"/>
      <c r="G7" s="8"/>
      <c r="H7" s="9"/>
    </row>
    <row r="8" spans="1:8">
      <c r="A8" s="2" t="s">
        <v>14</v>
      </c>
      <c r="B8" s="2" t="s">
        <v>15</v>
      </c>
      <c r="C8" s="3">
        <v>5600</v>
      </c>
      <c r="D8" s="3">
        <v>3500</v>
      </c>
      <c r="E8" s="4">
        <f t="shared" si="0"/>
        <v>9100</v>
      </c>
      <c r="F8" s="3"/>
      <c r="G8" s="3"/>
      <c r="H8" s="3"/>
    </row>
    <row r="9" spans="1:8">
      <c r="A9" s="2" t="s">
        <v>16</v>
      </c>
      <c r="B9" s="2" t="s">
        <v>9</v>
      </c>
      <c r="C9" s="3">
        <v>6700</v>
      </c>
      <c r="D9" s="3">
        <v>4300</v>
      </c>
      <c r="E9" s="4">
        <f t="shared" si="0"/>
        <v>11000</v>
      </c>
      <c r="F9" s="3"/>
      <c r="G9" s="3"/>
      <c r="H9" s="3"/>
    </row>
    <row r="10" spans="1:8">
      <c r="A10" s="2" t="s">
        <v>17</v>
      </c>
      <c r="B10" s="2" t="s">
        <v>8</v>
      </c>
      <c r="C10" s="3">
        <v>8100</v>
      </c>
      <c r="D10" s="3">
        <v>6500</v>
      </c>
      <c r="E10" s="4">
        <f t="shared" si="0"/>
        <v>14600</v>
      </c>
      <c r="F10" s="3"/>
      <c r="G10" s="3"/>
      <c r="H10" s="3"/>
    </row>
    <row r="11" spans="1:8">
      <c r="A11" s="2" t="s">
        <v>18</v>
      </c>
      <c r="B11" s="2" t="s">
        <v>15</v>
      </c>
      <c r="C11" s="3">
        <v>4600</v>
      </c>
      <c r="D11" s="3">
        <v>3300</v>
      </c>
      <c r="E11" s="4">
        <f t="shared" si="0"/>
        <v>7900</v>
      </c>
      <c r="F11" s="3"/>
      <c r="G11" s="3"/>
      <c r="H11" s="3"/>
    </row>
    <row r="12" spans="1:8">
      <c r="A12" s="2" t="s">
        <v>19</v>
      </c>
      <c r="B12" s="2" t="s">
        <v>8</v>
      </c>
      <c r="C12" s="3">
        <v>7800</v>
      </c>
      <c r="D12" s="3">
        <v>6500</v>
      </c>
      <c r="E12" s="4">
        <f t="shared" si="0"/>
        <v>14300</v>
      </c>
      <c r="F12" s="3"/>
      <c r="G12" s="3"/>
      <c r="H12" s="3"/>
    </row>
    <row r="13" spans="1:8">
      <c r="A13" s="2" t="s">
        <v>20</v>
      </c>
      <c r="B13" s="2" t="s">
        <v>9</v>
      </c>
      <c r="C13" s="3">
        <v>6500</v>
      </c>
      <c r="D13" s="3">
        <v>5000</v>
      </c>
      <c r="E13" s="4">
        <f t="shared" si="0"/>
        <v>11500</v>
      </c>
      <c r="F13" s="3"/>
      <c r="G13" s="3"/>
      <c r="H13" s="3"/>
    </row>
    <row r="14" spans="1:8">
      <c r="A14" s="2" t="s">
        <v>21</v>
      </c>
      <c r="B14" s="2" t="s">
        <v>8</v>
      </c>
      <c r="C14" s="3">
        <v>8700</v>
      </c>
      <c r="D14" s="3">
        <v>6300</v>
      </c>
      <c r="E14" s="4">
        <f t="shared" si="0"/>
        <v>15000</v>
      </c>
      <c r="F14" s="3"/>
      <c r="G14" s="3"/>
      <c r="H14" s="3"/>
    </row>
    <row r="15" spans="1:8">
      <c r="A15" s="2" t="s">
        <v>22</v>
      </c>
      <c r="B15" s="2" t="s">
        <v>9</v>
      </c>
      <c r="C15" s="3">
        <v>6300</v>
      </c>
      <c r="D15" s="3">
        <v>4700</v>
      </c>
      <c r="E15" s="4">
        <f t="shared" si="0"/>
        <v>11000</v>
      </c>
      <c r="F15" s="3"/>
      <c r="G15" s="3"/>
      <c r="H15" s="3"/>
    </row>
    <row r="16" spans="1:8">
      <c r="A16" s="2" t="s">
        <v>23</v>
      </c>
      <c r="B16" s="2" t="s">
        <v>9</v>
      </c>
      <c r="C16" s="3">
        <v>6100</v>
      </c>
      <c r="D16" s="3">
        <v>4500</v>
      </c>
      <c r="E16" s="4">
        <f t="shared" si="0"/>
        <v>10600</v>
      </c>
      <c r="F16" s="3"/>
      <c r="G16" s="3"/>
      <c r="H16" s="3"/>
    </row>
    <row r="17" ht="15.75" spans="1:8">
      <c r="A17" s="2" t="s">
        <v>24</v>
      </c>
      <c r="B17" s="2" t="s">
        <v>8</v>
      </c>
      <c r="C17" s="3">
        <v>8200</v>
      </c>
      <c r="D17" s="3">
        <v>6200</v>
      </c>
      <c r="E17" s="4">
        <f t="shared" si="0"/>
        <v>14400</v>
      </c>
      <c r="F17" s="3"/>
      <c r="G17" s="3"/>
      <c r="H17" s="10"/>
    </row>
    <row r="18" ht="15.75" spans="1:8">
      <c r="A18" s="2" t="s">
        <v>25</v>
      </c>
      <c r="B18" s="2" t="s">
        <v>8</v>
      </c>
      <c r="C18" s="3">
        <v>8500</v>
      </c>
      <c r="D18" s="3">
        <v>6300</v>
      </c>
      <c r="E18" s="4">
        <f t="shared" si="0"/>
        <v>14800</v>
      </c>
      <c r="F18" s="3"/>
      <c r="G18" s="3"/>
      <c r="H18" s="10"/>
    </row>
    <row r="19" ht="15.75" spans="1:8">
      <c r="A19" s="2" t="s">
        <v>26</v>
      </c>
      <c r="B19" s="2" t="s">
        <v>9</v>
      </c>
      <c r="C19" s="3">
        <v>6900</v>
      </c>
      <c r="D19" s="3">
        <v>4800</v>
      </c>
      <c r="E19" s="4">
        <f t="shared" si="0"/>
        <v>11700</v>
      </c>
      <c r="F19" s="3"/>
      <c r="G19" s="3"/>
      <c r="H19" s="10"/>
    </row>
    <row r="20" ht="15.75" spans="1:8">
      <c r="A20" s="2" t="s">
        <v>27</v>
      </c>
      <c r="B20" s="2" t="s">
        <v>9</v>
      </c>
      <c r="C20" s="3">
        <v>7200</v>
      </c>
      <c r="D20" s="3">
        <v>4200</v>
      </c>
      <c r="E20" s="4">
        <f t="shared" si="0"/>
        <v>11400</v>
      </c>
      <c r="F20" s="3"/>
      <c r="G20" s="3"/>
      <c r="H20" s="10"/>
    </row>
    <row r="21" ht="15.75" spans="1:8">
      <c r="A21" s="2" t="s">
        <v>28</v>
      </c>
      <c r="B21" s="2" t="s">
        <v>15</v>
      </c>
      <c r="C21" s="3">
        <v>4800</v>
      </c>
      <c r="D21" s="3">
        <v>3000</v>
      </c>
      <c r="E21" s="4">
        <f t="shared" si="0"/>
        <v>7800</v>
      </c>
      <c r="F21" s="3"/>
      <c r="G21" s="3"/>
      <c r="H21" s="10"/>
    </row>
    <row r="22" spans="1:8">
      <c r="A22" s="2" t="s">
        <v>29</v>
      </c>
      <c r="B22" s="2" t="s">
        <v>9</v>
      </c>
      <c r="C22" s="3">
        <v>7200</v>
      </c>
      <c r="D22" s="3">
        <v>4500</v>
      </c>
      <c r="E22" s="4">
        <f t="shared" si="0"/>
        <v>11700</v>
      </c>
      <c r="F22" s="3"/>
      <c r="G22" s="3"/>
      <c r="H22" s="3"/>
    </row>
    <row r="23" spans="1:8">
      <c r="A23" s="2" t="s">
        <v>30</v>
      </c>
      <c r="B23" s="2" t="s">
        <v>15</v>
      </c>
      <c r="C23" s="3">
        <v>4500</v>
      </c>
      <c r="D23" s="3">
        <v>3400</v>
      </c>
      <c r="E23" s="4">
        <f t="shared" si="0"/>
        <v>7900</v>
      </c>
      <c r="F23" s="3"/>
      <c r="G23" s="3"/>
      <c r="H23" s="3"/>
    </row>
    <row r="24" spans="1:8">
      <c r="A24" s="2" t="s">
        <v>31</v>
      </c>
      <c r="B24" s="2" t="s">
        <v>9</v>
      </c>
      <c r="C24" s="3">
        <v>6500</v>
      </c>
      <c r="D24" s="3">
        <v>4900</v>
      </c>
      <c r="E24" s="4">
        <f t="shared" si="0"/>
        <v>11400</v>
      </c>
      <c r="F24" s="3"/>
      <c r="G24" s="3"/>
      <c r="H24" s="3"/>
    </row>
  </sheetData>
  <mergeCells count="1">
    <mergeCell ref="A1:E1"/>
  </mergeCells>
  <conditionalFormatting sqref="G3">
    <cfRule type="cellIs" dxfId="0" priority="5" stopIfTrue="1" operator="greaterThanOrEqual">
      <formula>130</formula>
    </cfRule>
  </conditionalFormatting>
  <conditionalFormatting sqref="E3:E24">
    <cfRule type="cellIs" dxfId="1" priority="2" operator="lessThan">
      <formula>10000</formula>
    </cfRule>
    <cfRule type="cellIs" dxfId="2" priority="1" operator="greaterThan">
      <formula>13000</formula>
    </cfRule>
  </conditionalFormatting>
  <conditionalFormatting sqref="B10:B14 B6:B8 B3:B4 B5:C5 D3:D8 D10:D14">
    <cfRule type="cellIs" dxfId="0" priority="4" stopIfTrue="1" operator="greaterThanOrEqual">
      <formula>130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F18" sqref="F18"/>
    </sheetView>
  </sheetViews>
  <sheetFormatPr defaultColWidth="9" defaultRowHeight="14.25" outlineLevelCol="4"/>
  <sheetData>
    <row r="1" spans="1:2">
      <c r="A1" t="s">
        <v>2</v>
      </c>
      <c r="B1" t="s">
        <v>4</v>
      </c>
    </row>
    <row r="2" spans="1:2">
      <c r="A2" t="s">
        <v>8</v>
      </c>
      <c r="B2" t="s">
        <v>32</v>
      </c>
    </row>
    <row r="5" spans="1:5">
      <c r="A5" s="2" t="s">
        <v>1</v>
      </c>
      <c r="B5" s="2" t="s">
        <v>2</v>
      </c>
      <c r="C5" s="2" t="s">
        <v>3</v>
      </c>
      <c r="D5" s="3" t="s">
        <v>4</v>
      </c>
      <c r="E5" s="3" t="s">
        <v>5</v>
      </c>
    </row>
    <row r="6" spans="1:5">
      <c r="A6" s="2" t="s">
        <v>7</v>
      </c>
      <c r="B6" s="2" t="s">
        <v>8</v>
      </c>
      <c r="C6" s="3">
        <v>8700</v>
      </c>
      <c r="D6" s="3">
        <v>6500</v>
      </c>
      <c r="E6" s="4">
        <v>15200</v>
      </c>
    </row>
    <row r="7" spans="1:5">
      <c r="A7" s="2" t="s">
        <v>12</v>
      </c>
      <c r="B7" s="2" t="s">
        <v>8</v>
      </c>
      <c r="C7" s="3">
        <v>8500</v>
      </c>
      <c r="D7" s="3">
        <v>6800</v>
      </c>
      <c r="E7" s="4">
        <v>15300</v>
      </c>
    </row>
    <row r="8" spans="1:5">
      <c r="A8" s="2" t="s">
        <v>17</v>
      </c>
      <c r="B8" s="2" t="s">
        <v>8</v>
      </c>
      <c r="C8" s="3">
        <v>8100</v>
      </c>
      <c r="D8" s="3">
        <v>6500</v>
      </c>
      <c r="E8" s="4">
        <v>14600</v>
      </c>
    </row>
    <row r="9" spans="1:5">
      <c r="A9" s="2" t="s">
        <v>19</v>
      </c>
      <c r="B9" s="2" t="s">
        <v>8</v>
      </c>
      <c r="C9" s="3">
        <v>7800</v>
      </c>
      <c r="D9" s="3">
        <v>6500</v>
      </c>
      <c r="E9" s="4">
        <v>14300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H19" sqref="H19"/>
    </sheetView>
  </sheetViews>
  <sheetFormatPr defaultColWidth="9" defaultRowHeight="14.25" outlineLevelCol="4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outlineLevel="2" spans="1:5">
      <c r="A2" t="s">
        <v>14</v>
      </c>
      <c r="B2" t="s">
        <v>15</v>
      </c>
      <c r="C2">
        <v>5600</v>
      </c>
      <c r="D2">
        <v>3500</v>
      </c>
      <c r="E2">
        <v>9100</v>
      </c>
    </row>
    <row r="3" outlineLevel="2" spans="1:5">
      <c r="A3" t="s">
        <v>18</v>
      </c>
      <c r="B3" t="s">
        <v>15</v>
      </c>
      <c r="C3">
        <v>4600</v>
      </c>
      <c r="D3">
        <v>3300</v>
      </c>
      <c r="E3">
        <v>7900</v>
      </c>
    </row>
    <row r="4" outlineLevel="2" spans="1:5">
      <c r="A4" t="s">
        <v>28</v>
      </c>
      <c r="B4" t="s">
        <v>15</v>
      </c>
      <c r="C4">
        <v>4800</v>
      </c>
      <c r="D4">
        <v>3000</v>
      </c>
      <c r="E4">
        <v>7800</v>
      </c>
    </row>
    <row r="5" outlineLevel="2" spans="1:5">
      <c r="A5" t="s">
        <v>30</v>
      </c>
      <c r="B5" t="s">
        <v>15</v>
      </c>
      <c r="C5">
        <v>4500</v>
      </c>
      <c r="D5">
        <v>3400</v>
      </c>
      <c r="E5">
        <v>7900</v>
      </c>
    </row>
    <row r="6" outlineLevel="1" spans="2:5">
      <c r="B6" s="1" t="s">
        <v>33</v>
      </c>
      <c r="E6">
        <f>SUBTOTAL(5,E2:E5)</f>
        <v>7800</v>
      </c>
    </row>
    <row r="7" outlineLevel="2" spans="1:5">
      <c r="A7" t="s">
        <v>11</v>
      </c>
      <c r="B7" t="s">
        <v>9</v>
      </c>
      <c r="C7">
        <v>7100</v>
      </c>
      <c r="D7">
        <v>4500</v>
      </c>
      <c r="E7">
        <v>11600</v>
      </c>
    </row>
    <row r="8" outlineLevel="2" spans="1:5">
      <c r="A8" t="s">
        <v>13</v>
      </c>
      <c r="B8" t="s">
        <v>9</v>
      </c>
      <c r="C8">
        <v>6500</v>
      </c>
      <c r="D8">
        <v>4800</v>
      </c>
      <c r="E8">
        <v>11300</v>
      </c>
    </row>
    <row r="9" outlineLevel="2" spans="1:5">
      <c r="A9" t="s">
        <v>16</v>
      </c>
      <c r="B9" t="s">
        <v>9</v>
      </c>
      <c r="C9">
        <v>6700</v>
      </c>
      <c r="D9">
        <v>4300</v>
      </c>
      <c r="E9">
        <v>11000</v>
      </c>
    </row>
    <row r="10" outlineLevel="2" spans="1:5">
      <c r="A10" t="s">
        <v>20</v>
      </c>
      <c r="B10" t="s">
        <v>9</v>
      </c>
      <c r="C10">
        <v>6500</v>
      </c>
      <c r="D10">
        <v>5000</v>
      </c>
      <c r="E10">
        <v>11500</v>
      </c>
    </row>
    <row r="11" outlineLevel="2" spans="1:5">
      <c r="A11" t="s">
        <v>22</v>
      </c>
      <c r="B11" t="s">
        <v>9</v>
      </c>
      <c r="C11">
        <v>6300</v>
      </c>
      <c r="D11">
        <v>4700</v>
      </c>
      <c r="E11">
        <v>11000</v>
      </c>
    </row>
    <row r="12" outlineLevel="2" spans="1:5">
      <c r="A12" t="s">
        <v>23</v>
      </c>
      <c r="B12" t="s">
        <v>9</v>
      </c>
      <c r="C12">
        <v>6100</v>
      </c>
      <c r="D12">
        <v>4500</v>
      </c>
      <c r="E12">
        <v>10600</v>
      </c>
    </row>
    <row r="13" outlineLevel="2" spans="1:5">
      <c r="A13" t="s">
        <v>26</v>
      </c>
      <c r="B13" t="s">
        <v>9</v>
      </c>
      <c r="C13">
        <v>6900</v>
      </c>
      <c r="D13">
        <v>4800</v>
      </c>
      <c r="E13">
        <v>11700</v>
      </c>
    </row>
    <row r="14" outlineLevel="2" spans="1:5">
      <c r="A14" t="s">
        <v>27</v>
      </c>
      <c r="B14" t="s">
        <v>9</v>
      </c>
      <c r="C14">
        <v>7200</v>
      </c>
      <c r="D14">
        <v>4200</v>
      </c>
      <c r="E14">
        <v>11400</v>
      </c>
    </row>
    <row r="15" outlineLevel="2" spans="1:5">
      <c r="A15" t="s">
        <v>29</v>
      </c>
      <c r="B15" t="s">
        <v>9</v>
      </c>
      <c r="C15">
        <v>7200</v>
      </c>
      <c r="D15">
        <v>4500</v>
      </c>
      <c r="E15">
        <v>11700</v>
      </c>
    </row>
    <row r="16" outlineLevel="2" spans="1:5">
      <c r="A16" t="s">
        <v>31</v>
      </c>
      <c r="B16" t="s">
        <v>9</v>
      </c>
      <c r="C16">
        <v>6500</v>
      </c>
      <c r="D16">
        <v>4900</v>
      </c>
      <c r="E16">
        <v>11400</v>
      </c>
    </row>
    <row r="17" outlineLevel="1" spans="2:5">
      <c r="B17" s="1" t="s">
        <v>34</v>
      </c>
      <c r="E17">
        <f>SUBTOTAL(5,E7:E16)</f>
        <v>10600</v>
      </c>
    </row>
    <row r="18" outlineLevel="2" spans="1:5">
      <c r="A18" t="s">
        <v>7</v>
      </c>
      <c r="B18" t="s">
        <v>8</v>
      </c>
      <c r="C18">
        <v>8700</v>
      </c>
      <c r="D18">
        <v>6500</v>
      </c>
      <c r="E18">
        <v>15200</v>
      </c>
    </row>
    <row r="19" outlineLevel="2" spans="1:5">
      <c r="A19" t="s">
        <v>10</v>
      </c>
      <c r="B19" t="s">
        <v>8</v>
      </c>
      <c r="C19">
        <v>8200</v>
      </c>
      <c r="D19">
        <v>6300</v>
      </c>
      <c r="E19">
        <v>14500</v>
      </c>
    </row>
    <row r="20" outlineLevel="2" spans="1:5">
      <c r="A20" t="s">
        <v>12</v>
      </c>
      <c r="B20" t="s">
        <v>8</v>
      </c>
      <c r="C20">
        <v>8500</v>
      </c>
      <c r="D20">
        <v>6800</v>
      </c>
      <c r="E20">
        <v>15300</v>
      </c>
    </row>
    <row r="21" outlineLevel="2" spans="1:5">
      <c r="A21" t="s">
        <v>17</v>
      </c>
      <c r="B21" t="s">
        <v>8</v>
      </c>
      <c r="C21">
        <v>8100</v>
      </c>
      <c r="D21">
        <v>6500</v>
      </c>
      <c r="E21">
        <v>14600</v>
      </c>
    </row>
    <row r="22" outlineLevel="2" spans="1:5">
      <c r="A22" t="s">
        <v>19</v>
      </c>
      <c r="B22" t="s">
        <v>8</v>
      </c>
      <c r="C22">
        <v>7800</v>
      </c>
      <c r="D22">
        <v>6500</v>
      </c>
      <c r="E22">
        <v>14300</v>
      </c>
    </row>
    <row r="23" outlineLevel="2" spans="1:5">
      <c r="A23" t="s">
        <v>21</v>
      </c>
      <c r="B23" t="s">
        <v>8</v>
      </c>
      <c r="C23">
        <v>8700</v>
      </c>
      <c r="D23">
        <v>6300</v>
      </c>
      <c r="E23">
        <v>15000</v>
      </c>
    </row>
    <row r="24" outlineLevel="2" spans="1:5">
      <c r="A24" t="s">
        <v>24</v>
      </c>
      <c r="B24" t="s">
        <v>8</v>
      </c>
      <c r="C24">
        <v>8200</v>
      </c>
      <c r="D24">
        <v>6200</v>
      </c>
      <c r="E24">
        <v>14400</v>
      </c>
    </row>
    <row r="25" outlineLevel="2" spans="1:5">
      <c r="A25" t="s">
        <v>25</v>
      </c>
      <c r="B25" t="s">
        <v>8</v>
      </c>
      <c r="C25">
        <v>8500</v>
      </c>
      <c r="D25">
        <v>6300</v>
      </c>
      <c r="E25">
        <v>14800</v>
      </c>
    </row>
    <row r="26" outlineLevel="1" spans="2:5">
      <c r="B26" s="1" t="s">
        <v>35</v>
      </c>
      <c r="E26">
        <f>SUBTOTAL(5,E18:E25)</f>
        <v>14300</v>
      </c>
    </row>
    <row r="27" spans="2:5">
      <c r="B27" s="1" t="s">
        <v>36</v>
      </c>
      <c r="E27">
        <f>SUBTOTAL(5,E2:E25)</f>
        <v>7800</v>
      </c>
    </row>
  </sheetData>
  <sortState ref="A2:E23">
    <sortCondition ref="B2" descending="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7" sqref="H7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ysy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工资统计表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zy</cp:lastModifiedBy>
  <dcterms:created xsi:type="dcterms:W3CDTF">2005-08-24T03:08:00Z</dcterms:created>
  <dcterms:modified xsi:type="dcterms:W3CDTF">2024-01-10T05:13:07Z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CB91F5AFDD854F738E2518ECF7DDD31E_12</vt:lpwstr>
  </property>
  <property fmtid="{D5CDD505-2E9C-101B-9397-08002B2CF9AE}" pid="3" name="KSOProductBuildVer">
    <vt:lpwstr>2052-12.1.0.15712</vt:lpwstr>
  </property>
</Properties>
</file>
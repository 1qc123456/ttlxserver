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10065"/>
  </bookViews>
  <sheets>
    <sheet name="销售订单" sheetId="1" r:id="rId1"/>
    <sheet name="图书编目表" sheetId="2" r:id="rId2"/>
    <sheet name="2021年图书销售分析" sheetId="3" r:id="rId3"/>
    <sheet name="2021年书店销量" sheetId="4" r:id="rId4"/>
  </sheets>
  <definedNames>
    <definedName name="_xlnm._FilterDatabase" localSheetId="0" hidden="1">销售订单!$A$2:$H$58</definedName>
  </definedNames>
  <calcPr calcId="144525"/>
  <pivotCaches>
    <pivotCache cacheId="0" r:id="rId5"/>
  </pivotCaches>
</workbook>
</file>

<file path=xl/sharedStrings.xml><?xml version="1.0" encoding="utf-8"?>
<sst xmlns="http://schemas.openxmlformats.org/spreadsheetml/2006/main" count="237" uniqueCount="78">
  <si>
    <t>2021年图书销售订单记录</t>
  </si>
  <si>
    <t>订单编号</t>
  </si>
  <si>
    <t>日期</t>
  </si>
  <si>
    <t>书店名称</t>
  </si>
  <si>
    <t>图书名称</t>
  </si>
  <si>
    <t>图书编号</t>
  </si>
  <si>
    <t>作者</t>
  </si>
  <si>
    <t>销量（本）</t>
  </si>
  <si>
    <t>销售额</t>
  </si>
  <si>
    <t>BY-08014</t>
  </si>
  <si>
    <t>文教书店</t>
  </si>
  <si>
    <t>BKC-005</t>
  </si>
  <si>
    <t>新华书店图书销售量之和</t>
  </si>
  <si>
    <t>教育书店</t>
  </si>
  <si>
    <t>BKC-002</t>
  </si>
  <si>
    <t>BY-08015</t>
  </si>
  <si>
    <t>BKC-001</t>
  </si>
  <si>
    <t>新华书店</t>
  </si>
  <si>
    <t>BKC-004</t>
  </si>
  <si>
    <t>BY-08016</t>
  </si>
  <si>
    <t>BKS-001</t>
  </si>
  <si>
    <t>BKC-006</t>
  </si>
  <si>
    <t>BY-08017</t>
  </si>
  <si>
    <t>BKC-003</t>
  </si>
  <si>
    <t>BY-08018</t>
  </si>
  <si>
    <t>BY-08019</t>
  </si>
  <si>
    <t>BKS-002</t>
  </si>
  <si>
    <t>BY-08020</t>
  </si>
  <si>
    <t>BY-08021</t>
  </si>
  <si>
    <t>BY-08022</t>
  </si>
  <si>
    <t>BY-08023</t>
  </si>
  <si>
    <t>BY-08024</t>
  </si>
  <si>
    <t>BY-08025</t>
  </si>
  <si>
    <t>BY-08026</t>
  </si>
  <si>
    <t>BY-08027</t>
  </si>
  <si>
    <t>BY-08028</t>
  </si>
  <si>
    <t>BY-08039</t>
  </si>
  <si>
    <t>BY-08040</t>
  </si>
  <si>
    <t>BY-08041</t>
  </si>
  <si>
    <t>BY-08001</t>
  </si>
  <si>
    <t>BY-08002</t>
  </si>
  <si>
    <t>BY-08029</t>
  </si>
  <si>
    <t>BY-08030</t>
  </si>
  <si>
    <t>BY-08031</t>
  </si>
  <si>
    <t>BY-08032</t>
  </si>
  <si>
    <t>BY-08033</t>
  </si>
  <si>
    <t>BY-08034</t>
  </si>
  <si>
    <t>BY-08035</t>
  </si>
  <si>
    <t>BY-08036</t>
  </si>
  <si>
    <t>BY-08037</t>
  </si>
  <si>
    <t>BY-08038</t>
  </si>
  <si>
    <t>单价</t>
  </si>
  <si>
    <t>《迷人的材料》</t>
  </si>
  <si>
    <t>马克·米奥多尼克</t>
  </si>
  <si>
    <t>《塑造世界经济的50项伟大发明》</t>
  </si>
  <si>
    <t>蒂姆·哈福德</t>
  </si>
  <si>
    <t>《万物发明指南》</t>
  </si>
  <si>
    <t>瑞安·诺思</t>
  </si>
  <si>
    <t>《我们如何走到今天》</t>
  </si>
  <si>
    <t>史蒂文·约翰逊</t>
  </si>
  <si>
    <t>《病毒星球》</t>
  </si>
  <si>
    <t>卡尔·齐默</t>
  </si>
  <si>
    <t>《影响力》</t>
  </si>
  <si>
    <t>罗伯特·西奥迪尼</t>
  </si>
  <si>
    <t>《乌合之众》</t>
  </si>
  <si>
    <t>勒庞</t>
  </si>
  <si>
    <t>《怪诞行为学》</t>
  </si>
  <si>
    <t>丹·艾瑞里</t>
  </si>
  <si>
    <t>2021图书销售分析</t>
  </si>
  <si>
    <t>单位：本</t>
  </si>
  <si>
    <t>6月</t>
  </si>
  <si>
    <t>7月</t>
  </si>
  <si>
    <t>8月</t>
  </si>
  <si>
    <t>销售趋势</t>
  </si>
  <si>
    <t>求和项:销量（本）</t>
  </si>
  <si>
    <t>列标签</t>
  </si>
  <si>
    <t>行标签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</si>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</sst>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2">
    <font>
      <sz val="11"/>
      <color theme="1"/>
      <name val="宋体"/>
      <charset val="134"/>
      <scheme val="minor"/>
    </font>
    <font>
      <b/>
      <sz val="12"/>
      <color rgb="FFFF0000"/>
      <name val="微软雅黑"/>
      <charset val="134"/>
    </font>
    <font>
      <sz val="12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176" fontId="0" fillId="0" borderId="0" xfId="0" applyNumberFormat="1" applyAlignment="1">
      <alignment horizontal="left" vertical="top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6">
    <dxf>
      <font>
        <name val="楷体"/>
        <scheme val="none"/>
        <b val="0"/>
        <i val="0"/>
        <strike val="0"/>
        <u val="none"/>
        <sz val="12"/>
        <color theme="1"/>
      </font>
      <alignment horizontal="center" vertical="center"/>
    </dxf>
    <dxf>
      <font>
        <name val="楷体"/>
        <scheme val="none"/>
        <b val="0"/>
        <i val="0"/>
        <strike val="0"/>
        <u val="none"/>
        <sz val="12"/>
        <color theme="1"/>
      </font>
      <numFmt numFmtId="14" formatCode="yyyy/m/d"/>
      <alignment horizontal="center" vertical="center"/>
    </dxf>
    <dxf>
      <font>
        <name val="楷体"/>
        <scheme val="none"/>
        <b val="0"/>
        <i val="0"/>
        <strike val="0"/>
        <u val="none"/>
        <sz val="12"/>
        <color theme="1"/>
      </font>
      <alignment horizontal="center" vertical="center"/>
    </dxf>
    <dxf>
      <font>
        <name val="楷体"/>
        <scheme val="none"/>
        <b val="0"/>
        <i val="0"/>
        <strike val="0"/>
        <u val="none"/>
        <sz val="12"/>
        <color theme="1"/>
      </font>
      <alignment horizontal="center" vertical="center"/>
    </dxf>
    <dxf>
      <font>
        <name val="楷体"/>
        <scheme val="none"/>
        <b val="0"/>
        <i val="0"/>
        <strike val="0"/>
        <u val="none"/>
        <sz val="12"/>
        <color theme="1"/>
      </font>
      <alignment horizontal="center" vertical="center"/>
    </dxf>
    <dxf>
      <font>
        <name val="楷体"/>
        <scheme val="none"/>
        <b val="0"/>
        <i val="0"/>
        <strike val="0"/>
        <u val="none"/>
        <sz val="12"/>
        <color theme="1"/>
      </font>
      <alignment horizontal="center" vertical="center"/>
    </dxf>
    <dxf>
      <font>
        <name val="楷体"/>
        <scheme val="none"/>
        <b val="0"/>
        <i val="0"/>
        <strike val="0"/>
        <u val="none"/>
        <sz val="12"/>
        <color theme="1"/>
      </font>
      <alignment horizontal="center" vertical="center"/>
    </dxf>
    <dxf>
      <font>
        <name val="楷体"/>
        <scheme val="none"/>
        <b val="0"/>
        <i val="0"/>
        <strike val="0"/>
        <u val="none"/>
        <sz val="12"/>
        <color theme="1"/>
      </font>
      <numFmt numFmtId="176" formatCode="\¥#,##0.00;\¥\-#,##0.00"/>
      <alignment horizontal="center" vertical="center"/>
    </dxf>
    <dxf>
      <font>
        <color rgb="FF7030A0"/>
      </font>
    </dxf>
    <dxf>
      <fill>
        <patternFill patternType="solid">
          <fgColor theme="6" tint="0.799981688894314"/>
          <bgColor theme="6" tint="0.799981688894314"/>
        </patternFill>
      </fill>
    </dxf>
    <dxf>
      <fill>
        <patternFill patternType="solid">
          <fgColor theme="6" tint="0.799981688894314"/>
          <bgColor theme="6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6"/>
        </top>
      </border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horizontal style="thin">
          <color theme="6" tint="0.399975585192419"/>
        </horizontal>
      </border>
    </dxf>
  </dxfs>
  <tableStyles count="1" defaultTableStyle="TableStyleMedium2" defaultPivotStyle="PivotStyleMedium9">
    <tableStyle name="TableStylePreset3_Accent3" pivot="0" count="7" xr9:uid="{4198C2AC-19AE-44E8-8863-95DC21443AF6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4565.561471412" refreshedBy="作者" recordCount="56">
  <cacheSource type="worksheet">
    <worksheetSource name="表1"/>
  </cacheSource>
  <cacheFields count="8">
    <cacheField name="订单编号" numFmtId="0"/>
    <cacheField name="日期" numFmtId="14"/>
    <cacheField name="书店名称" numFmtId="0">
      <sharedItems count="3">
        <s v="文教书店"/>
        <s v="教育书店"/>
        <s v="新华书店"/>
      </sharedItems>
    </cacheField>
    <cacheField name="图书名称" numFmtId="0">
      <sharedItems count="8">
        <s v="《病毒星球》"/>
        <s v="《塑造世界经济的50项伟大发明》"/>
        <s v="《迷人的材料》"/>
        <s v="《我们如何走到今天》"/>
        <s v="《乌合之众》"/>
        <s v="《影响力》"/>
        <s v="《万物发明指南》"/>
        <s v="《怪诞行为学》"/>
      </sharedItems>
    </cacheField>
    <cacheField name="图书编号" numFmtId="0"/>
    <cacheField name="作者" numFmtId="0"/>
    <cacheField name="销量（本）" numFmtId="0">
      <sharedItems containsSemiMixedTypes="0" containsString="0" containsNumber="1" containsInteger="1" minValue="0" maxValue="48" count="35">
        <n v="3"/>
        <n v="13"/>
        <n v="1"/>
        <n v="17"/>
        <n v="43"/>
        <n v="47"/>
        <n v="40"/>
        <n v="10"/>
        <n v="22"/>
        <n v="44"/>
        <n v="31"/>
        <n v="33"/>
        <n v="8"/>
        <n v="19"/>
        <n v="35"/>
        <n v="36"/>
        <n v="37"/>
        <n v="39"/>
        <n v="38"/>
        <n v="30"/>
        <n v="5"/>
        <n v="7"/>
        <n v="32"/>
        <n v="21"/>
        <n v="29"/>
        <n v="48"/>
        <n v="45"/>
        <n v="15"/>
        <n v="41"/>
        <n v="25"/>
        <n v="12"/>
        <n v="4"/>
        <n v="34"/>
        <n v="18"/>
        <n v="11"/>
      </sharedItems>
    </cacheField>
    <cacheField name="销售额" numFmtId="176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">
  <r>
    <s v="BY-08014"/>
    <d v="2021-06-09T00:00:00"/>
    <x v="0"/>
    <x v="0"/>
    <s v="BKC-005"/>
    <s v="卡尔·齐默"/>
    <x v="0"/>
    <n v="84"/>
  </r>
  <r>
    <s v="BY-08014"/>
    <d v="2021-06-19T00:00:00"/>
    <x v="1"/>
    <x v="1"/>
    <s v="BKC-002"/>
    <s v="蒂姆·哈福德"/>
    <x v="1"/>
    <n v="325"/>
  </r>
  <r>
    <s v="BY-08015"/>
    <d v="2021-06-13T00:00:00"/>
    <x v="1"/>
    <x v="2"/>
    <s v="BKC-001"/>
    <s v="马克·米奥多尼克"/>
    <x v="2"/>
    <n v="34"/>
  </r>
  <r>
    <s v="BY-08015"/>
    <d v="2021-06-23T00:00:00"/>
    <x v="2"/>
    <x v="3"/>
    <s v="BKC-004"/>
    <s v="史蒂文·约翰逊"/>
    <x v="3"/>
    <n v="620.5"/>
  </r>
  <r>
    <s v="BY-08016"/>
    <d v="2021-06-19T00:00:00"/>
    <x v="0"/>
    <x v="4"/>
    <s v="BKS-001"/>
    <s v="勒庞"/>
    <x v="0"/>
    <n v="45"/>
  </r>
  <r>
    <s v="BY-08016"/>
    <d v="2021-08-16T00:00:00"/>
    <x v="2"/>
    <x v="3"/>
    <s v="BKC-004"/>
    <s v="史蒂文·约翰逊"/>
    <x v="4"/>
    <n v="1569.5"/>
  </r>
  <r>
    <s v="BY-08016"/>
    <d v="2021-06-29T00:00:00"/>
    <x v="0"/>
    <x v="5"/>
    <s v="BKC-006"/>
    <s v="罗伯特·西奥迪尼"/>
    <x v="5"/>
    <n v="1532.2"/>
  </r>
  <r>
    <s v="BY-08017"/>
    <d v="2021-06-23T00:00:00"/>
    <x v="1"/>
    <x v="6"/>
    <s v="BKC-003"/>
    <s v="瑞安·诺思"/>
    <x v="4"/>
    <n v="1612.5"/>
  </r>
  <r>
    <s v="BY-08017"/>
    <d v="2021-08-19T00:00:00"/>
    <x v="0"/>
    <x v="3"/>
    <s v="BKC-004"/>
    <s v="史蒂文·约翰逊"/>
    <x v="6"/>
    <n v="1460"/>
  </r>
  <r>
    <s v="BY-08017"/>
    <d v="2021-07-03T00:00:00"/>
    <x v="1"/>
    <x v="4"/>
    <s v="BKS-001"/>
    <s v="勒庞"/>
    <x v="7"/>
    <n v="150"/>
  </r>
  <r>
    <s v="BY-08018"/>
    <d v="2021-06-29T00:00:00"/>
    <x v="1"/>
    <x v="4"/>
    <s v="BKS-001"/>
    <s v="勒庞"/>
    <x v="8"/>
    <n v="330"/>
  </r>
  <r>
    <s v="BY-08018"/>
    <d v="2021-08-25T00:00:00"/>
    <x v="1"/>
    <x v="1"/>
    <s v="BKC-002"/>
    <s v="蒂姆·哈福德"/>
    <x v="9"/>
    <n v="1100"/>
  </r>
  <r>
    <s v="BY-08018"/>
    <d v="2021-07-15T00:00:00"/>
    <x v="2"/>
    <x v="5"/>
    <s v="BKC-006"/>
    <s v="罗伯特·西奥迪尼"/>
    <x v="0"/>
    <n v="97.800000000000011"/>
  </r>
  <r>
    <s v="BY-08019"/>
    <d v="2021-07-03T00:00:00"/>
    <x v="2"/>
    <x v="5"/>
    <s v="BKC-006"/>
    <s v="罗伯特·西奥迪尼"/>
    <x v="10"/>
    <n v="1010.6"/>
  </r>
  <r>
    <s v="BY-08019"/>
    <d v="2021-08-31T00:00:00"/>
    <x v="2"/>
    <x v="2"/>
    <s v="BKC-001"/>
    <s v="马克·米奥多尼克"/>
    <x v="11"/>
    <n v="1122"/>
  </r>
  <r>
    <s v="BY-08019"/>
    <d v="2021-07-28T00:00:00"/>
    <x v="1"/>
    <x v="7"/>
    <s v="BKS-002"/>
    <s v="丹·艾瑞里"/>
    <x v="12"/>
    <n v="192"/>
  </r>
  <r>
    <s v="BY-08020"/>
    <d v="2021-07-15T00:00:00"/>
    <x v="0"/>
    <x v="6"/>
    <s v="BKC-003"/>
    <s v="瑞安·诺思"/>
    <x v="13"/>
    <n v="712.5"/>
  </r>
  <r>
    <s v="BY-08020"/>
    <d v="2021-05-29T00:00:00"/>
    <x v="0"/>
    <x v="5"/>
    <s v="BKC-006"/>
    <s v="罗伯特·西奥迪尼"/>
    <x v="14"/>
    <n v="1141"/>
  </r>
  <r>
    <s v="BY-08020"/>
    <d v="2021-08-04T00:00:00"/>
    <x v="1"/>
    <x v="0"/>
    <s v="BKC-005"/>
    <s v="卡尔·齐默"/>
    <x v="15"/>
    <n v="1008"/>
  </r>
  <r>
    <s v="BY-08021"/>
    <d v="2021-07-28T00:00:00"/>
    <x v="1"/>
    <x v="7"/>
    <s v="BKS-002"/>
    <s v="丹·艾瑞里"/>
    <x v="4"/>
    <n v="1032"/>
  </r>
  <r>
    <s v="BY-08021"/>
    <d v="2021-05-31T00:00:00"/>
    <x v="1"/>
    <x v="4"/>
    <s v="BKS-001"/>
    <s v="勒庞"/>
    <x v="8"/>
    <n v="330"/>
  </r>
  <r>
    <s v="BY-08021"/>
    <d v="2021-08-09T00:00:00"/>
    <x v="1"/>
    <x v="6"/>
    <s v="BKC-003"/>
    <s v="瑞安·诺思"/>
    <x v="16"/>
    <n v="1387.5"/>
  </r>
  <r>
    <s v="BY-08022"/>
    <d v="2021-08-04T00:00:00"/>
    <x v="1"/>
    <x v="2"/>
    <s v="BKC-001"/>
    <s v="马克·米奥多尼克"/>
    <x v="17"/>
    <n v="1326"/>
  </r>
  <r>
    <s v="BY-08022"/>
    <d v="2021-06-01T00:00:00"/>
    <x v="0"/>
    <x v="4"/>
    <s v="BKS-001"/>
    <s v="勒庞"/>
    <x v="18"/>
    <n v="570"/>
  </r>
  <r>
    <s v="BY-08022"/>
    <d v="2021-08-16T00:00:00"/>
    <x v="2"/>
    <x v="3"/>
    <s v="BKC-004"/>
    <s v="史蒂文·约翰逊"/>
    <x v="8"/>
    <n v="803"/>
  </r>
  <r>
    <s v="BY-08023"/>
    <d v="2021-08-09T00:00:00"/>
    <x v="1"/>
    <x v="0"/>
    <s v="BKC-005"/>
    <s v="卡尔·齐默"/>
    <x v="19"/>
    <n v="840"/>
  </r>
  <r>
    <s v="BY-08023"/>
    <d v="2021-06-03T00:00:00"/>
    <x v="2"/>
    <x v="0"/>
    <s v="BKC-005"/>
    <s v="卡尔·齐默"/>
    <x v="20"/>
    <n v="140"/>
  </r>
  <r>
    <s v="BY-08023"/>
    <d v="2021-08-19T00:00:00"/>
    <x v="0"/>
    <x v="7"/>
    <s v="BKS-002"/>
    <s v="丹·艾瑞里"/>
    <x v="21"/>
    <n v="168"/>
  </r>
  <r>
    <s v="BY-08024"/>
    <d v="2021-06-04T00:00:00"/>
    <x v="0"/>
    <x v="5"/>
    <s v="BKC-006"/>
    <s v="罗伯特·西奥迪尼"/>
    <x v="22"/>
    <n v="1043.2"/>
  </r>
  <r>
    <s v="BY-08024"/>
    <d v="2021-08-25T00:00:00"/>
    <x v="1"/>
    <x v="6"/>
    <s v="BKC-003"/>
    <s v="瑞安·诺思"/>
    <x v="19"/>
    <n v="1125"/>
  </r>
  <r>
    <s v="BY-08025"/>
    <d v="2021-06-09T00:00:00"/>
    <x v="1"/>
    <x v="7"/>
    <s v="BKS-002"/>
    <s v="丹·艾瑞里"/>
    <x v="13"/>
    <n v="456"/>
  </r>
  <r>
    <s v="BY-08025"/>
    <d v="2021-08-31T00:00:00"/>
    <x v="2"/>
    <x v="4"/>
    <s v="BKS-001"/>
    <s v="勒庞"/>
    <x v="23"/>
    <n v="315"/>
  </r>
  <r>
    <s v="BY-08026"/>
    <d v="2021-06-13T00:00:00"/>
    <x v="0"/>
    <x v="2"/>
    <s v="BKC-001"/>
    <s v="马克·米奥多尼克"/>
    <x v="18"/>
    <n v="1292"/>
  </r>
  <r>
    <s v="BY-08026"/>
    <d v="2021-05-29T00:00:00"/>
    <x v="0"/>
    <x v="2"/>
    <s v="BKC-001"/>
    <s v="马克·米奥多尼克"/>
    <x v="10"/>
    <n v="1054"/>
  </r>
  <r>
    <s v="BY-08027"/>
    <d v="2021-06-19T00:00:00"/>
    <x v="1"/>
    <x v="0"/>
    <s v="BKC-005"/>
    <s v="卡尔·齐默"/>
    <x v="24"/>
    <n v="812"/>
  </r>
  <r>
    <s v="BY-08027"/>
    <d v="2021-05-31T00:00:00"/>
    <x v="1"/>
    <x v="6"/>
    <s v="BKC-003"/>
    <s v="瑞安·诺思"/>
    <x v="25"/>
    <n v="1800"/>
  </r>
  <r>
    <s v="BY-08028"/>
    <d v="2021-06-23T00:00:00"/>
    <x v="1"/>
    <x v="1"/>
    <s v="BKC-002"/>
    <s v="蒂姆·哈福德"/>
    <x v="26"/>
    <n v="1125"/>
  </r>
  <r>
    <s v="BY-08028"/>
    <d v="2021-06-01T00:00:00"/>
    <x v="1"/>
    <x v="1"/>
    <s v="BKC-002"/>
    <s v="蒂姆·哈福德"/>
    <x v="27"/>
    <n v="375"/>
  </r>
  <r>
    <s v="BY-08039"/>
    <d v="2021-06-01T00:00:00"/>
    <x v="2"/>
    <x v="1"/>
    <s v="BKC-002"/>
    <s v="蒂姆·哈福德"/>
    <x v="28"/>
    <n v="1025"/>
  </r>
  <r>
    <s v="BY-08039"/>
    <d v="2021-06-04T00:00:00"/>
    <x v="1"/>
    <x v="1"/>
    <s v="BKC-002"/>
    <s v="蒂姆·哈福德"/>
    <x v="0"/>
    <n v="75"/>
  </r>
  <r>
    <s v="BY-08040"/>
    <d v="2021-06-03T00:00:00"/>
    <x v="1"/>
    <x v="3"/>
    <s v="BKC-004"/>
    <s v="史蒂文·约翰逊"/>
    <x v="23"/>
    <n v="766.5"/>
  </r>
  <r>
    <s v="BY-08040"/>
    <d v="2021-06-09T00:00:00"/>
    <x v="1"/>
    <x v="0"/>
    <s v="BKC-005"/>
    <s v="卡尔·齐默"/>
    <x v="19"/>
    <n v="840"/>
  </r>
  <r>
    <s v="BY-08041"/>
    <d v="2021-06-04T00:00:00"/>
    <x v="2"/>
    <x v="5"/>
    <s v="BKC-006"/>
    <s v="罗伯特·西奥迪尼"/>
    <x v="22"/>
    <n v="1043.2"/>
  </r>
  <r>
    <s v="BY-08041"/>
    <d v="2021-06-13T00:00:00"/>
    <x v="1"/>
    <x v="3"/>
    <s v="BKC-004"/>
    <s v="史蒂文·约翰逊"/>
    <x v="29"/>
    <n v="912.5"/>
  </r>
  <r>
    <s v="BY-08001"/>
    <d v="2021-05-29T00:00:00"/>
    <x v="0"/>
    <x v="2"/>
    <s v="BKC-001"/>
    <s v="马克·米奥多尼克"/>
    <x v="30"/>
    <n v="408"/>
  </r>
  <r>
    <s v="BY-08002"/>
    <d v="2021-05-31T00:00:00"/>
    <x v="1"/>
    <x v="6"/>
    <s v="BKC-003"/>
    <s v="瑞安·诺思"/>
    <x v="20"/>
    <n v="187.5"/>
  </r>
  <r>
    <s v="BY-08029"/>
    <d v="2021-06-29T00:00:00"/>
    <x v="2"/>
    <x v="6"/>
    <s v="BKC-003"/>
    <s v="瑞安·诺思"/>
    <x v="31"/>
    <n v="150"/>
  </r>
  <r>
    <s v="BY-08030"/>
    <d v="2021-07-03T00:00:00"/>
    <x v="0"/>
    <x v="7"/>
    <s v="BKS-002"/>
    <s v="丹·艾瑞里"/>
    <x v="21"/>
    <n v="168"/>
  </r>
  <r>
    <s v="BY-08031"/>
    <d v="2021-07-15T00:00:00"/>
    <x v="1"/>
    <x v="1"/>
    <s v="BKC-002"/>
    <s v="蒂姆·哈福德"/>
    <x v="32"/>
    <n v="850"/>
  </r>
  <r>
    <s v="BY-08032"/>
    <d v="2021-07-28T00:00:00"/>
    <x v="1"/>
    <x v="4"/>
    <s v="BKS-001"/>
    <s v="勒庞"/>
    <x v="33"/>
    <n v="270"/>
  </r>
  <r>
    <s v="BY-08033"/>
    <d v="2021-08-04T00:00:00"/>
    <x v="1"/>
    <x v="1"/>
    <s v="BKC-002"/>
    <s v="蒂姆·哈福德"/>
    <x v="27"/>
    <n v="375"/>
  </r>
  <r>
    <s v="BY-08034"/>
    <d v="2021-08-09T00:00:00"/>
    <x v="2"/>
    <x v="3"/>
    <s v="BKC-004"/>
    <s v="史蒂文·约翰逊"/>
    <x v="34"/>
    <n v="401.5"/>
  </r>
  <r>
    <s v="BY-08035"/>
    <d v="2021-05-29T00:00:00"/>
    <x v="0"/>
    <x v="7"/>
    <s v="BKS-002"/>
    <s v="丹·艾瑞里"/>
    <x v="19"/>
    <n v="720"/>
  </r>
  <r>
    <s v="BY-08036"/>
    <d v="2021-05-31T00:00:00"/>
    <x v="1"/>
    <x v="1"/>
    <s v="BKC-002"/>
    <s v="蒂姆·哈福德"/>
    <x v="25"/>
    <n v="1200"/>
  </r>
  <r>
    <s v="BY-08037"/>
    <d v="2021-06-01T00:00:00"/>
    <x v="2"/>
    <x v="5"/>
    <s v="BKC-006"/>
    <s v="罗伯特·西奥迪尼"/>
    <x v="0"/>
    <n v="97.800000000000011"/>
  </r>
  <r>
    <s v="BY-08038"/>
    <d v="2021-06-03T00:00:00"/>
    <x v="0"/>
    <x v="1"/>
    <s v="BKC-002"/>
    <s v="蒂姆·哈福德"/>
    <x v="8"/>
    <n v="5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4" minRefreshableVersion="3" createdVersion="4" useAutoFormatting="1" indent="0" outline="1" outlineData="1" showDrill="1" multipleFieldFilters="0">
  <location ref="A1:J6" firstHeaderRow="1" firstDataRow="2" firstDataCol="1"/>
  <pivotFields count="8">
    <pivotField showAll="0"/>
    <pivotField numFmtId="14" showAll="0"/>
    <pivotField axis="axisRow" showAll="0">
      <items count="4">
        <item x="1"/>
        <item x="0"/>
        <item x="2"/>
        <item t="default"/>
      </items>
    </pivotField>
    <pivotField axis="axisCol" showAll="0">
      <items count="9">
        <item x="0"/>
        <item x="7"/>
        <item x="2"/>
        <item x="1"/>
        <item x="6"/>
        <item x="3"/>
        <item x="4"/>
        <item x="5"/>
        <item t="default"/>
      </items>
    </pivotField>
    <pivotField showAll="0"/>
    <pivotField showAll="0"/>
    <pivotField dataField="1" showAll="0">
      <items count="36">
        <item x="2"/>
        <item x="0"/>
        <item x="31"/>
        <item x="20"/>
        <item x="21"/>
        <item x="12"/>
        <item x="7"/>
        <item x="34"/>
        <item x="30"/>
        <item x="1"/>
        <item x="27"/>
        <item x="3"/>
        <item x="33"/>
        <item x="13"/>
        <item x="23"/>
        <item x="8"/>
        <item x="29"/>
        <item x="24"/>
        <item x="19"/>
        <item x="10"/>
        <item x="22"/>
        <item x="11"/>
        <item x="32"/>
        <item x="14"/>
        <item x="15"/>
        <item x="16"/>
        <item x="18"/>
        <item x="17"/>
        <item x="6"/>
        <item x="28"/>
        <item x="4"/>
        <item x="9"/>
        <item x="26"/>
        <item x="5"/>
        <item x="25"/>
        <item t="default"/>
      </items>
    </pivotField>
    <pivotField numFmtId="176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求和项:销量（本）" fld="6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H58" totalsRowShown="0">
  <autoFilter ref="A2:H58"/>
  <tableColumns count="8">
    <tableColumn id="1" name="订单编号" dataDxfId="0"/>
    <tableColumn id="2" name="日期" dataDxfId="1"/>
    <tableColumn id="3" name="书店名称" dataDxfId="2"/>
    <tableColumn id="4" name="图书名称" dataDxfId="3"/>
    <tableColumn id="5" name="图书编号" dataDxfId="4"/>
    <tableColumn id="6" name="作者" dataDxfId="5"/>
    <tableColumn id="7" name="销量（本）" dataDxfId="6"/>
    <tableColumn id="8" name="销售额" dataDxfId="7"/>
  </tableColumns>
  <tableStyleInfo name="TableStylePreset3_Accent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zoomScale="70" zoomScaleNormal="70" workbookViewId="0">
      <selection activeCell="N21" sqref="N21"/>
    </sheetView>
  </sheetViews>
  <sheetFormatPr defaultColWidth="9" defaultRowHeight="13.5"/>
  <cols>
    <col min="1" max="1" width="13.5" customWidth="1"/>
    <col min="2" max="2" width="10.5" customWidth="1"/>
    <col min="3" max="3" width="13.5" customWidth="1"/>
    <col min="4" max="4" width="33.875" customWidth="1"/>
    <col min="5" max="5" width="13.5" customWidth="1"/>
    <col min="6" max="6" width="18.375" customWidth="1"/>
    <col min="7" max="7" width="15.625" customWidth="1"/>
    <col min="8" max="8" width="11.5" customWidth="1"/>
  </cols>
  <sheetData>
    <row r="1" s="7" customFormat="1" ht="28" customHeight="1" spans="1:8">
      <c r="A1" s="8" t="s">
        <v>0</v>
      </c>
      <c r="B1" s="8"/>
      <c r="C1" s="8"/>
      <c r="D1" s="8"/>
      <c r="E1" s="8"/>
      <c r="F1" s="8"/>
      <c r="G1" s="8"/>
      <c r="H1" s="8"/>
    </row>
    <row r="2" ht="14.25" spans="1:8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</row>
    <row r="3" ht="14.25" spans="1:10">
      <c r="A3" s="9" t="s">
        <v>9</v>
      </c>
      <c r="B3" s="10">
        <v>44356</v>
      </c>
      <c r="C3" s="9" t="s">
        <v>10</v>
      </c>
      <c r="D3" s="9" t="str">
        <f>VLOOKUP(E3,图书编目表!$A$1:$C$9,2)</f>
        <v>《病毒星球》</v>
      </c>
      <c r="E3" s="9" t="s">
        <v>11</v>
      </c>
      <c r="F3" s="9" t="str">
        <f>VLOOKUP(E3,图书编目表!$A$1:$C$9,3)</f>
        <v>卡尔·齐默</v>
      </c>
      <c r="G3" s="9">
        <v>3</v>
      </c>
      <c r="H3" s="11">
        <f>G3*VLOOKUP(销售订单!E3,图书编目表!$A$1:$D$9,4)</f>
        <v>84</v>
      </c>
      <c r="J3" t="s">
        <v>12</v>
      </c>
    </row>
    <row r="4" ht="14.25" spans="1:10">
      <c r="A4" s="9" t="s">
        <v>9</v>
      </c>
      <c r="B4" s="10">
        <v>44366</v>
      </c>
      <c r="C4" s="9" t="s">
        <v>13</v>
      </c>
      <c r="D4" s="9" t="str">
        <f>VLOOKUP(E4,图书编目表!$A$1:$C$9,2)</f>
        <v>《塑造世界经济的50项伟大发明》</v>
      </c>
      <c r="E4" s="9" t="s">
        <v>14</v>
      </c>
      <c r="F4" s="9" t="str">
        <f>VLOOKUP(E4,图书编目表!$A$1:$C$9,3)</f>
        <v>蒂姆·哈福德</v>
      </c>
      <c r="G4" s="9">
        <v>13</v>
      </c>
      <c r="H4" s="11">
        <f>G4*VLOOKUP(销售订单!E4,图书编目表!$A$1:$D$9,4)</f>
        <v>325</v>
      </c>
      <c r="J4">
        <f>SUMIF(C3:C58,"新华书店",G3:G58)</f>
        <v>266</v>
      </c>
    </row>
    <row r="5" ht="14.25" spans="1:8">
      <c r="A5" s="9" t="s">
        <v>15</v>
      </c>
      <c r="B5" s="10">
        <v>44360</v>
      </c>
      <c r="C5" s="9" t="s">
        <v>13</v>
      </c>
      <c r="D5" s="9" t="str">
        <f>VLOOKUP(E5,图书编目表!$A$1:$C$9,2)</f>
        <v>《迷人的材料》</v>
      </c>
      <c r="E5" s="9" t="s">
        <v>16</v>
      </c>
      <c r="F5" s="9" t="str">
        <f>VLOOKUP(E5,图书编目表!$A$1:$C$9,3)</f>
        <v>马克·米奥多尼克</v>
      </c>
      <c r="G5" s="9">
        <v>1</v>
      </c>
      <c r="H5" s="11">
        <f>G5*VLOOKUP(销售订单!E5,图书编目表!$A$1:$D$9,4)</f>
        <v>34</v>
      </c>
    </row>
    <row r="6" ht="14.25" spans="1:8">
      <c r="A6" s="9" t="s">
        <v>15</v>
      </c>
      <c r="B6" s="10">
        <v>44370</v>
      </c>
      <c r="C6" s="9" t="s">
        <v>17</v>
      </c>
      <c r="D6" s="9" t="str">
        <f>VLOOKUP(E6,图书编目表!$A$1:$C$9,2)</f>
        <v>《我们如何走到今天》</v>
      </c>
      <c r="E6" s="9" t="s">
        <v>18</v>
      </c>
      <c r="F6" s="9" t="str">
        <f>VLOOKUP(E6,图书编目表!$A$1:$C$9,3)</f>
        <v>史蒂文·约翰逊</v>
      </c>
      <c r="G6" s="9">
        <v>17</v>
      </c>
      <c r="H6" s="11">
        <f>G6*VLOOKUP(销售订单!E6,图书编目表!$A$1:$D$9,4)</f>
        <v>620.5</v>
      </c>
    </row>
    <row r="7" ht="14.25" spans="1:8">
      <c r="A7" s="9" t="s">
        <v>19</v>
      </c>
      <c r="B7" s="10">
        <v>44366</v>
      </c>
      <c r="C7" s="9" t="s">
        <v>10</v>
      </c>
      <c r="D7" s="9" t="str">
        <f>VLOOKUP(E7,图书编目表!$A$1:$C$9,2)</f>
        <v>《乌合之众》</v>
      </c>
      <c r="E7" s="9" t="s">
        <v>20</v>
      </c>
      <c r="F7" s="9" t="str">
        <f>VLOOKUP(E7,图书编目表!$A$1:$C$9,3)</f>
        <v>勒庞</v>
      </c>
      <c r="G7" s="9">
        <v>3</v>
      </c>
      <c r="H7" s="11">
        <f>G7*VLOOKUP(销售订单!E7,图书编目表!$A$1:$D$9,4)</f>
        <v>45</v>
      </c>
    </row>
    <row r="8" ht="14.25" spans="1:8">
      <c r="A8" s="9" t="s">
        <v>19</v>
      </c>
      <c r="B8" s="10">
        <v>44424</v>
      </c>
      <c r="C8" s="9" t="s">
        <v>17</v>
      </c>
      <c r="D8" s="9" t="str">
        <f>VLOOKUP(E8,图书编目表!$A$1:$C$9,2)</f>
        <v>《我们如何走到今天》</v>
      </c>
      <c r="E8" s="9" t="s">
        <v>18</v>
      </c>
      <c r="F8" s="9" t="str">
        <f>VLOOKUP(E8,图书编目表!$A$1:$C$9,3)</f>
        <v>史蒂文·约翰逊</v>
      </c>
      <c r="G8" s="9">
        <v>43</v>
      </c>
      <c r="H8" s="11">
        <f>G8*VLOOKUP(销售订单!E8,图书编目表!$A$1:$D$9,4)</f>
        <v>1569.5</v>
      </c>
    </row>
    <row r="9" ht="14.25" spans="1:8">
      <c r="A9" s="9" t="s">
        <v>19</v>
      </c>
      <c r="B9" s="10">
        <v>44376</v>
      </c>
      <c r="C9" s="9" t="s">
        <v>10</v>
      </c>
      <c r="D9" s="9" t="str">
        <f>VLOOKUP(E9,图书编目表!$A$1:$C$9,2)</f>
        <v>《影响力》</v>
      </c>
      <c r="E9" s="9" t="s">
        <v>21</v>
      </c>
      <c r="F9" s="9" t="str">
        <f>VLOOKUP(E9,图书编目表!$A$1:$C$9,3)</f>
        <v>罗伯特·西奥迪尼</v>
      </c>
      <c r="G9" s="9">
        <v>47</v>
      </c>
      <c r="H9" s="11">
        <f>G9*VLOOKUP(销售订单!E9,图书编目表!$A$1:$D$9,4)</f>
        <v>1532.2</v>
      </c>
    </row>
    <row r="10" ht="14.25" spans="1:8">
      <c r="A10" s="9" t="s">
        <v>22</v>
      </c>
      <c r="B10" s="10">
        <v>44370</v>
      </c>
      <c r="C10" s="9" t="s">
        <v>13</v>
      </c>
      <c r="D10" s="9" t="str">
        <f>VLOOKUP(E10,图书编目表!$A$1:$C$9,2)</f>
        <v>《万物发明指南》</v>
      </c>
      <c r="E10" s="9" t="s">
        <v>23</v>
      </c>
      <c r="F10" s="9" t="str">
        <f>VLOOKUP(E10,图书编目表!$A$1:$C$9,3)</f>
        <v>瑞安·诺思</v>
      </c>
      <c r="G10" s="9">
        <v>43</v>
      </c>
      <c r="H10" s="11">
        <f>G10*VLOOKUP(销售订单!E10,图书编目表!$A$1:$D$9,4)</f>
        <v>1612.5</v>
      </c>
    </row>
    <row r="11" ht="14.25" spans="1:8">
      <c r="A11" s="9" t="s">
        <v>22</v>
      </c>
      <c r="B11" s="10">
        <v>44427</v>
      </c>
      <c r="C11" s="9" t="s">
        <v>10</v>
      </c>
      <c r="D11" s="9" t="str">
        <f>VLOOKUP(E11,图书编目表!$A$1:$C$9,2)</f>
        <v>《我们如何走到今天》</v>
      </c>
      <c r="E11" s="9" t="s">
        <v>18</v>
      </c>
      <c r="F11" s="9" t="str">
        <f>VLOOKUP(E11,图书编目表!$A$1:$C$9,3)</f>
        <v>史蒂文·约翰逊</v>
      </c>
      <c r="G11" s="9">
        <v>40</v>
      </c>
      <c r="H11" s="11">
        <f>G11*VLOOKUP(销售订单!E11,图书编目表!$A$1:$D$9,4)</f>
        <v>1460</v>
      </c>
    </row>
    <row r="12" ht="14.25" spans="1:8">
      <c r="A12" s="9" t="s">
        <v>22</v>
      </c>
      <c r="B12" s="10">
        <v>44380</v>
      </c>
      <c r="C12" s="9" t="s">
        <v>13</v>
      </c>
      <c r="D12" s="9" t="str">
        <f>VLOOKUP(E12,图书编目表!$A$1:$C$9,2)</f>
        <v>《乌合之众》</v>
      </c>
      <c r="E12" s="9" t="s">
        <v>20</v>
      </c>
      <c r="F12" s="9" t="str">
        <f>VLOOKUP(E12,图书编目表!$A$1:$C$9,3)</f>
        <v>勒庞</v>
      </c>
      <c r="G12" s="9">
        <v>10</v>
      </c>
      <c r="H12" s="11">
        <f>G12*VLOOKUP(销售订单!E12,图书编目表!$A$1:$D$9,4)</f>
        <v>150</v>
      </c>
    </row>
    <row r="13" ht="14.25" spans="1:8">
      <c r="A13" s="9" t="s">
        <v>24</v>
      </c>
      <c r="B13" s="10">
        <v>44376</v>
      </c>
      <c r="C13" s="9" t="s">
        <v>13</v>
      </c>
      <c r="D13" s="9" t="str">
        <f>VLOOKUP(E13,图书编目表!$A$1:$C$9,2)</f>
        <v>《乌合之众》</v>
      </c>
      <c r="E13" s="9" t="s">
        <v>20</v>
      </c>
      <c r="F13" s="9" t="str">
        <f>VLOOKUP(E13,图书编目表!$A$1:$C$9,3)</f>
        <v>勒庞</v>
      </c>
      <c r="G13" s="9">
        <v>22</v>
      </c>
      <c r="H13" s="11">
        <f>G13*VLOOKUP(销售订单!E13,图书编目表!$A$1:$D$9,4)</f>
        <v>330</v>
      </c>
    </row>
    <row r="14" ht="14.25" spans="1:8">
      <c r="A14" s="9" t="s">
        <v>24</v>
      </c>
      <c r="B14" s="10">
        <v>44433</v>
      </c>
      <c r="C14" s="9" t="s">
        <v>13</v>
      </c>
      <c r="D14" s="9" t="str">
        <f>VLOOKUP(E14,图书编目表!$A$1:$C$9,2)</f>
        <v>《塑造世界经济的50项伟大发明》</v>
      </c>
      <c r="E14" s="9" t="s">
        <v>14</v>
      </c>
      <c r="F14" s="9" t="str">
        <f>VLOOKUP(E14,图书编目表!$A$1:$C$9,3)</f>
        <v>蒂姆·哈福德</v>
      </c>
      <c r="G14" s="9">
        <v>44</v>
      </c>
      <c r="H14" s="11">
        <f>G14*VLOOKUP(销售订单!E14,图书编目表!$A$1:$D$9,4)</f>
        <v>1100</v>
      </c>
    </row>
    <row r="15" ht="14.25" spans="1:8">
      <c r="A15" s="9" t="s">
        <v>24</v>
      </c>
      <c r="B15" s="10">
        <v>44392</v>
      </c>
      <c r="C15" s="9" t="s">
        <v>17</v>
      </c>
      <c r="D15" s="9" t="str">
        <f>VLOOKUP(E15,图书编目表!$A$1:$C$9,2)</f>
        <v>《影响力》</v>
      </c>
      <c r="E15" s="9" t="s">
        <v>21</v>
      </c>
      <c r="F15" s="9" t="str">
        <f>VLOOKUP(E15,图书编目表!$A$1:$C$9,3)</f>
        <v>罗伯特·西奥迪尼</v>
      </c>
      <c r="G15" s="9">
        <v>3</v>
      </c>
      <c r="H15" s="11">
        <f>G15*VLOOKUP(销售订单!E15,图书编目表!$A$1:$D$9,4)</f>
        <v>97.8</v>
      </c>
    </row>
    <row r="16" ht="14.25" spans="1:8">
      <c r="A16" s="9" t="s">
        <v>25</v>
      </c>
      <c r="B16" s="10">
        <v>44380</v>
      </c>
      <c r="C16" s="9" t="s">
        <v>17</v>
      </c>
      <c r="D16" s="9" t="str">
        <f>VLOOKUP(E16,图书编目表!$A$1:$C$9,2)</f>
        <v>《影响力》</v>
      </c>
      <c r="E16" s="9" t="s">
        <v>21</v>
      </c>
      <c r="F16" s="9" t="str">
        <f>VLOOKUP(E16,图书编目表!$A$1:$C$9,3)</f>
        <v>罗伯特·西奥迪尼</v>
      </c>
      <c r="G16" s="9">
        <v>31</v>
      </c>
      <c r="H16" s="11">
        <f>G16*VLOOKUP(销售订单!E16,图书编目表!$A$1:$D$9,4)</f>
        <v>1010.6</v>
      </c>
    </row>
    <row r="17" ht="14.25" spans="1:8">
      <c r="A17" s="9" t="s">
        <v>25</v>
      </c>
      <c r="B17" s="10">
        <v>44439</v>
      </c>
      <c r="C17" s="9" t="s">
        <v>17</v>
      </c>
      <c r="D17" s="9" t="str">
        <f>VLOOKUP(E17,图书编目表!$A$1:$C$9,2)</f>
        <v>《迷人的材料》</v>
      </c>
      <c r="E17" s="9" t="s">
        <v>16</v>
      </c>
      <c r="F17" s="9" t="str">
        <f>VLOOKUP(E17,图书编目表!$A$1:$C$9,3)</f>
        <v>马克·米奥多尼克</v>
      </c>
      <c r="G17" s="9">
        <v>33</v>
      </c>
      <c r="H17" s="11">
        <f>G17*VLOOKUP(销售订单!E17,图书编目表!$A$1:$D$9,4)</f>
        <v>1122</v>
      </c>
    </row>
    <row r="18" ht="14.25" spans="1:8">
      <c r="A18" s="9" t="s">
        <v>25</v>
      </c>
      <c r="B18" s="10">
        <v>44405</v>
      </c>
      <c r="C18" s="9" t="s">
        <v>13</v>
      </c>
      <c r="D18" s="9" t="str">
        <f>VLOOKUP(E18,图书编目表!$A$1:$C$9,2)</f>
        <v>《怪诞行为学》</v>
      </c>
      <c r="E18" s="9" t="s">
        <v>26</v>
      </c>
      <c r="F18" s="9" t="str">
        <f>VLOOKUP(E18,图书编目表!$A$1:$C$9,3)</f>
        <v>丹·艾瑞里</v>
      </c>
      <c r="G18" s="9">
        <v>8</v>
      </c>
      <c r="H18" s="11">
        <f>G18*VLOOKUP(销售订单!E18,图书编目表!$A$1:$D$9,4)</f>
        <v>192</v>
      </c>
    </row>
    <row r="19" ht="14.25" spans="1:8">
      <c r="A19" s="9" t="s">
        <v>27</v>
      </c>
      <c r="B19" s="10">
        <v>44392</v>
      </c>
      <c r="C19" s="9" t="s">
        <v>10</v>
      </c>
      <c r="D19" s="9" t="str">
        <f>VLOOKUP(E19,图书编目表!$A$1:$C$9,2)</f>
        <v>《万物发明指南》</v>
      </c>
      <c r="E19" s="9" t="s">
        <v>23</v>
      </c>
      <c r="F19" s="9" t="str">
        <f>VLOOKUP(E19,图书编目表!$A$1:$C$9,3)</f>
        <v>瑞安·诺思</v>
      </c>
      <c r="G19" s="9">
        <v>19</v>
      </c>
      <c r="H19" s="11">
        <f>G19*VLOOKUP(销售订单!E19,图书编目表!$A$1:$D$9,4)</f>
        <v>712.5</v>
      </c>
    </row>
    <row r="20" ht="14.25" spans="1:8">
      <c r="A20" s="9" t="s">
        <v>27</v>
      </c>
      <c r="B20" s="10">
        <v>44345</v>
      </c>
      <c r="C20" s="9" t="s">
        <v>10</v>
      </c>
      <c r="D20" s="9" t="str">
        <f>VLOOKUP(E20,图书编目表!$A$1:$C$9,2)</f>
        <v>《影响力》</v>
      </c>
      <c r="E20" s="9" t="s">
        <v>21</v>
      </c>
      <c r="F20" s="9" t="str">
        <f>VLOOKUP(E20,图书编目表!$A$1:$C$9,3)</f>
        <v>罗伯特·西奥迪尼</v>
      </c>
      <c r="G20" s="9">
        <v>35</v>
      </c>
      <c r="H20" s="11">
        <f>G20*VLOOKUP(销售订单!E20,图书编目表!$A$1:$D$9,4)</f>
        <v>1141</v>
      </c>
    </row>
    <row r="21" ht="14.25" spans="1:8">
      <c r="A21" s="9" t="s">
        <v>27</v>
      </c>
      <c r="B21" s="10">
        <v>44412</v>
      </c>
      <c r="C21" s="9" t="s">
        <v>13</v>
      </c>
      <c r="D21" s="9" t="str">
        <f>VLOOKUP(E21,图书编目表!$A$1:$C$9,2)</f>
        <v>《病毒星球》</v>
      </c>
      <c r="E21" s="9" t="s">
        <v>11</v>
      </c>
      <c r="F21" s="9" t="str">
        <f>VLOOKUP(E21,图书编目表!$A$1:$C$9,3)</f>
        <v>卡尔·齐默</v>
      </c>
      <c r="G21" s="9">
        <v>36</v>
      </c>
      <c r="H21" s="11">
        <f>G21*VLOOKUP(销售订单!E21,图书编目表!$A$1:$D$9,4)</f>
        <v>1008</v>
      </c>
    </row>
    <row r="22" ht="14.25" spans="1:8">
      <c r="A22" s="9" t="s">
        <v>28</v>
      </c>
      <c r="B22" s="10">
        <v>44405</v>
      </c>
      <c r="C22" s="9" t="s">
        <v>13</v>
      </c>
      <c r="D22" s="9" t="str">
        <f>VLOOKUP(E22,图书编目表!$A$1:$C$9,2)</f>
        <v>《怪诞行为学》</v>
      </c>
      <c r="E22" s="9" t="s">
        <v>26</v>
      </c>
      <c r="F22" s="9" t="str">
        <f>VLOOKUP(E22,图书编目表!$A$1:$C$9,3)</f>
        <v>丹·艾瑞里</v>
      </c>
      <c r="G22" s="9">
        <v>43</v>
      </c>
      <c r="H22" s="11">
        <f>G22*VLOOKUP(销售订单!E22,图书编目表!$A$1:$D$9,4)</f>
        <v>1032</v>
      </c>
    </row>
    <row r="23" ht="14.25" spans="1:8">
      <c r="A23" s="9" t="s">
        <v>28</v>
      </c>
      <c r="B23" s="10">
        <v>44347</v>
      </c>
      <c r="C23" s="9" t="s">
        <v>13</v>
      </c>
      <c r="D23" s="9" t="str">
        <f>VLOOKUP(E23,图书编目表!$A$1:$C$9,2)</f>
        <v>《乌合之众》</v>
      </c>
      <c r="E23" s="9" t="s">
        <v>20</v>
      </c>
      <c r="F23" s="9" t="str">
        <f>VLOOKUP(E23,图书编目表!$A$1:$C$9,3)</f>
        <v>勒庞</v>
      </c>
      <c r="G23" s="9">
        <v>22</v>
      </c>
      <c r="H23" s="11">
        <f>G23*VLOOKUP(销售订单!E23,图书编目表!$A$1:$D$9,4)</f>
        <v>330</v>
      </c>
    </row>
    <row r="24" ht="14.25" spans="1:8">
      <c r="A24" s="9" t="s">
        <v>28</v>
      </c>
      <c r="B24" s="10">
        <v>44417</v>
      </c>
      <c r="C24" s="9" t="s">
        <v>13</v>
      </c>
      <c r="D24" s="9" t="str">
        <f>VLOOKUP(E24,图书编目表!$A$1:$C$9,2)</f>
        <v>《万物发明指南》</v>
      </c>
      <c r="E24" s="9" t="s">
        <v>23</v>
      </c>
      <c r="F24" s="9" t="str">
        <f>VLOOKUP(E24,图书编目表!$A$1:$C$9,3)</f>
        <v>瑞安·诺思</v>
      </c>
      <c r="G24" s="9">
        <v>37</v>
      </c>
      <c r="H24" s="11">
        <f>G24*VLOOKUP(销售订单!E24,图书编目表!$A$1:$D$9,4)</f>
        <v>1387.5</v>
      </c>
    </row>
    <row r="25" ht="14.25" spans="1:8">
      <c r="A25" s="9" t="s">
        <v>29</v>
      </c>
      <c r="B25" s="10">
        <v>44412</v>
      </c>
      <c r="C25" s="9" t="s">
        <v>13</v>
      </c>
      <c r="D25" s="9" t="str">
        <f>VLOOKUP(E25,图书编目表!$A$1:$C$9,2)</f>
        <v>《迷人的材料》</v>
      </c>
      <c r="E25" s="9" t="s">
        <v>16</v>
      </c>
      <c r="F25" s="9" t="str">
        <f>VLOOKUP(E25,图书编目表!$A$1:$C$9,3)</f>
        <v>马克·米奥多尼克</v>
      </c>
      <c r="G25" s="9">
        <v>39</v>
      </c>
      <c r="H25" s="11">
        <f>G25*VLOOKUP(销售订单!E25,图书编目表!$A$1:$D$9,4)</f>
        <v>1326</v>
      </c>
    </row>
    <row r="26" ht="14.25" spans="1:8">
      <c r="A26" s="9" t="s">
        <v>29</v>
      </c>
      <c r="B26" s="10">
        <v>44348</v>
      </c>
      <c r="C26" s="9" t="s">
        <v>10</v>
      </c>
      <c r="D26" s="9" t="str">
        <f>VLOOKUP(E26,图书编目表!$A$1:$C$9,2)</f>
        <v>《乌合之众》</v>
      </c>
      <c r="E26" s="9" t="s">
        <v>20</v>
      </c>
      <c r="F26" s="9" t="str">
        <f>VLOOKUP(E26,图书编目表!$A$1:$C$9,3)</f>
        <v>勒庞</v>
      </c>
      <c r="G26" s="9">
        <v>38</v>
      </c>
      <c r="H26" s="11">
        <f>G26*VLOOKUP(销售订单!E26,图书编目表!$A$1:$D$9,4)</f>
        <v>570</v>
      </c>
    </row>
    <row r="27" ht="14.25" spans="1:8">
      <c r="A27" s="9" t="s">
        <v>29</v>
      </c>
      <c r="B27" s="10">
        <v>44424</v>
      </c>
      <c r="C27" s="9" t="s">
        <v>17</v>
      </c>
      <c r="D27" s="9" t="str">
        <f>VLOOKUP(E27,图书编目表!$A$1:$C$9,2)</f>
        <v>《我们如何走到今天》</v>
      </c>
      <c r="E27" s="9" t="s">
        <v>18</v>
      </c>
      <c r="F27" s="9" t="str">
        <f>VLOOKUP(E27,图书编目表!$A$1:$C$9,3)</f>
        <v>史蒂文·约翰逊</v>
      </c>
      <c r="G27" s="9">
        <v>22</v>
      </c>
      <c r="H27" s="11">
        <f>G27*VLOOKUP(销售订单!E27,图书编目表!$A$1:$D$9,4)</f>
        <v>803</v>
      </c>
    </row>
    <row r="28" ht="14.25" spans="1:8">
      <c r="A28" s="9" t="s">
        <v>30</v>
      </c>
      <c r="B28" s="10">
        <v>44417</v>
      </c>
      <c r="C28" s="9" t="s">
        <v>13</v>
      </c>
      <c r="D28" s="9" t="str">
        <f>VLOOKUP(E28,图书编目表!$A$1:$C$9,2)</f>
        <v>《病毒星球》</v>
      </c>
      <c r="E28" s="9" t="s">
        <v>11</v>
      </c>
      <c r="F28" s="9" t="str">
        <f>VLOOKUP(E28,图书编目表!$A$1:$C$9,3)</f>
        <v>卡尔·齐默</v>
      </c>
      <c r="G28" s="9">
        <v>30</v>
      </c>
      <c r="H28" s="11">
        <f>G28*VLOOKUP(销售订单!E28,图书编目表!$A$1:$D$9,4)</f>
        <v>840</v>
      </c>
    </row>
    <row r="29" ht="14.25" spans="1:8">
      <c r="A29" s="9" t="s">
        <v>30</v>
      </c>
      <c r="B29" s="10">
        <v>44350</v>
      </c>
      <c r="C29" s="9" t="s">
        <v>17</v>
      </c>
      <c r="D29" s="9" t="str">
        <f>VLOOKUP(E29,图书编目表!$A$1:$C$9,2)</f>
        <v>《病毒星球》</v>
      </c>
      <c r="E29" s="9" t="s">
        <v>11</v>
      </c>
      <c r="F29" s="9" t="str">
        <f>VLOOKUP(E29,图书编目表!$A$1:$C$9,3)</f>
        <v>卡尔·齐默</v>
      </c>
      <c r="G29" s="9">
        <v>5</v>
      </c>
      <c r="H29" s="11">
        <f>G29*VLOOKUP(销售订单!E29,图书编目表!$A$1:$D$9,4)</f>
        <v>140</v>
      </c>
    </row>
    <row r="30" ht="14.25" spans="1:8">
      <c r="A30" s="9" t="s">
        <v>30</v>
      </c>
      <c r="B30" s="10">
        <v>44427</v>
      </c>
      <c r="C30" s="9" t="s">
        <v>10</v>
      </c>
      <c r="D30" s="9" t="str">
        <f>VLOOKUP(E30,图书编目表!$A$1:$C$9,2)</f>
        <v>《怪诞行为学》</v>
      </c>
      <c r="E30" s="9" t="s">
        <v>26</v>
      </c>
      <c r="F30" s="9" t="str">
        <f>VLOOKUP(E30,图书编目表!$A$1:$C$9,3)</f>
        <v>丹·艾瑞里</v>
      </c>
      <c r="G30" s="9">
        <v>7</v>
      </c>
      <c r="H30" s="11">
        <f>G30*VLOOKUP(销售订单!E30,图书编目表!$A$1:$D$9,4)</f>
        <v>168</v>
      </c>
    </row>
    <row r="31" ht="14.25" spans="1:8">
      <c r="A31" s="9" t="s">
        <v>31</v>
      </c>
      <c r="B31" s="10">
        <v>44351</v>
      </c>
      <c r="C31" s="9" t="s">
        <v>10</v>
      </c>
      <c r="D31" s="9" t="str">
        <f>VLOOKUP(E31,图书编目表!$A$1:$C$9,2)</f>
        <v>《影响力》</v>
      </c>
      <c r="E31" s="9" t="s">
        <v>21</v>
      </c>
      <c r="F31" s="9" t="str">
        <f>VLOOKUP(E31,图书编目表!$A$1:$C$9,3)</f>
        <v>罗伯特·西奥迪尼</v>
      </c>
      <c r="G31" s="9">
        <v>32</v>
      </c>
      <c r="H31" s="11">
        <f>G31*VLOOKUP(销售订单!E31,图书编目表!$A$1:$D$9,4)</f>
        <v>1043.2</v>
      </c>
    </row>
    <row r="32" ht="14.25" spans="1:8">
      <c r="A32" s="9" t="s">
        <v>31</v>
      </c>
      <c r="B32" s="10">
        <v>44433</v>
      </c>
      <c r="C32" s="9" t="s">
        <v>13</v>
      </c>
      <c r="D32" s="9" t="str">
        <f>VLOOKUP(E32,图书编目表!$A$1:$C$9,2)</f>
        <v>《万物发明指南》</v>
      </c>
      <c r="E32" s="9" t="s">
        <v>23</v>
      </c>
      <c r="F32" s="9" t="str">
        <f>VLOOKUP(E32,图书编目表!$A$1:$C$9,3)</f>
        <v>瑞安·诺思</v>
      </c>
      <c r="G32" s="9">
        <v>30</v>
      </c>
      <c r="H32" s="11">
        <f>G32*VLOOKUP(销售订单!E32,图书编目表!$A$1:$D$9,4)</f>
        <v>1125</v>
      </c>
    </row>
    <row r="33" ht="14.25" spans="1:8">
      <c r="A33" s="9" t="s">
        <v>32</v>
      </c>
      <c r="B33" s="10">
        <v>44356</v>
      </c>
      <c r="C33" s="9" t="s">
        <v>13</v>
      </c>
      <c r="D33" s="9" t="str">
        <f>VLOOKUP(E33,图书编目表!$A$1:$C$9,2)</f>
        <v>《怪诞行为学》</v>
      </c>
      <c r="E33" s="9" t="s">
        <v>26</v>
      </c>
      <c r="F33" s="9" t="str">
        <f>VLOOKUP(E33,图书编目表!$A$1:$C$9,3)</f>
        <v>丹·艾瑞里</v>
      </c>
      <c r="G33" s="9">
        <v>19</v>
      </c>
      <c r="H33" s="11">
        <f>G33*VLOOKUP(销售订单!E33,图书编目表!$A$1:$D$9,4)</f>
        <v>456</v>
      </c>
    </row>
    <row r="34" ht="14.25" spans="1:8">
      <c r="A34" s="9" t="s">
        <v>32</v>
      </c>
      <c r="B34" s="10">
        <v>44439</v>
      </c>
      <c r="C34" s="9" t="s">
        <v>17</v>
      </c>
      <c r="D34" s="9" t="str">
        <f>VLOOKUP(E34,图书编目表!$A$1:$C$9,2)</f>
        <v>《乌合之众》</v>
      </c>
      <c r="E34" s="9" t="s">
        <v>20</v>
      </c>
      <c r="F34" s="9" t="str">
        <f>VLOOKUP(E34,图书编目表!$A$1:$C$9,3)</f>
        <v>勒庞</v>
      </c>
      <c r="G34" s="9">
        <v>21</v>
      </c>
      <c r="H34" s="11">
        <f>G34*VLOOKUP(销售订单!E34,图书编目表!$A$1:$D$9,4)</f>
        <v>315</v>
      </c>
    </row>
    <row r="35" ht="14.25" spans="1:8">
      <c r="A35" s="9" t="s">
        <v>33</v>
      </c>
      <c r="B35" s="10">
        <v>44360</v>
      </c>
      <c r="C35" s="9" t="s">
        <v>10</v>
      </c>
      <c r="D35" s="9" t="str">
        <f>VLOOKUP(E35,图书编目表!$A$1:$C$9,2)</f>
        <v>《迷人的材料》</v>
      </c>
      <c r="E35" s="9" t="s">
        <v>16</v>
      </c>
      <c r="F35" s="9" t="str">
        <f>VLOOKUP(E35,图书编目表!$A$1:$C$9,3)</f>
        <v>马克·米奥多尼克</v>
      </c>
      <c r="G35" s="9">
        <v>38</v>
      </c>
      <c r="H35" s="11">
        <f>G35*VLOOKUP(销售订单!E35,图书编目表!$A$1:$D$9,4)</f>
        <v>1292</v>
      </c>
    </row>
    <row r="36" ht="14.25" spans="1:8">
      <c r="A36" s="9" t="s">
        <v>33</v>
      </c>
      <c r="B36" s="10">
        <v>44345</v>
      </c>
      <c r="C36" s="9" t="s">
        <v>10</v>
      </c>
      <c r="D36" s="9" t="str">
        <f>VLOOKUP(E36,图书编目表!$A$1:$C$9,2)</f>
        <v>《迷人的材料》</v>
      </c>
      <c r="E36" s="9" t="s">
        <v>16</v>
      </c>
      <c r="F36" s="9" t="str">
        <f>VLOOKUP(E36,图书编目表!$A$1:$C$9,3)</f>
        <v>马克·米奥多尼克</v>
      </c>
      <c r="G36" s="9">
        <v>31</v>
      </c>
      <c r="H36" s="11">
        <f>G36*VLOOKUP(销售订单!E36,图书编目表!$A$1:$D$9,4)</f>
        <v>1054</v>
      </c>
    </row>
    <row r="37" ht="14.25" spans="1:8">
      <c r="A37" s="9" t="s">
        <v>34</v>
      </c>
      <c r="B37" s="10">
        <v>44366</v>
      </c>
      <c r="C37" s="9" t="s">
        <v>13</v>
      </c>
      <c r="D37" s="9" t="str">
        <f>VLOOKUP(E37,图书编目表!$A$1:$C$9,2)</f>
        <v>《病毒星球》</v>
      </c>
      <c r="E37" s="9" t="s">
        <v>11</v>
      </c>
      <c r="F37" s="9" t="str">
        <f>VLOOKUP(E37,图书编目表!$A$1:$C$9,3)</f>
        <v>卡尔·齐默</v>
      </c>
      <c r="G37" s="9">
        <v>29</v>
      </c>
      <c r="H37" s="11">
        <f>G37*VLOOKUP(销售订单!E37,图书编目表!$A$1:$D$9,4)</f>
        <v>812</v>
      </c>
    </row>
    <row r="38" ht="14.25" spans="1:8">
      <c r="A38" s="9" t="s">
        <v>34</v>
      </c>
      <c r="B38" s="10">
        <v>44347</v>
      </c>
      <c r="C38" s="9" t="s">
        <v>13</v>
      </c>
      <c r="D38" s="9" t="str">
        <f>VLOOKUP(E38,图书编目表!$A$1:$C$9,2)</f>
        <v>《万物发明指南》</v>
      </c>
      <c r="E38" s="9" t="s">
        <v>23</v>
      </c>
      <c r="F38" s="9" t="str">
        <f>VLOOKUP(E38,图书编目表!$A$1:$C$9,3)</f>
        <v>瑞安·诺思</v>
      </c>
      <c r="G38" s="9">
        <v>48</v>
      </c>
      <c r="H38" s="11">
        <f>G38*VLOOKUP(销售订单!E38,图书编目表!$A$1:$D$9,4)</f>
        <v>1800</v>
      </c>
    </row>
    <row r="39" ht="14.25" spans="1:8">
      <c r="A39" s="9" t="s">
        <v>35</v>
      </c>
      <c r="B39" s="10">
        <v>44370</v>
      </c>
      <c r="C39" s="9" t="s">
        <v>13</v>
      </c>
      <c r="D39" s="9" t="str">
        <f>VLOOKUP(E39,图书编目表!$A$1:$C$9,2)</f>
        <v>《塑造世界经济的50项伟大发明》</v>
      </c>
      <c r="E39" s="9" t="s">
        <v>14</v>
      </c>
      <c r="F39" s="9" t="str">
        <f>VLOOKUP(E39,图书编目表!$A$1:$C$9,3)</f>
        <v>蒂姆·哈福德</v>
      </c>
      <c r="G39" s="9">
        <v>45</v>
      </c>
      <c r="H39" s="11">
        <f>G39*VLOOKUP(销售订单!E39,图书编目表!$A$1:$D$9,4)</f>
        <v>1125</v>
      </c>
    </row>
    <row r="40" ht="14.25" spans="1:8">
      <c r="A40" s="9" t="s">
        <v>35</v>
      </c>
      <c r="B40" s="10">
        <v>44348</v>
      </c>
      <c r="C40" s="9" t="s">
        <v>13</v>
      </c>
      <c r="D40" s="9" t="str">
        <f>VLOOKUP(E40,图书编目表!$A$1:$C$9,2)</f>
        <v>《塑造世界经济的50项伟大发明》</v>
      </c>
      <c r="E40" s="9" t="s">
        <v>14</v>
      </c>
      <c r="F40" s="9" t="str">
        <f>VLOOKUP(E40,图书编目表!$A$1:$C$9,3)</f>
        <v>蒂姆·哈福德</v>
      </c>
      <c r="G40" s="9">
        <v>15</v>
      </c>
      <c r="H40" s="11">
        <f>G40*VLOOKUP(销售订单!E40,图书编目表!$A$1:$D$9,4)</f>
        <v>375</v>
      </c>
    </row>
    <row r="41" ht="14.25" spans="1:8">
      <c r="A41" s="9" t="s">
        <v>36</v>
      </c>
      <c r="B41" s="10">
        <v>44348</v>
      </c>
      <c r="C41" s="9" t="s">
        <v>17</v>
      </c>
      <c r="D41" s="9" t="str">
        <f>VLOOKUP(E41,图书编目表!$A$1:$C$9,2)</f>
        <v>《塑造世界经济的50项伟大发明》</v>
      </c>
      <c r="E41" s="9" t="s">
        <v>14</v>
      </c>
      <c r="F41" s="9" t="str">
        <f>VLOOKUP(E41,图书编目表!$A$1:$C$9,3)</f>
        <v>蒂姆·哈福德</v>
      </c>
      <c r="G41" s="9">
        <v>41</v>
      </c>
      <c r="H41" s="11">
        <f>G41*VLOOKUP(销售订单!E41,图书编目表!$A$1:$D$9,4)</f>
        <v>1025</v>
      </c>
    </row>
    <row r="42" ht="14.25" spans="1:8">
      <c r="A42" s="9" t="s">
        <v>36</v>
      </c>
      <c r="B42" s="10">
        <v>44351</v>
      </c>
      <c r="C42" s="9" t="s">
        <v>13</v>
      </c>
      <c r="D42" s="9" t="str">
        <f>VLOOKUP(E42,图书编目表!$A$1:$C$9,2)</f>
        <v>《塑造世界经济的50项伟大发明》</v>
      </c>
      <c r="E42" s="9" t="s">
        <v>14</v>
      </c>
      <c r="F42" s="9" t="str">
        <f>VLOOKUP(E42,图书编目表!$A$1:$C$9,3)</f>
        <v>蒂姆·哈福德</v>
      </c>
      <c r="G42" s="9">
        <v>3</v>
      </c>
      <c r="H42" s="11">
        <f>G42*VLOOKUP(销售订单!E42,图书编目表!$A$1:$D$9,4)</f>
        <v>75</v>
      </c>
    </row>
    <row r="43" ht="14.25" spans="1:8">
      <c r="A43" s="9" t="s">
        <v>37</v>
      </c>
      <c r="B43" s="10">
        <v>44350</v>
      </c>
      <c r="C43" s="9" t="s">
        <v>13</v>
      </c>
      <c r="D43" s="9" t="str">
        <f>VLOOKUP(E43,图书编目表!$A$1:$C$9,2)</f>
        <v>《我们如何走到今天》</v>
      </c>
      <c r="E43" s="9" t="s">
        <v>18</v>
      </c>
      <c r="F43" s="9" t="str">
        <f>VLOOKUP(E43,图书编目表!$A$1:$C$9,3)</f>
        <v>史蒂文·约翰逊</v>
      </c>
      <c r="G43" s="9">
        <v>21</v>
      </c>
      <c r="H43" s="11">
        <f>G43*VLOOKUP(销售订单!E43,图书编目表!$A$1:$D$9,4)</f>
        <v>766.5</v>
      </c>
    </row>
    <row r="44" ht="14.25" spans="1:8">
      <c r="A44" s="9" t="s">
        <v>37</v>
      </c>
      <c r="B44" s="10">
        <v>44356</v>
      </c>
      <c r="C44" s="9" t="s">
        <v>13</v>
      </c>
      <c r="D44" s="9" t="str">
        <f>VLOOKUP(E44,图书编目表!$A$1:$C$9,2)</f>
        <v>《病毒星球》</v>
      </c>
      <c r="E44" s="9" t="s">
        <v>11</v>
      </c>
      <c r="F44" s="9" t="str">
        <f>VLOOKUP(E44,图书编目表!$A$1:$C$9,3)</f>
        <v>卡尔·齐默</v>
      </c>
      <c r="G44" s="9">
        <v>30</v>
      </c>
      <c r="H44" s="11">
        <f>G44*VLOOKUP(销售订单!E44,图书编目表!$A$1:$D$9,4)</f>
        <v>840</v>
      </c>
    </row>
    <row r="45" ht="14.25" spans="1:8">
      <c r="A45" s="9" t="s">
        <v>38</v>
      </c>
      <c r="B45" s="10">
        <v>44351</v>
      </c>
      <c r="C45" s="9" t="s">
        <v>17</v>
      </c>
      <c r="D45" s="9" t="str">
        <f>VLOOKUP(E45,图书编目表!$A$1:$C$9,2)</f>
        <v>《影响力》</v>
      </c>
      <c r="E45" s="9" t="s">
        <v>21</v>
      </c>
      <c r="F45" s="9" t="str">
        <f>VLOOKUP(E45,图书编目表!$A$1:$C$9,3)</f>
        <v>罗伯特·西奥迪尼</v>
      </c>
      <c r="G45" s="9">
        <v>32</v>
      </c>
      <c r="H45" s="11">
        <f>G45*VLOOKUP(销售订单!E45,图书编目表!$A$1:$D$9,4)</f>
        <v>1043.2</v>
      </c>
    </row>
    <row r="46" ht="14.25" spans="1:8">
      <c r="A46" s="9" t="s">
        <v>38</v>
      </c>
      <c r="B46" s="10">
        <v>44360</v>
      </c>
      <c r="C46" s="9" t="s">
        <v>13</v>
      </c>
      <c r="D46" s="9" t="str">
        <f>VLOOKUP(E46,图书编目表!$A$1:$C$9,2)</f>
        <v>《我们如何走到今天》</v>
      </c>
      <c r="E46" s="9" t="s">
        <v>18</v>
      </c>
      <c r="F46" s="9" t="str">
        <f>VLOOKUP(E46,图书编目表!$A$1:$C$9,3)</f>
        <v>史蒂文·约翰逊</v>
      </c>
      <c r="G46" s="9">
        <v>25</v>
      </c>
      <c r="H46" s="11">
        <f>G46*VLOOKUP(销售订单!E46,图书编目表!$A$1:$D$9,4)</f>
        <v>912.5</v>
      </c>
    </row>
    <row r="47" ht="14.25" spans="1:8">
      <c r="A47" s="9" t="s">
        <v>39</v>
      </c>
      <c r="B47" s="10">
        <v>44345</v>
      </c>
      <c r="C47" s="9" t="s">
        <v>10</v>
      </c>
      <c r="D47" s="9" t="str">
        <f>VLOOKUP(E47,图书编目表!$A$1:$C$9,2)</f>
        <v>《迷人的材料》</v>
      </c>
      <c r="E47" s="9" t="s">
        <v>16</v>
      </c>
      <c r="F47" s="9" t="str">
        <f>VLOOKUP(E47,图书编目表!$A$1:$C$9,3)</f>
        <v>马克·米奥多尼克</v>
      </c>
      <c r="G47" s="9">
        <v>12</v>
      </c>
      <c r="H47" s="11">
        <f>G47*VLOOKUP(销售订单!E47,图书编目表!$A$1:$D$9,4)</f>
        <v>408</v>
      </c>
    </row>
    <row r="48" ht="14.25" spans="1:8">
      <c r="A48" s="9" t="s">
        <v>40</v>
      </c>
      <c r="B48" s="10">
        <v>44347</v>
      </c>
      <c r="C48" s="9" t="s">
        <v>13</v>
      </c>
      <c r="D48" s="9" t="str">
        <f>VLOOKUP(E48,图书编目表!$A$1:$C$9,2)</f>
        <v>《万物发明指南》</v>
      </c>
      <c r="E48" s="9" t="s">
        <v>23</v>
      </c>
      <c r="F48" s="9" t="str">
        <f>VLOOKUP(E48,图书编目表!$A$1:$C$9,3)</f>
        <v>瑞安·诺思</v>
      </c>
      <c r="G48" s="9">
        <v>5</v>
      </c>
      <c r="H48" s="11">
        <f>G48*VLOOKUP(销售订单!E48,图书编目表!$A$1:$D$9,4)</f>
        <v>187.5</v>
      </c>
    </row>
    <row r="49" ht="14.25" spans="1:8">
      <c r="A49" s="9" t="s">
        <v>41</v>
      </c>
      <c r="B49" s="10">
        <v>44376</v>
      </c>
      <c r="C49" s="9" t="s">
        <v>17</v>
      </c>
      <c r="D49" s="9" t="str">
        <f>VLOOKUP(E49,图书编目表!$A$1:$C$9,2)</f>
        <v>《万物发明指南》</v>
      </c>
      <c r="E49" s="9" t="s">
        <v>23</v>
      </c>
      <c r="F49" s="9" t="str">
        <f>VLOOKUP(E49,图书编目表!$A$1:$C$9,3)</f>
        <v>瑞安·诺思</v>
      </c>
      <c r="G49" s="9">
        <v>4</v>
      </c>
      <c r="H49" s="11">
        <f>G49*VLOOKUP(销售订单!E49,图书编目表!$A$1:$D$9,4)</f>
        <v>150</v>
      </c>
    </row>
    <row r="50" ht="14.25" spans="1:8">
      <c r="A50" s="9" t="s">
        <v>42</v>
      </c>
      <c r="B50" s="10">
        <v>44380</v>
      </c>
      <c r="C50" s="9" t="s">
        <v>10</v>
      </c>
      <c r="D50" s="9" t="str">
        <f>VLOOKUP(E50,图书编目表!$A$1:$C$9,2)</f>
        <v>《怪诞行为学》</v>
      </c>
      <c r="E50" s="9" t="s">
        <v>26</v>
      </c>
      <c r="F50" s="9" t="str">
        <f>VLOOKUP(E50,图书编目表!$A$1:$C$9,3)</f>
        <v>丹·艾瑞里</v>
      </c>
      <c r="G50" s="9">
        <v>7</v>
      </c>
      <c r="H50" s="11">
        <f>G50*VLOOKUP(销售订单!E50,图书编目表!$A$1:$D$9,4)</f>
        <v>168</v>
      </c>
    </row>
    <row r="51" ht="14.25" spans="1:8">
      <c r="A51" s="9" t="s">
        <v>43</v>
      </c>
      <c r="B51" s="10">
        <v>44392</v>
      </c>
      <c r="C51" s="9" t="s">
        <v>13</v>
      </c>
      <c r="D51" s="9" t="str">
        <f>VLOOKUP(E51,图书编目表!$A$1:$C$9,2)</f>
        <v>《塑造世界经济的50项伟大发明》</v>
      </c>
      <c r="E51" s="9" t="s">
        <v>14</v>
      </c>
      <c r="F51" s="9" t="str">
        <f>VLOOKUP(E51,图书编目表!$A$1:$C$9,3)</f>
        <v>蒂姆·哈福德</v>
      </c>
      <c r="G51" s="9">
        <v>34</v>
      </c>
      <c r="H51" s="11">
        <f>G51*VLOOKUP(销售订单!E51,图书编目表!$A$1:$D$9,4)</f>
        <v>850</v>
      </c>
    </row>
    <row r="52" ht="14.25" spans="1:8">
      <c r="A52" s="9" t="s">
        <v>44</v>
      </c>
      <c r="B52" s="10">
        <v>44405</v>
      </c>
      <c r="C52" s="9" t="s">
        <v>13</v>
      </c>
      <c r="D52" s="9" t="str">
        <f>VLOOKUP(E52,图书编目表!$A$1:$C$9,2)</f>
        <v>《乌合之众》</v>
      </c>
      <c r="E52" s="9" t="s">
        <v>20</v>
      </c>
      <c r="F52" s="9" t="str">
        <f>VLOOKUP(E52,图书编目表!$A$1:$C$9,3)</f>
        <v>勒庞</v>
      </c>
      <c r="G52" s="9">
        <v>18</v>
      </c>
      <c r="H52" s="11">
        <f>G52*VLOOKUP(销售订单!E52,图书编目表!$A$1:$D$9,4)</f>
        <v>270</v>
      </c>
    </row>
    <row r="53" ht="14.25" spans="1:8">
      <c r="A53" s="9" t="s">
        <v>45</v>
      </c>
      <c r="B53" s="10">
        <v>44412</v>
      </c>
      <c r="C53" s="9" t="s">
        <v>13</v>
      </c>
      <c r="D53" s="9" t="str">
        <f>VLOOKUP(E53,图书编目表!$A$1:$C$9,2)</f>
        <v>《塑造世界经济的50项伟大发明》</v>
      </c>
      <c r="E53" s="9" t="s">
        <v>14</v>
      </c>
      <c r="F53" s="9" t="str">
        <f>VLOOKUP(E53,图书编目表!$A$1:$C$9,3)</f>
        <v>蒂姆·哈福德</v>
      </c>
      <c r="G53" s="9">
        <v>15</v>
      </c>
      <c r="H53" s="11">
        <f>G53*VLOOKUP(销售订单!E53,图书编目表!$A$1:$D$9,4)</f>
        <v>375</v>
      </c>
    </row>
    <row r="54" ht="14.25" spans="1:8">
      <c r="A54" s="9" t="s">
        <v>46</v>
      </c>
      <c r="B54" s="10">
        <v>44417</v>
      </c>
      <c r="C54" s="9" t="s">
        <v>17</v>
      </c>
      <c r="D54" s="9" t="str">
        <f>VLOOKUP(E54,图书编目表!$A$1:$C$9,2)</f>
        <v>《我们如何走到今天》</v>
      </c>
      <c r="E54" s="9" t="s">
        <v>18</v>
      </c>
      <c r="F54" s="9" t="str">
        <f>VLOOKUP(E54,图书编目表!$A$1:$C$9,3)</f>
        <v>史蒂文·约翰逊</v>
      </c>
      <c r="G54" s="9">
        <v>11</v>
      </c>
      <c r="H54" s="11">
        <f>G54*VLOOKUP(销售订单!E54,图书编目表!$A$1:$D$9,4)</f>
        <v>401.5</v>
      </c>
    </row>
    <row r="55" ht="14.25" spans="1:8">
      <c r="A55" s="9" t="s">
        <v>47</v>
      </c>
      <c r="B55" s="10">
        <v>44345</v>
      </c>
      <c r="C55" s="9" t="s">
        <v>10</v>
      </c>
      <c r="D55" s="9" t="str">
        <f>VLOOKUP(E55,图书编目表!$A$1:$C$9,2)</f>
        <v>《怪诞行为学》</v>
      </c>
      <c r="E55" s="9" t="s">
        <v>26</v>
      </c>
      <c r="F55" s="9" t="str">
        <f>VLOOKUP(E55,图书编目表!$A$1:$C$9,3)</f>
        <v>丹·艾瑞里</v>
      </c>
      <c r="G55" s="9">
        <v>30</v>
      </c>
      <c r="H55" s="11">
        <f>G55*VLOOKUP(销售订单!E55,图书编目表!$A$1:$D$9,4)</f>
        <v>720</v>
      </c>
    </row>
    <row r="56" ht="14.25" spans="1:8">
      <c r="A56" s="9" t="s">
        <v>48</v>
      </c>
      <c r="B56" s="10">
        <v>44347</v>
      </c>
      <c r="C56" s="9" t="s">
        <v>13</v>
      </c>
      <c r="D56" s="9" t="str">
        <f>VLOOKUP(E56,图书编目表!$A$1:$C$9,2)</f>
        <v>《塑造世界经济的50项伟大发明》</v>
      </c>
      <c r="E56" s="9" t="s">
        <v>14</v>
      </c>
      <c r="F56" s="9" t="str">
        <f>VLOOKUP(E56,图书编目表!$A$1:$C$9,3)</f>
        <v>蒂姆·哈福德</v>
      </c>
      <c r="G56" s="9">
        <v>48</v>
      </c>
      <c r="H56" s="11">
        <f>G56*VLOOKUP(销售订单!E56,图书编目表!$A$1:$D$9,4)</f>
        <v>1200</v>
      </c>
    </row>
    <row r="57" ht="14.25" spans="1:8">
      <c r="A57" s="9" t="s">
        <v>49</v>
      </c>
      <c r="B57" s="10">
        <v>44348</v>
      </c>
      <c r="C57" s="9" t="s">
        <v>17</v>
      </c>
      <c r="D57" s="9" t="str">
        <f>VLOOKUP(E57,图书编目表!$A$1:$C$9,2)</f>
        <v>《影响力》</v>
      </c>
      <c r="E57" s="9" t="s">
        <v>21</v>
      </c>
      <c r="F57" s="9" t="str">
        <f>VLOOKUP(E57,图书编目表!$A$1:$C$9,3)</f>
        <v>罗伯特·西奥迪尼</v>
      </c>
      <c r="G57" s="9">
        <v>3</v>
      </c>
      <c r="H57" s="11">
        <f>G57*VLOOKUP(销售订单!E57,图书编目表!$A$1:$D$9,4)</f>
        <v>97.8</v>
      </c>
    </row>
    <row r="58" ht="14.25" spans="1:8">
      <c r="A58" s="9" t="s">
        <v>50</v>
      </c>
      <c r="B58" s="10">
        <v>44350</v>
      </c>
      <c r="C58" s="9" t="s">
        <v>10</v>
      </c>
      <c r="D58" s="9" t="str">
        <f>VLOOKUP(E58,图书编目表!$A$1:$C$9,2)</f>
        <v>《塑造世界经济的50项伟大发明》</v>
      </c>
      <c r="E58" s="9" t="s">
        <v>14</v>
      </c>
      <c r="F58" s="9" t="str">
        <f>VLOOKUP(E58,图书编目表!$A$1:$C$9,3)</f>
        <v>蒂姆·哈福德</v>
      </c>
      <c r="G58" s="9">
        <v>22</v>
      </c>
      <c r="H58" s="11">
        <f>G58*VLOOKUP(销售订单!E58,图书编目表!$A$1:$D$9,4)</f>
        <v>550</v>
      </c>
    </row>
    <row r="59" spans="2:2">
      <c r="B59" s="12"/>
    </row>
    <row r="60" spans="2:2">
      <c r="B60" s="12"/>
    </row>
    <row r="61" spans="2:2">
      <c r="B61" s="12"/>
    </row>
    <row r="62" spans="2:2">
      <c r="B62" s="12"/>
    </row>
    <row r="63" spans="2:2">
      <c r="B63" s="12"/>
    </row>
    <row r="64" spans="2:2">
      <c r="B64" s="12"/>
    </row>
    <row r="65" spans="2:2">
      <c r="B65" s="12"/>
    </row>
    <row r="66" spans="2:2">
      <c r="B66" s="12"/>
    </row>
    <row r="67" spans="2:2">
      <c r="B67" s="12"/>
    </row>
    <row r="68" spans="2:2">
      <c r="B68" s="12"/>
    </row>
    <row r="69" spans="2:2">
      <c r="B69" s="12"/>
    </row>
    <row r="70" spans="2:2">
      <c r="B70" s="12"/>
    </row>
    <row r="71" spans="2:2">
      <c r="B71" s="12"/>
    </row>
    <row r="72" spans="2:2">
      <c r="B72" s="12"/>
    </row>
    <row r="73" spans="2:2">
      <c r="B73" s="12"/>
    </row>
    <row r="74" spans="2:2">
      <c r="B74" s="12"/>
    </row>
  </sheetData>
  <sortState ref="A3:H58">
    <sortCondition ref="A3"/>
  </sortState>
  <mergeCells count="1">
    <mergeCell ref="A1:H1"/>
  </mergeCells>
  <conditionalFormatting sqref="A3:A58">
    <cfRule type="duplicateValues" dxfId="8" priority="1"/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B6" sqref="B6"/>
    </sheetView>
  </sheetViews>
  <sheetFormatPr defaultColWidth="9" defaultRowHeight="13.5" outlineLevelCol="3"/>
  <cols>
    <col min="1" max="1" width="9" customWidth="1"/>
    <col min="2" max="2" width="31.875" customWidth="1"/>
    <col min="3" max="3" width="17.25" customWidth="1"/>
    <col min="4" max="4" width="7.5" customWidth="1"/>
  </cols>
  <sheetData>
    <row r="1" spans="1:4">
      <c r="A1" s="5" t="s">
        <v>5</v>
      </c>
      <c r="B1" s="5" t="s">
        <v>4</v>
      </c>
      <c r="C1" s="5" t="s">
        <v>6</v>
      </c>
      <c r="D1" s="5" t="s">
        <v>51</v>
      </c>
    </row>
    <row r="2" spans="1:4">
      <c r="A2" s="5" t="s">
        <v>16</v>
      </c>
      <c r="B2" s="5" t="s">
        <v>52</v>
      </c>
      <c r="C2" s="5" t="s">
        <v>53</v>
      </c>
      <c r="D2" s="6">
        <v>34</v>
      </c>
    </row>
    <row r="3" spans="1:4">
      <c r="A3" s="5" t="s">
        <v>14</v>
      </c>
      <c r="B3" s="5" t="s">
        <v>54</v>
      </c>
      <c r="C3" s="5" t="s">
        <v>55</v>
      </c>
      <c r="D3" s="6">
        <v>25</v>
      </c>
    </row>
    <row r="4" spans="1:4">
      <c r="A4" s="5" t="s">
        <v>23</v>
      </c>
      <c r="B4" s="5" t="s">
        <v>56</v>
      </c>
      <c r="C4" s="5" t="s">
        <v>57</v>
      </c>
      <c r="D4" s="6">
        <v>37.5</v>
      </c>
    </row>
    <row r="5" spans="1:4">
      <c r="A5" s="5" t="s">
        <v>18</v>
      </c>
      <c r="B5" s="5" t="s">
        <v>58</v>
      </c>
      <c r="C5" s="5" t="s">
        <v>59</v>
      </c>
      <c r="D5" s="6">
        <v>36.5</v>
      </c>
    </row>
    <row r="6" spans="1:4">
      <c r="A6" s="5" t="s">
        <v>11</v>
      </c>
      <c r="B6" s="5" t="s">
        <v>60</v>
      </c>
      <c r="C6" s="5" t="s">
        <v>61</v>
      </c>
      <c r="D6" s="6">
        <v>28</v>
      </c>
    </row>
    <row r="7" spans="1:4">
      <c r="A7" s="5" t="s">
        <v>21</v>
      </c>
      <c r="B7" s="5" t="s">
        <v>62</v>
      </c>
      <c r="C7" s="5" t="s">
        <v>63</v>
      </c>
      <c r="D7" s="6">
        <v>32.6</v>
      </c>
    </row>
    <row r="8" spans="1:4">
      <c r="A8" s="5" t="s">
        <v>20</v>
      </c>
      <c r="B8" s="5" t="s">
        <v>64</v>
      </c>
      <c r="C8" s="5" t="s">
        <v>65</v>
      </c>
      <c r="D8" s="6">
        <v>15</v>
      </c>
    </row>
    <row r="9" spans="1:4">
      <c r="A9" s="5" t="s">
        <v>26</v>
      </c>
      <c r="B9" s="5" t="s">
        <v>66</v>
      </c>
      <c r="C9" s="5" t="s">
        <v>67</v>
      </c>
      <c r="D9" s="6">
        <v>24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zoomScale="115" zoomScaleNormal="115" workbookViewId="0">
      <selection activeCell="A5" sqref="A5"/>
    </sheetView>
  </sheetViews>
  <sheetFormatPr defaultColWidth="9" defaultRowHeight="13.5" outlineLevelCol="4"/>
  <cols>
    <col min="1" max="1" width="31.875" customWidth="1"/>
    <col min="5" max="5" width="27.5" customWidth="1"/>
  </cols>
  <sheetData>
    <row r="1" spans="1:5">
      <c r="A1" s="3" t="s">
        <v>68</v>
      </c>
      <c r="B1" s="3"/>
      <c r="C1" s="3"/>
      <c r="D1" s="3"/>
      <c r="E1" s="3"/>
    </row>
    <row r="2" spans="1:5">
      <c r="A2" s="4" t="s">
        <v>69</v>
      </c>
      <c r="B2" s="4"/>
      <c r="C2" s="4"/>
      <c r="D2" s="4"/>
      <c r="E2" s="4"/>
    </row>
    <row r="3" spans="1:5">
      <c r="A3" s="4" t="s">
        <v>4</v>
      </c>
      <c r="B3" s="3" t="s">
        <v>70</v>
      </c>
      <c r="C3" s="3" t="s">
        <v>71</v>
      </c>
      <c r="D3" s="3" t="s">
        <v>72</v>
      </c>
      <c r="E3" s="3" t="s">
        <v>73</v>
      </c>
    </row>
    <row r="4" spans="1:5">
      <c r="A4" s="4" t="s">
        <v>52</v>
      </c>
      <c r="B4" s="3">
        <f>SUMIFS(表1[销量（本）],表1[日期],"&gt;=2021/6/1",表1[日期],"&lt;=2021/6/30",表1[图书名称],A4)</f>
        <v>39</v>
      </c>
      <c r="C4" s="3">
        <f>SUMIFS(表1[销量（本）],表1[日期],"&gt;=2021/7/1",表1[日期],"&lt;=2021/7/31",表1[图书名称],A4)</f>
        <v>0</v>
      </c>
      <c r="D4" s="3">
        <f>SUMIFS(表1[销量（本）],表1[日期],"&gt;=2021/8/1",表1[日期],"&lt;=2021/8/31",表1[图书名称],A4)</f>
        <v>72</v>
      </c>
      <c r="E4" s="3"/>
    </row>
    <row r="5" spans="1:5">
      <c r="A5" s="4" t="s">
        <v>54</v>
      </c>
      <c r="B5" s="3">
        <f>SUMIFS(表1[销量（本）],表1[日期],"&gt;=2021/6/1",表1[日期],"&lt;=2021/6/30",表1[图书名称],A5)</f>
        <v>139</v>
      </c>
      <c r="C5" s="3">
        <f>SUMIFS(表1[销量（本）],表1[日期],"&gt;=2021/7/1",表1[日期],"&lt;=2021/7/31",表1[图书名称],A5)</f>
        <v>34</v>
      </c>
      <c r="D5" s="3">
        <f>SUMIFS(表1[销量（本）],表1[日期],"&gt;=2021/8/1",表1[日期],"&lt;=2021/8/31",表1[图书名称],A5)</f>
        <v>59</v>
      </c>
      <c r="E5" s="3"/>
    </row>
    <row r="6" spans="1:5">
      <c r="A6" s="4" t="s">
        <v>56</v>
      </c>
      <c r="B6" s="3">
        <f>SUMIFS(表1[销量（本）],表1[日期],"&gt;=2021/6/1",表1[日期],"&lt;=2021/6/30",表1[图书名称],A6)</f>
        <v>47</v>
      </c>
      <c r="C6" s="3">
        <f>SUMIFS(表1[销量（本）],表1[日期],"&gt;=2021/7/1",表1[日期],"&lt;=2021/7/31",表1[图书名称],A6)</f>
        <v>19</v>
      </c>
      <c r="D6" s="3">
        <f>SUMIFS(表1[销量（本）],表1[日期],"&gt;=2021/8/1",表1[日期],"&lt;=2021/8/31",表1[图书名称],A6)</f>
        <v>67</v>
      </c>
      <c r="E6" s="3"/>
    </row>
    <row r="7" spans="1:5">
      <c r="A7" s="4" t="s">
        <v>58</v>
      </c>
      <c r="B7" s="3">
        <f>SUMIFS(表1[销量（本）],表1[日期],"&gt;=2021/6/1",表1[日期],"&lt;=2021/6/30",表1[图书名称],A7)</f>
        <v>63</v>
      </c>
      <c r="C7" s="3">
        <f>SUMIFS(表1[销量（本）],表1[日期],"&gt;=2021/7/1",表1[日期],"&lt;=2021/7/31",表1[图书名称],A7)</f>
        <v>0</v>
      </c>
      <c r="D7" s="3">
        <f>SUMIFS(表1[销量（本）],表1[日期],"&gt;=2021/8/1",表1[日期],"&lt;=2021/8/31",表1[图书名称],A7)</f>
        <v>116</v>
      </c>
      <c r="E7" s="3"/>
    </row>
    <row r="8" spans="1:5">
      <c r="A8" s="4" t="s">
        <v>60</v>
      </c>
      <c r="B8" s="3">
        <f>SUMIFS(表1[销量（本）],表1[日期],"&gt;=2021/6/1",表1[日期],"&lt;=2021/6/30",表1[图书名称],A8)</f>
        <v>67</v>
      </c>
      <c r="C8" s="3">
        <f>SUMIFS(表1[销量（本）],表1[日期],"&gt;=2021/7/1",表1[日期],"&lt;=2021/7/31",表1[图书名称],A8)</f>
        <v>0</v>
      </c>
      <c r="D8" s="3">
        <f>SUMIFS(表1[销量（本）],表1[日期],"&gt;=2021/8/1",表1[日期],"&lt;=2021/8/31",表1[图书名称],A8)</f>
        <v>66</v>
      </c>
      <c r="E8" s="3"/>
    </row>
    <row r="9" spans="1:5">
      <c r="A9" s="4" t="s">
        <v>62</v>
      </c>
      <c r="B9" s="3">
        <f>SUMIFS(表1[销量（本）],表1[日期],"&gt;=2021/6/1",表1[日期],"&lt;=2021/6/30",表1[图书名称],A9)</f>
        <v>114</v>
      </c>
      <c r="C9" s="3">
        <f>SUMIFS(表1[销量（本）],表1[日期],"&gt;=2021/7/1",表1[日期],"&lt;=2021/7/31",表1[图书名称],A9)</f>
        <v>34</v>
      </c>
      <c r="D9" s="3">
        <f>SUMIFS(表1[销量（本）],表1[日期],"&gt;=2021/8/1",表1[日期],"&lt;=2021/8/31",表1[图书名称],A9)</f>
        <v>0</v>
      </c>
      <c r="E9" s="3"/>
    </row>
    <row r="10" spans="1:5">
      <c r="A10" s="4" t="s">
        <v>64</v>
      </c>
      <c r="B10" s="3">
        <f>SUMIFS(表1[销量（本）],表1[日期],"&gt;=2021/6/1",表1[日期],"&lt;=2021/6/30",表1[图书名称],A10)</f>
        <v>63</v>
      </c>
      <c r="C10" s="3">
        <f>SUMIFS(表1[销量（本）],表1[日期],"&gt;=2021/7/1",表1[日期],"&lt;=2021/7/31",表1[图书名称],A10)</f>
        <v>28</v>
      </c>
      <c r="D10" s="3">
        <f>SUMIFS(表1[销量（本）],表1[日期],"&gt;=2021/8/1",表1[日期],"&lt;=2021/8/31",表1[图书名称],A10)</f>
        <v>21</v>
      </c>
      <c r="E10" s="3"/>
    </row>
    <row r="11" spans="1:5">
      <c r="A11" s="4" t="s">
        <v>66</v>
      </c>
      <c r="B11" s="3">
        <f>SUMIFS(表1[销量（本）],表1[日期],"&gt;=2021/6/1",表1[日期],"&lt;=2021/6/30",表1[图书名称],A11)</f>
        <v>19</v>
      </c>
      <c r="C11" s="3">
        <f>SUMIFS(表1[销量（本）],表1[日期],"&gt;=2021/7/1",表1[日期],"&lt;=2021/7/31",表1[图书名称],A11)</f>
        <v>58</v>
      </c>
      <c r="D11" s="3">
        <f>SUMIFS(表1[销量（本）],表1[日期],"&gt;=2021/8/1",表1[日期],"&lt;=2021/8/31",表1[图书名称],A11)</f>
        <v>7</v>
      </c>
      <c r="E11" s="3"/>
    </row>
  </sheetData>
  <mergeCells count="2">
    <mergeCell ref="A1:E1"/>
    <mergeCell ref="A2:E2"/>
  </mergeCells>
  <pageMargins left="0.7" right="0.7" top="0.75" bottom="0.75" header="0.3" footer="0.3"/>
  <pageSetup paperSize="9" orientation="portrait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 high="1" low="1">
          <x14:colorSeries theme="4" tint="-0.499984740745262"/>
          <x14:colorNegative theme="5"/>
          <x14:colorAxis rgb="FF000000"/>
          <x14:colorMarkers theme="4" tint="-0.499984740745262"/>
          <x14:colorFirst theme="4" tint="0.399975585192419"/>
          <x14:colorLast theme="4" tint="0.399975585192419"/>
          <x14:colorHigh theme="4"/>
          <x14:colorLow theme="4"/>
          <x14:sparklines>
            <x14:sparkline>
              <xm:f>'2021年图书销售分析'!B4:D4</xm:f>
              <xm:sqref>E4</xm:sqref>
            </x14:sparkline>
            <x14:sparkline>
              <xm:f>'2021年图书销售分析'!B5:D5</xm:f>
              <xm:sqref>E5</xm:sqref>
            </x14:sparkline>
            <x14:sparkline>
              <xm:f>'2021年图书销售分析'!B6:D6</xm:f>
              <xm:sqref>E6</xm:sqref>
            </x14:sparkline>
            <x14:sparkline>
              <xm:f>'2021年图书销售分析'!B7:D7</xm:f>
              <xm:sqref>E7</xm:sqref>
            </x14:sparkline>
            <x14:sparkline>
              <xm:f>'2021年图书销售分析'!B8:D8</xm:f>
              <xm:sqref>E8</xm:sqref>
            </x14:sparkline>
            <x14:sparkline>
              <xm:f>'2021年图书销售分析'!B9:D9</xm:f>
              <xm:sqref>E9</xm:sqref>
            </x14:sparkline>
            <x14:sparkline>
              <xm:f>'2021年图书销售分析'!B10:D10</xm:f>
              <xm:sqref>E10</xm:sqref>
            </x14:sparkline>
            <x14:sparkline>
              <xm:f>'2021年图书销售分析'!B11:D11</xm:f>
              <xm:sqref>E11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B22" sqref="B22"/>
    </sheetView>
  </sheetViews>
  <sheetFormatPr defaultColWidth="9" defaultRowHeight="13.5" outlineLevelRow="5"/>
  <cols>
    <col min="1" max="1" width="19.75" customWidth="1"/>
    <col min="2" max="2" width="14.125" customWidth="1"/>
    <col min="3" max="4" width="16.375" customWidth="1"/>
    <col min="5" max="5" width="34.375" customWidth="1"/>
    <col min="6" max="6" width="18.625" customWidth="1"/>
    <col min="7" max="7" width="23" customWidth="1"/>
    <col min="8" max="8" width="14.125" customWidth="1"/>
    <col min="9" max="9" width="11.875" customWidth="1"/>
    <col min="10" max="10" width="6.25" customWidth="1"/>
  </cols>
  <sheetData>
    <row r="1" spans="1:2">
      <c r="A1" t="s">
        <v>74</v>
      </c>
      <c r="B1" t="s">
        <v>75</v>
      </c>
    </row>
    <row r="2" spans="1:10">
      <c r="A2" t="s">
        <v>76</v>
      </c>
      <c r="B2" t="s">
        <v>60</v>
      </c>
      <c r="C2" t="s">
        <v>66</v>
      </c>
      <c r="D2" t="s">
        <v>52</v>
      </c>
      <c r="E2" t="s">
        <v>54</v>
      </c>
      <c r="F2" t="s">
        <v>56</v>
      </c>
      <c r="G2" t="s">
        <v>58</v>
      </c>
      <c r="H2" t="s">
        <v>64</v>
      </c>
      <c r="I2" t="s">
        <v>62</v>
      </c>
      <c r="J2" t="s">
        <v>77</v>
      </c>
    </row>
    <row r="3" spans="1:10">
      <c r="A3" s="1" t="s">
        <v>13</v>
      </c>
      <c r="B3" s="2">
        <v>125</v>
      </c>
      <c r="C3" s="2">
        <v>70</v>
      </c>
      <c r="D3" s="2">
        <v>40</v>
      </c>
      <c r="E3" s="2">
        <v>217</v>
      </c>
      <c r="F3" s="2">
        <v>163</v>
      </c>
      <c r="G3" s="2">
        <v>46</v>
      </c>
      <c r="H3" s="2">
        <v>72</v>
      </c>
      <c r="I3" s="2"/>
      <c r="J3" s="2">
        <v>733</v>
      </c>
    </row>
    <row r="4" spans="1:10">
      <c r="A4" s="1" t="s">
        <v>10</v>
      </c>
      <c r="B4" s="2">
        <v>3</v>
      </c>
      <c r="C4" s="2">
        <v>44</v>
      </c>
      <c r="D4" s="2">
        <v>81</v>
      </c>
      <c r="E4" s="2">
        <v>22</v>
      </c>
      <c r="F4" s="2">
        <v>19</v>
      </c>
      <c r="G4" s="2">
        <v>40</v>
      </c>
      <c r="H4" s="2">
        <v>41</v>
      </c>
      <c r="I4" s="2">
        <v>114</v>
      </c>
      <c r="J4" s="2">
        <v>364</v>
      </c>
    </row>
    <row r="5" spans="1:10">
      <c r="A5" s="1" t="s">
        <v>17</v>
      </c>
      <c r="B5" s="2">
        <v>5</v>
      </c>
      <c r="C5" s="2"/>
      <c r="D5" s="2">
        <v>33</v>
      </c>
      <c r="E5" s="2">
        <v>41</v>
      </c>
      <c r="F5" s="2">
        <v>4</v>
      </c>
      <c r="G5" s="2">
        <v>93</v>
      </c>
      <c r="H5" s="2">
        <v>21</v>
      </c>
      <c r="I5" s="2">
        <v>69</v>
      </c>
      <c r="J5" s="2">
        <v>266</v>
      </c>
    </row>
    <row r="6" spans="1:10">
      <c r="A6" s="1" t="s">
        <v>77</v>
      </c>
      <c r="B6" s="2">
        <v>133</v>
      </c>
      <c r="C6" s="2">
        <v>114</v>
      </c>
      <c r="D6" s="2">
        <v>154</v>
      </c>
      <c r="E6" s="2">
        <v>280</v>
      </c>
      <c r="F6" s="2">
        <v>186</v>
      </c>
      <c r="G6" s="2">
        <v>179</v>
      </c>
      <c r="H6" s="2">
        <v>134</v>
      </c>
      <c r="I6" s="2">
        <v>183</v>
      </c>
      <c r="J6" s="2">
        <v>1363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销售订单</vt:lpstr>
      <vt:lpstr>图书编目表</vt:lpstr>
      <vt:lpstr>2021年图书销售分析</vt:lpstr>
      <vt:lpstr>2021年书店销量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2023-12-11T01:20:33Z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875E40B330FC4D11A155EAF096288804_13</vt:lpwstr>
  </property>
  <property fmtid="{D5CDD505-2E9C-101B-9397-08002B2CF9AE}" pid="3" name="KSOProductBuildVer">
    <vt:lpwstr>2052-12.1.0.15712</vt:lpwstr>
  </property>
</Properties>
</file>
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90" windowHeight="9705" firstSheet="1" activeTab="5"/>
  </bookViews>
  <sheets>
    <sheet name="数据库技术成绩单" sheetId="1" r:id="rId1"/>
    <sheet name="Sheet2" sheetId="2" r:id="rId2"/>
    <sheet name="筛选" sheetId="4" r:id="rId3"/>
    <sheet name="分类汇总" sheetId="5" r:id="rId4"/>
    <sheet name="成绩等级" sheetId="3" r:id="rId5"/>
    <sheet name="图表" sheetId="6" r:id="rId6"/>
  </sheets>
  <definedNames>
    <definedName name="_xlnm._FilterDatabase" localSheetId="0" hidden="1">数据库技术成绩单!$A$2:$A$21</definedName>
    <definedName name="_xlnm.Criteria" localSheetId="2">筛选!$A$1:$B$3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<sst xmlns="http://schemas.openxmlformats.org/spreadsheetml/2006/main" count="271" uniqueCount="67">
  <si>
    <t>某班数据库技术成绩单</t>
  </si>
  <si>
    <t>系别</t>
  </si>
  <si>
    <t>学号</t>
  </si>
  <si>
    <t>姓名</t>
  </si>
  <si>
    <t>考试成绩</t>
  </si>
  <si>
    <t>实验成绩</t>
  </si>
  <si>
    <t>总成绩</t>
  </si>
  <si>
    <t>排名</t>
  </si>
  <si>
    <t>信息</t>
  </si>
  <si>
    <t>991021</t>
  </si>
  <si>
    <t>李新</t>
  </si>
  <si>
    <t>计算机</t>
  </si>
  <si>
    <t>992032</t>
  </si>
  <si>
    <t>王文辉</t>
  </si>
  <si>
    <t>自动控制</t>
  </si>
  <si>
    <t>993023</t>
  </si>
  <si>
    <t>张磊</t>
  </si>
  <si>
    <t>经济</t>
  </si>
  <si>
    <t>995034</t>
  </si>
  <si>
    <t>郝心怡</t>
  </si>
  <si>
    <t>991076</t>
  </si>
  <si>
    <t>王力</t>
  </si>
  <si>
    <t>数学</t>
  </si>
  <si>
    <t>994056</t>
  </si>
  <si>
    <t>孙英</t>
  </si>
  <si>
    <t>993021</t>
  </si>
  <si>
    <t>张在旭</t>
  </si>
  <si>
    <t>992089</t>
  </si>
  <si>
    <t>金翔</t>
  </si>
  <si>
    <t>992005</t>
  </si>
  <si>
    <t>扬海东</t>
  </si>
  <si>
    <t>993082</t>
  </si>
  <si>
    <t>黄立</t>
  </si>
  <si>
    <t>991062</t>
  </si>
  <si>
    <t>王春晓</t>
  </si>
  <si>
    <t>995022</t>
  </si>
  <si>
    <t>陈松</t>
  </si>
  <si>
    <t>994034</t>
  </si>
  <si>
    <t>姚林</t>
  </si>
  <si>
    <t>991025</t>
  </si>
  <si>
    <t>张雨涵</t>
  </si>
  <si>
    <t>993026</t>
  </si>
  <si>
    <t>钱民</t>
  </si>
  <si>
    <t>994086</t>
  </si>
  <si>
    <t>高晓东</t>
  </si>
  <si>
    <t>995014</t>
  </si>
  <si>
    <t>张平</t>
  </si>
  <si>
    <t>993053</t>
  </si>
  <si>
    <t>李英</t>
  </si>
  <si>
    <t>994027</t>
  </si>
  <si>
    <t>黄红</t>
  </si>
  <si>
    <t>等级</t>
  </si>
  <si>
    <t>&gt;85</t>
  </si>
  <si>
    <t>B</t>
  </si>
  <si>
    <t>C</t>
  </si>
  <si>
    <t>A</t>
  </si>
  <si>
    <t>D</t>
  </si>
  <si>
    <t>自动控制 平均值</t>
  </si>
  <si>
    <t>信息 平均值</t>
  </si>
  <si>
    <t>数学 平均值</t>
  </si>
  <si>
    <t>经济 平均值</t>
  </si>
  <si>
    <t>计算机 平均值</t>
  </si>
  <si>
    <t>总平均值</t>
  </si>
  <si>
    <t>&gt;=90</t>
  </si>
  <si>
    <t>&gt;=80</t>
  </si>
  <si>
    <t>&gt;=70</t>
  </si>
  <si>
    <t>69-0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</si>
</sst>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2"/>
      <name val="宋体"/>
      <charset val="134"/>
    </font>
    <font>
      <b/>
      <sz val="12"/>
      <name val="宋体"/>
      <charset val="134"/>
    </font>
    <font>
      <sz val="12"/>
      <name val="Times New Roman"/>
      <charset val="134"/>
    </font>
    <font>
      <b/>
      <i/>
      <sz val="15"/>
      <color theme="8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0" fillId="0" borderId="0" xfId="0" quotePrefix="1"/>
    <xf numFmtId="0" fontId="2" fillId="0" borderId="0" xfId="0" applyFont="1" quotePrefix="1"/>
    <xf numFmtId="0" fontId="0" fillId="0" borderId="1" xfId="0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学生考试成绩图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考试成绩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Sheet2!$A$3:$A$10</c:f>
              <c:strCache>
                <c:ptCount val="8"/>
                <c:pt idx="0">
                  <c:v>信息</c:v>
                </c:pt>
                <c:pt idx="1">
                  <c:v>计算机</c:v>
                </c:pt>
                <c:pt idx="2">
                  <c:v>自动控制</c:v>
                </c:pt>
                <c:pt idx="3">
                  <c:v>经济</c:v>
                </c:pt>
                <c:pt idx="4">
                  <c:v>信息</c:v>
                </c:pt>
                <c:pt idx="5">
                  <c:v>数学</c:v>
                </c:pt>
                <c:pt idx="6">
                  <c:v>自动控制</c:v>
                </c:pt>
                <c:pt idx="7">
                  <c:v>计算机</c:v>
                </c:pt>
              </c:strCache>
            </c:strRef>
          </c:cat>
          <c:val>
            <c:numRef>
              <c:f>Sheet2!$D$3:$D$10</c:f>
              <c:numCache>
                <c:formatCode>General</c:formatCode>
                <c:ptCount val="8"/>
                <c:pt idx="0">
                  <c:v>77</c:v>
                </c:pt>
                <c:pt idx="1">
                  <c:v>87</c:v>
                </c:pt>
                <c:pt idx="2">
                  <c:v>75</c:v>
                </c:pt>
                <c:pt idx="3">
                  <c:v>86</c:v>
                </c:pt>
                <c:pt idx="4">
                  <c:v>91</c:v>
                </c:pt>
                <c:pt idx="5">
                  <c:v>77</c:v>
                </c:pt>
                <c:pt idx="6">
                  <c:v>60</c:v>
                </c:pt>
                <c:pt idx="7">
                  <c:v>73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235360793"/>
        <c:axId val="368569604"/>
      </c:barChart>
      <c:catAx>
        <c:axId val="23536079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569604"/>
        <c:crosses val="autoZero"/>
        <c:auto val="1"/>
        <c:lblAlgn val="ctr"/>
        <c:lblOffset val="100"/>
        <c:noMultiLvlLbl val="0"/>
      </c:catAx>
      <c:valAx>
        <c:axId val="3685696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3607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393700</xdr:colOff>
      <xdr:row>8</xdr:row>
      <xdr:rowOff>25400</xdr:rowOff>
    </xdr:from>
    <xdr:to>
      <xdr:col>9</xdr:col>
      <xdr:colOff>419100</xdr:colOff>
      <xdr:row>23</xdr:row>
      <xdr:rowOff>53975</xdr:rowOff>
    </xdr:to>
    <xdr:graphicFrame>
      <xdr:nvGraphicFramePr>
        <xdr:cNvPr id="2" name="图表 1"/>
        <xdr:cNvGraphicFramePr/>
      </xdr:nvGraphicFramePr>
      <xdr:xfrm>
        <a:off x="1765300" y="1473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9" defaultRowHeight="14.25" outlineLevelCol="6"/>
  <cols>
    <col min="4" max="4" width="11" customWidth="1"/>
    <col min="5" max="5" width="10.375" customWidth="1"/>
    <col min="6" max="6" width="10.25" customWidth="1"/>
  </cols>
  <sheetData>
    <row r="1" ht="19.5" spans="1:7">
      <c r="A1" s="5" t="s">
        <v>0</v>
      </c>
      <c r="B1" s="6"/>
      <c r="C1" s="6"/>
      <c r="D1" s="6"/>
      <c r="E1" s="6"/>
      <c r="F1" s="6"/>
      <c r="G1" s="6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5">
      <c r="A3" t="s">
        <v>8</v>
      </c>
      <c r="B3" s="8" t="s">
        <v>9</v>
      </c>
      <c r="C3" t="s">
        <v>10</v>
      </c>
      <c r="D3">
        <v>77</v>
      </c>
      <c r="E3">
        <v>16</v>
      </c>
    </row>
    <row r="4" spans="1:5">
      <c r="A4" t="s">
        <v>11</v>
      </c>
      <c r="B4" s="8" t="s">
        <v>12</v>
      </c>
      <c r="C4" t="s">
        <v>13</v>
      </c>
      <c r="D4">
        <v>87</v>
      </c>
      <c r="E4">
        <v>17</v>
      </c>
    </row>
    <row r="5" ht="15.75" spans="1:5">
      <c r="A5" t="s">
        <v>14</v>
      </c>
      <c r="B5" s="8" t="s">
        <v>15</v>
      </c>
      <c r="C5" t="s">
        <v>16</v>
      </c>
      <c r="D5" s="7">
        <v>75</v>
      </c>
      <c r="E5">
        <v>19</v>
      </c>
    </row>
    <row r="6" spans="1:5">
      <c r="A6" t="s">
        <v>17</v>
      </c>
      <c r="B6" s="8" t="s">
        <v>18</v>
      </c>
      <c r="C6" t="s">
        <v>19</v>
      </c>
      <c r="D6">
        <v>86</v>
      </c>
      <c r="E6">
        <v>17</v>
      </c>
    </row>
    <row r="7" ht="15.75" spans="1:5">
      <c r="A7" t="s">
        <v>8</v>
      </c>
      <c r="B7" s="9" t="s">
        <v>20</v>
      </c>
      <c r="C7" t="s">
        <v>21</v>
      </c>
      <c r="D7">
        <v>91</v>
      </c>
      <c r="E7">
        <v>15</v>
      </c>
    </row>
    <row r="8" ht="15.75" spans="1:5">
      <c r="A8" t="s">
        <v>22</v>
      </c>
      <c r="B8" s="9" t="s">
        <v>23</v>
      </c>
      <c r="C8" t="s">
        <v>24</v>
      </c>
      <c r="D8">
        <v>77</v>
      </c>
      <c r="E8">
        <v>14</v>
      </c>
    </row>
    <row r="9" ht="15.75" spans="1:5">
      <c r="A9" t="s">
        <v>14</v>
      </c>
      <c r="B9" s="9" t="s">
        <v>25</v>
      </c>
      <c r="C9" t="s">
        <v>26</v>
      </c>
      <c r="D9">
        <v>60</v>
      </c>
      <c r="E9">
        <v>14</v>
      </c>
    </row>
    <row r="10" ht="15.75" spans="1:5">
      <c r="A10" t="s">
        <v>11</v>
      </c>
      <c r="B10" s="9" t="s">
        <v>27</v>
      </c>
      <c r="C10" t="s">
        <v>28</v>
      </c>
      <c r="D10">
        <v>73</v>
      </c>
      <c r="E10">
        <v>18</v>
      </c>
    </row>
    <row r="11" ht="15.75" spans="1:5">
      <c r="A11" t="s">
        <v>11</v>
      </c>
      <c r="B11" s="9" t="s">
        <v>29</v>
      </c>
      <c r="C11" t="s">
        <v>30</v>
      </c>
      <c r="D11">
        <v>90</v>
      </c>
      <c r="E11">
        <v>19</v>
      </c>
    </row>
    <row r="12" ht="15.75" spans="1:5">
      <c r="A12" t="s">
        <v>14</v>
      </c>
      <c r="B12" s="9" t="s">
        <v>31</v>
      </c>
      <c r="C12" t="s">
        <v>32</v>
      </c>
      <c r="D12">
        <v>85</v>
      </c>
      <c r="E12">
        <v>20</v>
      </c>
    </row>
    <row r="13" ht="15.75" spans="1:5">
      <c r="A13" t="s">
        <v>8</v>
      </c>
      <c r="B13" s="9" t="s">
        <v>33</v>
      </c>
      <c r="C13" t="s">
        <v>34</v>
      </c>
      <c r="D13">
        <v>78</v>
      </c>
      <c r="E13">
        <v>17</v>
      </c>
    </row>
    <row r="14" spans="1:5">
      <c r="A14" t="s">
        <v>17</v>
      </c>
      <c r="B14" s="8" t="s">
        <v>35</v>
      </c>
      <c r="C14" t="s">
        <v>36</v>
      </c>
      <c r="D14">
        <v>69</v>
      </c>
      <c r="E14">
        <v>12</v>
      </c>
    </row>
    <row r="15" ht="15.75" spans="1:5">
      <c r="A15" t="s">
        <v>22</v>
      </c>
      <c r="B15" s="9" t="s">
        <v>37</v>
      </c>
      <c r="C15" t="s">
        <v>38</v>
      </c>
      <c r="D15">
        <v>89</v>
      </c>
      <c r="E15">
        <v>15</v>
      </c>
    </row>
    <row r="16" ht="15.75" spans="1:5">
      <c r="A16" t="s">
        <v>8</v>
      </c>
      <c r="B16" s="9" t="s">
        <v>39</v>
      </c>
      <c r="C16" t="s">
        <v>40</v>
      </c>
      <c r="D16">
        <v>62</v>
      </c>
      <c r="E16">
        <v>17</v>
      </c>
    </row>
    <row r="17" ht="15.75" spans="1:5">
      <c r="A17" t="s">
        <v>14</v>
      </c>
      <c r="B17" s="9" t="s">
        <v>41</v>
      </c>
      <c r="C17" t="s">
        <v>42</v>
      </c>
      <c r="D17">
        <v>66</v>
      </c>
      <c r="E17">
        <v>16</v>
      </c>
    </row>
    <row r="18" ht="15.75" spans="1:5">
      <c r="A18" t="s">
        <v>22</v>
      </c>
      <c r="B18" s="9" t="s">
        <v>43</v>
      </c>
      <c r="C18" t="s">
        <v>44</v>
      </c>
      <c r="D18">
        <v>78</v>
      </c>
      <c r="E18">
        <v>15</v>
      </c>
    </row>
    <row r="19" ht="15.75" spans="1:5">
      <c r="A19" t="s">
        <v>17</v>
      </c>
      <c r="B19" s="9" t="s">
        <v>45</v>
      </c>
      <c r="C19" t="s">
        <v>46</v>
      </c>
      <c r="D19">
        <v>80</v>
      </c>
      <c r="E19">
        <v>18</v>
      </c>
    </row>
    <row r="20" ht="15.75" spans="1:5">
      <c r="A20" t="s">
        <v>14</v>
      </c>
      <c r="B20" s="9" t="s">
        <v>47</v>
      </c>
      <c r="C20" t="s">
        <v>48</v>
      </c>
      <c r="D20">
        <v>93</v>
      </c>
      <c r="E20">
        <v>19</v>
      </c>
    </row>
    <row r="21" ht="15.75" spans="1:5">
      <c r="A21" t="s">
        <v>22</v>
      </c>
      <c r="B21" s="9" t="s">
        <v>49</v>
      </c>
      <c r="C21" t="s">
        <v>50</v>
      </c>
      <c r="D21">
        <v>68</v>
      </c>
      <c r="E21">
        <v>20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2" sqref="A2:H21"/>
    </sheetView>
  </sheetViews>
  <sheetFormatPr defaultColWidth="9" defaultRowHeight="14.25" outlineLevelCol="7"/>
  <sheetData>
    <row r="1" ht="20.25" spans="1:7">
      <c r="A1" s="5" t="s">
        <v>0</v>
      </c>
      <c r="B1" s="6"/>
      <c r="C1" s="6"/>
      <c r="D1" s="6"/>
      <c r="E1" s="6"/>
      <c r="F1" s="6"/>
      <c r="G1" s="6"/>
    </row>
    <row r="2" ht="15.75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51</v>
      </c>
    </row>
    <row r="3" ht="15.75" spans="1:8">
      <c r="A3" s="2" t="s">
        <v>8</v>
      </c>
      <c r="B3" s="10" t="s">
        <v>9</v>
      </c>
      <c r="C3" s="2" t="s">
        <v>10</v>
      </c>
      <c r="D3" s="2">
        <v>77</v>
      </c>
      <c r="E3" s="2">
        <v>16</v>
      </c>
      <c r="F3" s="3">
        <f>D3*0.8+E3</f>
        <v>77.6</v>
      </c>
      <c r="G3" s="2">
        <f>RANK(F3,$F$3:$F$21,0)</f>
        <v>11</v>
      </c>
      <c r="H3" s="2" t="str">
        <f>IF(F3&gt;=90,"A",IF(F3&gt;=80,"B",IF(F3&gt;=70,"C","D")))</f>
        <v>C</v>
      </c>
    </row>
    <row r="4" ht="15.75" spans="1:8">
      <c r="A4" s="2" t="s">
        <v>11</v>
      </c>
      <c r="B4" s="10" t="s">
        <v>12</v>
      </c>
      <c r="C4" s="2" t="s">
        <v>13</v>
      </c>
      <c r="D4" s="2">
        <v>87</v>
      </c>
      <c r="E4" s="2">
        <v>17</v>
      </c>
      <c r="F4" s="3">
        <f t="shared" ref="F4:F21" si="0">D4*0.8+E4</f>
        <v>86.6</v>
      </c>
      <c r="G4" s="2">
        <f t="shared" ref="G4:G21" si="1">RANK(F4,$F$3:$F$21,0)</f>
        <v>5</v>
      </c>
      <c r="H4" s="2" t="str">
        <f t="shared" ref="H4:H21" si="2">IF(F4&gt;=90,"A",IF(F4&gt;=80,"B",IF(F4&gt;=70,"C","D")))</f>
        <v>B</v>
      </c>
    </row>
    <row r="5" ht="17.25" spans="1:8">
      <c r="A5" s="2" t="s">
        <v>14</v>
      </c>
      <c r="B5" s="10" t="s">
        <v>15</v>
      </c>
      <c r="C5" s="2" t="s">
        <v>16</v>
      </c>
      <c r="D5" s="4">
        <v>75</v>
      </c>
      <c r="E5" s="2">
        <v>19</v>
      </c>
      <c r="F5" s="3">
        <f t="shared" si="0"/>
        <v>79</v>
      </c>
      <c r="G5" s="2">
        <f t="shared" si="1"/>
        <v>10</v>
      </c>
      <c r="H5" s="2" t="str">
        <f t="shared" si="2"/>
        <v>C</v>
      </c>
    </row>
    <row r="6" ht="15.75" spans="1:8">
      <c r="A6" s="2" t="s">
        <v>17</v>
      </c>
      <c r="B6" s="10" t="s">
        <v>18</v>
      </c>
      <c r="C6" s="2" t="s">
        <v>19</v>
      </c>
      <c r="D6" s="2">
        <v>86</v>
      </c>
      <c r="E6" s="2">
        <v>17</v>
      </c>
      <c r="F6" s="3">
        <f t="shared" si="0"/>
        <v>85.8</v>
      </c>
      <c r="G6" s="2">
        <f t="shared" si="1"/>
        <v>7</v>
      </c>
      <c r="H6" s="2" t="str">
        <f t="shared" si="2"/>
        <v>B</v>
      </c>
    </row>
    <row r="7" ht="17.25" spans="1:8">
      <c r="A7" s="2" t="s">
        <v>8</v>
      </c>
      <c r="B7" s="11" t="s">
        <v>20</v>
      </c>
      <c r="C7" s="2" t="s">
        <v>21</v>
      </c>
      <c r="D7" s="2">
        <v>91</v>
      </c>
      <c r="E7" s="2">
        <v>15</v>
      </c>
      <c r="F7" s="3">
        <f t="shared" si="0"/>
        <v>87.8</v>
      </c>
      <c r="G7" s="2">
        <f t="shared" si="1"/>
        <v>4</v>
      </c>
      <c r="H7" s="2" t="str">
        <f t="shared" si="2"/>
        <v>B</v>
      </c>
    </row>
    <row r="8" ht="17.25" spans="1:8">
      <c r="A8" s="2" t="s">
        <v>22</v>
      </c>
      <c r="B8" s="11" t="s">
        <v>23</v>
      </c>
      <c r="C8" s="2" t="s">
        <v>24</v>
      </c>
      <c r="D8" s="2">
        <v>77</v>
      </c>
      <c r="E8" s="2">
        <v>14</v>
      </c>
      <c r="F8" s="3">
        <f t="shared" si="0"/>
        <v>75.6</v>
      </c>
      <c r="G8" s="2">
        <f t="shared" si="1"/>
        <v>14</v>
      </c>
      <c r="H8" s="2" t="str">
        <f t="shared" si="2"/>
        <v>C</v>
      </c>
    </row>
    <row r="9" ht="17.25" spans="1:8">
      <c r="A9" s="2" t="s">
        <v>14</v>
      </c>
      <c r="B9" s="11" t="s">
        <v>25</v>
      </c>
      <c r="C9" s="2" t="s">
        <v>26</v>
      </c>
      <c r="D9" s="2">
        <v>60</v>
      </c>
      <c r="E9" s="2">
        <v>14</v>
      </c>
      <c r="F9" s="3">
        <f t="shared" si="0"/>
        <v>62</v>
      </c>
      <c r="G9" s="2">
        <f t="shared" si="1"/>
        <v>19</v>
      </c>
      <c r="H9" s="2" t="str">
        <f t="shared" si="2"/>
        <v>D</v>
      </c>
    </row>
    <row r="10" ht="17.25" spans="1:8">
      <c r="A10" s="2" t="s">
        <v>11</v>
      </c>
      <c r="B10" s="11" t="s">
        <v>27</v>
      </c>
      <c r="C10" s="2" t="s">
        <v>28</v>
      </c>
      <c r="D10" s="2">
        <v>73</v>
      </c>
      <c r="E10" s="2">
        <v>18</v>
      </c>
      <c r="F10" s="3">
        <f t="shared" si="0"/>
        <v>76.4</v>
      </c>
      <c r="G10" s="2">
        <f t="shared" si="1"/>
        <v>13</v>
      </c>
      <c r="H10" s="2" t="str">
        <f t="shared" si="2"/>
        <v>C</v>
      </c>
    </row>
    <row r="11" ht="17.25" spans="1:8">
      <c r="A11" s="2" t="s">
        <v>11</v>
      </c>
      <c r="B11" s="11" t="s">
        <v>29</v>
      </c>
      <c r="C11" s="2" t="s">
        <v>30</v>
      </c>
      <c r="D11" s="2">
        <v>90</v>
      </c>
      <c r="E11" s="2">
        <v>19</v>
      </c>
      <c r="F11" s="3">
        <f t="shared" si="0"/>
        <v>91</v>
      </c>
      <c r="G11" s="2">
        <f t="shared" si="1"/>
        <v>2</v>
      </c>
      <c r="H11" s="2" t="str">
        <f t="shared" si="2"/>
        <v>A</v>
      </c>
    </row>
    <row r="12" ht="17.25" spans="1:8">
      <c r="A12" s="2" t="s">
        <v>14</v>
      </c>
      <c r="B12" s="11" t="s">
        <v>31</v>
      </c>
      <c r="C12" s="2" t="s">
        <v>32</v>
      </c>
      <c r="D12" s="2">
        <v>85</v>
      </c>
      <c r="E12" s="2">
        <v>20</v>
      </c>
      <c r="F12" s="3">
        <f t="shared" si="0"/>
        <v>88</v>
      </c>
      <c r="G12" s="2">
        <f t="shared" si="1"/>
        <v>3</v>
      </c>
      <c r="H12" s="2" t="str">
        <f t="shared" si="2"/>
        <v>B</v>
      </c>
    </row>
    <row r="13" ht="17.25" spans="1:8">
      <c r="A13" s="2" t="s">
        <v>8</v>
      </c>
      <c r="B13" s="11" t="s">
        <v>33</v>
      </c>
      <c r="C13" s="2" t="s">
        <v>34</v>
      </c>
      <c r="D13" s="2">
        <v>78</v>
      </c>
      <c r="E13" s="2">
        <v>17</v>
      </c>
      <c r="F13" s="3">
        <f t="shared" si="0"/>
        <v>79.4</v>
      </c>
      <c r="G13" s="2">
        <f t="shared" si="1"/>
        <v>9</v>
      </c>
      <c r="H13" s="2" t="str">
        <f t="shared" si="2"/>
        <v>C</v>
      </c>
    </row>
    <row r="14" ht="15.75" spans="1:8">
      <c r="A14" s="2" t="s">
        <v>17</v>
      </c>
      <c r="B14" s="10" t="s">
        <v>35</v>
      </c>
      <c r="C14" s="2" t="s">
        <v>36</v>
      </c>
      <c r="D14" s="2">
        <v>69</v>
      </c>
      <c r="E14" s="2">
        <v>12</v>
      </c>
      <c r="F14" s="3">
        <f t="shared" si="0"/>
        <v>67.2</v>
      </c>
      <c r="G14" s="2">
        <f t="shared" si="1"/>
        <v>17</v>
      </c>
      <c r="H14" s="2" t="str">
        <f t="shared" si="2"/>
        <v>D</v>
      </c>
    </row>
    <row r="15" ht="17.25" spans="1:8">
      <c r="A15" s="2" t="s">
        <v>22</v>
      </c>
      <c r="B15" s="11" t="s">
        <v>37</v>
      </c>
      <c r="C15" s="2" t="s">
        <v>38</v>
      </c>
      <c r="D15" s="2">
        <v>89</v>
      </c>
      <c r="E15" s="2">
        <v>15</v>
      </c>
      <c r="F15" s="3">
        <f t="shared" si="0"/>
        <v>86.2</v>
      </c>
      <c r="G15" s="2">
        <f t="shared" si="1"/>
        <v>6</v>
      </c>
      <c r="H15" s="2" t="str">
        <f t="shared" si="2"/>
        <v>B</v>
      </c>
    </row>
    <row r="16" ht="17.25" spans="1:8">
      <c r="A16" s="2" t="s">
        <v>8</v>
      </c>
      <c r="B16" s="11" t="s">
        <v>39</v>
      </c>
      <c r="C16" s="2" t="s">
        <v>40</v>
      </c>
      <c r="D16" s="2">
        <v>62</v>
      </c>
      <c r="E16" s="2">
        <v>17</v>
      </c>
      <c r="F16" s="3">
        <f t="shared" si="0"/>
        <v>66.6</v>
      </c>
      <c r="G16" s="2">
        <f t="shared" si="1"/>
        <v>18</v>
      </c>
      <c r="H16" s="2" t="str">
        <f t="shared" si="2"/>
        <v>D</v>
      </c>
    </row>
    <row r="17" ht="17.25" spans="1:8">
      <c r="A17" s="2" t="s">
        <v>14</v>
      </c>
      <c r="B17" s="11" t="s">
        <v>41</v>
      </c>
      <c r="C17" s="2" t="s">
        <v>42</v>
      </c>
      <c r="D17" s="2">
        <v>66</v>
      </c>
      <c r="E17" s="2">
        <v>16</v>
      </c>
      <c r="F17" s="3">
        <f t="shared" si="0"/>
        <v>68.8</v>
      </c>
      <c r="G17" s="2">
        <f t="shared" si="1"/>
        <v>16</v>
      </c>
      <c r="H17" s="2" t="str">
        <f t="shared" si="2"/>
        <v>D</v>
      </c>
    </row>
    <row r="18" ht="17.25" spans="1:8">
      <c r="A18" s="2" t="s">
        <v>22</v>
      </c>
      <c r="B18" s="11" t="s">
        <v>43</v>
      </c>
      <c r="C18" s="2" t="s">
        <v>44</v>
      </c>
      <c r="D18" s="2">
        <v>78</v>
      </c>
      <c r="E18" s="2">
        <v>15</v>
      </c>
      <c r="F18" s="3">
        <f t="shared" si="0"/>
        <v>77.4</v>
      </c>
      <c r="G18" s="2">
        <f t="shared" si="1"/>
        <v>12</v>
      </c>
      <c r="H18" s="2" t="str">
        <f t="shared" si="2"/>
        <v>C</v>
      </c>
    </row>
    <row r="19" ht="17.25" spans="1:8">
      <c r="A19" s="2" t="s">
        <v>17</v>
      </c>
      <c r="B19" s="11" t="s">
        <v>45</v>
      </c>
      <c r="C19" s="2" t="s">
        <v>46</v>
      </c>
      <c r="D19" s="2">
        <v>80</v>
      </c>
      <c r="E19" s="2">
        <v>18</v>
      </c>
      <c r="F19" s="3">
        <f t="shared" si="0"/>
        <v>82</v>
      </c>
      <c r="G19" s="2">
        <f t="shared" si="1"/>
        <v>8</v>
      </c>
      <c r="H19" s="2" t="str">
        <f t="shared" si="2"/>
        <v>B</v>
      </c>
    </row>
    <row r="20" ht="17.25" spans="1:8">
      <c r="A20" s="2" t="s">
        <v>14</v>
      </c>
      <c r="B20" s="11" t="s">
        <v>47</v>
      </c>
      <c r="C20" s="2" t="s">
        <v>48</v>
      </c>
      <c r="D20" s="2">
        <v>93</v>
      </c>
      <c r="E20" s="2">
        <v>19</v>
      </c>
      <c r="F20" s="3">
        <f t="shared" si="0"/>
        <v>93.4</v>
      </c>
      <c r="G20" s="2">
        <f t="shared" si="1"/>
        <v>1</v>
      </c>
      <c r="H20" s="2" t="str">
        <f t="shared" si="2"/>
        <v>A</v>
      </c>
    </row>
    <row r="21" ht="17.25" spans="1:8">
      <c r="A21" s="2" t="s">
        <v>22</v>
      </c>
      <c r="B21" s="11" t="s">
        <v>49</v>
      </c>
      <c r="C21" s="2" t="s">
        <v>50</v>
      </c>
      <c r="D21" s="2">
        <v>68</v>
      </c>
      <c r="E21" s="2">
        <v>20</v>
      </c>
      <c r="F21" s="3">
        <f t="shared" si="0"/>
        <v>74.4</v>
      </c>
      <c r="G21" s="2">
        <f t="shared" si="1"/>
        <v>15</v>
      </c>
      <c r="H21" s="2" t="str">
        <f t="shared" si="2"/>
        <v>C</v>
      </c>
    </row>
  </sheetData>
  <conditionalFormatting sqref="E3:E21">
    <cfRule type="cellIs" dxfId="0" priority="3" operator="greaterThan">
      <formula>17</formula>
    </cfRule>
  </conditionalFormatting>
  <conditionalFormatting sqref="A3:H21">
    <cfRule type="expression" dxfId="1" priority="1">
      <formula>$E3&lt;15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B18" sqref="B18"/>
    </sheetView>
  </sheetViews>
  <sheetFormatPr defaultColWidth="9" defaultRowHeight="14.25" outlineLevelCol="7"/>
  <sheetData>
    <row r="1" spans="1:2">
      <c r="A1" t="s">
        <v>1</v>
      </c>
      <c r="B1" t="s">
        <v>4</v>
      </c>
    </row>
    <row r="2" spans="1:1">
      <c r="A2" t="s">
        <v>11</v>
      </c>
    </row>
    <row r="3" spans="2:2">
      <c r="B3" t="s">
        <v>52</v>
      </c>
    </row>
    <row r="4" ht="15"/>
    <row r="5" ht="15.75" spans="1:8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51</v>
      </c>
    </row>
    <row r="6" ht="15.75" spans="1:8">
      <c r="A6" s="2" t="s">
        <v>11</v>
      </c>
      <c r="B6" s="10" t="s">
        <v>12</v>
      </c>
      <c r="C6" s="2" t="s">
        <v>13</v>
      </c>
      <c r="D6" s="2">
        <v>87</v>
      </c>
      <c r="E6" s="2">
        <v>17</v>
      </c>
      <c r="F6" s="3">
        <v>86.6</v>
      </c>
      <c r="G6" s="2">
        <v>5</v>
      </c>
      <c r="H6" s="2" t="s">
        <v>53</v>
      </c>
    </row>
    <row r="7" ht="15.75" spans="1:8">
      <c r="A7" s="2" t="s">
        <v>17</v>
      </c>
      <c r="B7" s="10" t="s">
        <v>18</v>
      </c>
      <c r="C7" s="2" t="s">
        <v>19</v>
      </c>
      <c r="D7" s="2">
        <v>86</v>
      </c>
      <c r="E7" s="2">
        <v>17</v>
      </c>
      <c r="F7" s="3">
        <v>85.8</v>
      </c>
      <c r="G7" s="2">
        <v>7</v>
      </c>
      <c r="H7" s="2" t="s">
        <v>53</v>
      </c>
    </row>
    <row r="8" ht="17.25" spans="1:8">
      <c r="A8" s="2" t="s">
        <v>8</v>
      </c>
      <c r="B8" s="11" t="s">
        <v>20</v>
      </c>
      <c r="C8" s="2" t="s">
        <v>21</v>
      </c>
      <c r="D8" s="2">
        <v>91</v>
      </c>
      <c r="E8" s="2">
        <v>15</v>
      </c>
      <c r="F8" s="3">
        <v>87.8</v>
      </c>
      <c r="G8" s="2">
        <v>4</v>
      </c>
      <c r="H8" s="2" t="s">
        <v>53</v>
      </c>
    </row>
    <row r="9" ht="17.25" spans="1:8">
      <c r="A9" s="2" t="s">
        <v>11</v>
      </c>
      <c r="B9" s="11" t="s">
        <v>27</v>
      </c>
      <c r="C9" s="2" t="s">
        <v>28</v>
      </c>
      <c r="D9" s="2">
        <v>73</v>
      </c>
      <c r="E9" s="2">
        <v>18</v>
      </c>
      <c r="F9" s="3">
        <v>76.4</v>
      </c>
      <c r="G9" s="2">
        <v>13</v>
      </c>
      <c r="H9" s="2" t="s">
        <v>54</v>
      </c>
    </row>
    <row r="10" ht="17.25" spans="1:8">
      <c r="A10" s="2" t="s">
        <v>11</v>
      </c>
      <c r="B10" s="11" t="s">
        <v>29</v>
      </c>
      <c r="C10" s="2" t="s">
        <v>30</v>
      </c>
      <c r="D10" s="2">
        <v>90</v>
      </c>
      <c r="E10" s="2">
        <v>19</v>
      </c>
      <c r="F10" s="3">
        <v>91</v>
      </c>
      <c r="G10" s="2">
        <v>2</v>
      </c>
      <c r="H10" s="2" t="s">
        <v>55</v>
      </c>
    </row>
    <row r="11" ht="17.25" spans="1:8">
      <c r="A11" s="2" t="s">
        <v>22</v>
      </c>
      <c r="B11" s="11" t="s">
        <v>37</v>
      </c>
      <c r="C11" s="2" t="s">
        <v>38</v>
      </c>
      <c r="D11" s="2">
        <v>89</v>
      </c>
      <c r="E11" s="2">
        <v>15</v>
      </c>
      <c r="F11" s="3">
        <v>86.2</v>
      </c>
      <c r="G11" s="2">
        <v>6</v>
      </c>
      <c r="H11" s="2" t="s">
        <v>53</v>
      </c>
    </row>
    <row r="12" ht="17.25" spans="1:8">
      <c r="A12" s="2" t="s">
        <v>14</v>
      </c>
      <c r="B12" s="11" t="s">
        <v>47</v>
      </c>
      <c r="C12" s="2" t="s">
        <v>48</v>
      </c>
      <c r="D12" s="2">
        <v>93</v>
      </c>
      <c r="E12" s="2">
        <v>19</v>
      </c>
      <c r="F12" s="3">
        <v>93.4</v>
      </c>
      <c r="G12" s="2">
        <v>1</v>
      </c>
      <c r="H12" s="2" t="s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18" sqref="J18"/>
    </sheetView>
  </sheetViews>
  <sheetFormatPr defaultColWidth="9" defaultRowHeight="14.25" outlineLevelCol="7"/>
  <cols>
    <col min="6" max="6" width="12.625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51</v>
      </c>
    </row>
    <row r="2" outlineLevel="2" spans="1:8">
      <c r="A2" t="s">
        <v>14</v>
      </c>
      <c r="B2" s="8" t="s">
        <v>15</v>
      </c>
      <c r="C2" t="s">
        <v>16</v>
      </c>
      <c r="D2">
        <v>75</v>
      </c>
      <c r="E2">
        <v>19</v>
      </c>
      <c r="F2">
        <v>79</v>
      </c>
      <c r="G2">
        <v>10</v>
      </c>
      <c r="H2" t="s">
        <v>54</v>
      </c>
    </row>
    <row r="3" outlineLevel="2" spans="1:8">
      <c r="A3" t="s">
        <v>14</v>
      </c>
      <c r="B3" s="8" t="s">
        <v>25</v>
      </c>
      <c r="C3" t="s">
        <v>26</v>
      </c>
      <c r="D3">
        <v>60</v>
      </c>
      <c r="E3">
        <v>14</v>
      </c>
      <c r="F3">
        <v>62</v>
      </c>
      <c r="G3">
        <v>19</v>
      </c>
      <c r="H3" t="s">
        <v>56</v>
      </c>
    </row>
    <row r="4" outlineLevel="2" spans="1:8">
      <c r="A4" t="s">
        <v>14</v>
      </c>
      <c r="B4" s="8" t="s">
        <v>31</v>
      </c>
      <c r="C4" t="s">
        <v>32</v>
      </c>
      <c r="D4">
        <v>85</v>
      </c>
      <c r="E4">
        <v>20</v>
      </c>
      <c r="F4">
        <v>88</v>
      </c>
      <c r="G4">
        <v>3</v>
      </c>
      <c r="H4" t="s">
        <v>53</v>
      </c>
    </row>
    <row r="5" outlineLevel="2" spans="1:8">
      <c r="A5" t="s">
        <v>14</v>
      </c>
      <c r="B5" s="8" t="s">
        <v>41</v>
      </c>
      <c r="C5" t="s">
        <v>42</v>
      </c>
      <c r="D5">
        <v>66</v>
      </c>
      <c r="E5">
        <v>16</v>
      </c>
      <c r="F5">
        <v>68.8</v>
      </c>
      <c r="G5">
        <v>16</v>
      </c>
      <c r="H5" t="s">
        <v>56</v>
      </c>
    </row>
    <row r="6" outlineLevel="2" spans="1:8">
      <c r="A6" t="s">
        <v>14</v>
      </c>
      <c r="B6" s="8" t="s">
        <v>47</v>
      </c>
      <c r="C6" t="s">
        <v>48</v>
      </c>
      <c r="D6">
        <v>93</v>
      </c>
      <c r="E6">
        <v>19</v>
      </c>
      <c r="F6">
        <v>93.4</v>
      </c>
      <c r="G6">
        <v>1</v>
      </c>
      <c r="H6" t="s">
        <v>55</v>
      </c>
    </row>
    <row r="7" outlineLevel="1" spans="1:6">
      <c r="A7" s="1" t="s">
        <v>57</v>
      </c>
      <c r="F7">
        <f>SUBTOTAL(1,F2:F6)</f>
        <v>78.24</v>
      </c>
    </row>
    <row r="8" outlineLevel="2" spans="1:8">
      <c r="A8" t="s">
        <v>8</v>
      </c>
      <c r="B8" s="8" t="s">
        <v>9</v>
      </c>
      <c r="C8" t="s">
        <v>10</v>
      </c>
      <c r="D8">
        <v>77</v>
      </c>
      <c r="E8">
        <v>16</v>
      </c>
      <c r="F8">
        <v>77.6</v>
      </c>
      <c r="G8">
        <v>11</v>
      </c>
      <c r="H8" t="s">
        <v>54</v>
      </c>
    </row>
    <row r="9" outlineLevel="2" spans="1:8">
      <c r="A9" t="s">
        <v>8</v>
      </c>
      <c r="B9" s="8" t="s">
        <v>20</v>
      </c>
      <c r="C9" t="s">
        <v>21</v>
      </c>
      <c r="D9">
        <v>91</v>
      </c>
      <c r="E9">
        <v>15</v>
      </c>
      <c r="F9">
        <v>87.8</v>
      </c>
      <c r="G9">
        <v>4</v>
      </c>
      <c r="H9" t="s">
        <v>53</v>
      </c>
    </row>
    <row r="10" outlineLevel="2" spans="1:8">
      <c r="A10" t="s">
        <v>8</v>
      </c>
      <c r="B10" s="8" t="s">
        <v>33</v>
      </c>
      <c r="C10" t="s">
        <v>34</v>
      </c>
      <c r="D10">
        <v>78</v>
      </c>
      <c r="E10">
        <v>17</v>
      </c>
      <c r="F10">
        <v>79.4</v>
      </c>
      <c r="G10">
        <v>9</v>
      </c>
      <c r="H10" t="s">
        <v>54</v>
      </c>
    </row>
    <row r="11" outlineLevel="2" spans="1:8">
      <c r="A11" t="s">
        <v>8</v>
      </c>
      <c r="B11" s="8" t="s">
        <v>39</v>
      </c>
      <c r="C11" t="s">
        <v>40</v>
      </c>
      <c r="D11">
        <v>62</v>
      </c>
      <c r="E11">
        <v>17</v>
      </c>
      <c r="F11">
        <v>66.6</v>
      </c>
      <c r="G11">
        <v>18</v>
      </c>
      <c r="H11" t="s">
        <v>56</v>
      </c>
    </row>
    <row r="12" outlineLevel="1" spans="1:6">
      <c r="A12" s="1" t="s">
        <v>58</v>
      </c>
      <c r="F12">
        <f>SUBTOTAL(1,F8:F11)</f>
        <v>77.85</v>
      </c>
    </row>
    <row r="13" outlineLevel="2" spans="1:8">
      <c r="A13" t="s">
        <v>22</v>
      </c>
      <c r="B13" s="8" t="s">
        <v>23</v>
      </c>
      <c r="C13" t="s">
        <v>24</v>
      </c>
      <c r="D13">
        <v>77</v>
      </c>
      <c r="E13">
        <v>14</v>
      </c>
      <c r="F13">
        <v>75.6</v>
      </c>
      <c r="G13">
        <v>14</v>
      </c>
      <c r="H13" t="s">
        <v>54</v>
      </c>
    </row>
    <row r="14" outlineLevel="2" spans="1:8">
      <c r="A14" t="s">
        <v>22</v>
      </c>
      <c r="B14" s="8" t="s">
        <v>37</v>
      </c>
      <c r="C14" t="s">
        <v>38</v>
      </c>
      <c r="D14">
        <v>89</v>
      </c>
      <c r="E14">
        <v>15</v>
      </c>
      <c r="F14">
        <v>86.2</v>
      </c>
      <c r="G14">
        <v>6</v>
      </c>
      <c r="H14" t="s">
        <v>53</v>
      </c>
    </row>
    <row r="15" outlineLevel="2" spans="1:8">
      <c r="A15" t="s">
        <v>22</v>
      </c>
      <c r="B15" s="8" t="s">
        <v>43</v>
      </c>
      <c r="C15" t="s">
        <v>44</v>
      </c>
      <c r="D15">
        <v>78</v>
      </c>
      <c r="E15">
        <v>15</v>
      </c>
      <c r="F15">
        <v>77.4</v>
      </c>
      <c r="G15">
        <v>12</v>
      </c>
      <c r="H15" t="s">
        <v>54</v>
      </c>
    </row>
    <row r="16" outlineLevel="2" spans="1:8">
      <c r="A16" t="s">
        <v>22</v>
      </c>
      <c r="B16" s="8" t="s">
        <v>49</v>
      </c>
      <c r="C16" t="s">
        <v>50</v>
      </c>
      <c r="D16">
        <v>68</v>
      </c>
      <c r="E16">
        <v>20</v>
      </c>
      <c r="F16">
        <v>74.4</v>
      </c>
      <c r="G16">
        <v>15</v>
      </c>
      <c r="H16" t="s">
        <v>54</v>
      </c>
    </row>
    <row r="17" outlineLevel="1" spans="1:6">
      <c r="A17" s="1" t="s">
        <v>59</v>
      </c>
      <c r="F17">
        <f>SUBTOTAL(1,F13:F16)</f>
        <v>78.4</v>
      </c>
    </row>
    <row r="18" outlineLevel="2" spans="1:8">
      <c r="A18" t="s">
        <v>17</v>
      </c>
      <c r="B18" s="8" t="s">
        <v>18</v>
      </c>
      <c r="C18" t="s">
        <v>19</v>
      </c>
      <c r="D18">
        <v>86</v>
      </c>
      <c r="E18">
        <v>17</v>
      </c>
      <c r="F18">
        <v>85.8</v>
      </c>
      <c r="G18">
        <v>7</v>
      </c>
      <c r="H18" t="s">
        <v>53</v>
      </c>
    </row>
    <row r="19" outlineLevel="2" spans="1:8">
      <c r="A19" t="s">
        <v>17</v>
      </c>
      <c r="B19" s="8" t="s">
        <v>35</v>
      </c>
      <c r="C19" t="s">
        <v>36</v>
      </c>
      <c r="D19">
        <v>69</v>
      </c>
      <c r="E19">
        <v>12</v>
      </c>
      <c r="F19">
        <v>67.2</v>
      </c>
      <c r="G19">
        <v>17</v>
      </c>
      <c r="H19" t="s">
        <v>56</v>
      </c>
    </row>
    <row r="20" outlineLevel="2" spans="1:8">
      <c r="A20" t="s">
        <v>17</v>
      </c>
      <c r="B20" s="8" t="s">
        <v>45</v>
      </c>
      <c r="C20" t="s">
        <v>46</v>
      </c>
      <c r="D20">
        <v>80</v>
      </c>
      <c r="E20">
        <v>18</v>
      </c>
      <c r="F20">
        <v>82</v>
      </c>
      <c r="G20">
        <v>8</v>
      </c>
      <c r="H20" t="s">
        <v>53</v>
      </c>
    </row>
    <row r="21" outlineLevel="1" spans="1:6">
      <c r="A21" s="1" t="s">
        <v>60</v>
      </c>
      <c r="F21">
        <f>SUBTOTAL(1,F18:F20)</f>
        <v>78.3333333333333</v>
      </c>
    </row>
    <row r="22" outlineLevel="2" spans="1:8">
      <c r="A22" t="s">
        <v>11</v>
      </c>
      <c r="B22" s="8" t="s">
        <v>12</v>
      </c>
      <c r="C22" t="s">
        <v>13</v>
      </c>
      <c r="D22">
        <v>87</v>
      </c>
      <c r="E22">
        <v>17</v>
      </c>
      <c r="F22">
        <v>86.6</v>
      </c>
      <c r="G22">
        <v>5</v>
      </c>
      <c r="H22" t="s">
        <v>53</v>
      </c>
    </row>
    <row r="23" outlineLevel="2" spans="1:8">
      <c r="A23" t="s">
        <v>11</v>
      </c>
      <c r="B23" s="8" t="s">
        <v>27</v>
      </c>
      <c r="C23" t="s">
        <v>28</v>
      </c>
      <c r="D23">
        <v>73</v>
      </c>
      <c r="E23">
        <v>18</v>
      </c>
      <c r="F23">
        <v>76.4</v>
      </c>
      <c r="G23">
        <v>13</v>
      </c>
      <c r="H23" t="s">
        <v>54</v>
      </c>
    </row>
    <row r="24" outlineLevel="2" spans="1:8">
      <c r="A24" t="s">
        <v>11</v>
      </c>
      <c r="B24" s="8" t="s">
        <v>29</v>
      </c>
      <c r="C24" t="s">
        <v>30</v>
      </c>
      <c r="D24">
        <v>90</v>
      </c>
      <c r="E24">
        <v>19</v>
      </c>
      <c r="F24">
        <v>91</v>
      </c>
      <c r="G24">
        <v>2</v>
      </c>
      <c r="H24" t="s">
        <v>55</v>
      </c>
    </row>
    <row r="25" outlineLevel="1" spans="1:6">
      <c r="A25" s="1" t="s">
        <v>61</v>
      </c>
      <c r="F25">
        <f>SUBTOTAL(1,F22:F24)</f>
        <v>84.6666666666667</v>
      </c>
    </row>
    <row r="26" spans="1:6">
      <c r="A26" s="1" t="s">
        <v>62</v>
      </c>
      <c r="F26">
        <f>SUBTOTAL(1,F2:F24)</f>
        <v>79.221052631579</v>
      </c>
    </row>
  </sheetData>
  <sortState ref="A2:H20">
    <sortCondition ref="A2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12" sqref="D12"/>
    </sheetView>
  </sheetViews>
  <sheetFormatPr defaultColWidth="9" defaultRowHeight="14.25" outlineLevelRow="4" outlineLevelCol="1"/>
  <sheetData>
    <row r="1" spans="1:2">
      <c r="A1" t="s">
        <v>6</v>
      </c>
      <c r="B1" t="s">
        <v>51</v>
      </c>
    </row>
    <row r="2" spans="1:2">
      <c r="A2" t="s">
        <v>63</v>
      </c>
      <c r="B2" t="s">
        <v>55</v>
      </c>
    </row>
    <row r="3" spans="1:2">
      <c r="A3" t="s">
        <v>64</v>
      </c>
      <c r="B3" t="s">
        <v>53</v>
      </c>
    </row>
    <row r="4" spans="1:2">
      <c r="A4" t="s">
        <v>65</v>
      </c>
      <c r="B4" t="s">
        <v>54</v>
      </c>
    </row>
    <row r="5" spans="1:2">
      <c r="A5" t="s">
        <v>66</v>
      </c>
      <c r="B5" t="s">
        <v>56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3" sqref="D3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数据库技术成绩单</vt:lpstr>
      <vt:lpstr>Sheet2</vt:lpstr>
      <vt:lpstr>筛选</vt:lpstr>
      <vt:lpstr>分类汇总</vt:lpstr>
      <vt:lpstr>成绩等级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zy</cp:lastModifiedBy>
  <dcterms:created xsi:type="dcterms:W3CDTF">2001-11-15T12:44:00Z</dcterms:created>
  <dcterms:modified xsi:type="dcterms:W3CDTF">2024-01-08T09:20:32Z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2D09347FAEEC4B39B562983CADFBF0BE_12</vt:lpwstr>
  </property>
  <property fmtid="{D5CDD505-2E9C-101B-9397-08002B2CF9AE}" pid="3" name="KSOProductBuildVer">
    <vt:lpwstr>2052-12.1.0.15712</vt:lpwstr>
  </property>
</Properties>
</file>
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5"/>
  </bookViews>
  <sheets>
    <sheet name="Sheet1" sheetId="1" r:id="rId1"/>
    <sheet name="Sheet2" sheetId="2" r:id="rId2"/>
  </sheets>
  <calcPr calcId="14562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" i="1"/>
  <c r="H3" i="1" s="1"/>
</calcChain>
</file>

<file path=xl/sharedStrings.xml><?xml version="1.0" encoding="utf-8"?>
<sst xmlns="http://schemas.openxmlformats.org/spreadsheetml/2006/main" count="165" uniqueCount="36">
  <si>
    <t>单价</t>
    <phoneticPr fontId="1" type="noConversion"/>
  </si>
  <si>
    <t>数量</t>
    <phoneticPr fontId="1" type="noConversion"/>
  </si>
  <si>
    <t>产品名称</t>
    <phoneticPr fontId="1" type="noConversion"/>
  </si>
  <si>
    <t>产品型号</t>
    <phoneticPr fontId="1" type="noConversion"/>
  </si>
  <si>
    <t>分店名称</t>
    <phoneticPr fontId="1" type="noConversion"/>
  </si>
  <si>
    <t>季度</t>
  </si>
  <si>
    <t>第一分店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</si>
  <si>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</si>
  <si>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</si>
  <si>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</si>
  <si>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</si>
  <si>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A01</t>
  </si>
  <si>
    <t>A01</t>
    <phoneticPr fontId="1" type="noConversion"/>
  </si>
  <si>
    <t>卡特扫描枪</t>
    <phoneticPr fontId="1" type="noConversion"/>
  </si>
  <si>
    <t>A02</t>
  </si>
  <si>
    <t>A03</t>
  </si>
  <si>
    <t>A02</t>
    <phoneticPr fontId="1" type="noConversion"/>
  </si>
  <si>
    <t>卡特刷卡器</t>
    <phoneticPr fontId="1" type="noConversion"/>
  </si>
  <si>
    <t>A03</t>
    <phoneticPr fontId="1" type="noConversion"/>
  </si>
  <si>
    <t>卡特报警器</t>
    <phoneticPr fontId="1" type="noConversion"/>
  </si>
  <si>
    <t>第二分店</t>
    <phoneticPr fontId="1" type="noConversion"/>
  </si>
  <si>
    <t>第三分店</t>
    <phoneticPr fontId="1" type="noConversion"/>
  </si>
  <si>
    <t>排名</t>
    <phoneticPr fontId="1" type="noConversion"/>
  </si>
  <si>
    <t>销售额</t>
    <phoneticPr fontId="1" type="noConversion"/>
  </si>
  <si>
    <t>产品销售情况表</t>
    <phoneticPr fontId="1" type="noConversion"/>
  </si>
  <si>
    <t>行标签</t>
  </si>
  <si>
    <t>第二分店</t>
  </si>
  <si>
    <t>第三分店</t>
  </si>
  <si>
    <t>第一分店</t>
  </si>
  <si>
    <t>总计</t>
  </si>
  <si>
    <t>第二季度</t>
  </si>
  <si>
    <t>第三季度</t>
  </si>
  <si>
    <t>第四季度</t>
  </si>
  <si>
    <t>第一季度</t>
  </si>
  <si>
    <t>列标签</t>
  </si>
  <si>
    <t>求和项:销售额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</si>
</sst>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" formatCode="&quot;¥&quot;#,##0;&quot;¥&quot;\-#,##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 vertical="center"/>
    </xf>
    <xf numFmtId="5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第</a:t>
            </a:r>
            <a:r>
              <a:rPr lang="en-US" altLang="zh-CN"/>
              <a:t>1</a:t>
            </a:r>
            <a:r>
              <a:rPr lang="zh-CN" altLang="en-US"/>
              <a:t>分店产品销售统计图</a:t>
            </a:r>
          </a:p>
        </c:rich>
      </c:tx>
      <c:layout>
        <c:manualLayout>
          <c:xMode val="edge"/>
          <c:yMode val="edge"/>
          <c:x val="0.29597967443530032"/>
          <c:y val="9.8138747884940772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82410417016568"/>
          <c:y val="0.20525680482833047"/>
          <c:w val="0.86457368017203617"/>
          <c:h val="0.6422841307273139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Sheet1!$D$3:$D$14</c:f>
              <c:strCache>
                <c:ptCount val="1"/>
                <c:pt idx="0">
                  <c:v>卡特扫描枪 卡特扫描枪 卡特扫描枪 卡特扫描枪 卡特刷卡器 卡特刷卡器 卡特刷卡器 卡特刷卡器 卡特报警器 卡特报警器 卡特报警器 卡特报警器</c:v>
                </c:pt>
              </c:strCache>
            </c:strRef>
          </c:tx>
          <c:invertIfNegative val="0"/>
          <c:val>
            <c:numRef>
              <c:f>Sheet1!$G$3:$G$14</c:f>
              <c:numCache>
                <c:formatCode>"¥"#,##0_);\("¥"#,##0\)</c:formatCode>
                <c:ptCount val="12"/>
                <c:pt idx="0">
                  <c:v>44160</c:v>
                </c:pt>
                <c:pt idx="1">
                  <c:v>47840</c:v>
                </c:pt>
                <c:pt idx="2">
                  <c:v>73600</c:v>
                </c:pt>
                <c:pt idx="3">
                  <c:v>55200</c:v>
                </c:pt>
                <c:pt idx="4">
                  <c:v>62480</c:v>
                </c:pt>
                <c:pt idx="5">
                  <c:v>79520</c:v>
                </c:pt>
                <c:pt idx="6">
                  <c:v>102240</c:v>
                </c:pt>
                <c:pt idx="7">
                  <c:v>59640</c:v>
                </c:pt>
                <c:pt idx="8">
                  <c:v>56120</c:v>
                </c:pt>
                <c:pt idx="9">
                  <c:v>146400</c:v>
                </c:pt>
                <c:pt idx="10">
                  <c:v>102480</c:v>
                </c:pt>
                <c:pt idx="11">
                  <c:v>75640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225746304"/>
        <c:axId val="225748096"/>
        <c:axId val="0"/>
      </c:bar3DChart>
      <c:catAx>
        <c:axId val="225746304"/>
        <c:scaling>
          <c:orientation val="minMax"/>
        </c:scaling>
        <c:delete val="0"/>
        <c:axPos val="b"/>
        <c:majorTickMark val="none"/>
        <c:minorTickMark val="none"/>
        <c:tickLblPos val="nextTo"/>
        <c:crossAx val="225748096"/>
        <c:crosses val="autoZero"/>
        <c:auto val="1"/>
        <c:lblAlgn val="ctr"/>
        <c:lblOffset val="100"/>
        <c:noMultiLvlLbl val="0"/>
      </c:catAx>
      <c:valAx>
        <c:axId val="225748096"/>
        <c:scaling>
          <c:orientation val="minMax"/>
        </c:scaling>
        <c:delete val="0"/>
        <c:axPos val="l"/>
        <c:majorGridlines/>
        <c:numFmt formatCode="&quot;¥&quot;#,##0_);\(&quot;¥&quot;#,##0\)" sourceLinked="1"/>
        <c:majorTickMark val="none"/>
        <c:minorTickMark val="none"/>
        <c:tickLblPos val="nextTo"/>
        <c:spPr>
          <a:ln w="6350">
            <a:noFill/>
          </a:ln>
        </c:spPr>
        <c:crossAx val="22574630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99060</xdr:colOff>
      <xdr:row>18</xdr:row>
      <xdr:rowOff>110490</xdr:rowOff>
    </xdr:from>
    <xdr:to>
      <xdr:col>19</xdr:col>
      <xdr:colOff>76200</xdr:colOff>
      <xdr:row>40</xdr:row>
      <xdr:rowOff>7620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267.686379398147" createdVersion="4" refreshedVersion="4" minRefreshableVersion="3" recordCount="36">
  <cacheSource type="worksheet">
    <worksheetSource ref="A2:H38" sheet="Sheet1"/>
  </cacheSource>
  <cacheFields count="8">
    <cacheField name="分店名称" numFmtId="0">
      <sharedItems count="3">
        <s v="第一分店"/>
        <s v="第二分店"/>
        <s v="第三分店"/>
      </sharedItems>
    </cacheField>
    <cacheField name="季度" numFmtId="0">
      <sharedItems count="4">
        <s v="第一季度"/>
        <s v="第二季度"/>
        <s v="第三季度"/>
        <s v="第四季度"/>
      </sharedItems>
    </cacheField>
    <cacheField name="产品型号" numFmtId="0">
      <sharedItems/>
    </cacheField>
    <cacheField name="产品名称" numFmtId="0">
      <sharedItems/>
    </cacheField>
    <cacheField name="单价" numFmtId="0">
      <sharedItems containsSemiMixedTypes="0" containsString="0" containsNumber="1" containsInteger="1" minValue="368" maxValue="568"/>
    </cacheField>
    <cacheField name="数量" numFmtId="0">
      <sharedItems containsSemiMixedTypes="0" containsString="0" containsNumber="1" containsInteger="1" minValue="102" maxValue="305"/>
    </cacheField>
    <cacheField name="销售额" numFmtId="5">
      <sharedItems containsSemiMixedTypes="0" containsString="0" containsNumber="1" containsInteger="1" minValue="44160" maxValue="148840"/>
    </cacheField>
    <cacheField name="排名" numFmtId="0">
      <sharedItems containsSemiMixedTypes="0" containsString="0" containsNumber="1" containsInteger="1" minValue="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0"/>
    <s v="A01"/>
    <s v="卡特扫描枪"/>
    <n v="368"/>
    <n v="120"/>
    <n v="44160"/>
    <n v="36"/>
  </r>
  <r>
    <x v="0"/>
    <x v="1"/>
    <s v="A01"/>
    <s v="卡特扫描枪"/>
    <n v="368"/>
    <n v="130"/>
    <n v="47840"/>
    <n v="35"/>
  </r>
  <r>
    <x v="0"/>
    <x v="2"/>
    <s v="A01"/>
    <s v="卡特扫描枪"/>
    <n v="368"/>
    <n v="200"/>
    <n v="73600"/>
    <n v="17"/>
  </r>
  <r>
    <x v="0"/>
    <x v="3"/>
    <s v="A01"/>
    <s v="卡特扫描枪"/>
    <n v="368"/>
    <n v="150"/>
    <n v="55200"/>
    <n v="32"/>
  </r>
  <r>
    <x v="0"/>
    <x v="0"/>
    <s v="A02"/>
    <s v="卡特刷卡器"/>
    <n v="568"/>
    <n v="110"/>
    <n v="62480"/>
    <n v="23"/>
  </r>
  <r>
    <x v="0"/>
    <x v="1"/>
    <s v="A02"/>
    <s v="卡特刷卡器"/>
    <n v="568"/>
    <n v="140"/>
    <n v="79520"/>
    <n v="14"/>
  </r>
  <r>
    <x v="0"/>
    <x v="2"/>
    <s v="A02"/>
    <s v="卡特刷卡器"/>
    <n v="568"/>
    <n v="180"/>
    <n v="102240"/>
    <n v="9"/>
  </r>
  <r>
    <x v="0"/>
    <x v="3"/>
    <s v="A02"/>
    <s v="卡特刷卡器"/>
    <n v="568"/>
    <n v="105"/>
    <n v="59640"/>
    <n v="26"/>
  </r>
  <r>
    <x v="0"/>
    <x v="0"/>
    <s v="A03"/>
    <s v="卡特报警器"/>
    <n v="488"/>
    <n v="115"/>
    <n v="56120"/>
    <n v="29"/>
  </r>
  <r>
    <x v="0"/>
    <x v="1"/>
    <s v="A03"/>
    <s v="卡特报警器"/>
    <n v="488"/>
    <n v="300"/>
    <n v="146400"/>
    <n v="2"/>
  </r>
  <r>
    <x v="0"/>
    <x v="2"/>
    <s v="A03"/>
    <s v="卡特报警器"/>
    <n v="488"/>
    <n v="210"/>
    <n v="102480"/>
    <n v="8"/>
  </r>
  <r>
    <x v="0"/>
    <x v="3"/>
    <s v="A03"/>
    <s v="卡特报警器"/>
    <n v="488"/>
    <n v="155"/>
    <n v="75640"/>
    <n v="16"/>
  </r>
  <r>
    <x v="1"/>
    <x v="0"/>
    <s v="A01"/>
    <s v="卡特扫描枪"/>
    <n v="368"/>
    <n v="220"/>
    <n v="80960"/>
    <n v="13"/>
  </r>
  <r>
    <x v="1"/>
    <x v="1"/>
    <s v="A01"/>
    <s v="卡特扫描枪"/>
    <n v="368"/>
    <n v="165"/>
    <n v="60720"/>
    <n v="25"/>
  </r>
  <r>
    <x v="1"/>
    <x v="2"/>
    <s v="A01"/>
    <s v="卡特扫描枪"/>
    <n v="368"/>
    <n v="170"/>
    <n v="62560"/>
    <n v="22"/>
  </r>
  <r>
    <x v="1"/>
    <x v="3"/>
    <s v="A01"/>
    <s v="卡特扫描枪"/>
    <n v="368"/>
    <n v="152"/>
    <n v="55936"/>
    <n v="30"/>
  </r>
  <r>
    <x v="1"/>
    <x v="0"/>
    <s v="A02"/>
    <s v="卡特刷卡器"/>
    <n v="568"/>
    <n v="108"/>
    <n v="61344"/>
    <n v="24"/>
  </r>
  <r>
    <x v="1"/>
    <x v="1"/>
    <s v="A02"/>
    <s v="卡特刷卡器"/>
    <n v="568"/>
    <n v="122"/>
    <n v="69296"/>
    <n v="19"/>
  </r>
  <r>
    <x v="1"/>
    <x v="2"/>
    <s v="A02"/>
    <s v="卡特刷卡器"/>
    <n v="568"/>
    <n v="185"/>
    <n v="105080"/>
    <n v="7"/>
  </r>
  <r>
    <x v="1"/>
    <x v="3"/>
    <s v="A02"/>
    <s v="卡特刷卡器"/>
    <n v="568"/>
    <n v="195"/>
    <n v="110760"/>
    <n v="5"/>
  </r>
  <r>
    <x v="1"/>
    <x v="0"/>
    <s v="A03"/>
    <s v="卡特报警器"/>
    <n v="488"/>
    <n v="145"/>
    <n v="70760"/>
    <n v="18"/>
  </r>
  <r>
    <x v="1"/>
    <x v="1"/>
    <s v="A03"/>
    <s v="卡特报警器"/>
    <n v="488"/>
    <n v="305"/>
    <n v="148840"/>
    <n v="1"/>
  </r>
  <r>
    <x v="1"/>
    <x v="2"/>
    <s v="A03"/>
    <s v="卡特报警器"/>
    <n v="488"/>
    <n v="135"/>
    <n v="65880"/>
    <n v="20"/>
  </r>
  <r>
    <x v="1"/>
    <x v="3"/>
    <s v="A03"/>
    <s v="卡特报警器"/>
    <n v="488"/>
    <n v="158"/>
    <n v="77104"/>
    <n v="15"/>
  </r>
  <r>
    <x v="2"/>
    <x v="0"/>
    <s v="A01"/>
    <s v="卡特扫描枪"/>
    <n v="368"/>
    <n v="162"/>
    <n v="59616"/>
    <n v="27"/>
  </r>
  <r>
    <x v="2"/>
    <x v="1"/>
    <s v="A01"/>
    <s v="卡特扫描枪"/>
    <n v="368"/>
    <n v="222"/>
    <n v="81696"/>
    <n v="11"/>
  </r>
  <r>
    <x v="2"/>
    <x v="2"/>
    <s v="A01"/>
    <s v="卡特扫描枪"/>
    <n v="368"/>
    <n v="139"/>
    <n v="51152"/>
    <n v="34"/>
  </r>
  <r>
    <x v="2"/>
    <x v="3"/>
    <s v="A01"/>
    <s v="卡特扫描枪"/>
    <n v="368"/>
    <n v="151"/>
    <n v="55568"/>
    <n v="31"/>
  </r>
  <r>
    <x v="2"/>
    <x v="0"/>
    <s v="A02"/>
    <s v="卡特刷卡器"/>
    <n v="568"/>
    <n v="111"/>
    <n v="63048"/>
    <n v="21"/>
  </r>
  <r>
    <x v="2"/>
    <x v="1"/>
    <s v="A02"/>
    <s v="卡特刷卡器"/>
    <n v="568"/>
    <n v="211"/>
    <n v="119848"/>
    <n v="4"/>
  </r>
  <r>
    <x v="2"/>
    <x v="2"/>
    <s v="A02"/>
    <s v="卡特刷卡器"/>
    <n v="568"/>
    <n v="186"/>
    <n v="105648"/>
    <n v="6"/>
  </r>
  <r>
    <x v="2"/>
    <x v="3"/>
    <s v="A02"/>
    <s v="卡特刷卡器"/>
    <n v="568"/>
    <n v="102"/>
    <n v="57936"/>
    <n v="28"/>
  </r>
  <r>
    <x v="2"/>
    <x v="0"/>
    <s v="A03"/>
    <s v="卡特报警器"/>
    <n v="488"/>
    <n v="166"/>
    <n v="81008"/>
    <n v="12"/>
  </r>
  <r>
    <x v="2"/>
    <x v="1"/>
    <s v="A03"/>
    <s v="卡特报警器"/>
    <n v="488"/>
    <n v="261"/>
    <n v="127368"/>
    <n v="3"/>
  </r>
  <r>
    <x v="2"/>
    <x v="2"/>
    <s v="A03"/>
    <s v="卡特报警器"/>
    <n v="488"/>
    <n v="201"/>
    <n v="98088"/>
    <n v="10"/>
  </r>
  <r>
    <x v="2"/>
    <x v="3"/>
    <s v="A03"/>
    <s v="卡特报警器"/>
    <n v="488"/>
    <n v="109"/>
    <n v="53192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J1:O6" firstHeaderRow="1" firstDataRow="2" firstDataCol="1"/>
  <pivotFields count="8">
    <pivotField axis="axisRow" showAll="0">
      <items count="4">
        <item x="1"/>
        <item x="2"/>
        <item x="0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numFmtId="5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销售额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A9" zoomScaleNormal="100" workbookViewId="0">
      <selection activeCell="L15" sqref="L15"/>
    </sheetView>
  </sheetViews>
  <sheetFormatPr defaultRowHeight="14.25" x14ac:dyDescent="0.2"/>
  <cols>
    <col min="1" max="1" width="11.875" customWidth="1"/>
    <col min="4" max="4" width="12.625" customWidth="1"/>
    <col min="7" max="7" width="12.5" customWidth="1"/>
    <col min="8" max="8" width="8.875" customWidth="1"/>
    <col min="10" max="10" width="14.375" customWidth="1"/>
    <col min="11" max="11" width="9.75" bestFit="1" customWidth="1"/>
    <col min="12" max="14" width="9.5" bestFit="1" customWidth="1"/>
    <col min="15" max="15" width="9.375" customWidth="1"/>
  </cols>
  <sheetData>
    <row r="1" spans="1:15" s="1" customFormat="1" ht="25.5" x14ac:dyDescent="0.2">
      <c r="A1" s="7" t="s">
        <v>24</v>
      </c>
      <c r="B1" s="7"/>
      <c r="C1" s="7"/>
      <c r="D1" s="7"/>
      <c r="E1" s="7"/>
      <c r="F1" s="7"/>
      <c r="G1" s="7"/>
      <c r="H1" s="7"/>
      <c r="J1" s="4" t="s">
        <v>35</v>
      </c>
      <c r="K1" s="4" t="s">
        <v>34</v>
      </c>
      <c r="L1"/>
      <c r="M1"/>
      <c r="N1"/>
      <c r="O1"/>
    </row>
    <row r="2" spans="1:15" x14ac:dyDescent="0.2">
      <c r="A2" s="3" t="s">
        <v>4</v>
      </c>
      <c r="B2" s="3" t="s">
        <v>5</v>
      </c>
      <c r="C2" s="3" t="s">
        <v>3</v>
      </c>
      <c r="D2" s="3" t="s">
        <v>2</v>
      </c>
      <c r="E2" s="3" t="s">
        <v>0</v>
      </c>
      <c r="F2" s="3" t="s">
        <v>1</v>
      </c>
      <c r="G2" s="3" t="s">
        <v>23</v>
      </c>
      <c r="H2" s="3" t="s">
        <v>22</v>
      </c>
      <c r="J2" s="4" t="s">
        <v>25</v>
      </c>
      <c r="K2" t="s">
        <v>30</v>
      </c>
      <c r="L2" t="s">
        <v>31</v>
      </c>
      <c r="M2" t="s">
        <v>32</v>
      </c>
      <c r="N2" t="s">
        <v>33</v>
      </c>
      <c r="O2" t="s">
        <v>29</v>
      </c>
    </row>
    <row r="3" spans="1:15" x14ac:dyDescent="0.2">
      <c r="A3" t="s">
        <v>6</v>
      </c>
      <c r="B3" t="s">
        <v>7</v>
      </c>
      <c r="C3" t="s">
        <v>12</v>
      </c>
      <c r="D3" t="s">
        <v>13</v>
      </c>
      <c r="E3">
        <v>368</v>
      </c>
      <c r="F3">
        <v>120</v>
      </c>
      <c r="G3" s="2">
        <f>E3*F3</f>
        <v>44160</v>
      </c>
      <c r="H3">
        <f>RANK(G3,$G$3:$G$38,0)</f>
        <v>36</v>
      </c>
      <c r="J3" s="5" t="s">
        <v>26</v>
      </c>
      <c r="K3" s="6">
        <v>278856</v>
      </c>
      <c r="L3" s="6">
        <v>233520</v>
      </c>
      <c r="M3" s="6">
        <v>243800</v>
      </c>
      <c r="N3" s="6">
        <v>213064</v>
      </c>
      <c r="O3" s="6">
        <v>969240</v>
      </c>
    </row>
    <row r="4" spans="1:15" x14ac:dyDescent="0.2">
      <c r="A4" t="s">
        <v>6</v>
      </c>
      <c r="B4" t="s">
        <v>8</v>
      </c>
      <c r="C4" t="s">
        <v>12</v>
      </c>
      <c r="D4" t="s">
        <v>13</v>
      </c>
      <c r="E4">
        <v>368</v>
      </c>
      <c r="F4">
        <v>130</v>
      </c>
      <c r="G4" s="2">
        <f t="shared" ref="G4:G38" si="0">E4*F4</f>
        <v>47840</v>
      </c>
      <c r="H4">
        <f t="shared" ref="H4:H38" si="1">RANK(G4,$G$3:$G$38,0)</f>
        <v>35</v>
      </c>
      <c r="J4" s="5" t="s">
        <v>27</v>
      </c>
      <c r="K4" s="6">
        <v>328912</v>
      </c>
      <c r="L4" s="6">
        <v>254888</v>
      </c>
      <c r="M4" s="6">
        <v>166696</v>
      </c>
      <c r="N4" s="6">
        <v>203672</v>
      </c>
      <c r="O4" s="6">
        <v>954168</v>
      </c>
    </row>
    <row r="5" spans="1:15" x14ac:dyDescent="0.2">
      <c r="A5" t="s">
        <v>6</v>
      </c>
      <c r="B5" t="s">
        <v>9</v>
      </c>
      <c r="C5" t="s">
        <v>11</v>
      </c>
      <c r="D5" t="s">
        <v>13</v>
      </c>
      <c r="E5">
        <v>368</v>
      </c>
      <c r="F5">
        <v>200</v>
      </c>
      <c r="G5" s="2">
        <f t="shared" si="0"/>
        <v>73600</v>
      </c>
      <c r="H5">
        <f t="shared" si="1"/>
        <v>17</v>
      </c>
      <c r="J5" s="5" t="s">
        <v>28</v>
      </c>
      <c r="K5" s="6">
        <v>273760</v>
      </c>
      <c r="L5" s="6">
        <v>278320</v>
      </c>
      <c r="M5" s="6">
        <v>190480</v>
      </c>
      <c r="N5" s="6">
        <v>162760</v>
      </c>
      <c r="O5" s="6">
        <v>905320</v>
      </c>
    </row>
    <row r="6" spans="1:15" x14ac:dyDescent="0.2">
      <c r="A6" t="s">
        <v>6</v>
      </c>
      <c r="B6" t="s">
        <v>10</v>
      </c>
      <c r="C6" t="s">
        <v>11</v>
      </c>
      <c r="D6" t="s">
        <v>13</v>
      </c>
      <c r="E6">
        <v>368</v>
      </c>
      <c r="F6">
        <v>150</v>
      </c>
      <c r="G6" s="2">
        <f t="shared" si="0"/>
        <v>55200</v>
      </c>
      <c r="H6">
        <f t="shared" si="1"/>
        <v>32</v>
      </c>
      <c r="J6" s="5" t="s">
        <v>29</v>
      </c>
      <c r="K6" s="6">
        <v>881528</v>
      </c>
      <c r="L6" s="6">
        <v>766728</v>
      </c>
      <c r="M6" s="6">
        <v>600976</v>
      </c>
      <c r="N6" s="6">
        <v>579496</v>
      </c>
      <c r="O6" s="6">
        <v>2828728</v>
      </c>
    </row>
    <row r="7" spans="1:15" x14ac:dyDescent="0.2">
      <c r="A7" t="s">
        <v>6</v>
      </c>
      <c r="B7" t="s">
        <v>7</v>
      </c>
      <c r="C7" t="s">
        <v>16</v>
      </c>
      <c r="D7" t="s">
        <v>17</v>
      </c>
      <c r="E7">
        <v>568</v>
      </c>
      <c r="F7">
        <v>110</v>
      </c>
      <c r="G7" s="2">
        <f t="shared" si="0"/>
        <v>62480</v>
      </c>
      <c r="H7">
        <f t="shared" si="1"/>
        <v>23</v>
      </c>
    </row>
    <row r="8" spans="1:15" x14ac:dyDescent="0.2">
      <c r="A8" t="s">
        <v>6</v>
      </c>
      <c r="B8" t="s">
        <v>8</v>
      </c>
      <c r="C8" t="s">
        <v>16</v>
      </c>
      <c r="D8" t="s">
        <v>17</v>
      </c>
      <c r="E8">
        <v>568</v>
      </c>
      <c r="F8">
        <v>140</v>
      </c>
      <c r="G8" s="2">
        <f t="shared" si="0"/>
        <v>79520</v>
      </c>
      <c r="H8">
        <f t="shared" si="1"/>
        <v>14</v>
      </c>
    </row>
    <row r="9" spans="1:15" x14ac:dyDescent="0.2">
      <c r="A9" t="s">
        <v>6</v>
      </c>
      <c r="B9" t="s">
        <v>9</v>
      </c>
      <c r="C9" t="s">
        <v>14</v>
      </c>
      <c r="D9" t="s">
        <v>17</v>
      </c>
      <c r="E9">
        <v>568</v>
      </c>
      <c r="F9">
        <v>180</v>
      </c>
      <c r="G9" s="2">
        <f t="shared" si="0"/>
        <v>102240</v>
      </c>
      <c r="H9">
        <f t="shared" si="1"/>
        <v>9</v>
      </c>
    </row>
    <row r="10" spans="1:15" x14ac:dyDescent="0.2">
      <c r="A10" t="s">
        <v>6</v>
      </c>
      <c r="B10" t="s">
        <v>10</v>
      </c>
      <c r="C10" t="s">
        <v>14</v>
      </c>
      <c r="D10" t="s">
        <v>17</v>
      </c>
      <c r="E10">
        <v>568</v>
      </c>
      <c r="F10">
        <v>105</v>
      </c>
      <c r="G10" s="2">
        <f t="shared" si="0"/>
        <v>59640</v>
      </c>
      <c r="H10">
        <f t="shared" si="1"/>
        <v>26</v>
      </c>
    </row>
    <row r="11" spans="1:15" x14ac:dyDescent="0.2">
      <c r="A11" t="s">
        <v>6</v>
      </c>
      <c r="B11" t="s">
        <v>7</v>
      </c>
      <c r="C11" t="s">
        <v>18</v>
      </c>
      <c r="D11" t="s">
        <v>19</v>
      </c>
      <c r="E11">
        <v>488</v>
      </c>
      <c r="F11">
        <v>115</v>
      </c>
      <c r="G11" s="2">
        <f t="shared" si="0"/>
        <v>56120</v>
      </c>
      <c r="H11">
        <f t="shared" si="1"/>
        <v>29</v>
      </c>
    </row>
    <row r="12" spans="1:15" x14ac:dyDescent="0.2">
      <c r="A12" t="s">
        <v>6</v>
      </c>
      <c r="B12" t="s">
        <v>8</v>
      </c>
      <c r="C12" t="s">
        <v>18</v>
      </c>
      <c r="D12" t="s">
        <v>19</v>
      </c>
      <c r="E12">
        <v>488</v>
      </c>
      <c r="F12">
        <v>300</v>
      </c>
      <c r="G12" s="2">
        <f t="shared" si="0"/>
        <v>146400</v>
      </c>
      <c r="H12">
        <f t="shared" si="1"/>
        <v>2</v>
      </c>
    </row>
    <row r="13" spans="1:15" x14ac:dyDescent="0.2">
      <c r="A13" t="s">
        <v>6</v>
      </c>
      <c r="B13" t="s">
        <v>9</v>
      </c>
      <c r="C13" t="s">
        <v>15</v>
      </c>
      <c r="D13" t="s">
        <v>19</v>
      </c>
      <c r="E13">
        <v>488</v>
      </c>
      <c r="F13">
        <v>210</v>
      </c>
      <c r="G13" s="2">
        <f t="shared" si="0"/>
        <v>102480</v>
      </c>
      <c r="H13">
        <f t="shared" si="1"/>
        <v>8</v>
      </c>
    </row>
    <row r="14" spans="1:15" x14ac:dyDescent="0.2">
      <c r="A14" t="s">
        <v>6</v>
      </c>
      <c r="B14" t="s">
        <v>10</v>
      </c>
      <c r="C14" t="s">
        <v>15</v>
      </c>
      <c r="D14" t="s">
        <v>19</v>
      </c>
      <c r="E14">
        <v>488</v>
      </c>
      <c r="F14">
        <v>155</v>
      </c>
      <c r="G14" s="2">
        <f t="shared" si="0"/>
        <v>75640</v>
      </c>
      <c r="H14">
        <f t="shared" si="1"/>
        <v>16</v>
      </c>
    </row>
    <row r="15" spans="1:15" x14ac:dyDescent="0.2">
      <c r="A15" t="s">
        <v>20</v>
      </c>
      <c r="B15" t="s">
        <v>7</v>
      </c>
      <c r="C15" t="s">
        <v>12</v>
      </c>
      <c r="D15" t="s">
        <v>13</v>
      </c>
      <c r="E15">
        <v>368</v>
      </c>
      <c r="F15">
        <v>220</v>
      </c>
      <c r="G15" s="2">
        <f t="shared" si="0"/>
        <v>80960</v>
      </c>
      <c r="H15">
        <f t="shared" si="1"/>
        <v>13</v>
      </c>
    </row>
    <row r="16" spans="1:15" x14ac:dyDescent="0.2">
      <c r="A16" t="s">
        <v>20</v>
      </c>
      <c r="B16" t="s">
        <v>8</v>
      </c>
      <c r="C16" t="s">
        <v>12</v>
      </c>
      <c r="D16" t="s">
        <v>13</v>
      </c>
      <c r="E16">
        <v>368</v>
      </c>
      <c r="F16">
        <v>165</v>
      </c>
      <c r="G16" s="2">
        <f t="shared" si="0"/>
        <v>60720</v>
      </c>
      <c r="H16">
        <f t="shared" si="1"/>
        <v>25</v>
      </c>
    </row>
    <row r="17" spans="1:8" x14ac:dyDescent="0.2">
      <c r="A17" t="s">
        <v>20</v>
      </c>
      <c r="B17" t="s">
        <v>9</v>
      </c>
      <c r="C17" t="s">
        <v>11</v>
      </c>
      <c r="D17" t="s">
        <v>13</v>
      </c>
      <c r="E17">
        <v>368</v>
      </c>
      <c r="F17">
        <v>170</v>
      </c>
      <c r="G17" s="2">
        <f t="shared" si="0"/>
        <v>62560</v>
      </c>
      <c r="H17">
        <f t="shared" si="1"/>
        <v>22</v>
      </c>
    </row>
    <row r="18" spans="1:8" x14ac:dyDescent="0.2">
      <c r="A18" t="s">
        <v>20</v>
      </c>
      <c r="B18" t="s">
        <v>10</v>
      </c>
      <c r="C18" t="s">
        <v>11</v>
      </c>
      <c r="D18" t="s">
        <v>13</v>
      </c>
      <c r="E18">
        <v>368</v>
      </c>
      <c r="F18">
        <v>152</v>
      </c>
      <c r="G18" s="2">
        <f t="shared" si="0"/>
        <v>55936</v>
      </c>
      <c r="H18">
        <f t="shared" si="1"/>
        <v>30</v>
      </c>
    </row>
    <row r="19" spans="1:8" x14ac:dyDescent="0.2">
      <c r="A19" t="s">
        <v>20</v>
      </c>
      <c r="B19" t="s">
        <v>7</v>
      </c>
      <c r="C19" t="s">
        <v>16</v>
      </c>
      <c r="D19" t="s">
        <v>17</v>
      </c>
      <c r="E19">
        <v>568</v>
      </c>
      <c r="F19">
        <v>108</v>
      </c>
      <c r="G19" s="2">
        <f t="shared" si="0"/>
        <v>61344</v>
      </c>
      <c r="H19">
        <f t="shared" si="1"/>
        <v>24</v>
      </c>
    </row>
    <row r="20" spans="1:8" x14ac:dyDescent="0.2">
      <c r="A20" t="s">
        <v>20</v>
      </c>
      <c r="B20" t="s">
        <v>8</v>
      </c>
      <c r="C20" t="s">
        <v>16</v>
      </c>
      <c r="D20" t="s">
        <v>17</v>
      </c>
      <c r="E20">
        <v>568</v>
      </c>
      <c r="F20">
        <v>122</v>
      </c>
      <c r="G20" s="2">
        <f t="shared" si="0"/>
        <v>69296</v>
      </c>
      <c r="H20">
        <f t="shared" si="1"/>
        <v>19</v>
      </c>
    </row>
    <row r="21" spans="1:8" x14ac:dyDescent="0.2">
      <c r="A21" t="s">
        <v>20</v>
      </c>
      <c r="B21" t="s">
        <v>9</v>
      </c>
      <c r="C21" t="s">
        <v>14</v>
      </c>
      <c r="D21" t="s">
        <v>17</v>
      </c>
      <c r="E21">
        <v>568</v>
      </c>
      <c r="F21">
        <v>185</v>
      </c>
      <c r="G21" s="2">
        <f t="shared" si="0"/>
        <v>105080</v>
      </c>
      <c r="H21">
        <f t="shared" si="1"/>
        <v>7</v>
      </c>
    </row>
    <row r="22" spans="1:8" x14ac:dyDescent="0.2">
      <c r="A22" t="s">
        <v>20</v>
      </c>
      <c r="B22" t="s">
        <v>10</v>
      </c>
      <c r="C22" t="s">
        <v>14</v>
      </c>
      <c r="D22" t="s">
        <v>17</v>
      </c>
      <c r="E22">
        <v>568</v>
      </c>
      <c r="F22">
        <v>195</v>
      </c>
      <c r="G22" s="2">
        <f t="shared" si="0"/>
        <v>110760</v>
      </c>
      <c r="H22">
        <f t="shared" si="1"/>
        <v>5</v>
      </c>
    </row>
    <row r="23" spans="1:8" x14ac:dyDescent="0.2">
      <c r="A23" t="s">
        <v>20</v>
      </c>
      <c r="B23" t="s">
        <v>7</v>
      </c>
      <c r="C23" t="s">
        <v>18</v>
      </c>
      <c r="D23" t="s">
        <v>19</v>
      </c>
      <c r="E23">
        <v>488</v>
      </c>
      <c r="F23">
        <v>145</v>
      </c>
      <c r="G23" s="2">
        <f t="shared" si="0"/>
        <v>70760</v>
      </c>
      <c r="H23">
        <f t="shared" si="1"/>
        <v>18</v>
      </c>
    </row>
    <row r="24" spans="1:8" x14ac:dyDescent="0.2">
      <c r="A24" t="s">
        <v>20</v>
      </c>
      <c r="B24" t="s">
        <v>8</v>
      </c>
      <c r="C24" t="s">
        <v>18</v>
      </c>
      <c r="D24" t="s">
        <v>19</v>
      </c>
      <c r="E24">
        <v>488</v>
      </c>
      <c r="F24">
        <v>305</v>
      </c>
      <c r="G24" s="2">
        <f t="shared" si="0"/>
        <v>148840</v>
      </c>
      <c r="H24">
        <f t="shared" si="1"/>
        <v>1</v>
      </c>
    </row>
    <row r="25" spans="1:8" x14ac:dyDescent="0.2">
      <c r="A25" t="s">
        <v>20</v>
      </c>
      <c r="B25" t="s">
        <v>9</v>
      </c>
      <c r="C25" t="s">
        <v>15</v>
      </c>
      <c r="D25" t="s">
        <v>19</v>
      </c>
      <c r="E25">
        <v>488</v>
      </c>
      <c r="F25">
        <v>135</v>
      </c>
      <c r="G25" s="2">
        <f t="shared" si="0"/>
        <v>65880</v>
      </c>
      <c r="H25">
        <f t="shared" si="1"/>
        <v>20</v>
      </c>
    </row>
    <row r="26" spans="1:8" x14ac:dyDescent="0.2">
      <c r="A26" t="s">
        <v>20</v>
      </c>
      <c r="B26" t="s">
        <v>10</v>
      </c>
      <c r="C26" t="s">
        <v>15</v>
      </c>
      <c r="D26" t="s">
        <v>19</v>
      </c>
      <c r="E26">
        <v>488</v>
      </c>
      <c r="F26">
        <v>158</v>
      </c>
      <c r="G26" s="2">
        <f t="shared" si="0"/>
        <v>77104</v>
      </c>
      <c r="H26">
        <f t="shared" si="1"/>
        <v>15</v>
      </c>
    </row>
    <row r="27" spans="1:8" x14ac:dyDescent="0.2">
      <c r="A27" t="s">
        <v>21</v>
      </c>
      <c r="B27" t="s">
        <v>7</v>
      </c>
      <c r="C27" t="s">
        <v>12</v>
      </c>
      <c r="D27" t="s">
        <v>13</v>
      </c>
      <c r="E27">
        <v>368</v>
      </c>
      <c r="F27">
        <v>162</v>
      </c>
      <c r="G27" s="2">
        <f t="shared" si="0"/>
        <v>59616</v>
      </c>
      <c r="H27">
        <f t="shared" si="1"/>
        <v>27</v>
      </c>
    </row>
    <row r="28" spans="1:8" x14ac:dyDescent="0.2">
      <c r="A28" t="s">
        <v>21</v>
      </c>
      <c r="B28" t="s">
        <v>8</v>
      </c>
      <c r="C28" t="s">
        <v>12</v>
      </c>
      <c r="D28" t="s">
        <v>13</v>
      </c>
      <c r="E28">
        <v>368</v>
      </c>
      <c r="F28">
        <v>222</v>
      </c>
      <c r="G28" s="2">
        <f t="shared" si="0"/>
        <v>81696</v>
      </c>
      <c r="H28">
        <f t="shared" si="1"/>
        <v>11</v>
      </c>
    </row>
    <row r="29" spans="1:8" x14ac:dyDescent="0.2">
      <c r="A29" t="s">
        <v>21</v>
      </c>
      <c r="B29" t="s">
        <v>9</v>
      </c>
      <c r="C29" t="s">
        <v>11</v>
      </c>
      <c r="D29" t="s">
        <v>13</v>
      </c>
      <c r="E29">
        <v>368</v>
      </c>
      <c r="F29">
        <v>139</v>
      </c>
      <c r="G29" s="2">
        <f t="shared" si="0"/>
        <v>51152</v>
      </c>
      <c r="H29">
        <f t="shared" si="1"/>
        <v>34</v>
      </c>
    </row>
    <row r="30" spans="1:8" x14ac:dyDescent="0.2">
      <c r="A30" t="s">
        <v>21</v>
      </c>
      <c r="B30" t="s">
        <v>10</v>
      </c>
      <c r="C30" t="s">
        <v>11</v>
      </c>
      <c r="D30" t="s">
        <v>13</v>
      </c>
      <c r="E30">
        <v>368</v>
      </c>
      <c r="F30">
        <v>151</v>
      </c>
      <c r="G30" s="2">
        <f t="shared" si="0"/>
        <v>55568</v>
      </c>
      <c r="H30">
        <f t="shared" si="1"/>
        <v>31</v>
      </c>
    </row>
    <row r="31" spans="1:8" x14ac:dyDescent="0.2">
      <c r="A31" t="s">
        <v>21</v>
      </c>
      <c r="B31" t="s">
        <v>7</v>
      </c>
      <c r="C31" t="s">
        <v>16</v>
      </c>
      <c r="D31" t="s">
        <v>17</v>
      </c>
      <c r="E31">
        <v>568</v>
      </c>
      <c r="F31">
        <v>111</v>
      </c>
      <c r="G31" s="2">
        <f t="shared" si="0"/>
        <v>63048</v>
      </c>
      <c r="H31">
        <f t="shared" si="1"/>
        <v>21</v>
      </c>
    </row>
    <row r="32" spans="1:8" x14ac:dyDescent="0.2">
      <c r="A32" t="s">
        <v>21</v>
      </c>
      <c r="B32" t="s">
        <v>8</v>
      </c>
      <c r="C32" t="s">
        <v>16</v>
      </c>
      <c r="D32" t="s">
        <v>17</v>
      </c>
      <c r="E32">
        <v>568</v>
      </c>
      <c r="F32">
        <v>211</v>
      </c>
      <c r="G32" s="2">
        <f t="shared" si="0"/>
        <v>119848</v>
      </c>
      <c r="H32">
        <f t="shared" si="1"/>
        <v>4</v>
      </c>
    </row>
    <row r="33" spans="1:8" x14ac:dyDescent="0.2">
      <c r="A33" t="s">
        <v>21</v>
      </c>
      <c r="B33" t="s">
        <v>9</v>
      </c>
      <c r="C33" t="s">
        <v>14</v>
      </c>
      <c r="D33" t="s">
        <v>17</v>
      </c>
      <c r="E33">
        <v>568</v>
      </c>
      <c r="F33">
        <v>186</v>
      </c>
      <c r="G33" s="2">
        <f t="shared" si="0"/>
        <v>105648</v>
      </c>
      <c r="H33">
        <f t="shared" si="1"/>
        <v>6</v>
      </c>
    </row>
    <row r="34" spans="1:8" x14ac:dyDescent="0.2">
      <c r="A34" t="s">
        <v>21</v>
      </c>
      <c r="B34" t="s">
        <v>10</v>
      </c>
      <c r="C34" t="s">
        <v>14</v>
      </c>
      <c r="D34" t="s">
        <v>17</v>
      </c>
      <c r="E34">
        <v>568</v>
      </c>
      <c r="F34">
        <v>102</v>
      </c>
      <c r="G34" s="2">
        <f t="shared" si="0"/>
        <v>57936</v>
      </c>
      <c r="H34">
        <f t="shared" si="1"/>
        <v>28</v>
      </c>
    </row>
    <row r="35" spans="1:8" x14ac:dyDescent="0.2">
      <c r="A35" t="s">
        <v>21</v>
      </c>
      <c r="B35" t="s">
        <v>7</v>
      </c>
      <c r="C35" t="s">
        <v>18</v>
      </c>
      <c r="D35" t="s">
        <v>19</v>
      </c>
      <c r="E35">
        <v>488</v>
      </c>
      <c r="F35">
        <v>166</v>
      </c>
      <c r="G35" s="2">
        <f t="shared" si="0"/>
        <v>81008</v>
      </c>
      <c r="H35">
        <f t="shared" si="1"/>
        <v>12</v>
      </c>
    </row>
    <row r="36" spans="1:8" x14ac:dyDescent="0.2">
      <c r="A36" t="s">
        <v>21</v>
      </c>
      <c r="B36" t="s">
        <v>8</v>
      </c>
      <c r="C36" t="s">
        <v>18</v>
      </c>
      <c r="D36" t="s">
        <v>19</v>
      </c>
      <c r="E36">
        <v>488</v>
      </c>
      <c r="F36">
        <v>261</v>
      </c>
      <c r="G36" s="2">
        <f t="shared" si="0"/>
        <v>127368</v>
      </c>
      <c r="H36">
        <f t="shared" si="1"/>
        <v>3</v>
      </c>
    </row>
    <row r="37" spans="1:8" x14ac:dyDescent="0.2">
      <c r="A37" t="s">
        <v>21</v>
      </c>
      <c r="B37" t="s">
        <v>9</v>
      </c>
      <c r="C37" t="s">
        <v>15</v>
      </c>
      <c r="D37" t="s">
        <v>19</v>
      </c>
      <c r="E37">
        <v>488</v>
      </c>
      <c r="F37">
        <v>201</v>
      </c>
      <c r="G37" s="2">
        <f t="shared" si="0"/>
        <v>98088</v>
      </c>
      <c r="H37">
        <f t="shared" si="1"/>
        <v>10</v>
      </c>
    </row>
    <row r="38" spans="1:8" x14ac:dyDescent="0.2">
      <c r="A38" t="s">
        <v>21</v>
      </c>
      <c r="B38" t="s">
        <v>10</v>
      </c>
      <c r="C38" t="s">
        <v>15</v>
      </c>
      <c r="D38" t="s">
        <v>19</v>
      </c>
      <c r="E38">
        <v>488</v>
      </c>
      <c r="F38">
        <v>109</v>
      </c>
      <c r="G38" s="2">
        <f t="shared" si="0"/>
        <v>53192</v>
      </c>
      <c r="H38">
        <f t="shared" si="1"/>
        <v>33</v>
      </c>
    </row>
  </sheetData>
  <mergeCells count="1">
    <mergeCell ref="A1:H1"/>
  </mergeCells>
  <phoneticPr fontId="1" type="noConversion"/>
  <conditionalFormatting sqref="H2">
    <cfRule type="cellIs" dxfId="8" priority="5" operator="lessThan">
      <formula>11</formula>
    </cfRule>
    <cfRule type="cellIs" dxfId="7" priority="3" operator="lessThan">
      <formula>11</formula>
    </cfRule>
  </conditionalFormatting>
  <conditionalFormatting sqref="H3:H38">
    <cfRule type="cellIs" dxfId="0" priority="4" operator="lessThan">
      <formula>11</formula>
    </cfRule>
    <cfRule type="cellIs" dxfId="1" priority="2" operator="lessThan">
      <formula>11</formula>
    </cfRule>
    <cfRule type="cellIs" dxfId="2" priority="1" operator="lessThan">
      <formula>11</formula>
    </cfRule>
  </conditionalFormatting>
  <pageMargins left="0.7" right="0.7" top="0.75" bottom="0.75" header="0.3" footer="0.3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ttlx</cp:lastModifiedBy>
  <dcterms:created xsi:type="dcterms:W3CDTF">2015-06-05T18:17:20Z</dcterms:created>
  <dcterms:modified xsi:type="dcterms:W3CDTF">2021-05-18T05:59:02Z</dcterms:modified>
</cp:coreProperties>
</file>
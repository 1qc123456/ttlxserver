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3995" windowHeight="67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2" i="1" l="1"/>
  <c r="G6" i="1"/>
  <c r="G7" i="1"/>
  <c r="G8" i="1"/>
  <c r="G9" i="1"/>
  <c r="G10" i="1"/>
  <c r="G11" i="1"/>
  <c r="G5" i="1"/>
  <c r="G12" i="1" s="1"/>
  <c r="G13" i="1" l="1"/>
  <c r="E13" i="1" s="1"/>
</calcChain>
</file>

<file path=xl/sharedStrings.xml><?xml version="1.0" encoding="utf-8"?>
<sst xmlns="http://schemas.openxmlformats.org/spreadsheetml/2006/main" count="27" uniqueCount="21">
  <si>
    <t>出差预算表</t>
    <phoneticPr fontId="4" type="noConversion"/>
  </si>
  <si>
    <t>出差开支预算</t>
    <phoneticPr fontId="4" type="noConversion"/>
  </si>
  <si>
    <t>单价</t>
    <phoneticPr fontId="4" type="noConversion"/>
  </si>
  <si>
    <t>数量</t>
    <phoneticPr fontId="4" type="noConversion"/>
  </si>
  <si>
    <t>单位</t>
    <phoneticPr fontId="4" type="noConversion"/>
  </si>
  <si>
    <t xml:space="preserve">    总计</t>
    <phoneticPr fontId="7" type="noConversion"/>
  </si>
  <si>
    <t>飞机票价</t>
    <phoneticPr fontId="7" type="noConversion"/>
  </si>
  <si>
    <t>机票单价（往）</t>
    <phoneticPr fontId="7" type="noConversion"/>
  </si>
  <si>
    <t>张</t>
    <phoneticPr fontId="7" type="noConversion"/>
  </si>
  <si>
    <t>机票单价（返）</t>
    <phoneticPr fontId="7" type="noConversion"/>
  </si>
  <si>
    <t>其他</t>
    <phoneticPr fontId="7" type="noConversion"/>
  </si>
  <si>
    <t>份</t>
    <phoneticPr fontId="4" type="noConversion"/>
  </si>
  <si>
    <t>酒店</t>
    <phoneticPr fontId="7" type="noConversion"/>
  </si>
  <si>
    <t>每晚费用</t>
    <phoneticPr fontId="7" type="noConversion"/>
  </si>
  <si>
    <t>晚</t>
    <phoneticPr fontId="7" type="noConversion"/>
  </si>
  <si>
    <t>餐饮</t>
    <phoneticPr fontId="7" type="noConversion"/>
  </si>
  <si>
    <t>每天费用</t>
    <phoneticPr fontId="7" type="noConversion"/>
  </si>
  <si>
    <t>天</t>
    <phoneticPr fontId="7" type="noConversion"/>
  </si>
  <si>
    <t>交通费用</t>
    <phoneticPr fontId="7" type="noConversion"/>
  </si>
  <si>
    <t>出差开支总费用</t>
    <phoneticPr fontId="4" type="noConversion"/>
  </si>
  <si>
    <t>出差差额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</si>
</sst>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(&quot;¥&quot;* #,##0.00_);_(&quot;¥&quot;* \(#,##0.00\);_(&quot;¥&quot;* &quot;-&quot;??_);_(@_)"/>
    <numFmt numFmtId="177" formatCode="0.00_ "/>
  </numFmts>
  <fonts count="10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黑体"/>
      <family val="3"/>
      <charset val="134"/>
    </font>
    <font>
      <sz val="8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 applyProtection="1">
      <protection locked="0"/>
    </xf>
    <xf numFmtId="0" fontId="0" fillId="0" borderId="0" xfId="0" applyNumberFormat="1" applyAlignment="1" applyProtection="1">
      <alignment horizontal="center"/>
      <protection locked="0"/>
    </xf>
    <xf numFmtId="0" fontId="5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NumberForma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NumberFormat="1" applyFont="1" applyFill="1" applyBorder="1" applyAlignment="1" applyProtection="1">
      <alignment vertical="center"/>
      <protection locked="0"/>
    </xf>
    <xf numFmtId="0" fontId="8" fillId="0" borderId="0" xfId="0" applyNumberFormat="1" applyFont="1" applyFill="1" applyBorder="1" applyAlignment="1" applyProtection="1">
      <alignment horizontal="left" vertical="center" indent="1"/>
      <protection locked="0"/>
    </xf>
    <xf numFmtId="0" fontId="0" fillId="0" borderId="0" xfId="1" applyNumberFormat="1" applyFont="1" applyFill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left" vertical="center" indent="1"/>
      <protection locked="0"/>
    </xf>
    <xf numFmtId="0" fontId="0" fillId="0" borderId="0" xfId="0" applyNumberFormat="1" applyBorder="1" applyAlignment="1" applyProtection="1">
      <alignment vertical="center"/>
      <protection locked="0"/>
    </xf>
    <xf numFmtId="0" fontId="8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177" fontId="0" fillId="0" borderId="0" xfId="0" applyNumberFormat="1" applyBorder="1" applyAlignment="1" applyProtection="1">
      <alignment vertical="center"/>
      <protection locked="0"/>
    </xf>
    <xf numFmtId="177" fontId="0" fillId="0" borderId="0" xfId="1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(Sheet1!$B$5,Sheet1!$B$8,Sheet1!$B$10,Sheet1!$B$11)</c:f>
              <c:strCache>
                <c:ptCount val="4"/>
                <c:pt idx="0">
                  <c:v>机票单价（往）</c:v>
                </c:pt>
                <c:pt idx="1">
                  <c:v>每晚费用</c:v>
                </c:pt>
                <c:pt idx="2">
                  <c:v>每天费用</c:v>
                </c:pt>
                <c:pt idx="3">
                  <c:v>每天费用</c:v>
                </c:pt>
              </c:strCache>
            </c:strRef>
          </c:cat>
          <c:val>
            <c:numRef>
              <c:f>(Sheet1!$D$5,Sheet1!$D$8,Sheet1!$D$10,Sheet1!$D$11)</c:f>
              <c:numCache>
                <c:formatCode>General</c:formatCode>
                <c:ptCount val="4"/>
                <c:pt idx="0">
                  <c:v>1300</c:v>
                </c:pt>
                <c:pt idx="1">
                  <c:v>275</c:v>
                </c:pt>
                <c:pt idx="2">
                  <c:v>148</c:v>
                </c:pt>
                <c:pt idx="3">
                  <c:v>152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13</xdr:row>
      <xdr:rowOff>179070</xdr:rowOff>
    </xdr:from>
    <xdr:to>
      <xdr:col>6</xdr:col>
      <xdr:colOff>129540</xdr:colOff>
      <xdr:row>28</xdr:row>
      <xdr:rowOff>179070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J9" sqref="J9"/>
    </sheetView>
  </sheetViews>
  <sheetFormatPr defaultColWidth="9" defaultRowHeight="13.5"/>
  <cols>
    <col min="1" max="1" width="13" style="3" bestFit="1" customWidth="1"/>
    <col min="2" max="2" width="13.125" style="3" bestFit="1" customWidth="1"/>
    <col min="3" max="3" width="13.125" style="3" customWidth="1"/>
    <col min="4" max="4" width="9" style="3" bestFit="1" customWidth="1"/>
    <col min="5" max="5" width="17.75" style="3" customWidth="1"/>
    <col min="6" max="6" width="6.75" style="3" bestFit="1" customWidth="1"/>
    <col min="7" max="7" width="10.5" style="3" bestFit="1" customWidth="1"/>
    <col min="8" max="16384" width="9" style="3"/>
  </cols>
  <sheetData>
    <row r="1" spans="1:11" ht="13.5" customHeight="1">
      <c r="A1" s="21" t="s">
        <v>0</v>
      </c>
      <c r="B1" s="21"/>
      <c r="C1" s="21"/>
      <c r="D1" s="21"/>
      <c r="E1" s="21"/>
      <c r="F1" s="21"/>
      <c r="G1" s="21"/>
      <c r="H1" s="2"/>
      <c r="I1" s="2"/>
      <c r="J1" s="2"/>
      <c r="K1" s="2"/>
    </row>
    <row r="2" spans="1:11" ht="13.5" customHeight="1">
      <c r="A2" s="21"/>
      <c r="B2" s="21"/>
      <c r="C2" s="21"/>
      <c r="D2" s="21"/>
      <c r="E2" s="21"/>
      <c r="F2" s="21"/>
      <c r="G2" s="21"/>
      <c r="H2" s="2"/>
      <c r="I2" s="2"/>
      <c r="J2" s="2"/>
      <c r="K2" s="2"/>
    </row>
    <row r="3" spans="1:11">
      <c r="A3" s="4"/>
      <c r="B3" s="4"/>
      <c r="C3" s="4"/>
      <c r="D3" s="4"/>
      <c r="E3" s="5"/>
      <c r="F3" s="4"/>
      <c r="G3" s="4"/>
      <c r="H3" s="2"/>
      <c r="I3" s="2"/>
      <c r="J3" s="2"/>
      <c r="K3" s="2"/>
    </row>
    <row r="4" spans="1:11">
      <c r="A4" s="6"/>
      <c r="B4" s="7"/>
      <c r="C4" s="7" t="s">
        <v>1</v>
      </c>
      <c r="D4" s="8" t="s">
        <v>2</v>
      </c>
      <c r="E4" s="9" t="s">
        <v>3</v>
      </c>
      <c r="F4" s="7" t="s">
        <v>4</v>
      </c>
      <c r="G4" s="10" t="s">
        <v>5</v>
      </c>
      <c r="H4" s="2"/>
      <c r="I4" s="2"/>
      <c r="J4" s="2"/>
      <c r="K4" s="2"/>
    </row>
    <row r="5" spans="1:11">
      <c r="A5" s="1" t="s">
        <v>6</v>
      </c>
      <c r="B5" s="11" t="s">
        <v>7</v>
      </c>
      <c r="C5" s="11">
        <v>1200</v>
      </c>
      <c r="D5" s="8">
        <v>1300</v>
      </c>
      <c r="E5" s="9">
        <v>1</v>
      </c>
      <c r="F5" s="12" t="s">
        <v>8</v>
      </c>
      <c r="G5" s="13">
        <f>D5*E5</f>
        <v>1300</v>
      </c>
      <c r="H5" s="2"/>
      <c r="I5" s="2"/>
      <c r="J5" s="2"/>
      <c r="K5" s="2"/>
    </row>
    <row r="6" spans="1:11">
      <c r="A6" s="1"/>
      <c r="B6" s="11" t="s">
        <v>9</v>
      </c>
      <c r="C6" s="11">
        <v>900</v>
      </c>
      <c r="D6" s="8">
        <v>875</v>
      </c>
      <c r="E6" s="9">
        <v>1</v>
      </c>
      <c r="F6" s="12" t="s">
        <v>8</v>
      </c>
      <c r="G6" s="13">
        <f t="shared" ref="G6:G11" si="0">D6*E6</f>
        <v>875</v>
      </c>
      <c r="H6" s="2"/>
      <c r="I6" s="2"/>
      <c r="J6" s="2"/>
      <c r="K6" s="2"/>
    </row>
    <row r="7" spans="1:11">
      <c r="A7" s="1"/>
      <c r="B7" s="11" t="s">
        <v>10</v>
      </c>
      <c r="C7" s="11">
        <v>0</v>
      </c>
      <c r="D7" s="8">
        <v>10</v>
      </c>
      <c r="E7" s="9">
        <v>1</v>
      </c>
      <c r="F7" s="14" t="s">
        <v>11</v>
      </c>
      <c r="G7" s="13">
        <f t="shared" si="0"/>
        <v>10</v>
      </c>
      <c r="H7" s="2"/>
      <c r="I7" s="2"/>
      <c r="J7" s="2"/>
      <c r="K7" s="2"/>
    </row>
    <row r="8" spans="1:11">
      <c r="A8" s="1" t="s">
        <v>12</v>
      </c>
      <c r="B8" s="11" t="s">
        <v>13</v>
      </c>
      <c r="C8" s="11">
        <v>300</v>
      </c>
      <c r="D8" s="8">
        <v>275</v>
      </c>
      <c r="E8" s="9">
        <v>3</v>
      </c>
      <c r="F8" s="12" t="s">
        <v>14</v>
      </c>
      <c r="G8" s="13">
        <f t="shared" si="0"/>
        <v>825</v>
      </c>
      <c r="H8" s="2"/>
      <c r="I8" s="2"/>
      <c r="J8" s="2"/>
      <c r="K8" s="2"/>
    </row>
    <row r="9" spans="1:11">
      <c r="A9" s="1"/>
      <c r="B9" s="11" t="s">
        <v>10</v>
      </c>
      <c r="C9" s="11">
        <v>10</v>
      </c>
      <c r="D9" s="8">
        <v>15</v>
      </c>
      <c r="E9" s="9">
        <v>1</v>
      </c>
      <c r="F9" s="12" t="s">
        <v>14</v>
      </c>
      <c r="G9" s="13">
        <f t="shared" si="0"/>
        <v>15</v>
      </c>
      <c r="H9" s="2"/>
      <c r="I9" s="2"/>
      <c r="J9" s="2"/>
      <c r="K9" s="2"/>
    </row>
    <row r="10" spans="1:11">
      <c r="A10" s="1" t="s">
        <v>15</v>
      </c>
      <c r="B10" s="11" t="s">
        <v>16</v>
      </c>
      <c r="C10" s="11">
        <v>150</v>
      </c>
      <c r="D10" s="8">
        <v>148</v>
      </c>
      <c r="E10" s="9">
        <v>6</v>
      </c>
      <c r="F10" s="12" t="s">
        <v>17</v>
      </c>
      <c r="G10" s="13">
        <f t="shared" si="0"/>
        <v>888</v>
      </c>
      <c r="H10" s="2"/>
      <c r="I10" s="2"/>
      <c r="J10" s="2"/>
      <c r="K10" s="2"/>
    </row>
    <row r="11" spans="1:11">
      <c r="A11" s="1" t="s">
        <v>18</v>
      </c>
      <c r="B11" s="11" t="s">
        <v>16</v>
      </c>
      <c r="C11" s="11">
        <v>100</v>
      </c>
      <c r="D11" s="8">
        <v>152</v>
      </c>
      <c r="E11" s="9">
        <v>6</v>
      </c>
      <c r="F11" s="12" t="s">
        <v>17</v>
      </c>
      <c r="G11" s="13">
        <f t="shared" si="0"/>
        <v>912</v>
      </c>
      <c r="H11" s="2"/>
      <c r="I11" s="2"/>
      <c r="J11" s="2"/>
      <c r="K11" s="2"/>
    </row>
    <row r="12" spans="1:11">
      <c r="A12" s="15"/>
      <c r="B12" s="15" t="s">
        <v>1</v>
      </c>
      <c r="C12" s="19">
        <f>SUM(C5:C11)</f>
        <v>2660</v>
      </c>
      <c r="D12" s="15"/>
      <c r="E12" s="16" t="s">
        <v>19</v>
      </c>
      <c r="F12" s="17"/>
      <c r="G12" s="13">
        <f>SUM(G5:G11)</f>
        <v>4825</v>
      </c>
      <c r="H12" s="2"/>
      <c r="I12" s="2"/>
      <c r="J12" s="2"/>
      <c r="K12" s="2"/>
    </row>
    <row r="13" spans="1:11">
      <c r="A13" s="15"/>
      <c r="B13" s="15"/>
      <c r="C13" s="15"/>
      <c r="D13" s="15" t="s">
        <v>20</v>
      </c>
      <c r="E13" s="18" t="str">
        <f>IF(G13&gt;0,"费用未超出","费用不足，需补齐")</f>
        <v>费用不足，需补齐</v>
      </c>
      <c r="F13" s="17"/>
      <c r="G13" s="20">
        <f>C12-G12</f>
        <v>-2165</v>
      </c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mergeCells count="1">
    <mergeCell ref="A1:G2"/>
  </mergeCells>
  <phoneticPr fontId="3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ttlx</cp:lastModifiedBy>
  <dcterms:created xsi:type="dcterms:W3CDTF">2018-12-26T02:46:31Z</dcterms:created>
  <dcterms:modified xsi:type="dcterms:W3CDTF">2021-05-18T02:25:09Z</dcterms:modified>
</cp:coreProperties>
</file>
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495" windowHeight="12360" firstSheet="1"/>
  </bookViews>
  <sheets>
    <sheet name="员工信息表" sheetId="1" r:id="rId1"/>
    <sheet name="1月部门费用" sheetId="2" r:id="rId2"/>
    <sheet name="Sheet2" sheetId="3" r:id="rId3"/>
    <sheet name="Sheet3" sheetId="4" r:id="rId4"/>
  </sheets>
  <calcPr calcId="144525"/>
  <pivotCaches>
    <pivotCache cacheId="0" r:id="rId5"/>
  </pivotCaches>
</workbook>
</file>

<file path=xl/sharedStrings.xml><?xml version="1.0" encoding="utf-8"?>
<sst xmlns="http://schemas.openxmlformats.org/spreadsheetml/2006/main" count="487" uniqueCount="149">
  <si>
    <t>2023年员工信息统计表</t>
  </si>
  <si>
    <t>员工编号</t>
  </si>
  <si>
    <t>姓名</t>
  </si>
  <si>
    <t>年龄</t>
  </si>
  <si>
    <t>性别</t>
  </si>
  <si>
    <t>部门</t>
  </si>
  <si>
    <t>入职日期</t>
  </si>
  <si>
    <t>身份证号码</t>
  </si>
  <si>
    <t>工龄</t>
  </si>
  <si>
    <t>省市区地址</t>
  </si>
  <si>
    <t>LR1120001</t>
  </si>
  <si>
    <t>李秀茹</t>
  </si>
  <si>
    <t>市场部</t>
  </si>
  <si>
    <t>130111200102265029</t>
  </si>
  <si>
    <t>广东省江门市蓬江区</t>
  </si>
  <si>
    <t>LR1120002</t>
  </si>
  <si>
    <t>张方梅</t>
  </si>
  <si>
    <t>行政部</t>
  </si>
  <si>
    <t>132422199911167842</t>
  </si>
  <si>
    <t>福建省厦门市思明区</t>
  </si>
  <si>
    <t>LR1120003</t>
  </si>
  <si>
    <t>夏明星</t>
  </si>
  <si>
    <t>技术部</t>
  </si>
  <si>
    <t>132622200011304622</t>
  </si>
  <si>
    <t>广西壮族自治区南宁市青秀区</t>
  </si>
  <si>
    <t>LR1120004</t>
  </si>
  <si>
    <t>伍和周</t>
  </si>
  <si>
    <t>销售部</t>
  </si>
  <si>
    <t>132623199901110911</t>
  </si>
  <si>
    <t>浙江省台州市路桥区</t>
  </si>
  <si>
    <t>LR1120005</t>
  </si>
  <si>
    <t>刘蝶</t>
  </si>
  <si>
    <t>130322200106261623</t>
  </si>
  <si>
    <t>湖南省长沙市雨花区</t>
  </si>
  <si>
    <t>LR1120009</t>
  </si>
  <si>
    <t>程婧</t>
  </si>
  <si>
    <t>131022200002090024</t>
  </si>
  <si>
    <t>江苏省无锡市新吴区</t>
  </si>
  <si>
    <t>LR1130061</t>
  </si>
  <si>
    <t>陈颖</t>
  </si>
  <si>
    <t>130822200108246248</t>
  </si>
  <si>
    <t>广东省深圳市福田区</t>
  </si>
  <si>
    <t>LR1130062</t>
  </si>
  <si>
    <t>余悦</t>
  </si>
  <si>
    <t>财务部</t>
  </si>
  <si>
    <t>130824200011282824</t>
  </si>
  <si>
    <t>福建省泉州市丰泽区</t>
  </si>
  <si>
    <t>LR1130064</t>
  </si>
  <si>
    <t>桂倩倩</t>
  </si>
  <si>
    <t>130824200102143048</t>
  </si>
  <si>
    <t>海南省海口市龙华区</t>
  </si>
  <si>
    <t>LR1130066</t>
  </si>
  <si>
    <t>李俊</t>
  </si>
  <si>
    <t>130824200201112618</t>
  </si>
  <si>
    <t>江西省南昌市青云谱区</t>
  </si>
  <si>
    <t>LR1130069</t>
  </si>
  <si>
    <t>解振鑫</t>
  </si>
  <si>
    <t>130826200105199218</t>
  </si>
  <si>
    <t>广东省广州市海珠区</t>
  </si>
  <si>
    <t>LR1130071</t>
  </si>
  <si>
    <t>刘安</t>
  </si>
  <si>
    <t>130827200107242714</t>
  </si>
  <si>
    <t>福建省福州市台江区</t>
  </si>
  <si>
    <t>LR1130072</t>
  </si>
  <si>
    <t>刘琦</t>
  </si>
  <si>
    <t>130827200101230018</t>
  </si>
  <si>
    <t>广西壮族自治区柳州市城中区</t>
  </si>
  <si>
    <t>LR1130114</t>
  </si>
  <si>
    <t>卞亭亭</t>
  </si>
  <si>
    <t>13122220001121822X</t>
  </si>
  <si>
    <t>浙江省温州市鹿城区</t>
  </si>
  <si>
    <t>LR1140084</t>
  </si>
  <si>
    <t>张全</t>
  </si>
  <si>
    <t>130521199910102817</t>
  </si>
  <si>
    <t>湖南省岳阳市岳阳楼区</t>
  </si>
  <si>
    <t>LR1140085</t>
  </si>
  <si>
    <t>丁治玲</t>
  </si>
  <si>
    <t>130521200004202069</t>
  </si>
  <si>
    <t>江苏省南京市玄武区</t>
  </si>
  <si>
    <t>LR1140087</t>
  </si>
  <si>
    <t>张文静</t>
  </si>
  <si>
    <t>130521200012254029</t>
  </si>
  <si>
    <t>广东省佛山市禅城区</t>
  </si>
  <si>
    <t>LR1140235</t>
  </si>
  <si>
    <t>舒婷婷</t>
  </si>
  <si>
    <t>13242520011231242X</t>
  </si>
  <si>
    <t>福建省漳州市芗城区</t>
  </si>
  <si>
    <t>LR1140237</t>
  </si>
  <si>
    <t>王欢</t>
  </si>
  <si>
    <t>132425200004192421</t>
  </si>
  <si>
    <t>海南省三亚市河西区</t>
  </si>
  <si>
    <t>LR1140239</t>
  </si>
  <si>
    <t>束梦婷</t>
  </si>
  <si>
    <t>132425200101300722</t>
  </si>
  <si>
    <t>江西省赣州市章贡区</t>
  </si>
  <si>
    <t>LR1160010</t>
  </si>
  <si>
    <t>万莹莹</t>
  </si>
  <si>
    <t>13262320001222062X</t>
  </si>
  <si>
    <t>广东省惠州市惠城区</t>
  </si>
  <si>
    <t>LR1160011</t>
  </si>
  <si>
    <t>梁正</t>
  </si>
  <si>
    <t>130222200109290010</t>
  </si>
  <si>
    <t>福建省厦门市湖里区</t>
  </si>
  <si>
    <t>LR1160012</t>
  </si>
  <si>
    <t>施海琴</t>
  </si>
  <si>
    <t>130222200101013908</t>
  </si>
  <si>
    <t>广西壮族自治区桂林市象山区</t>
  </si>
  <si>
    <t>LR1160013</t>
  </si>
  <si>
    <t>梅思怡</t>
  </si>
  <si>
    <t>130223200103010846</t>
  </si>
  <si>
    <t>浙江省杭州市拱墅区</t>
  </si>
  <si>
    <t>LR1160014</t>
  </si>
  <si>
    <t>吴硕</t>
  </si>
  <si>
    <t>132626200102174710</t>
  </si>
  <si>
    <t>湖南省株洲市天元区</t>
  </si>
  <si>
    <t>LR1220056</t>
  </si>
  <si>
    <t>薛岩岩</t>
  </si>
  <si>
    <t>131322200101043628</t>
  </si>
  <si>
    <t>江苏省常州市天宁区</t>
  </si>
  <si>
    <t>LR4120062</t>
  </si>
  <si>
    <t>甘雨</t>
  </si>
  <si>
    <t>132423200102216781</t>
  </si>
  <si>
    <t>广东省东莞市南城区</t>
  </si>
  <si>
    <t>LR4120063</t>
  </si>
  <si>
    <t>任杰</t>
  </si>
  <si>
    <t>13242519991011481X</t>
  </si>
  <si>
    <t>福建省泉州市洛江区</t>
  </si>
  <si>
    <t>LR4120067</t>
  </si>
  <si>
    <t>罗淼</t>
  </si>
  <si>
    <t>131621200202213917</t>
  </si>
  <si>
    <t>海南省海口市美兰区</t>
  </si>
  <si>
    <t>LR4120068</t>
  </si>
  <si>
    <t>翟雪成</t>
  </si>
  <si>
    <t>131223200202230116</t>
  </si>
  <si>
    <t>江西省九江市浔阳区</t>
  </si>
  <si>
    <t>月</t>
  </si>
  <si>
    <t>日</t>
  </si>
  <si>
    <t>科目划分</t>
  </si>
  <si>
    <t>费用</t>
  </si>
  <si>
    <t>出差费</t>
  </si>
  <si>
    <t>话补费</t>
  </si>
  <si>
    <t>招待费</t>
  </si>
  <si>
    <t>邮寄费</t>
  </si>
  <si>
    <t>办公用品</t>
  </si>
  <si>
    <t>资料费</t>
  </si>
  <si>
    <t>平均值项:工龄</t>
  </si>
  <si>
    <t>总计</t>
  </si>
  <si>
    <t>女</t>
  </si>
  <si>
    <t>男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</si>
</sst>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0.5"/>
      <color rgb="FF24292F"/>
      <name val="Segoe UI"/>
      <charset val="134"/>
    </font>
    <font>
      <sz val="10"/>
      <color theme="1"/>
      <name val="宋体"/>
      <charset val="134"/>
      <scheme val="minor"/>
    </font>
    <font>
      <sz val="16"/>
      <color theme="1"/>
      <name val="楷体"/>
      <charset val="134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b val="1"/>
        <i val="1"/>
        <color rgb="FFFF000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fgColor theme="4"/>
          <bgColor theme="4"/>
        </patternFill>
      </fill>
      <border>
        <horizontal style="thin">
          <color theme="4" tint="-0.49998474074526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horizontal style="thin">
          <color theme="4" tint="-0.499984740745262"/>
        </horizontal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</dxf>
    <dxf>
      <border>
        <left style="thin">
          <color theme="4" tint="0.399975585192419"/>
        </left>
        <right style="thin">
          <color theme="4" tint="0.399975585192419"/>
        </right>
      </border>
    </dxf>
    <dxf>
      <border>
        <top style="thin">
          <color theme="4" tint="0.399975585192419"/>
        </top>
        <bottom style="thin">
          <color theme="4" tint="0.399975585192419"/>
        </bottom>
        <horizontal style="thin">
          <color theme="4" tint="0.399975585192419"/>
        </horizontal>
      </border>
    </dxf>
    <dxf>
      <font>
        <b val="1"/>
      </font>
      <border>
        <top style="thin">
          <color theme="4" tint="-0.249977111117893"/>
        </top>
        <bottom style="medium">
          <color theme="4" tint="-0.249977111117893"/>
        </bottom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top style="thin">
          <color theme="4"/>
        </top>
      </border>
    </dxf>
    <dxf>
      <font>
        <color theme="1"/>
      </font>
    </dxf>
  </dxfs>
  <tableStyles count="1" defaultTableStyle="TableStyleMedium2" defaultPivotStyle="PivotStyleLight16">
    <tableStyle name="PivotStylePreset3_Accent1" table="0" count="10" xr9:uid="{596B0756-EA77-4524-A990-578CE70DFEA9}">
      <tableStyleElement type="wholeTable" dxfId="12"/>
      <tableStyleElement type="headerRow" dxfId="11"/>
      <tableStyleElement type="totalRow" dxfId="10"/>
      <tableStyleElement type="secondRowStripe" dxfId="9"/>
      <tableStyleElement type="secondColumnStripe" dxfId="8"/>
      <tableStyleElement type="first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294.4444328704" refreshedBy="zy" recordCount="30">
  <cacheSource type="worksheet">
    <worksheetSource ref="A2:I32" sheet="Sheet3"/>
  </cacheSource>
  <cacheFields count="9">
    <cacheField name="员工编号" numFmtId="0">
      <sharedItems count="30">
        <s v="LR1120001"/>
        <s v="LR1120002"/>
        <s v="LR1120003"/>
        <s v="LR1120004"/>
        <s v="LR1120005"/>
        <s v="LR1120009"/>
        <s v="LR1130061"/>
        <s v="LR1130062"/>
        <s v="LR1130064"/>
        <s v="LR1130066"/>
        <s v="LR1130069"/>
        <s v="LR1130071"/>
        <s v="LR1130072"/>
        <s v="LR1130114"/>
        <s v="LR1140084"/>
        <s v="LR1140085"/>
        <s v="LR1140087"/>
        <s v="LR1140235"/>
        <s v="LR1140237"/>
        <s v="LR1140239"/>
        <s v="LR1160010"/>
        <s v="LR1160011"/>
        <s v="LR1160012"/>
        <s v="LR1160013"/>
        <s v="LR1160014"/>
        <s v="LR1220056"/>
        <s v="LR4120062"/>
        <s v="LR4120063"/>
        <s v="LR4120067"/>
        <s v="LR4120068"/>
      </sharedItems>
    </cacheField>
    <cacheField name="姓名" numFmtId="0">
      <sharedItems count="30">
        <s v="李秀茹"/>
        <s v="张方梅"/>
        <s v="夏明星"/>
        <s v="伍和周"/>
        <s v="刘蝶"/>
        <s v="程婧"/>
        <s v="陈颖"/>
        <s v="余悦"/>
        <s v="桂倩倩"/>
        <s v="李俊"/>
        <s v="解振鑫"/>
        <s v="刘安"/>
        <s v="刘琦"/>
        <s v="卞亭亭"/>
        <s v="张全"/>
        <s v="丁治玲"/>
        <s v="张文静"/>
        <s v="舒婷婷"/>
        <s v="王欢"/>
        <s v="束梦婷"/>
        <s v="万莹莹"/>
        <s v="梁正"/>
        <s v="施海琴"/>
        <s v="梅思怡"/>
        <s v="吴硕"/>
        <s v="薛岩岩"/>
        <s v="甘雨"/>
        <s v="任杰"/>
        <s v="罗淼"/>
        <s v="翟雪成"/>
      </sharedItems>
    </cacheField>
    <cacheField name="年龄" numFmtId="0">
      <sharedItems containsSemiMixedTypes="0" containsString="0" containsNumber="1" containsInteger="1" minValue="0" maxValue="24" count="4">
        <n v="22"/>
        <n v="24"/>
        <n v="23"/>
        <n v="21"/>
      </sharedItems>
    </cacheField>
    <cacheField name="性别" numFmtId="0">
      <sharedItems count="2">
        <s v="女"/>
        <s v="男"/>
      </sharedItems>
    </cacheField>
    <cacheField name="部门" numFmtId="0">
      <sharedItems count="5">
        <s v="市场部"/>
        <s v="行政部"/>
        <s v="技术部"/>
        <s v="销售部"/>
        <s v="财务部"/>
      </sharedItems>
    </cacheField>
    <cacheField name="入职日期" numFmtId="0">
      <sharedItems containsSemiMixedTypes="0" containsString="0" containsNumber="1" containsInteger="1" minValue="0" maxValue="44082" count="30">
        <n v="43640"/>
        <n v="43876"/>
        <n v="43777"/>
        <n v="43437"/>
        <n v="43727"/>
        <n v="43339"/>
        <n v="43565"/>
        <n v="43953"/>
        <n v="43394"/>
        <n v="43660"/>
        <n v="43835"/>
        <n v="43352"/>
        <n v="43828"/>
        <n v="43907"/>
        <n v="43430"/>
        <n v="43686"/>
        <n v="43922"/>
        <n v="43297"/>
        <n v="43495"/>
        <n v="44003"/>
        <n v="43244"/>
        <n v="43502"/>
        <n v="44037"/>
        <n v="43192"/>
        <n v="43751"/>
        <n v="44048"/>
        <n v="43177"/>
        <n v="43614"/>
        <n v="44082"/>
        <n v="43111"/>
      </sharedItems>
    </cacheField>
    <cacheField name="身份证号码" numFmtId="0">
      <sharedItems count="30">
        <s v="130111200102265029"/>
        <s v="132422199911167842"/>
        <s v="132622200011304622"/>
        <s v="132623199901110911"/>
        <s v="130322200106261623"/>
        <s v="131022200002090024"/>
        <s v="130822200108246248"/>
        <s v="130824200011282824"/>
        <s v="130824200102143048"/>
        <s v="130824200201112618"/>
        <s v="130826200105199218"/>
        <s v="130827200107242714"/>
        <s v="130827200101230018"/>
        <s v="13122220001121822X"/>
        <s v="130521199910102817"/>
        <s v="130521200004202069"/>
        <s v="130521200012254029"/>
        <s v="13242520011231242X"/>
        <s v="132425200004192421"/>
        <s v="132425200101300722"/>
        <s v="13262320001222062X"/>
        <s v="130222200109290010"/>
        <s v="130222200101013908"/>
        <s v="130223200103010846"/>
        <s v="132626200102174710"/>
        <s v="131322200101043628"/>
        <s v="132423200102216781"/>
        <s v="13242519991011481X"/>
        <s v="131621200202213917"/>
        <s v="131223200202230116"/>
      </sharedItems>
    </cacheField>
    <cacheField name="工龄" numFmtId="0">
      <sharedItems containsSemiMixedTypes="0" containsString="0" containsNumber="1" containsInteger="1" minValue="0" maxValue="6" count="3">
        <n v="5"/>
        <n v="4"/>
        <n v="6"/>
      </sharedItems>
    </cacheField>
    <cacheField name="省市区地址" numFmtId="0">
      <sharedItems count="30">
        <s v="广东省江门市蓬江区"/>
        <s v="福建省厦门市思明区"/>
        <s v="广西壮族自治区南宁市青秀区"/>
        <s v="浙江省台州市路桥区"/>
        <s v="湖南省长沙市雨花区"/>
        <s v="江苏省无锡市新吴区"/>
        <s v="广东省深圳市福田区"/>
        <s v="福建省泉州市丰泽区"/>
        <s v="海南省海口市龙华区"/>
        <s v="江西省南昌市青云谱区"/>
        <s v="广东省广州市海珠区"/>
        <s v="福建省福州市台江区"/>
        <s v="广西壮族自治区柳州市城中区"/>
        <s v="浙江省温州市鹿城区"/>
        <s v="湖南省岳阳市岳阳楼区"/>
        <s v="江苏省南京市玄武区"/>
        <s v="广东省佛山市禅城区"/>
        <s v="福建省漳州市芗城区"/>
        <s v="海南省三亚市河西区"/>
        <s v="江西省赣州市章贡区"/>
        <s v="广东省惠州市惠城区"/>
        <s v="福建省厦门市湖里区"/>
        <s v="广西壮族自治区桂林市象山区"/>
        <s v="浙江省杭州市拱墅区"/>
        <s v="湖南省株洲市天元区"/>
        <s v="江苏省常州市天宁区"/>
        <s v="广东省东莞市南城区"/>
        <s v="福建省泉州市洛江区"/>
        <s v="海南省海口市美兰区"/>
        <s v="江西省九江市浔阳区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</r>
  <r>
    <x v="2"/>
    <x v="2"/>
    <x v="2"/>
    <x v="0"/>
    <x v="2"/>
    <x v="2"/>
    <x v="2"/>
    <x v="0"/>
    <x v="2"/>
  </r>
  <r>
    <x v="3"/>
    <x v="3"/>
    <x v="1"/>
    <x v="1"/>
    <x v="3"/>
    <x v="3"/>
    <x v="3"/>
    <x v="2"/>
    <x v="3"/>
  </r>
  <r>
    <x v="4"/>
    <x v="4"/>
    <x v="0"/>
    <x v="0"/>
    <x v="2"/>
    <x v="4"/>
    <x v="4"/>
    <x v="0"/>
    <x v="4"/>
  </r>
  <r>
    <x v="5"/>
    <x v="5"/>
    <x v="2"/>
    <x v="0"/>
    <x v="3"/>
    <x v="5"/>
    <x v="5"/>
    <x v="2"/>
    <x v="5"/>
  </r>
  <r>
    <x v="6"/>
    <x v="6"/>
    <x v="0"/>
    <x v="0"/>
    <x v="3"/>
    <x v="6"/>
    <x v="6"/>
    <x v="0"/>
    <x v="6"/>
  </r>
  <r>
    <x v="7"/>
    <x v="7"/>
    <x v="2"/>
    <x v="0"/>
    <x v="4"/>
    <x v="7"/>
    <x v="7"/>
    <x v="1"/>
    <x v="7"/>
  </r>
  <r>
    <x v="8"/>
    <x v="8"/>
    <x v="0"/>
    <x v="0"/>
    <x v="3"/>
    <x v="8"/>
    <x v="8"/>
    <x v="2"/>
    <x v="8"/>
  </r>
  <r>
    <x v="9"/>
    <x v="9"/>
    <x v="3"/>
    <x v="1"/>
    <x v="2"/>
    <x v="9"/>
    <x v="9"/>
    <x v="0"/>
    <x v="9"/>
  </r>
  <r>
    <x v="10"/>
    <x v="10"/>
    <x v="0"/>
    <x v="1"/>
    <x v="3"/>
    <x v="10"/>
    <x v="10"/>
    <x v="1"/>
    <x v="10"/>
  </r>
  <r>
    <x v="11"/>
    <x v="11"/>
    <x v="0"/>
    <x v="1"/>
    <x v="0"/>
    <x v="11"/>
    <x v="11"/>
    <x v="2"/>
    <x v="11"/>
  </r>
  <r>
    <x v="12"/>
    <x v="12"/>
    <x v="0"/>
    <x v="1"/>
    <x v="2"/>
    <x v="12"/>
    <x v="12"/>
    <x v="0"/>
    <x v="12"/>
  </r>
  <r>
    <x v="13"/>
    <x v="13"/>
    <x v="2"/>
    <x v="0"/>
    <x v="3"/>
    <x v="13"/>
    <x v="13"/>
    <x v="1"/>
    <x v="13"/>
  </r>
  <r>
    <x v="14"/>
    <x v="14"/>
    <x v="1"/>
    <x v="1"/>
    <x v="2"/>
    <x v="14"/>
    <x v="14"/>
    <x v="2"/>
    <x v="14"/>
  </r>
  <r>
    <x v="15"/>
    <x v="15"/>
    <x v="2"/>
    <x v="0"/>
    <x v="0"/>
    <x v="15"/>
    <x v="15"/>
    <x v="0"/>
    <x v="15"/>
  </r>
  <r>
    <x v="16"/>
    <x v="16"/>
    <x v="2"/>
    <x v="0"/>
    <x v="0"/>
    <x v="16"/>
    <x v="16"/>
    <x v="1"/>
    <x v="16"/>
  </r>
  <r>
    <x v="17"/>
    <x v="17"/>
    <x v="0"/>
    <x v="0"/>
    <x v="2"/>
    <x v="17"/>
    <x v="17"/>
    <x v="2"/>
    <x v="17"/>
  </r>
  <r>
    <x v="18"/>
    <x v="18"/>
    <x v="2"/>
    <x v="0"/>
    <x v="4"/>
    <x v="18"/>
    <x v="18"/>
    <x v="0"/>
    <x v="18"/>
  </r>
  <r>
    <x v="19"/>
    <x v="19"/>
    <x v="0"/>
    <x v="0"/>
    <x v="1"/>
    <x v="19"/>
    <x v="19"/>
    <x v="1"/>
    <x v="19"/>
  </r>
  <r>
    <x v="20"/>
    <x v="20"/>
    <x v="2"/>
    <x v="0"/>
    <x v="1"/>
    <x v="20"/>
    <x v="20"/>
    <x v="2"/>
    <x v="20"/>
  </r>
  <r>
    <x v="21"/>
    <x v="21"/>
    <x v="0"/>
    <x v="1"/>
    <x v="4"/>
    <x v="21"/>
    <x v="21"/>
    <x v="0"/>
    <x v="21"/>
  </r>
  <r>
    <x v="22"/>
    <x v="22"/>
    <x v="2"/>
    <x v="0"/>
    <x v="0"/>
    <x v="22"/>
    <x v="22"/>
    <x v="1"/>
    <x v="22"/>
  </r>
  <r>
    <x v="23"/>
    <x v="23"/>
    <x v="0"/>
    <x v="0"/>
    <x v="1"/>
    <x v="23"/>
    <x v="23"/>
    <x v="2"/>
    <x v="23"/>
  </r>
  <r>
    <x v="24"/>
    <x v="24"/>
    <x v="0"/>
    <x v="1"/>
    <x v="0"/>
    <x v="24"/>
    <x v="24"/>
    <x v="0"/>
    <x v="24"/>
  </r>
  <r>
    <x v="25"/>
    <x v="25"/>
    <x v="0"/>
    <x v="0"/>
    <x v="2"/>
    <x v="25"/>
    <x v="25"/>
    <x v="1"/>
    <x v="25"/>
  </r>
  <r>
    <x v="26"/>
    <x v="26"/>
    <x v="0"/>
    <x v="0"/>
    <x v="0"/>
    <x v="26"/>
    <x v="26"/>
    <x v="2"/>
    <x v="26"/>
  </r>
  <r>
    <x v="27"/>
    <x v="27"/>
    <x v="1"/>
    <x v="1"/>
    <x v="1"/>
    <x v="27"/>
    <x v="27"/>
    <x v="0"/>
    <x v="27"/>
  </r>
  <r>
    <x v="28"/>
    <x v="28"/>
    <x v="3"/>
    <x v="1"/>
    <x v="3"/>
    <x v="28"/>
    <x v="28"/>
    <x v="1"/>
    <x v="28"/>
  </r>
  <r>
    <x v="29"/>
    <x v="29"/>
    <x v="3"/>
    <x v="1"/>
    <x v="1"/>
    <x v="29"/>
    <x v="29"/>
    <x v="2"/>
    <x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compactData="0" showDrill="0" multipleFieldFilters="0">
  <location ref="A1:C32" firstHeaderRow="1" firstDataRow="1" firstDataCol="2"/>
  <pivotFields count="9">
    <pivotField compact="0" defaultSubtotal="0" outline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axis="axisRow" compact="0" defaultSubtotal="0" outline="0" showAll="0">
      <items count="30">
        <item x="13"/>
        <item x="6"/>
        <item x="5"/>
        <item x="29"/>
        <item x="15"/>
        <item x="26"/>
        <item x="8"/>
        <item x="10"/>
        <item x="9"/>
        <item x="0"/>
        <item x="21"/>
        <item x="11"/>
        <item x="4"/>
        <item x="12"/>
        <item x="28"/>
        <item x="23"/>
        <item x="27"/>
        <item x="22"/>
        <item x="17"/>
        <item x="19"/>
        <item x="20"/>
        <item x="18"/>
        <item x="24"/>
        <item x="3"/>
        <item x="2"/>
        <item x="25"/>
        <item x="7"/>
        <item x="1"/>
        <item x="14"/>
        <item x="16"/>
      </items>
    </pivotField>
    <pivotField compact="0" defaultSubtotal="0" outline="0" showAll="0"/>
    <pivotField compact="0" defaultSubtotal="0" outline="0" showAll="0"/>
    <pivotField axis="axisRow" compact="0" defaultSubtotal="0" outline="0" multipleItemSelectionAllowed="1" showAll="0">
      <items count="5">
        <item x="4"/>
        <item x="2"/>
        <item x="0"/>
        <item x="3"/>
        <item x="1"/>
      </items>
    </pivotField>
    <pivotField compact="0" defaultSubtotal="0" outline="0" numFmtId="176" showAll="0"/>
    <pivotField compact="0" defaultSubtotal="0" outline="0" showAll="0"/>
    <pivotField dataField="1" compact="0" defaultSubtotal="0" outline="0" showAll="0">
      <items count="3">
        <item x="1"/>
        <item x="0"/>
        <item x="2"/>
      </items>
    </pivotField>
    <pivotField compact="0" defaultSubtotal="0" outline="0" showAll="0"/>
  </pivotFields>
  <rowFields count="2">
    <field x="4"/>
    <field x="1"/>
  </rowFields>
  <rowItems count="31">
    <i>
      <x/>
      <x v="10"/>
    </i>
    <i r="1">
      <x v="21"/>
    </i>
    <i r="1">
      <x v="26"/>
    </i>
    <i>
      <x v="1"/>
      <x v="8"/>
    </i>
    <i r="1">
      <x v="12"/>
    </i>
    <i r="1">
      <x v="13"/>
    </i>
    <i r="1">
      <x v="18"/>
    </i>
    <i r="1">
      <x v="24"/>
    </i>
    <i r="1">
      <x v="25"/>
    </i>
    <i r="1">
      <x v="28"/>
    </i>
    <i>
      <x v="2"/>
      <x v="4"/>
    </i>
    <i r="1">
      <x v="5"/>
    </i>
    <i r="1">
      <x v="9"/>
    </i>
    <i r="1">
      <x v="11"/>
    </i>
    <i r="1">
      <x v="17"/>
    </i>
    <i r="1">
      <x v="22"/>
    </i>
    <i r="1">
      <x v="29"/>
    </i>
    <i>
      <x v="3"/>
      <x/>
    </i>
    <i r="1">
      <x v="1"/>
    </i>
    <i r="1">
      <x v="2"/>
    </i>
    <i r="1">
      <x v="6"/>
    </i>
    <i r="1">
      <x v="7"/>
    </i>
    <i r="1">
      <x v="14"/>
    </i>
    <i r="1">
      <x v="23"/>
    </i>
    <i>
      <x v="4"/>
      <x v="3"/>
    </i>
    <i r="1">
      <x v="15"/>
    </i>
    <i r="1">
      <x v="16"/>
    </i>
    <i r="1">
      <x v="19"/>
    </i>
    <i r="1">
      <x v="20"/>
    </i>
    <i r="1">
      <x v="27"/>
    </i>
    <i t="grand">
      <x/>
    </i>
  </rowItems>
  <colItems count="1">
    <i/>
  </colItems>
  <dataFields count="1">
    <dataField name="平均值项:工龄" fld="7" subtotal="average" baseField="0" baseItem="0"/>
  </dataFields>
  <pivotTableStyleInfo name="PivotStylePreset3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abSelected="1" workbookViewId="0">
      <selection activeCell="H3" sqref="H3:H32"/>
    </sheetView>
  </sheetViews>
  <sheetFormatPr defaultColWidth="9" defaultRowHeight="13.5"/>
  <cols>
    <col min="1" max="1" width="10.125" customWidth="1"/>
    <col min="2" max="5" width="10.625" customWidth="1"/>
    <col min="6" max="6" width="15.125" customWidth="1"/>
    <col min="7" max="7" width="20.375" customWidth="1"/>
    <col min="8" max="8" width="15.125" customWidth="1"/>
    <col min="9" max="9" width="27.5" customWidth="1"/>
    <col min="10" max="10" width="10.625" customWidth="1"/>
  </cols>
  <sheetData>
    <row r="1" ht="28" customHeight="1" spans="1:9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ht="15.75" spans="1:9">
      <c r="A3" s="10" t="s">
        <v>10</v>
      </c>
      <c r="B3" s="10" t="s">
        <v>11</v>
      </c>
      <c r="C3" s="1">
        <f>2023-MID(G3,7,4)</f>
        <v>22</v>
      </c>
      <c r="D3" s="10" t="str">
        <f>IF(OR(LEN(G3)=15,LEN(G3)=18),IF(MOD(MID(G3,15,3)*1,2),"男","女"),#N/A)</f>
        <v>女</v>
      </c>
      <c r="E3" s="1" t="s">
        <v>12</v>
      </c>
      <c r="F3" s="11">
        <v>43640</v>
      </c>
      <c r="G3" s="14" t="s">
        <v>13</v>
      </c>
      <c r="H3" s="12">
        <f>YEAR(DATE(2024,1,1))-YEAR(F3)</f>
        <v>5</v>
      </c>
      <c r="I3" s="1" t="s">
        <v>14</v>
      </c>
    </row>
    <row r="4" ht="15.75" spans="1:9">
      <c r="A4" s="10" t="s">
        <v>15</v>
      </c>
      <c r="B4" s="10" t="s">
        <v>16</v>
      </c>
      <c r="C4" s="1">
        <f t="shared" ref="C4:C32" si="0">2023-MID(G4,7,4)</f>
        <v>24</v>
      </c>
      <c r="D4" s="10" t="str">
        <f t="shared" ref="D4:D32" si="1">IF(OR(LEN(G4)=15,LEN(G4)=18),IF(MOD(MID(G4,15,3)*1,2),"男","女"),#N/A)</f>
        <v>女</v>
      </c>
      <c r="E4" s="1" t="s">
        <v>17</v>
      </c>
      <c r="F4" s="11">
        <v>43876</v>
      </c>
      <c r="G4" s="14" t="s">
        <v>18</v>
      </c>
      <c r="H4" s="12">
        <f t="shared" ref="H4:H32" si="2">YEAR(DATE(2024,1,1))-YEAR(F4)</f>
        <v>4</v>
      </c>
      <c r="I4" s="1" t="s">
        <v>19</v>
      </c>
    </row>
    <row r="5" ht="15.75" spans="1:9">
      <c r="A5" s="10" t="s">
        <v>20</v>
      </c>
      <c r="B5" s="10" t="s">
        <v>21</v>
      </c>
      <c r="C5" s="1">
        <f t="shared" si="0"/>
        <v>23</v>
      </c>
      <c r="D5" s="10" t="str">
        <f t="shared" si="1"/>
        <v>女</v>
      </c>
      <c r="E5" s="1" t="s">
        <v>22</v>
      </c>
      <c r="F5" s="11">
        <v>43777</v>
      </c>
      <c r="G5" s="14" t="s">
        <v>23</v>
      </c>
      <c r="H5" s="12">
        <f t="shared" si="2"/>
        <v>5</v>
      </c>
      <c r="I5" s="1" t="s">
        <v>24</v>
      </c>
    </row>
    <row r="6" ht="15.75" spans="1:9">
      <c r="A6" s="10" t="s">
        <v>25</v>
      </c>
      <c r="B6" s="10" t="s">
        <v>26</v>
      </c>
      <c r="C6" s="1">
        <f t="shared" si="0"/>
        <v>24</v>
      </c>
      <c r="D6" s="10" t="str">
        <f t="shared" si="1"/>
        <v>男</v>
      </c>
      <c r="E6" s="1" t="s">
        <v>27</v>
      </c>
      <c r="F6" s="11">
        <v>43437</v>
      </c>
      <c r="G6" s="14" t="s">
        <v>28</v>
      </c>
      <c r="H6" s="12">
        <f t="shared" si="2"/>
        <v>6</v>
      </c>
      <c r="I6" s="1" t="s">
        <v>29</v>
      </c>
    </row>
    <row r="7" ht="15.75" spans="1:9">
      <c r="A7" s="10" t="s">
        <v>30</v>
      </c>
      <c r="B7" s="10" t="s">
        <v>31</v>
      </c>
      <c r="C7" s="1">
        <f t="shared" si="0"/>
        <v>22</v>
      </c>
      <c r="D7" s="10" t="str">
        <f t="shared" si="1"/>
        <v>女</v>
      </c>
      <c r="E7" s="1" t="s">
        <v>22</v>
      </c>
      <c r="F7" s="11">
        <v>43727</v>
      </c>
      <c r="G7" s="14" t="s">
        <v>32</v>
      </c>
      <c r="H7" s="12">
        <f t="shared" si="2"/>
        <v>5</v>
      </c>
      <c r="I7" s="1" t="s">
        <v>33</v>
      </c>
    </row>
    <row r="8" ht="15.75" spans="1:9">
      <c r="A8" s="10" t="s">
        <v>34</v>
      </c>
      <c r="B8" s="10" t="s">
        <v>35</v>
      </c>
      <c r="C8" s="1">
        <f t="shared" si="0"/>
        <v>23</v>
      </c>
      <c r="D8" s="10" t="str">
        <f t="shared" si="1"/>
        <v>女</v>
      </c>
      <c r="E8" s="1" t="s">
        <v>27</v>
      </c>
      <c r="F8" s="11">
        <v>43339</v>
      </c>
      <c r="G8" s="14" t="s">
        <v>36</v>
      </c>
      <c r="H8" s="12">
        <f t="shared" si="2"/>
        <v>6</v>
      </c>
      <c r="I8" s="1" t="s">
        <v>37</v>
      </c>
    </row>
    <row r="9" ht="15.75" spans="1:9">
      <c r="A9" s="10" t="s">
        <v>38</v>
      </c>
      <c r="B9" s="10" t="s">
        <v>39</v>
      </c>
      <c r="C9" s="1">
        <f t="shared" si="0"/>
        <v>22</v>
      </c>
      <c r="D9" s="10" t="str">
        <f t="shared" si="1"/>
        <v>女</v>
      </c>
      <c r="E9" s="1" t="s">
        <v>27</v>
      </c>
      <c r="F9" s="11">
        <v>43565</v>
      </c>
      <c r="G9" s="14" t="s">
        <v>40</v>
      </c>
      <c r="H9" s="12">
        <f t="shared" si="2"/>
        <v>5</v>
      </c>
      <c r="I9" s="1" t="s">
        <v>41</v>
      </c>
    </row>
    <row r="10" ht="15.75" spans="1:9">
      <c r="A10" s="10" t="s">
        <v>42</v>
      </c>
      <c r="B10" s="10" t="s">
        <v>43</v>
      </c>
      <c r="C10" s="1">
        <f t="shared" si="0"/>
        <v>23</v>
      </c>
      <c r="D10" s="10" t="str">
        <f t="shared" si="1"/>
        <v>女</v>
      </c>
      <c r="E10" s="1" t="s">
        <v>44</v>
      </c>
      <c r="F10" s="11">
        <v>43953</v>
      </c>
      <c r="G10" s="14" t="s">
        <v>45</v>
      </c>
      <c r="H10" s="12">
        <f t="shared" si="2"/>
        <v>4</v>
      </c>
      <c r="I10" s="1" t="s">
        <v>46</v>
      </c>
    </row>
    <row r="11" ht="15.75" spans="1:9">
      <c r="A11" s="10" t="s">
        <v>47</v>
      </c>
      <c r="B11" s="10" t="s">
        <v>48</v>
      </c>
      <c r="C11" s="1">
        <f t="shared" si="0"/>
        <v>22</v>
      </c>
      <c r="D11" s="10" t="str">
        <f t="shared" si="1"/>
        <v>女</v>
      </c>
      <c r="E11" s="1" t="s">
        <v>27</v>
      </c>
      <c r="F11" s="11">
        <v>43394</v>
      </c>
      <c r="G11" s="14" t="s">
        <v>49</v>
      </c>
      <c r="H11" s="12">
        <f t="shared" si="2"/>
        <v>6</v>
      </c>
      <c r="I11" s="1" t="s">
        <v>50</v>
      </c>
    </row>
    <row r="12" ht="15.75" spans="1:9">
      <c r="A12" s="10" t="s">
        <v>51</v>
      </c>
      <c r="B12" s="10" t="s">
        <v>52</v>
      </c>
      <c r="C12" s="1">
        <f t="shared" si="0"/>
        <v>21</v>
      </c>
      <c r="D12" s="10" t="str">
        <f t="shared" si="1"/>
        <v>男</v>
      </c>
      <c r="E12" s="1" t="s">
        <v>22</v>
      </c>
      <c r="F12" s="11">
        <v>43660</v>
      </c>
      <c r="G12" s="14" t="s">
        <v>53</v>
      </c>
      <c r="H12" s="12">
        <f t="shared" si="2"/>
        <v>5</v>
      </c>
      <c r="I12" s="1" t="s">
        <v>54</v>
      </c>
    </row>
    <row r="13" ht="15.75" spans="1:9">
      <c r="A13" s="10" t="s">
        <v>55</v>
      </c>
      <c r="B13" s="10" t="s">
        <v>56</v>
      </c>
      <c r="C13" s="1">
        <f t="shared" si="0"/>
        <v>22</v>
      </c>
      <c r="D13" s="10" t="str">
        <f t="shared" si="1"/>
        <v>男</v>
      </c>
      <c r="E13" s="1" t="s">
        <v>27</v>
      </c>
      <c r="F13" s="11">
        <v>43835</v>
      </c>
      <c r="G13" s="14" t="s">
        <v>57</v>
      </c>
      <c r="H13" s="12">
        <f t="shared" si="2"/>
        <v>4</v>
      </c>
      <c r="I13" s="1" t="s">
        <v>58</v>
      </c>
    </row>
    <row r="14" ht="15.75" spans="1:9">
      <c r="A14" s="10" t="s">
        <v>59</v>
      </c>
      <c r="B14" s="10" t="s">
        <v>60</v>
      </c>
      <c r="C14" s="1">
        <f t="shared" si="0"/>
        <v>22</v>
      </c>
      <c r="D14" s="10" t="str">
        <f t="shared" si="1"/>
        <v>男</v>
      </c>
      <c r="E14" s="1" t="s">
        <v>12</v>
      </c>
      <c r="F14" s="11">
        <v>43352</v>
      </c>
      <c r="G14" s="14" t="s">
        <v>61</v>
      </c>
      <c r="H14" s="12">
        <f t="shared" si="2"/>
        <v>6</v>
      </c>
      <c r="I14" s="1" t="s">
        <v>62</v>
      </c>
    </row>
    <row r="15" ht="15.75" spans="1:9">
      <c r="A15" s="10" t="s">
        <v>63</v>
      </c>
      <c r="B15" s="10" t="s">
        <v>64</v>
      </c>
      <c r="C15" s="1">
        <f t="shared" si="0"/>
        <v>22</v>
      </c>
      <c r="D15" s="10" t="str">
        <f t="shared" si="1"/>
        <v>男</v>
      </c>
      <c r="E15" s="1" t="s">
        <v>22</v>
      </c>
      <c r="F15" s="11">
        <v>43828</v>
      </c>
      <c r="G15" s="14" t="s">
        <v>65</v>
      </c>
      <c r="H15" s="12">
        <f t="shared" si="2"/>
        <v>5</v>
      </c>
      <c r="I15" s="1" t="s">
        <v>66</v>
      </c>
    </row>
    <row r="16" ht="15.75" spans="1:9">
      <c r="A16" s="10" t="s">
        <v>67</v>
      </c>
      <c r="B16" s="10" t="s">
        <v>68</v>
      </c>
      <c r="C16" s="1">
        <f t="shared" si="0"/>
        <v>23</v>
      </c>
      <c r="D16" s="10" t="str">
        <f t="shared" si="1"/>
        <v>女</v>
      </c>
      <c r="E16" s="1" t="s">
        <v>27</v>
      </c>
      <c r="F16" s="11">
        <v>43907</v>
      </c>
      <c r="G16" s="14" t="s">
        <v>69</v>
      </c>
      <c r="H16" s="12">
        <f t="shared" si="2"/>
        <v>4</v>
      </c>
      <c r="I16" s="1" t="s">
        <v>70</v>
      </c>
    </row>
    <row r="17" ht="15.75" spans="1:9">
      <c r="A17" s="10" t="s">
        <v>71</v>
      </c>
      <c r="B17" s="10" t="s">
        <v>72</v>
      </c>
      <c r="C17" s="1">
        <f t="shared" si="0"/>
        <v>24</v>
      </c>
      <c r="D17" s="10" t="str">
        <f t="shared" si="1"/>
        <v>男</v>
      </c>
      <c r="E17" s="1" t="s">
        <v>22</v>
      </c>
      <c r="F17" s="11">
        <v>43430</v>
      </c>
      <c r="G17" s="14" t="s">
        <v>73</v>
      </c>
      <c r="H17" s="12">
        <f t="shared" si="2"/>
        <v>6</v>
      </c>
      <c r="I17" s="1" t="s">
        <v>74</v>
      </c>
    </row>
    <row r="18" ht="15.75" spans="1:9">
      <c r="A18" s="10" t="s">
        <v>75</v>
      </c>
      <c r="B18" s="10" t="s">
        <v>76</v>
      </c>
      <c r="C18" s="1">
        <f t="shared" si="0"/>
        <v>23</v>
      </c>
      <c r="D18" s="10" t="str">
        <f t="shared" si="1"/>
        <v>女</v>
      </c>
      <c r="E18" s="1" t="s">
        <v>12</v>
      </c>
      <c r="F18" s="11">
        <v>43686</v>
      </c>
      <c r="G18" s="14" t="s">
        <v>77</v>
      </c>
      <c r="H18" s="12">
        <f t="shared" si="2"/>
        <v>5</v>
      </c>
      <c r="I18" s="1" t="s">
        <v>78</v>
      </c>
    </row>
    <row r="19" ht="15.75" spans="1:9">
      <c r="A19" s="10" t="s">
        <v>79</v>
      </c>
      <c r="B19" s="10" t="s">
        <v>80</v>
      </c>
      <c r="C19" s="1">
        <f t="shared" si="0"/>
        <v>23</v>
      </c>
      <c r="D19" s="10" t="str">
        <f t="shared" si="1"/>
        <v>女</v>
      </c>
      <c r="E19" s="1" t="s">
        <v>12</v>
      </c>
      <c r="F19" s="11">
        <v>43922</v>
      </c>
      <c r="G19" s="14" t="s">
        <v>81</v>
      </c>
      <c r="H19" s="12">
        <f t="shared" si="2"/>
        <v>4</v>
      </c>
      <c r="I19" s="1" t="s">
        <v>82</v>
      </c>
    </row>
    <row r="20" ht="15.75" spans="1:9">
      <c r="A20" s="10" t="s">
        <v>83</v>
      </c>
      <c r="B20" s="10" t="s">
        <v>84</v>
      </c>
      <c r="C20" s="1">
        <f t="shared" si="0"/>
        <v>22</v>
      </c>
      <c r="D20" s="10" t="str">
        <f t="shared" si="1"/>
        <v>女</v>
      </c>
      <c r="E20" s="1" t="s">
        <v>22</v>
      </c>
      <c r="F20" s="11">
        <v>43297</v>
      </c>
      <c r="G20" s="14" t="s">
        <v>85</v>
      </c>
      <c r="H20" s="12">
        <f t="shared" si="2"/>
        <v>6</v>
      </c>
      <c r="I20" s="1" t="s">
        <v>86</v>
      </c>
    </row>
    <row r="21" ht="15.75" spans="1:9">
      <c r="A21" s="10" t="s">
        <v>87</v>
      </c>
      <c r="B21" s="10" t="s">
        <v>88</v>
      </c>
      <c r="C21" s="1">
        <f t="shared" si="0"/>
        <v>23</v>
      </c>
      <c r="D21" s="10" t="str">
        <f t="shared" si="1"/>
        <v>女</v>
      </c>
      <c r="E21" s="1" t="s">
        <v>44</v>
      </c>
      <c r="F21" s="11">
        <v>43495</v>
      </c>
      <c r="G21" s="14" t="s">
        <v>89</v>
      </c>
      <c r="H21" s="12">
        <f t="shared" si="2"/>
        <v>5</v>
      </c>
      <c r="I21" s="1" t="s">
        <v>90</v>
      </c>
    </row>
    <row r="22" ht="15.75" spans="1:9">
      <c r="A22" s="10" t="s">
        <v>91</v>
      </c>
      <c r="B22" s="10" t="s">
        <v>92</v>
      </c>
      <c r="C22" s="1">
        <f t="shared" si="0"/>
        <v>22</v>
      </c>
      <c r="D22" s="10" t="str">
        <f t="shared" si="1"/>
        <v>女</v>
      </c>
      <c r="E22" s="1" t="s">
        <v>17</v>
      </c>
      <c r="F22" s="11">
        <v>44003</v>
      </c>
      <c r="G22" s="14" t="s">
        <v>93</v>
      </c>
      <c r="H22" s="12">
        <f t="shared" si="2"/>
        <v>4</v>
      </c>
      <c r="I22" s="1" t="s">
        <v>94</v>
      </c>
    </row>
    <row r="23" ht="15.75" spans="1:9">
      <c r="A23" s="10" t="s">
        <v>95</v>
      </c>
      <c r="B23" s="10" t="s">
        <v>96</v>
      </c>
      <c r="C23" s="1">
        <f t="shared" si="0"/>
        <v>23</v>
      </c>
      <c r="D23" s="10" t="str">
        <f t="shared" si="1"/>
        <v>女</v>
      </c>
      <c r="E23" s="1" t="s">
        <v>17</v>
      </c>
      <c r="F23" s="11">
        <v>43244</v>
      </c>
      <c r="G23" s="14" t="s">
        <v>97</v>
      </c>
      <c r="H23" s="12">
        <f t="shared" si="2"/>
        <v>6</v>
      </c>
      <c r="I23" s="1" t="s">
        <v>98</v>
      </c>
    </row>
    <row r="24" ht="15.75" spans="1:9">
      <c r="A24" s="10" t="s">
        <v>99</v>
      </c>
      <c r="B24" s="10" t="s">
        <v>100</v>
      </c>
      <c r="C24" s="1">
        <f t="shared" si="0"/>
        <v>22</v>
      </c>
      <c r="D24" s="10" t="str">
        <f t="shared" si="1"/>
        <v>男</v>
      </c>
      <c r="E24" s="1" t="s">
        <v>44</v>
      </c>
      <c r="F24" s="11">
        <v>43502</v>
      </c>
      <c r="G24" s="14" t="s">
        <v>101</v>
      </c>
      <c r="H24" s="12">
        <f t="shared" si="2"/>
        <v>5</v>
      </c>
      <c r="I24" s="1" t="s">
        <v>102</v>
      </c>
    </row>
    <row r="25" ht="15.75" spans="1:9">
      <c r="A25" s="10" t="s">
        <v>103</v>
      </c>
      <c r="B25" s="10" t="s">
        <v>104</v>
      </c>
      <c r="C25" s="1">
        <f t="shared" si="0"/>
        <v>22</v>
      </c>
      <c r="D25" s="10" t="str">
        <f t="shared" si="1"/>
        <v>女</v>
      </c>
      <c r="E25" s="1" t="s">
        <v>12</v>
      </c>
      <c r="F25" s="11">
        <v>44037</v>
      </c>
      <c r="G25" s="14" t="s">
        <v>105</v>
      </c>
      <c r="H25" s="12">
        <f t="shared" si="2"/>
        <v>4</v>
      </c>
      <c r="I25" s="1" t="s">
        <v>106</v>
      </c>
    </row>
    <row r="26" ht="15.75" spans="1:9">
      <c r="A26" s="10" t="s">
        <v>107</v>
      </c>
      <c r="B26" s="10" t="s">
        <v>108</v>
      </c>
      <c r="C26" s="1">
        <f t="shared" si="0"/>
        <v>22</v>
      </c>
      <c r="D26" s="10" t="str">
        <f t="shared" si="1"/>
        <v>女</v>
      </c>
      <c r="E26" s="1" t="s">
        <v>17</v>
      </c>
      <c r="F26" s="11">
        <v>43192</v>
      </c>
      <c r="G26" s="14" t="s">
        <v>109</v>
      </c>
      <c r="H26" s="12">
        <f t="shared" si="2"/>
        <v>6</v>
      </c>
      <c r="I26" s="1" t="s">
        <v>110</v>
      </c>
    </row>
    <row r="27" ht="15.75" spans="1:9">
      <c r="A27" s="10" t="s">
        <v>111</v>
      </c>
      <c r="B27" s="10" t="s">
        <v>112</v>
      </c>
      <c r="C27" s="1">
        <f t="shared" si="0"/>
        <v>22</v>
      </c>
      <c r="D27" s="10" t="str">
        <f t="shared" si="1"/>
        <v>男</v>
      </c>
      <c r="E27" s="1" t="s">
        <v>12</v>
      </c>
      <c r="F27" s="11">
        <v>43751</v>
      </c>
      <c r="G27" s="14" t="s">
        <v>113</v>
      </c>
      <c r="H27" s="12">
        <f t="shared" si="2"/>
        <v>5</v>
      </c>
      <c r="I27" s="1" t="s">
        <v>114</v>
      </c>
    </row>
    <row r="28" ht="15.75" spans="1:9">
      <c r="A28" s="10" t="s">
        <v>115</v>
      </c>
      <c r="B28" s="10" t="s">
        <v>116</v>
      </c>
      <c r="C28" s="1">
        <f t="shared" si="0"/>
        <v>22</v>
      </c>
      <c r="D28" s="10" t="str">
        <f t="shared" si="1"/>
        <v>女</v>
      </c>
      <c r="E28" s="1" t="s">
        <v>22</v>
      </c>
      <c r="F28" s="11">
        <v>44048</v>
      </c>
      <c r="G28" s="14" t="s">
        <v>117</v>
      </c>
      <c r="H28" s="12">
        <f t="shared" si="2"/>
        <v>4</v>
      </c>
      <c r="I28" s="1" t="s">
        <v>118</v>
      </c>
    </row>
    <row r="29" ht="15.75" spans="1:9">
      <c r="A29" s="10" t="s">
        <v>119</v>
      </c>
      <c r="B29" s="10" t="s">
        <v>120</v>
      </c>
      <c r="C29" s="1">
        <f t="shared" si="0"/>
        <v>22</v>
      </c>
      <c r="D29" s="10" t="str">
        <f t="shared" si="1"/>
        <v>女</v>
      </c>
      <c r="E29" s="1" t="s">
        <v>12</v>
      </c>
      <c r="F29" s="11">
        <v>43177</v>
      </c>
      <c r="G29" s="14" t="s">
        <v>121</v>
      </c>
      <c r="H29" s="12">
        <f t="shared" si="2"/>
        <v>6</v>
      </c>
      <c r="I29" s="1" t="s">
        <v>122</v>
      </c>
    </row>
    <row r="30" ht="15.75" spans="1:9">
      <c r="A30" s="10" t="s">
        <v>123</v>
      </c>
      <c r="B30" s="10" t="s">
        <v>124</v>
      </c>
      <c r="C30" s="1">
        <f t="shared" si="0"/>
        <v>24</v>
      </c>
      <c r="D30" s="10" t="str">
        <f t="shared" si="1"/>
        <v>男</v>
      </c>
      <c r="E30" s="1" t="s">
        <v>17</v>
      </c>
      <c r="F30" s="11">
        <v>43614</v>
      </c>
      <c r="G30" s="14" t="s">
        <v>125</v>
      </c>
      <c r="H30" s="12">
        <f t="shared" si="2"/>
        <v>5</v>
      </c>
      <c r="I30" s="1" t="s">
        <v>126</v>
      </c>
    </row>
    <row r="31" ht="15.75" spans="1:9">
      <c r="A31" s="10" t="s">
        <v>127</v>
      </c>
      <c r="B31" s="10" t="s">
        <v>128</v>
      </c>
      <c r="C31" s="1">
        <f t="shared" si="0"/>
        <v>21</v>
      </c>
      <c r="D31" s="10" t="str">
        <f t="shared" si="1"/>
        <v>男</v>
      </c>
      <c r="E31" s="1" t="s">
        <v>27</v>
      </c>
      <c r="F31" s="11">
        <v>44082</v>
      </c>
      <c r="G31" s="14" t="s">
        <v>129</v>
      </c>
      <c r="H31" s="12">
        <f t="shared" si="2"/>
        <v>4</v>
      </c>
      <c r="I31" s="1" t="s">
        <v>130</v>
      </c>
    </row>
    <row r="32" ht="15.75" spans="1:9">
      <c r="A32" s="10" t="s">
        <v>131</v>
      </c>
      <c r="B32" s="10" t="s">
        <v>132</v>
      </c>
      <c r="C32" s="1">
        <f t="shared" si="0"/>
        <v>21</v>
      </c>
      <c r="D32" s="10" t="str">
        <f t="shared" si="1"/>
        <v>男</v>
      </c>
      <c r="E32" s="1" t="s">
        <v>17</v>
      </c>
      <c r="F32" s="11">
        <v>43111</v>
      </c>
      <c r="G32" s="14" t="s">
        <v>133</v>
      </c>
      <c r="H32" s="12">
        <f t="shared" si="2"/>
        <v>6</v>
      </c>
      <c r="I32" s="1" t="s">
        <v>134</v>
      </c>
    </row>
    <row r="33" ht="14.25" spans="1:9">
      <c r="A33" s="13"/>
      <c r="B33" s="13"/>
      <c r="C33" s="9"/>
      <c r="D33" s="13"/>
      <c r="E33" s="9"/>
      <c r="F33" s="9"/>
      <c r="G33" s="13"/>
      <c r="H33" s="9"/>
      <c r="I33" s="9"/>
    </row>
  </sheetData>
  <mergeCells count="1">
    <mergeCell ref="A1:I1"/>
  </mergeCells>
  <conditionalFormatting sqref="A3:A33">
    <cfRule type="duplicateValues" dxfId="0" priority="2"/>
  </conditionalFormatting>
  <conditionalFormatting sqref="B3:B33">
    <cfRule type="duplicateValues" dxfId="1" priority="3"/>
    <cfRule type="duplicateValues" dxfId="0" priority="4"/>
  </conditionalFormatting>
  <conditionalFormatting sqref="I2:I32">
    <cfRule type="containsText" dxfId="2" priority="1" operator="between" text="广东省">
      <formula>NOT(ISERROR(SEARCH("广东省",I2)))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zoomScale="85" zoomScaleNormal="85" workbookViewId="0">
      <selection activeCell="J21" sqref="J21"/>
    </sheetView>
  </sheetViews>
  <sheetFormatPr defaultColWidth="9" defaultRowHeight="13.5"/>
  <sheetData>
    <row r="1" spans="1:10">
      <c r="A1" s="1" t="s">
        <v>135</v>
      </c>
      <c r="B1" s="1" t="s">
        <v>136</v>
      </c>
      <c r="C1" s="1" t="s">
        <v>5</v>
      </c>
      <c r="D1" s="1" t="s">
        <v>137</v>
      </c>
      <c r="E1" s="1" t="s">
        <v>138</v>
      </c>
      <c r="H1" s="2" t="s">
        <v>5</v>
      </c>
      <c r="I1" s="2" t="s">
        <v>137</v>
      </c>
      <c r="J1" s="7" t="s">
        <v>138</v>
      </c>
    </row>
    <row r="2" ht="15.75" spans="1:10">
      <c r="A2" s="1">
        <v>1</v>
      </c>
      <c r="B2" s="3">
        <v>16</v>
      </c>
      <c r="C2" s="4" t="s">
        <v>12</v>
      </c>
      <c r="D2" s="5" t="s">
        <v>139</v>
      </c>
      <c r="E2" s="5">
        <v>167.23</v>
      </c>
      <c r="H2" s="6" t="s">
        <v>22</v>
      </c>
      <c r="I2" s="7" t="s">
        <v>139</v>
      </c>
      <c r="J2" s="2">
        <f>SUMIFS($E$2:$E$41,$C$2:$C$41,H2,$D$2:$D$41,I2)</f>
        <v>913.4</v>
      </c>
    </row>
    <row r="3" ht="15.75" spans="1:10">
      <c r="A3" s="1">
        <v>1</v>
      </c>
      <c r="B3" s="3">
        <v>17</v>
      </c>
      <c r="C3" s="4" t="s">
        <v>17</v>
      </c>
      <c r="D3" s="5" t="s">
        <v>140</v>
      </c>
      <c r="E3" s="5">
        <v>89.5</v>
      </c>
      <c r="H3" s="6" t="s">
        <v>44</v>
      </c>
      <c r="I3" s="7" t="s">
        <v>141</v>
      </c>
      <c r="J3" s="2">
        <f>SUMIFS($E$2:$E$41,$C$2:$C$41,H3,$D$2:$D$41,I3)</f>
        <v>0</v>
      </c>
    </row>
    <row r="4" ht="15.75" spans="1:10">
      <c r="A4" s="1">
        <v>1</v>
      </c>
      <c r="B4" s="3">
        <v>19</v>
      </c>
      <c r="C4" s="4" t="s">
        <v>22</v>
      </c>
      <c r="D4" s="5" t="s">
        <v>142</v>
      </c>
      <c r="E4" s="5">
        <v>23.8</v>
      </c>
      <c r="H4" s="6" t="s">
        <v>22</v>
      </c>
      <c r="I4" s="7" t="s">
        <v>142</v>
      </c>
      <c r="J4" s="2">
        <f>SUMIFS($E$2:$E$41,$C$2:$C$41,H4,$D$2:$D$41,I4)</f>
        <v>61.4</v>
      </c>
    </row>
    <row r="5" ht="15.75" spans="1:10">
      <c r="A5" s="1">
        <v>1</v>
      </c>
      <c r="B5" s="3">
        <v>18</v>
      </c>
      <c r="C5" s="4" t="s">
        <v>17</v>
      </c>
      <c r="D5" s="5" t="s">
        <v>141</v>
      </c>
      <c r="E5" s="5">
        <v>456</v>
      </c>
      <c r="H5" s="6" t="s">
        <v>17</v>
      </c>
      <c r="I5" s="7" t="s">
        <v>141</v>
      </c>
      <c r="J5" s="2">
        <f>SUMIFS($E$2:$E$41,$C$2:$C$41,H5,$D$2:$D$41,I5)</f>
        <v>1346</v>
      </c>
    </row>
    <row r="6" ht="15.75" spans="1:10">
      <c r="A6" s="1">
        <v>1</v>
      </c>
      <c r="B6" s="3">
        <v>19</v>
      </c>
      <c r="C6" s="4" t="s">
        <v>22</v>
      </c>
      <c r="D6" s="5" t="s">
        <v>143</v>
      </c>
      <c r="E6" s="5">
        <v>78.9</v>
      </c>
      <c r="H6" s="6" t="s">
        <v>12</v>
      </c>
      <c r="I6" s="7" t="s">
        <v>143</v>
      </c>
      <c r="J6" s="2">
        <f>SUMIFS($E$2:$E$41,$C$2:$C$41,H6,$D$2:$D$41,I6)</f>
        <v>113.4</v>
      </c>
    </row>
    <row r="7" ht="15.75" spans="1:5">
      <c r="A7" s="1">
        <v>1</v>
      </c>
      <c r="B7" s="3">
        <v>16</v>
      </c>
      <c r="C7" s="4" t="s">
        <v>27</v>
      </c>
      <c r="D7" s="5" t="s">
        <v>144</v>
      </c>
      <c r="E7" s="5">
        <v>190.2</v>
      </c>
    </row>
    <row r="8" ht="15.75" spans="1:5">
      <c r="A8" s="1">
        <v>1</v>
      </c>
      <c r="B8" s="3">
        <v>18</v>
      </c>
      <c r="C8" s="4" t="s">
        <v>27</v>
      </c>
      <c r="D8" s="5" t="s">
        <v>142</v>
      </c>
      <c r="E8" s="5">
        <v>342.1</v>
      </c>
    </row>
    <row r="9" ht="15.75" spans="1:5">
      <c r="A9" s="1">
        <v>1</v>
      </c>
      <c r="B9" s="3">
        <v>15</v>
      </c>
      <c r="C9" s="4" t="s">
        <v>44</v>
      </c>
      <c r="D9" s="5" t="s">
        <v>140</v>
      </c>
      <c r="E9" s="5">
        <v>50</v>
      </c>
    </row>
    <row r="10" ht="15.75" spans="1:5">
      <c r="A10" s="1">
        <v>1</v>
      </c>
      <c r="B10" s="3">
        <v>17</v>
      </c>
      <c r="C10" s="4" t="s">
        <v>27</v>
      </c>
      <c r="D10" s="5" t="s">
        <v>143</v>
      </c>
      <c r="E10" s="5">
        <v>15.6</v>
      </c>
    </row>
    <row r="11" ht="15.75" spans="1:5">
      <c r="A11" s="1">
        <v>1</v>
      </c>
      <c r="B11" s="3">
        <v>16</v>
      </c>
      <c r="C11" s="4" t="s">
        <v>22</v>
      </c>
      <c r="D11" s="5" t="s">
        <v>141</v>
      </c>
      <c r="E11" s="5">
        <v>789</v>
      </c>
    </row>
    <row r="12" ht="15.75" spans="1:5">
      <c r="A12" s="1">
        <v>1</v>
      </c>
      <c r="B12" s="3">
        <v>20</v>
      </c>
      <c r="C12" s="4" t="s">
        <v>12</v>
      </c>
      <c r="D12" s="5" t="s">
        <v>143</v>
      </c>
      <c r="E12" s="5">
        <v>67.8</v>
      </c>
    </row>
    <row r="13" ht="15.75" spans="1:5">
      <c r="A13" s="1">
        <v>1</v>
      </c>
      <c r="B13" s="3">
        <v>19</v>
      </c>
      <c r="C13" s="4" t="s">
        <v>17</v>
      </c>
      <c r="D13" s="5" t="s">
        <v>139</v>
      </c>
      <c r="E13" s="5">
        <v>230</v>
      </c>
    </row>
    <row r="14" ht="15.75" spans="1:5">
      <c r="A14" s="1">
        <v>1</v>
      </c>
      <c r="B14" s="3">
        <v>17</v>
      </c>
      <c r="C14" s="4" t="s">
        <v>22</v>
      </c>
      <c r="D14" s="5" t="s">
        <v>139</v>
      </c>
      <c r="E14" s="5">
        <v>234.5</v>
      </c>
    </row>
    <row r="15" ht="15.75" spans="1:5">
      <c r="A15" s="1">
        <v>1</v>
      </c>
      <c r="B15" s="3">
        <v>18</v>
      </c>
      <c r="C15" s="4" t="s">
        <v>27</v>
      </c>
      <c r="D15" s="5" t="s">
        <v>140</v>
      </c>
      <c r="E15" s="5">
        <v>123.8</v>
      </c>
    </row>
    <row r="16" ht="15.75" spans="1:5">
      <c r="A16" s="1">
        <v>1</v>
      </c>
      <c r="B16" s="3">
        <v>20</v>
      </c>
      <c r="C16" s="4" t="s">
        <v>22</v>
      </c>
      <c r="D16" s="5" t="s">
        <v>142</v>
      </c>
      <c r="E16" s="5">
        <v>37.6</v>
      </c>
    </row>
    <row r="17" ht="15.75" spans="1:5">
      <c r="A17" s="1">
        <v>1</v>
      </c>
      <c r="B17" s="3">
        <v>19</v>
      </c>
      <c r="C17" s="4" t="s">
        <v>27</v>
      </c>
      <c r="D17" s="5" t="s">
        <v>142</v>
      </c>
      <c r="E17" s="5">
        <v>456.7</v>
      </c>
    </row>
    <row r="18" ht="15.75" spans="1:5">
      <c r="A18" s="1">
        <v>1</v>
      </c>
      <c r="B18" s="3">
        <v>17</v>
      </c>
      <c r="C18" s="4" t="s">
        <v>27</v>
      </c>
      <c r="D18" s="5" t="s">
        <v>143</v>
      </c>
      <c r="E18" s="5">
        <v>89.9</v>
      </c>
    </row>
    <row r="19" ht="15.75" spans="1:5">
      <c r="A19" s="1">
        <v>1</v>
      </c>
      <c r="B19" s="3">
        <v>16</v>
      </c>
      <c r="C19" s="4" t="s">
        <v>44</v>
      </c>
      <c r="D19" s="5" t="s">
        <v>144</v>
      </c>
      <c r="E19" s="5">
        <v>345</v>
      </c>
    </row>
    <row r="20" ht="15.75" spans="1:5">
      <c r="A20" s="1">
        <v>1</v>
      </c>
      <c r="B20" s="3">
        <v>18</v>
      </c>
      <c r="C20" s="4" t="s">
        <v>27</v>
      </c>
      <c r="D20" s="5" t="s">
        <v>139</v>
      </c>
      <c r="E20" s="5">
        <v>145.2</v>
      </c>
    </row>
    <row r="21" ht="15.75" spans="1:5">
      <c r="A21" s="1">
        <v>1</v>
      </c>
      <c r="B21" s="3">
        <v>15</v>
      </c>
      <c r="C21" s="4" t="s">
        <v>22</v>
      </c>
      <c r="D21" s="5" t="s">
        <v>140</v>
      </c>
      <c r="E21" s="5">
        <v>76.3</v>
      </c>
    </row>
    <row r="22" ht="15.75" spans="1:5">
      <c r="A22" s="1">
        <v>1</v>
      </c>
      <c r="B22" s="3">
        <v>19</v>
      </c>
      <c r="C22" s="4" t="s">
        <v>27</v>
      </c>
      <c r="D22" s="5" t="s">
        <v>142</v>
      </c>
      <c r="E22" s="5">
        <v>20</v>
      </c>
    </row>
    <row r="23" ht="15.75" spans="1:5">
      <c r="A23" s="1">
        <v>1</v>
      </c>
      <c r="B23" s="3">
        <v>20</v>
      </c>
      <c r="C23" s="4" t="s">
        <v>12</v>
      </c>
      <c r="D23" s="5" t="s">
        <v>141</v>
      </c>
      <c r="E23" s="5">
        <v>980</v>
      </c>
    </row>
    <row r="24" ht="15.75" spans="1:5">
      <c r="A24" s="1">
        <v>1</v>
      </c>
      <c r="B24" s="3">
        <v>17</v>
      </c>
      <c r="C24" s="4" t="s">
        <v>22</v>
      </c>
      <c r="D24" s="5" t="s">
        <v>143</v>
      </c>
      <c r="E24" s="5">
        <v>45.6</v>
      </c>
    </row>
    <row r="25" ht="15.75" spans="1:5">
      <c r="A25" s="1">
        <v>1</v>
      </c>
      <c r="B25" s="3">
        <v>15</v>
      </c>
      <c r="C25" s="4" t="s">
        <v>27</v>
      </c>
      <c r="D25" s="5" t="s">
        <v>144</v>
      </c>
      <c r="E25" s="5">
        <v>890</v>
      </c>
    </row>
    <row r="26" ht="15.75" spans="1:5">
      <c r="A26" s="1">
        <v>1</v>
      </c>
      <c r="B26" s="3">
        <v>18</v>
      </c>
      <c r="C26" s="4" t="s">
        <v>22</v>
      </c>
      <c r="D26" s="5" t="s">
        <v>139</v>
      </c>
      <c r="E26" s="5">
        <v>678.9</v>
      </c>
    </row>
    <row r="27" ht="15.75" spans="1:5">
      <c r="A27" s="1">
        <v>1</v>
      </c>
      <c r="B27" s="3">
        <v>19</v>
      </c>
      <c r="C27" s="4" t="s">
        <v>12</v>
      </c>
      <c r="D27" s="5" t="s">
        <v>142</v>
      </c>
      <c r="E27" s="5">
        <v>56.8</v>
      </c>
    </row>
    <row r="28" ht="15.75" spans="1:5">
      <c r="A28" s="1">
        <v>1</v>
      </c>
      <c r="B28" s="3">
        <v>16</v>
      </c>
      <c r="C28" s="4" t="s">
        <v>12</v>
      </c>
      <c r="D28" s="5" t="s">
        <v>142</v>
      </c>
      <c r="E28" s="5">
        <v>13.9</v>
      </c>
    </row>
    <row r="29" ht="15.75" spans="1:5">
      <c r="A29" s="1">
        <v>1</v>
      </c>
      <c r="B29" s="3">
        <v>20</v>
      </c>
      <c r="C29" s="4" t="s">
        <v>22</v>
      </c>
      <c r="D29" s="5" t="s">
        <v>141</v>
      </c>
      <c r="E29" s="5">
        <v>345.6</v>
      </c>
    </row>
    <row r="30" ht="15.75" spans="1:5">
      <c r="A30" s="1">
        <v>1</v>
      </c>
      <c r="B30" s="3">
        <v>17</v>
      </c>
      <c r="C30" s="4" t="s">
        <v>44</v>
      </c>
      <c r="D30" s="5" t="s">
        <v>139</v>
      </c>
      <c r="E30" s="5">
        <v>78.5</v>
      </c>
    </row>
    <row r="31" ht="15.75" spans="1:5">
      <c r="A31" s="1">
        <v>1</v>
      </c>
      <c r="B31" s="3">
        <v>16</v>
      </c>
      <c r="C31" s="4" t="s">
        <v>17</v>
      </c>
      <c r="D31" s="5" t="s">
        <v>144</v>
      </c>
      <c r="E31" s="5">
        <v>567</v>
      </c>
    </row>
    <row r="32" ht="15.75" spans="1:5">
      <c r="A32" s="1">
        <v>1</v>
      </c>
      <c r="B32" s="3">
        <v>18</v>
      </c>
      <c r="C32" s="4" t="s">
        <v>17</v>
      </c>
      <c r="D32" s="5" t="s">
        <v>143</v>
      </c>
      <c r="E32" s="5">
        <v>567.8</v>
      </c>
    </row>
    <row r="33" ht="15.75" spans="1:5">
      <c r="A33" s="1">
        <v>1</v>
      </c>
      <c r="B33" s="3">
        <v>20</v>
      </c>
      <c r="C33" s="4" t="s">
        <v>44</v>
      </c>
      <c r="D33" s="5" t="s">
        <v>140</v>
      </c>
      <c r="E33" s="5">
        <v>76</v>
      </c>
    </row>
    <row r="34" ht="15.75" spans="1:5">
      <c r="A34" s="1">
        <v>1</v>
      </c>
      <c r="B34" s="3">
        <v>17</v>
      </c>
      <c r="C34" s="4" t="s">
        <v>12</v>
      </c>
      <c r="D34" s="5" t="s">
        <v>142</v>
      </c>
      <c r="E34" s="5">
        <v>18.5</v>
      </c>
    </row>
    <row r="35" ht="15.75" spans="1:5">
      <c r="A35" s="1">
        <v>1</v>
      </c>
      <c r="B35" s="3">
        <v>15</v>
      </c>
      <c r="C35" s="4" t="s">
        <v>17</v>
      </c>
      <c r="D35" s="5" t="s">
        <v>139</v>
      </c>
      <c r="E35" s="5">
        <v>123.4</v>
      </c>
    </row>
    <row r="36" ht="15.75" spans="1:5">
      <c r="A36" s="1">
        <v>1</v>
      </c>
      <c r="B36" s="3">
        <v>19</v>
      </c>
      <c r="C36" s="4" t="s">
        <v>12</v>
      </c>
      <c r="D36" s="5" t="s">
        <v>143</v>
      </c>
      <c r="E36" s="5">
        <v>45.6</v>
      </c>
    </row>
    <row r="37" ht="15.75" spans="1:5">
      <c r="A37" s="1">
        <v>1</v>
      </c>
      <c r="B37" s="3">
        <v>18</v>
      </c>
      <c r="C37" s="4" t="s">
        <v>22</v>
      </c>
      <c r="D37" s="5" t="s">
        <v>144</v>
      </c>
      <c r="E37" s="5">
        <v>345</v>
      </c>
    </row>
    <row r="38" ht="15.75" spans="1:5">
      <c r="A38" s="1">
        <v>1</v>
      </c>
      <c r="B38" s="3">
        <v>16</v>
      </c>
      <c r="C38" s="4" t="s">
        <v>12</v>
      </c>
      <c r="D38" s="5" t="s">
        <v>139</v>
      </c>
      <c r="E38" s="5">
        <v>234</v>
      </c>
    </row>
    <row r="39" ht="15.75" spans="1:5">
      <c r="A39" s="1">
        <v>1</v>
      </c>
      <c r="B39" s="3">
        <v>20</v>
      </c>
      <c r="C39" s="4" t="s">
        <v>17</v>
      </c>
      <c r="D39" s="5" t="s">
        <v>140</v>
      </c>
      <c r="E39" s="5">
        <v>98.7</v>
      </c>
    </row>
    <row r="40" ht="15.75" spans="1:5">
      <c r="A40" s="1">
        <v>1</v>
      </c>
      <c r="B40" s="3">
        <v>17</v>
      </c>
      <c r="C40" s="4" t="s">
        <v>27</v>
      </c>
      <c r="D40" s="5" t="s">
        <v>141</v>
      </c>
      <c r="E40" s="5">
        <v>24.5</v>
      </c>
    </row>
    <row r="41" ht="15.75" spans="1:5">
      <c r="A41" s="1">
        <v>1</v>
      </c>
      <c r="B41" s="3">
        <v>19</v>
      </c>
      <c r="C41" s="4" t="s">
        <v>17</v>
      </c>
      <c r="D41" s="5" t="s">
        <v>141</v>
      </c>
      <c r="E41" s="5">
        <v>890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workbookViewId="0">
      <selection activeCell="O30" sqref="O30"/>
    </sheetView>
  </sheetViews>
  <sheetFormatPr defaultColWidth="9" defaultRowHeight="13.5" outlineLevelCol="2"/>
  <cols>
    <col min="1" max="2" width="7.375"/>
    <col min="3" max="3" width="15"/>
  </cols>
  <sheetData>
    <row r="1" spans="1:3">
      <c r="A1" t="s">
        <v>5</v>
      </c>
      <c r="B1" t="s">
        <v>2</v>
      </c>
      <c r="C1" t="s">
        <v>145</v>
      </c>
    </row>
    <row r="2" spans="1:3">
      <c r="A2" t="s">
        <v>44</v>
      </c>
      <c r="B2" t="s">
        <v>100</v>
      </c>
      <c r="C2">
        <v>5</v>
      </c>
    </row>
    <row r="3" spans="2:3">
      <c r="B3" t="s">
        <v>88</v>
      </c>
      <c r="C3">
        <v>5</v>
      </c>
    </row>
    <row r="4" spans="2:3">
      <c r="B4" t="s">
        <v>43</v>
      </c>
      <c r="C4">
        <v>4</v>
      </c>
    </row>
    <row r="5" spans="1:3">
      <c r="A5" t="s">
        <v>22</v>
      </c>
      <c r="B5" t="s">
        <v>52</v>
      </c>
      <c r="C5">
        <v>5</v>
      </c>
    </row>
    <row r="6" spans="2:3">
      <c r="B6" t="s">
        <v>31</v>
      </c>
      <c r="C6">
        <v>5</v>
      </c>
    </row>
    <row r="7" spans="2:3">
      <c r="B7" t="s">
        <v>64</v>
      </c>
      <c r="C7">
        <v>5</v>
      </c>
    </row>
    <row r="8" spans="2:3">
      <c r="B8" t="s">
        <v>84</v>
      </c>
      <c r="C8">
        <v>6</v>
      </c>
    </row>
    <row r="9" spans="2:3">
      <c r="B9" t="s">
        <v>21</v>
      </c>
      <c r="C9">
        <v>5</v>
      </c>
    </row>
    <row r="10" spans="2:3">
      <c r="B10" t="s">
        <v>116</v>
      </c>
      <c r="C10">
        <v>4</v>
      </c>
    </row>
    <row r="11" spans="2:3">
      <c r="B11" t="s">
        <v>72</v>
      </c>
      <c r="C11">
        <v>6</v>
      </c>
    </row>
    <row r="12" spans="1:3">
      <c r="A12" t="s">
        <v>12</v>
      </c>
      <c r="B12" t="s">
        <v>76</v>
      </c>
      <c r="C12">
        <v>5</v>
      </c>
    </row>
    <row r="13" spans="2:3">
      <c r="B13" t="s">
        <v>120</v>
      </c>
      <c r="C13">
        <v>6</v>
      </c>
    </row>
    <row r="14" spans="2:3">
      <c r="B14" t="s">
        <v>11</v>
      </c>
      <c r="C14">
        <v>5</v>
      </c>
    </row>
    <row r="15" spans="2:3">
      <c r="B15" t="s">
        <v>60</v>
      </c>
      <c r="C15">
        <v>6</v>
      </c>
    </row>
    <row r="16" spans="2:3">
      <c r="B16" t="s">
        <v>104</v>
      </c>
      <c r="C16">
        <v>4</v>
      </c>
    </row>
    <row r="17" spans="2:3">
      <c r="B17" t="s">
        <v>112</v>
      </c>
      <c r="C17">
        <v>5</v>
      </c>
    </row>
    <row r="18" spans="2:3">
      <c r="B18" t="s">
        <v>80</v>
      </c>
      <c r="C18">
        <v>4</v>
      </c>
    </row>
    <row r="19" spans="1:3">
      <c r="A19" t="s">
        <v>27</v>
      </c>
      <c r="B19" t="s">
        <v>68</v>
      </c>
      <c r="C19">
        <v>4</v>
      </c>
    </row>
    <row r="20" spans="2:3">
      <c r="B20" t="s">
        <v>39</v>
      </c>
      <c r="C20">
        <v>5</v>
      </c>
    </row>
    <row r="21" spans="2:3">
      <c r="B21" t="s">
        <v>35</v>
      </c>
      <c r="C21">
        <v>6</v>
      </c>
    </row>
    <row r="22" spans="2:3">
      <c r="B22" t="s">
        <v>48</v>
      </c>
      <c r="C22">
        <v>6</v>
      </c>
    </row>
    <row r="23" spans="2:3">
      <c r="B23" t="s">
        <v>56</v>
      </c>
      <c r="C23">
        <v>4</v>
      </c>
    </row>
    <row r="24" spans="2:3">
      <c r="B24" t="s">
        <v>128</v>
      </c>
      <c r="C24">
        <v>4</v>
      </c>
    </row>
    <row r="25" spans="2:3">
      <c r="B25" t="s">
        <v>26</v>
      </c>
      <c r="C25">
        <v>6</v>
      </c>
    </row>
    <row r="26" spans="1:3">
      <c r="A26" t="s">
        <v>17</v>
      </c>
      <c r="B26" t="s">
        <v>132</v>
      </c>
      <c r="C26">
        <v>6</v>
      </c>
    </row>
    <row r="27" spans="2:3">
      <c r="B27" t="s">
        <v>108</v>
      </c>
      <c r="C27">
        <v>6</v>
      </c>
    </row>
    <row r="28" spans="2:3">
      <c r="B28" t="s">
        <v>124</v>
      </c>
      <c r="C28">
        <v>5</v>
      </c>
    </row>
    <row r="29" spans="2:3">
      <c r="B29" t="s">
        <v>92</v>
      </c>
      <c r="C29">
        <v>4</v>
      </c>
    </row>
    <row r="30" spans="2:3">
      <c r="B30" t="s">
        <v>96</v>
      </c>
      <c r="C30">
        <v>6</v>
      </c>
    </row>
    <row r="31" spans="2:3">
      <c r="B31" t="s">
        <v>16</v>
      </c>
      <c r="C31">
        <v>4</v>
      </c>
    </row>
    <row r="32" spans="1:3">
      <c r="A32" t="s">
        <v>146</v>
      </c>
      <c r="C32">
        <v>5.03333333333333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workbookViewId="0">
      <selection activeCell="N25" sqref="N25"/>
    </sheetView>
  </sheetViews>
  <sheetFormatPr defaultColWidth="9" defaultRowHeight="13.5"/>
  <sheetData>
    <row r="1" spans="1:1">
      <c r="A1" t="s">
        <v>0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 t="s">
        <v>10</v>
      </c>
      <c r="B3" t="s">
        <v>11</v>
      </c>
      <c r="C3">
        <v>22</v>
      </c>
      <c r="D3" t="s">
        <v>147</v>
      </c>
      <c r="E3" t="s">
        <v>12</v>
      </c>
      <c r="F3">
        <v>43640</v>
      </c>
      <c r="G3" s="15" t="s">
        <v>13</v>
      </c>
      <c r="H3">
        <v>5</v>
      </c>
      <c r="I3" t="s">
        <v>14</v>
      </c>
    </row>
    <row r="4" spans="1:9">
      <c r="A4" t="s">
        <v>15</v>
      </c>
      <c r="B4" t="s">
        <v>16</v>
      </c>
      <c r="C4">
        <v>24</v>
      </c>
      <c r="D4" t="s">
        <v>147</v>
      </c>
      <c r="E4" t="s">
        <v>17</v>
      </c>
      <c r="F4">
        <v>43876</v>
      </c>
      <c r="G4" s="15" t="s">
        <v>18</v>
      </c>
      <c r="H4">
        <v>4</v>
      </c>
      <c r="I4" t="s">
        <v>19</v>
      </c>
    </row>
    <row r="5" spans="1:9">
      <c r="A5" t="s">
        <v>20</v>
      </c>
      <c r="B5" t="s">
        <v>21</v>
      </c>
      <c r="C5">
        <v>23</v>
      </c>
      <c r="D5" t="s">
        <v>147</v>
      </c>
      <c r="E5" t="s">
        <v>22</v>
      </c>
      <c r="F5">
        <v>43777</v>
      </c>
      <c r="G5" s="15" t="s">
        <v>23</v>
      </c>
      <c r="H5">
        <v>5</v>
      </c>
      <c r="I5" t="s">
        <v>24</v>
      </c>
    </row>
    <row r="6" spans="1:9">
      <c r="A6" t="s">
        <v>25</v>
      </c>
      <c r="B6" t="s">
        <v>26</v>
      </c>
      <c r="C6">
        <v>24</v>
      </c>
      <c r="D6" t="s">
        <v>148</v>
      </c>
      <c r="E6" t="s">
        <v>27</v>
      </c>
      <c r="F6">
        <v>43437</v>
      </c>
      <c r="G6" s="15" t="s">
        <v>28</v>
      </c>
      <c r="H6">
        <v>6</v>
      </c>
      <c r="I6" t="s">
        <v>29</v>
      </c>
    </row>
    <row r="7" spans="1:9">
      <c r="A7" t="s">
        <v>30</v>
      </c>
      <c r="B7" t="s">
        <v>31</v>
      </c>
      <c r="C7">
        <v>22</v>
      </c>
      <c r="D7" t="s">
        <v>147</v>
      </c>
      <c r="E7" t="s">
        <v>22</v>
      </c>
      <c r="F7">
        <v>43727</v>
      </c>
      <c r="G7" s="15" t="s">
        <v>32</v>
      </c>
      <c r="H7">
        <v>5</v>
      </c>
      <c r="I7" t="s">
        <v>33</v>
      </c>
    </row>
    <row r="8" spans="1:9">
      <c r="A8" t="s">
        <v>34</v>
      </c>
      <c r="B8" t="s">
        <v>35</v>
      </c>
      <c r="C8">
        <v>23</v>
      </c>
      <c r="D8" t="s">
        <v>147</v>
      </c>
      <c r="E8" t="s">
        <v>27</v>
      </c>
      <c r="F8">
        <v>43339</v>
      </c>
      <c r="G8" s="15" t="s">
        <v>36</v>
      </c>
      <c r="H8">
        <v>6</v>
      </c>
      <c r="I8" t="s">
        <v>37</v>
      </c>
    </row>
    <row r="9" spans="1:9">
      <c r="A9" t="s">
        <v>38</v>
      </c>
      <c r="B9" t="s">
        <v>39</v>
      </c>
      <c r="C9">
        <v>22</v>
      </c>
      <c r="D9" t="s">
        <v>147</v>
      </c>
      <c r="E9" t="s">
        <v>27</v>
      </c>
      <c r="F9">
        <v>43565</v>
      </c>
      <c r="G9" s="15" t="s">
        <v>40</v>
      </c>
      <c r="H9">
        <v>5</v>
      </c>
      <c r="I9" t="s">
        <v>41</v>
      </c>
    </row>
    <row r="10" spans="1:9">
      <c r="A10" t="s">
        <v>42</v>
      </c>
      <c r="B10" t="s">
        <v>43</v>
      </c>
      <c r="C10">
        <v>23</v>
      </c>
      <c r="D10" t="s">
        <v>147</v>
      </c>
      <c r="E10" t="s">
        <v>44</v>
      </c>
      <c r="F10">
        <v>43953</v>
      </c>
      <c r="G10" s="15" t="s">
        <v>45</v>
      </c>
      <c r="H10">
        <v>4</v>
      </c>
      <c r="I10" t="s">
        <v>46</v>
      </c>
    </row>
    <row r="11" spans="1:9">
      <c r="A11" t="s">
        <v>47</v>
      </c>
      <c r="B11" t="s">
        <v>48</v>
      </c>
      <c r="C11">
        <v>22</v>
      </c>
      <c r="D11" t="s">
        <v>147</v>
      </c>
      <c r="E11" t="s">
        <v>27</v>
      </c>
      <c r="F11">
        <v>43394</v>
      </c>
      <c r="G11" s="15" t="s">
        <v>49</v>
      </c>
      <c r="H11">
        <v>6</v>
      </c>
      <c r="I11" t="s">
        <v>50</v>
      </c>
    </row>
    <row r="12" spans="1:9">
      <c r="A12" t="s">
        <v>51</v>
      </c>
      <c r="B12" t="s">
        <v>52</v>
      </c>
      <c r="C12">
        <v>21</v>
      </c>
      <c r="D12" t="s">
        <v>148</v>
      </c>
      <c r="E12" t="s">
        <v>22</v>
      </c>
      <c r="F12">
        <v>43660</v>
      </c>
      <c r="G12" s="15" t="s">
        <v>53</v>
      </c>
      <c r="H12">
        <v>5</v>
      </c>
      <c r="I12" t="s">
        <v>54</v>
      </c>
    </row>
    <row r="13" spans="1:9">
      <c r="A13" t="s">
        <v>55</v>
      </c>
      <c r="B13" t="s">
        <v>56</v>
      </c>
      <c r="C13">
        <v>22</v>
      </c>
      <c r="D13" t="s">
        <v>148</v>
      </c>
      <c r="E13" t="s">
        <v>27</v>
      </c>
      <c r="F13">
        <v>43835</v>
      </c>
      <c r="G13" s="15" t="s">
        <v>57</v>
      </c>
      <c r="H13">
        <v>4</v>
      </c>
      <c r="I13" t="s">
        <v>58</v>
      </c>
    </row>
    <row r="14" spans="1:9">
      <c r="A14" t="s">
        <v>59</v>
      </c>
      <c r="B14" t="s">
        <v>60</v>
      </c>
      <c r="C14">
        <v>22</v>
      </c>
      <c r="D14" t="s">
        <v>148</v>
      </c>
      <c r="E14" t="s">
        <v>12</v>
      </c>
      <c r="F14">
        <v>43352</v>
      </c>
      <c r="G14" s="15" t="s">
        <v>61</v>
      </c>
      <c r="H14">
        <v>6</v>
      </c>
      <c r="I14" t="s">
        <v>62</v>
      </c>
    </row>
    <row r="15" spans="1:9">
      <c r="A15" t="s">
        <v>63</v>
      </c>
      <c r="B15" t="s">
        <v>64</v>
      </c>
      <c r="C15">
        <v>22</v>
      </c>
      <c r="D15" t="s">
        <v>148</v>
      </c>
      <c r="E15" t="s">
        <v>22</v>
      </c>
      <c r="F15">
        <v>43828</v>
      </c>
      <c r="G15" s="15" t="s">
        <v>65</v>
      </c>
      <c r="H15">
        <v>5</v>
      </c>
      <c r="I15" t="s">
        <v>66</v>
      </c>
    </row>
    <row r="16" spans="1:9">
      <c r="A16" t="s">
        <v>67</v>
      </c>
      <c r="B16" t="s">
        <v>68</v>
      </c>
      <c r="C16">
        <v>23</v>
      </c>
      <c r="D16" t="s">
        <v>147</v>
      </c>
      <c r="E16" t="s">
        <v>27</v>
      </c>
      <c r="F16">
        <v>43907</v>
      </c>
      <c r="G16" s="15" t="s">
        <v>69</v>
      </c>
      <c r="H16">
        <v>4</v>
      </c>
      <c r="I16" t="s">
        <v>70</v>
      </c>
    </row>
    <row r="17" spans="1:9">
      <c r="A17" t="s">
        <v>71</v>
      </c>
      <c r="B17" t="s">
        <v>72</v>
      </c>
      <c r="C17">
        <v>24</v>
      </c>
      <c r="D17" t="s">
        <v>148</v>
      </c>
      <c r="E17" t="s">
        <v>22</v>
      </c>
      <c r="F17">
        <v>43430</v>
      </c>
      <c r="G17" s="15" t="s">
        <v>73</v>
      </c>
      <c r="H17">
        <v>6</v>
      </c>
      <c r="I17" t="s">
        <v>74</v>
      </c>
    </row>
    <row r="18" spans="1:9">
      <c r="A18" t="s">
        <v>75</v>
      </c>
      <c r="B18" t="s">
        <v>76</v>
      </c>
      <c r="C18">
        <v>23</v>
      </c>
      <c r="D18" t="s">
        <v>147</v>
      </c>
      <c r="E18" t="s">
        <v>12</v>
      </c>
      <c r="F18">
        <v>43686</v>
      </c>
      <c r="G18" s="15" t="s">
        <v>77</v>
      </c>
      <c r="H18">
        <v>5</v>
      </c>
      <c r="I18" t="s">
        <v>78</v>
      </c>
    </row>
    <row r="19" spans="1:9">
      <c r="A19" t="s">
        <v>79</v>
      </c>
      <c r="B19" t="s">
        <v>80</v>
      </c>
      <c r="C19">
        <v>23</v>
      </c>
      <c r="D19" t="s">
        <v>147</v>
      </c>
      <c r="E19" t="s">
        <v>12</v>
      </c>
      <c r="F19">
        <v>43922</v>
      </c>
      <c r="G19" s="15" t="s">
        <v>81</v>
      </c>
      <c r="H19">
        <v>4</v>
      </c>
      <c r="I19" t="s">
        <v>82</v>
      </c>
    </row>
    <row r="20" spans="1:9">
      <c r="A20" t="s">
        <v>83</v>
      </c>
      <c r="B20" t="s">
        <v>84</v>
      </c>
      <c r="C20">
        <v>22</v>
      </c>
      <c r="D20" t="s">
        <v>147</v>
      </c>
      <c r="E20" t="s">
        <v>22</v>
      </c>
      <c r="F20">
        <v>43297</v>
      </c>
      <c r="G20" s="15" t="s">
        <v>85</v>
      </c>
      <c r="H20">
        <v>6</v>
      </c>
      <c r="I20" t="s">
        <v>86</v>
      </c>
    </row>
    <row r="21" spans="1:9">
      <c r="A21" t="s">
        <v>87</v>
      </c>
      <c r="B21" t="s">
        <v>88</v>
      </c>
      <c r="C21">
        <v>23</v>
      </c>
      <c r="D21" t="s">
        <v>147</v>
      </c>
      <c r="E21" t="s">
        <v>44</v>
      </c>
      <c r="F21">
        <v>43495</v>
      </c>
      <c r="G21" s="15" t="s">
        <v>89</v>
      </c>
      <c r="H21">
        <v>5</v>
      </c>
      <c r="I21" t="s">
        <v>90</v>
      </c>
    </row>
    <row r="22" spans="1:9">
      <c r="A22" t="s">
        <v>91</v>
      </c>
      <c r="B22" t="s">
        <v>92</v>
      </c>
      <c r="C22">
        <v>22</v>
      </c>
      <c r="D22" t="s">
        <v>147</v>
      </c>
      <c r="E22" t="s">
        <v>17</v>
      </c>
      <c r="F22">
        <v>44003</v>
      </c>
      <c r="G22" s="15" t="s">
        <v>93</v>
      </c>
      <c r="H22">
        <v>4</v>
      </c>
      <c r="I22" t="s">
        <v>94</v>
      </c>
    </row>
    <row r="23" spans="1:9">
      <c r="A23" t="s">
        <v>95</v>
      </c>
      <c r="B23" t="s">
        <v>96</v>
      </c>
      <c r="C23">
        <v>23</v>
      </c>
      <c r="D23" t="s">
        <v>147</v>
      </c>
      <c r="E23" t="s">
        <v>17</v>
      </c>
      <c r="F23">
        <v>43244</v>
      </c>
      <c r="G23" s="15" t="s">
        <v>97</v>
      </c>
      <c r="H23">
        <v>6</v>
      </c>
      <c r="I23" t="s">
        <v>98</v>
      </c>
    </row>
    <row r="24" spans="1:9">
      <c r="A24" t="s">
        <v>99</v>
      </c>
      <c r="B24" t="s">
        <v>100</v>
      </c>
      <c r="C24">
        <v>22</v>
      </c>
      <c r="D24" t="s">
        <v>148</v>
      </c>
      <c r="E24" t="s">
        <v>44</v>
      </c>
      <c r="F24">
        <v>43502</v>
      </c>
      <c r="G24" s="15" t="s">
        <v>101</v>
      </c>
      <c r="H24">
        <v>5</v>
      </c>
      <c r="I24" t="s">
        <v>102</v>
      </c>
    </row>
    <row r="25" spans="1:9">
      <c r="A25" t="s">
        <v>103</v>
      </c>
      <c r="B25" t="s">
        <v>104</v>
      </c>
      <c r="C25">
        <v>23</v>
      </c>
      <c r="D25" t="s">
        <v>147</v>
      </c>
      <c r="E25" t="s">
        <v>12</v>
      </c>
      <c r="F25">
        <v>44037</v>
      </c>
      <c r="G25" s="15" t="s">
        <v>105</v>
      </c>
      <c r="H25">
        <v>4</v>
      </c>
      <c r="I25" t="s">
        <v>106</v>
      </c>
    </row>
    <row r="26" spans="1:9">
      <c r="A26" t="s">
        <v>107</v>
      </c>
      <c r="B26" t="s">
        <v>108</v>
      </c>
      <c r="C26">
        <v>22</v>
      </c>
      <c r="D26" t="s">
        <v>147</v>
      </c>
      <c r="E26" t="s">
        <v>17</v>
      </c>
      <c r="F26">
        <v>43192</v>
      </c>
      <c r="G26" s="15" t="s">
        <v>109</v>
      </c>
      <c r="H26">
        <v>6</v>
      </c>
      <c r="I26" t="s">
        <v>110</v>
      </c>
    </row>
    <row r="27" spans="1:9">
      <c r="A27" t="s">
        <v>111</v>
      </c>
      <c r="B27" t="s">
        <v>112</v>
      </c>
      <c r="C27">
        <v>22</v>
      </c>
      <c r="D27" t="s">
        <v>148</v>
      </c>
      <c r="E27" t="s">
        <v>12</v>
      </c>
      <c r="F27">
        <v>43751</v>
      </c>
      <c r="G27" s="15" t="s">
        <v>113</v>
      </c>
      <c r="H27">
        <v>5</v>
      </c>
      <c r="I27" t="s">
        <v>114</v>
      </c>
    </row>
    <row r="28" spans="1:9">
      <c r="A28" t="s">
        <v>115</v>
      </c>
      <c r="B28" t="s">
        <v>116</v>
      </c>
      <c r="C28">
        <v>22</v>
      </c>
      <c r="D28" t="s">
        <v>147</v>
      </c>
      <c r="E28" t="s">
        <v>22</v>
      </c>
      <c r="F28">
        <v>44048</v>
      </c>
      <c r="G28" s="15" t="s">
        <v>117</v>
      </c>
      <c r="H28">
        <v>4</v>
      </c>
      <c r="I28" t="s">
        <v>118</v>
      </c>
    </row>
    <row r="29" spans="1:9">
      <c r="A29" t="s">
        <v>119</v>
      </c>
      <c r="B29" t="s">
        <v>120</v>
      </c>
      <c r="C29">
        <v>22</v>
      </c>
      <c r="D29" t="s">
        <v>147</v>
      </c>
      <c r="E29" t="s">
        <v>12</v>
      </c>
      <c r="F29">
        <v>43177</v>
      </c>
      <c r="G29" s="15" t="s">
        <v>121</v>
      </c>
      <c r="H29">
        <v>6</v>
      </c>
      <c r="I29" t="s">
        <v>122</v>
      </c>
    </row>
    <row r="30" spans="1:9">
      <c r="A30" t="s">
        <v>123</v>
      </c>
      <c r="B30" t="s">
        <v>124</v>
      </c>
      <c r="C30">
        <v>24</v>
      </c>
      <c r="D30" t="s">
        <v>148</v>
      </c>
      <c r="E30" t="s">
        <v>17</v>
      </c>
      <c r="F30">
        <v>43614</v>
      </c>
      <c r="G30" s="15" t="s">
        <v>125</v>
      </c>
      <c r="H30">
        <v>5</v>
      </c>
      <c r="I30" t="s">
        <v>126</v>
      </c>
    </row>
    <row r="31" spans="1:9">
      <c r="A31" t="s">
        <v>127</v>
      </c>
      <c r="B31" t="s">
        <v>128</v>
      </c>
      <c r="C31">
        <v>21</v>
      </c>
      <c r="D31" t="s">
        <v>148</v>
      </c>
      <c r="E31" t="s">
        <v>27</v>
      </c>
      <c r="F31">
        <v>44082</v>
      </c>
      <c r="G31" s="15" t="s">
        <v>129</v>
      </c>
      <c r="H31">
        <v>4</v>
      </c>
      <c r="I31" t="s">
        <v>130</v>
      </c>
    </row>
    <row r="32" spans="1:9">
      <c r="A32" t="s">
        <v>131</v>
      </c>
      <c r="B32" t="s">
        <v>132</v>
      </c>
      <c r="C32">
        <v>21</v>
      </c>
      <c r="D32" t="s">
        <v>148</v>
      </c>
      <c r="E32" t="s">
        <v>17</v>
      </c>
      <c r="F32">
        <v>43111</v>
      </c>
      <c r="G32" s="15" t="s">
        <v>133</v>
      </c>
      <c r="H32">
        <v>6</v>
      </c>
      <c r="I32" t="s">
        <v>134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员工信息表</vt:lpstr>
      <vt:lpstr>1月部门费用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</dc:creator>
  <cp:lastModifiedBy>准易技术~张工</cp:lastModifiedBy>
  <dcterms:created xsi:type="dcterms:W3CDTF">2023-05-12T11:15:00Z</dcterms:created>
  <dcterms:modified xsi:type="dcterms:W3CDTF">2025-03-06T02:55:35Z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
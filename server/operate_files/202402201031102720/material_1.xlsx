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70" windowHeight="10065" activeTab="1"/>
  </bookViews>
  <sheets>
    <sheet name="订单信息表" sheetId="1" r:id="rId1"/>
    <sheet name="Sheet2" sheetId="2" r:id="rId2"/>
    <sheet name="Sheet3" sheetId="3" state="hidden" r:id="rId3"/>
    <sheet name="筛选" sheetId="4" r:id="rId4"/>
  </sheets>
  <definedNames>
    <definedName name="销售数据">订单信息表!$A$1:$F$27</definedName>
    <definedName name="_xlnm.Criteria" localSheetId="3">筛选!$A$1:$B$2</definedName>
    <definedName name="_xlnm.Extract" localSheetId="3">筛选!$B$6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<sst xmlns="http://schemas.openxmlformats.org/spreadsheetml/2006/main" count="247" uniqueCount="46">
  <si>
    <t>区域</t>
  </si>
  <si>
    <t>订单编号</t>
  </si>
  <si>
    <t>业务员姓名</t>
  </si>
  <si>
    <t>送货城市</t>
  </si>
  <si>
    <t>订单数量</t>
  </si>
  <si>
    <t>订单金额</t>
  </si>
  <si>
    <t>是否达标</t>
  </si>
  <si>
    <t>华北区</t>
  </si>
  <si>
    <t>陈小萱</t>
  </si>
  <si>
    <t>太原</t>
  </si>
  <si>
    <t>城市</t>
  </si>
  <si>
    <t>订单总数量</t>
  </si>
  <si>
    <t>华南区</t>
  </si>
  <si>
    <t>刘小琇</t>
  </si>
  <si>
    <t>厦门</t>
  </si>
  <si>
    <t>北京</t>
  </si>
  <si>
    <t>东北区</t>
  </si>
  <si>
    <t>陈小扬</t>
  </si>
  <si>
    <t>哈尔滨</t>
  </si>
  <si>
    <t>西北区</t>
  </si>
  <si>
    <t>魏小榛</t>
  </si>
  <si>
    <t>兰州</t>
  </si>
  <si>
    <t>刘小明</t>
  </si>
  <si>
    <t>石家庄</t>
  </si>
  <si>
    <t>银川</t>
  </si>
  <si>
    <t>订单金额最大值</t>
  </si>
  <si>
    <t>黄小婷</t>
  </si>
  <si>
    <t>订单金额最小值</t>
  </si>
  <si>
    <t>陈小帆</t>
  </si>
  <si>
    <t>华东区</t>
  </si>
  <si>
    <t>无锡</t>
  </si>
  <si>
    <t>郑州</t>
  </si>
  <si>
    <t>苏小琳</t>
  </si>
  <si>
    <t>雷小嘉</t>
  </si>
  <si>
    <t>南宁</t>
  </si>
  <si>
    <t>求和项:订单金额</t>
  </si>
  <si>
    <t>总计</t>
  </si>
  <si>
    <t>不达标</t>
  </si>
  <si>
    <t>达标</t>
  </si>
  <si>
    <t>西北区 汇总</t>
  </si>
  <si>
    <t>华南区 汇总</t>
  </si>
  <si>
    <t>华东区 汇总</t>
  </si>
  <si>
    <t>华北区 汇总</t>
  </si>
  <si>
    <t>东北区 汇总</t>
  </si>
  <si>
    <t>&gt;5000</t>
  </si>
  <si>
    <t>汇总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</si>
</sst>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Red][&gt;10000]#;[Black]#"/>
    <numFmt numFmtId="177" formatCode="[Red][&gt;10000]#;[Black]#"/>
  </numFmts>
  <fonts count="23">
    <font>
      <sz val="11"/>
      <color theme="1"/>
      <name val="宋体"/>
      <charset val="134"/>
      <scheme val="minor"/>
    </font>
    <font>
      <sz val="16"/>
      <color rgb="FFFF0000"/>
      <name val="微软雅黑"/>
      <charset val="134"/>
    </font>
    <font>
      <sz val="12"/>
      <color theme="1"/>
      <name val="等线"/>
      <charset val="136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等线"/>
        <scheme val="none"/>
        <charset val="136"/>
        <family val="0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numFmt numFmtId="176" formatCode="[Red][&gt;10000]#;[Black]#"/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7"/>
          <bgColor theme="7"/>
        </patternFill>
      </fill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1" defaultTableStyle="TableStyleMedium2" defaultPivotStyle="PivotStyleLight16">
    <tableStyle name="TableStylePreset6_Accent4" pivot="0" count="9" xr9:uid="{5D4C3956-16D0-4536-A32D-D2F89A362617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订单信息表!$J$2</c:f>
              <c:strCache>
                <c:ptCount val="1"/>
                <c:pt idx="0">
                  <c:v>订单总数量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订单信息表!$I$3:$I$6</c:f>
              <c:strCache>
                <c:ptCount val="4"/>
                <c:pt idx="0">
                  <c:v>北京</c:v>
                </c:pt>
                <c:pt idx="1">
                  <c:v>哈尔滨</c:v>
                </c:pt>
                <c:pt idx="2">
                  <c:v>太原</c:v>
                </c:pt>
                <c:pt idx="3">
                  <c:v>石家庄</c:v>
                </c:pt>
              </c:strCache>
            </c:strRef>
          </c:cat>
          <c:val>
            <c:numRef>
              <c:f>订单信息表!$J$3:$J$6</c:f>
              <c:numCache>
                <c:formatCode>General</c:formatCode>
                <c:ptCount val="4"/>
                <c:pt idx="0">
                  <c:v>35</c:v>
                </c:pt>
                <c:pt idx="1">
                  <c:v>31</c:v>
                </c:pt>
                <c:pt idx="2">
                  <c:v>27</c:v>
                </c:pt>
                <c:pt idx="3">
                  <c:v>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378162765"/>
        <c:axId val="240470187"/>
      </c:barChart>
      <c:catAx>
        <c:axId val="37816276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470187"/>
        <c:crosses val="autoZero"/>
        <c:auto val="1"/>
        <c:lblAlgn val="ctr"/>
        <c:lblOffset val="100"/>
        <c:noMultiLvlLbl val="0"/>
      </c:catAx>
      <c:valAx>
        <c:axId val="2404701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16276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[excel22-MHT_标准文件 - 副本 (2).xlsx]Sheet2!华北区业绩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汇总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Sheet2!$B$4:$B$10</c:f>
              <c:strCache>
                <c:ptCount val="6"/>
                <c:pt idx="0">
                  <c:v>陈小帆</c:v>
                </c:pt>
                <c:pt idx="1">
                  <c:v>陈小萱</c:v>
                </c:pt>
                <c:pt idx="2">
                  <c:v>陈小扬</c:v>
                </c:pt>
                <c:pt idx="3">
                  <c:v>黄小婷</c:v>
                </c:pt>
                <c:pt idx="4">
                  <c:v>刘小琇</c:v>
                </c:pt>
                <c:pt idx="5">
                  <c:v>苏小琳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6"/>
                <c:pt idx="0">
                  <c:v>7244</c:v>
                </c:pt>
                <c:pt idx="1">
                  <c:v>39750</c:v>
                </c:pt>
                <c:pt idx="2">
                  <c:v>19778</c:v>
                </c:pt>
                <c:pt idx="3">
                  <c:v>22763</c:v>
                </c:pt>
                <c:pt idx="4">
                  <c:v>15208</c:v>
                </c:pt>
                <c:pt idx="5">
                  <c:v>4044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陈小萱业绩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筛选!$G$6</c:f>
              <c:strCache>
                <c:ptCount val="1"/>
                <c:pt idx="0">
                  <c:v>订单金额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筛选!$B$7:$B$11</c:f>
              <c:strCache>
                <c:ptCount val="5"/>
                <c:pt idx="0">
                  <c:v>华北区</c:v>
                </c:pt>
                <c:pt idx="1">
                  <c:v>西北区</c:v>
                </c:pt>
                <c:pt idx="2">
                  <c:v>华东区</c:v>
                </c:pt>
                <c:pt idx="3">
                  <c:v>华北区</c:v>
                </c:pt>
                <c:pt idx="4">
                  <c:v>华北区</c:v>
                </c:pt>
              </c:strCache>
            </c:strRef>
          </c:cat>
          <c:val>
            <c:numRef>
              <c:f>筛选!$G$7:$G$11</c:f>
              <c:numCache>
                <c:formatCode>[Red][&gt;10000]#;[Black]#</c:formatCode>
                <c:ptCount val="5"/>
                <c:pt idx="0">
                  <c:v>19777</c:v>
                </c:pt>
                <c:pt idx="1">
                  <c:v>11045</c:v>
                </c:pt>
                <c:pt idx="2">
                  <c:v>12136</c:v>
                </c:pt>
                <c:pt idx="3">
                  <c:v>6723</c:v>
                </c:pt>
                <c:pt idx="4">
                  <c:v>10629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74386298"/>
        <c:axId val="777174745"/>
      </c:barChart>
      <c:catAx>
        <c:axId val="77438629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7174745"/>
        <c:crosses val="autoZero"/>
        <c:auto val="1"/>
        <c:lblAlgn val="ctr"/>
        <c:lblOffset val="100"/>
        <c:noMultiLvlLbl val="0"/>
      </c:catAx>
      <c:valAx>
        <c:axId val="77717474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[Red][&gt;10000]#;[Black]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43862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200025</xdr:colOff>
      <xdr:row>10</xdr:row>
      <xdr:rowOff>133350</xdr:rowOff>
    </xdr:from>
    <xdr:to>
      <xdr:col>10</xdr:col>
      <xdr:colOff>53975</xdr:colOff>
      <xdr:row>24</xdr:row>
      <xdr:rowOff>190500</xdr:rowOff>
    </xdr:to>
    <xdr:graphicFrame>
      <xdr:nvGraphicFramePr>
        <xdr:cNvPr id="2" name="图表 1"/>
        <xdr:cNvGraphicFramePr/>
      </xdr:nvGraphicFramePr>
      <xdr:xfrm>
        <a:off x="6353175" y="2219325"/>
        <a:ext cx="25019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679450</xdr:colOff>
      <xdr:row>11</xdr:row>
      <xdr:rowOff>95250</xdr:rowOff>
    </xdr:from>
    <xdr:to>
      <xdr:col>4</xdr:col>
      <xdr:colOff>67310</xdr:colOff>
      <xdr:row>23</xdr:row>
      <xdr:rowOff>86360</xdr:rowOff>
    </xdr:to>
    <xdr:graphicFrame>
      <xdr:nvGraphicFramePr>
        <xdr:cNvPr id="2" name="图表 1"/>
        <xdr:cNvGraphicFramePr/>
      </xdr:nvGraphicFramePr>
      <xdr:xfrm>
        <a:off x="679450" y="1981200"/>
        <a:ext cx="3102610" cy="20485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114300</xdr:colOff>
      <xdr:row>12</xdr:row>
      <xdr:rowOff>114300</xdr:rowOff>
    </xdr:from>
    <xdr:to>
      <xdr:col>6</xdr:col>
      <xdr:colOff>844550</xdr:colOff>
      <xdr:row>25</xdr:row>
      <xdr:rowOff>114300</xdr:rowOff>
    </xdr:to>
    <xdr:graphicFrame>
      <xdr:nvGraphicFramePr>
        <xdr:cNvPr id="2" name="图表 1"/>
        <xdr:cNvGraphicFramePr/>
      </xdr:nvGraphicFramePr>
      <xdr:xfrm>
        <a:off x="942975" y="2428875"/>
        <a:ext cx="5483225" cy="222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45.4685069444" refreshedBy="zy" recordCount="26">
  <cacheSource type="worksheet">
    <worksheetSource name="销售数据"/>
  </cacheSource>
  <cacheFields count="6">
    <cacheField name="区域" numFmtId="0">
      <sharedItems count="5">
        <s v="华北区"/>
        <s v="华南区"/>
        <s v="东北区"/>
        <s v="西北区"/>
        <s v="华东区"/>
      </sharedItems>
    </cacheField>
    <cacheField name="订单编号" numFmtId="0">
      <sharedItems containsString="0" containsBlank="1" containsNumber="1" containsInteger="1" minValue="1220" maxValue="1245" count="26">
        <n v="1220"/>
        <n v="1221"/>
        <n v="1222"/>
        <n v="1223"/>
        <n v="1224"/>
        <n v="1225"/>
        <n v="1226"/>
        <n v="1227"/>
        <m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</sharedItems>
    </cacheField>
    <cacheField name="业务员姓名" numFmtId="0">
      <sharedItems count="9">
        <s v="陈小萱"/>
        <s v="刘小琇"/>
        <s v="陈小扬"/>
        <s v="魏小榛"/>
        <s v="刘小明"/>
        <s v="黄小婷"/>
        <s v="陈小帆"/>
        <s v="苏小琳"/>
        <s v="雷小嘉"/>
      </sharedItems>
    </cacheField>
    <cacheField name="送货城市" numFmtId="0">
      <sharedItems count="10">
        <s v="太原"/>
        <s v="厦门"/>
        <s v="哈尔滨"/>
        <s v="兰州"/>
        <s v="银川"/>
        <s v="石家庄"/>
        <s v="无锡"/>
        <s v="郑州"/>
        <s v="北京"/>
        <s v="南宁"/>
      </sharedItems>
    </cacheField>
    <cacheField name="订单数量" numFmtId="0">
      <sharedItems containsSemiMixedTypes="0" containsString="0" containsNumber="1" containsInteger="1" minValue="1" maxValue="17" count="12">
        <n v="14"/>
        <n v="6"/>
        <n v="15"/>
        <n v="3"/>
        <n v="2"/>
        <n v="1"/>
        <n v="12"/>
        <n v="5"/>
        <n v="17"/>
        <n v="13"/>
        <n v="11"/>
        <n v="16"/>
      </sharedItems>
    </cacheField>
    <cacheField name="订单金额" numFmtId="177">
      <sharedItems containsSemiMixedTypes="0" containsString="0" containsNumber="1" containsInteger="1" minValue="2621" maxValue="19777" count="26">
        <n v="19777"/>
        <n v="12728"/>
        <n v="9872"/>
        <n v="9735"/>
        <n v="7074"/>
        <n v="11045"/>
        <n v="8583"/>
        <n v="9571"/>
        <n v="7244"/>
        <n v="12136"/>
        <n v="13192"/>
        <n v="19154"/>
        <n v="3251"/>
        <n v="4044"/>
        <n v="6723"/>
        <n v="6171"/>
        <n v="11891"/>
        <n v="11957"/>
        <n v="6855"/>
        <n v="13607"/>
        <n v="8226"/>
        <n v="10629"/>
        <n v="10053"/>
        <n v="5813"/>
        <n v="2621"/>
        <n v="621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">
  <r>
    <x v="0"/>
    <x v="0"/>
    <x v="0"/>
    <x v="0"/>
    <x v="0"/>
    <x v="0"/>
  </r>
  <r>
    <x v="1"/>
    <x v="1"/>
    <x v="1"/>
    <x v="1"/>
    <x v="1"/>
    <x v="1"/>
  </r>
  <r>
    <x v="2"/>
    <x v="2"/>
    <x v="2"/>
    <x v="2"/>
    <x v="2"/>
    <x v="2"/>
  </r>
  <r>
    <x v="3"/>
    <x v="3"/>
    <x v="3"/>
    <x v="3"/>
    <x v="3"/>
    <x v="3"/>
  </r>
  <r>
    <x v="2"/>
    <x v="4"/>
    <x v="4"/>
    <x v="2"/>
    <x v="4"/>
    <x v="4"/>
  </r>
  <r>
    <x v="3"/>
    <x v="5"/>
    <x v="0"/>
    <x v="3"/>
    <x v="3"/>
    <x v="5"/>
  </r>
  <r>
    <x v="3"/>
    <x v="6"/>
    <x v="2"/>
    <x v="4"/>
    <x v="5"/>
    <x v="6"/>
  </r>
  <r>
    <x v="0"/>
    <x v="7"/>
    <x v="5"/>
    <x v="5"/>
    <x v="6"/>
    <x v="7"/>
  </r>
  <r>
    <x v="0"/>
    <x v="8"/>
    <x v="6"/>
    <x v="5"/>
    <x v="0"/>
    <x v="8"/>
  </r>
  <r>
    <x v="4"/>
    <x v="9"/>
    <x v="0"/>
    <x v="6"/>
    <x v="2"/>
    <x v="9"/>
  </r>
  <r>
    <x v="0"/>
    <x v="10"/>
    <x v="5"/>
    <x v="0"/>
    <x v="7"/>
    <x v="10"/>
  </r>
  <r>
    <x v="1"/>
    <x v="11"/>
    <x v="4"/>
    <x v="1"/>
    <x v="3"/>
    <x v="11"/>
  </r>
  <r>
    <x v="0"/>
    <x v="12"/>
    <x v="1"/>
    <x v="7"/>
    <x v="8"/>
    <x v="12"/>
  </r>
  <r>
    <x v="0"/>
    <x v="13"/>
    <x v="7"/>
    <x v="0"/>
    <x v="4"/>
    <x v="13"/>
  </r>
  <r>
    <x v="0"/>
    <x v="14"/>
    <x v="0"/>
    <x v="8"/>
    <x v="9"/>
    <x v="14"/>
  </r>
  <r>
    <x v="0"/>
    <x v="15"/>
    <x v="2"/>
    <x v="0"/>
    <x v="5"/>
    <x v="15"/>
  </r>
  <r>
    <x v="1"/>
    <x v="16"/>
    <x v="8"/>
    <x v="1"/>
    <x v="3"/>
    <x v="16"/>
  </r>
  <r>
    <x v="0"/>
    <x v="17"/>
    <x v="1"/>
    <x v="8"/>
    <x v="10"/>
    <x v="17"/>
  </r>
  <r>
    <x v="3"/>
    <x v="18"/>
    <x v="3"/>
    <x v="4"/>
    <x v="8"/>
    <x v="18"/>
  </r>
  <r>
    <x v="0"/>
    <x v="19"/>
    <x v="2"/>
    <x v="7"/>
    <x v="9"/>
    <x v="19"/>
  </r>
  <r>
    <x v="3"/>
    <x v="20"/>
    <x v="4"/>
    <x v="4"/>
    <x v="11"/>
    <x v="20"/>
  </r>
  <r>
    <x v="0"/>
    <x v="21"/>
    <x v="0"/>
    <x v="8"/>
    <x v="10"/>
    <x v="21"/>
  </r>
  <r>
    <x v="3"/>
    <x v="22"/>
    <x v="7"/>
    <x v="4"/>
    <x v="1"/>
    <x v="22"/>
  </r>
  <r>
    <x v="2"/>
    <x v="23"/>
    <x v="8"/>
    <x v="2"/>
    <x v="0"/>
    <x v="23"/>
  </r>
  <r>
    <x v="0"/>
    <x v="24"/>
    <x v="0"/>
    <x v="0"/>
    <x v="7"/>
    <x v="24"/>
  </r>
  <r>
    <x v="1"/>
    <x v="25"/>
    <x v="1"/>
    <x v="9"/>
    <x v="10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华北区业绩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B3:C10" firstHeaderRow="1" firstDataRow="1" firstDataCol="1" rowPageCount="1" colPageCount="1"/>
  <pivotFields count="6">
    <pivotField axis="axisPage" compact="0" showAll="0">
      <items count="6">
        <item x="2"/>
        <item x="0"/>
        <item x="4"/>
        <item x="1"/>
        <item x="3"/>
        <item t="default"/>
      </items>
    </pivotField>
    <pivotField compact="0" showAll="0"/>
    <pivotField axis="axisRow" compact="0" showAll="0">
      <items count="10">
        <item x="6"/>
        <item x="0"/>
        <item x="2"/>
        <item x="5"/>
        <item x="8"/>
        <item x="4"/>
        <item x="1"/>
        <item x="7"/>
        <item x="3"/>
        <item t="default"/>
      </items>
    </pivotField>
    <pivotField compact="0" showAll="0"/>
    <pivotField compact="0" showAll="0"/>
    <pivotField dataField="1" compact="0" numFmtId="176" showAll="0"/>
  </pivotFields>
  <rowFields count="1">
    <field x="2"/>
  </rowFields>
  <rowItems count="7">
    <i>
      <x/>
    </i>
    <i>
      <x v="1"/>
    </i>
    <i>
      <x v="2"/>
    </i>
    <i>
      <x v="3"/>
    </i>
    <i>
      <x v="6"/>
    </i>
    <i>
      <x v="7"/>
    </i>
    <i t="grand">
      <x/>
    </i>
  </rowItems>
  <colItems count="1">
    <i/>
  </colItems>
  <pageFields count="1">
    <pageField fld="0" item="1"/>
  </pageFields>
  <dataFields count="1">
    <dataField name="求和项:订单金额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B6:G12" totalsRowCount="1">
  <tableColumns count="6">
    <tableColumn id="1" name="区域" totalsRowLabel="汇总" dataDxfId="3"/>
    <tableColumn id="2" name="订单编号" dataDxfId="4"/>
    <tableColumn id="3" name="业务员姓名" dataDxfId="5"/>
    <tableColumn id="4" name="送货城市" dataDxfId="6"/>
    <tableColumn id="5" name="订单数量" dataDxfId="7"/>
    <tableColumn id="6" name="订单金额" totalsRowFunction="sum" dataDxfId="8"/>
  </tableColumns>
  <tableStyleInfo name="TableStylePreset6_Accent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J27"/>
  <sheetViews>
    <sheetView zoomScale="70" zoomScaleNormal="70" workbookViewId="0">
      <selection activeCell="P38" sqref="P38"/>
    </sheetView>
  </sheetViews>
  <sheetFormatPr defaultColWidth="9" defaultRowHeight="13.5"/>
  <cols>
    <col min="1" max="1" width="7" customWidth="1"/>
    <col min="2" max="2" width="12.375" customWidth="1"/>
    <col min="3" max="3" width="15.25" customWidth="1"/>
    <col min="4" max="4" width="12.375" style="6" customWidth="1"/>
    <col min="5" max="6" width="12.375" customWidth="1"/>
    <col min="8" max="8" width="8.875" customWidth="1"/>
    <col min="9" max="9" width="15" customWidth="1"/>
    <col min="10" max="10" width="10.875" customWidth="1"/>
  </cols>
  <sheetData>
    <row r="1" ht="22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ht="15.75" spans="1:10">
      <c r="A2" s="2" t="s">
        <v>7</v>
      </c>
      <c r="B2" s="2">
        <v>1220</v>
      </c>
      <c r="C2" s="2" t="s">
        <v>8</v>
      </c>
      <c r="D2" s="2" t="s">
        <v>9</v>
      </c>
      <c r="E2" s="3">
        <v>14</v>
      </c>
      <c r="F2" s="4">
        <v>19777</v>
      </c>
      <c r="G2" t="str">
        <f>IF(E2*F2&gt;100000,"达标","不达标")</f>
        <v>达标</v>
      </c>
      <c r="I2" s="2" t="s">
        <v>10</v>
      </c>
      <c r="J2" s="2" t="s">
        <v>11</v>
      </c>
    </row>
    <row r="3" ht="15.75" spans="1:10">
      <c r="A3" s="2" t="s">
        <v>12</v>
      </c>
      <c r="B3" s="2">
        <v>1221</v>
      </c>
      <c r="C3" s="2" t="s">
        <v>13</v>
      </c>
      <c r="D3" s="2" t="s">
        <v>14</v>
      </c>
      <c r="E3" s="3">
        <v>6</v>
      </c>
      <c r="F3" s="4">
        <v>12728</v>
      </c>
      <c r="G3" t="str">
        <f t="shared" ref="G3:G27" si="0">IF(E3*F3&gt;100000,"达标","不达标")</f>
        <v>不达标</v>
      </c>
      <c r="I3" s="2" t="s">
        <v>15</v>
      </c>
      <c r="J3" s="2">
        <f>SUMIF($D$2:$D$27,I3,$E$2:$E$27)</f>
        <v>35</v>
      </c>
    </row>
    <row r="4" ht="15.75" spans="1:10">
      <c r="A4" s="2" t="s">
        <v>16</v>
      </c>
      <c r="B4" s="2">
        <v>1222</v>
      </c>
      <c r="C4" s="2" t="s">
        <v>17</v>
      </c>
      <c r="D4" s="2" t="s">
        <v>18</v>
      </c>
      <c r="E4" s="3">
        <v>15</v>
      </c>
      <c r="F4" s="4">
        <v>9872</v>
      </c>
      <c r="G4" t="str">
        <f t="shared" si="0"/>
        <v>达标</v>
      </c>
      <c r="I4" s="2" t="s">
        <v>18</v>
      </c>
      <c r="J4" s="2">
        <f>SUMIF($D$2:$D$27,I4,$E$2:$E$27)</f>
        <v>31</v>
      </c>
    </row>
    <row r="5" ht="15.75" spans="1:10">
      <c r="A5" s="2" t="s">
        <v>19</v>
      </c>
      <c r="B5" s="2">
        <v>1223</v>
      </c>
      <c r="C5" s="2" t="s">
        <v>20</v>
      </c>
      <c r="D5" s="2" t="s">
        <v>21</v>
      </c>
      <c r="E5" s="3">
        <v>3</v>
      </c>
      <c r="F5" s="4">
        <v>9735</v>
      </c>
      <c r="G5" t="str">
        <f t="shared" si="0"/>
        <v>不达标</v>
      </c>
      <c r="I5" s="2" t="s">
        <v>9</v>
      </c>
      <c r="J5" s="2">
        <f>SUMIF($D$2:$D$27,I5,$E$2:$E$27)</f>
        <v>27</v>
      </c>
    </row>
    <row r="6" ht="15.75" spans="1:10">
      <c r="A6" s="2" t="s">
        <v>16</v>
      </c>
      <c r="B6" s="2">
        <v>1224</v>
      </c>
      <c r="C6" s="2" t="s">
        <v>22</v>
      </c>
      <c r="D6" s="2" t="s">
        <v>18</v>
      </c>
      <c r="E6" s="3">
        <v>2</v>
      </c>
      <c r="F6" s="4">
        <v>7074</v>
      </c>
      <c r="G6" t="str">
        <f t="shared" si="0"/>
        <v>不达标</v>
      </c>
      <c r="I6" s="2" t="s">
        <v>23</v>
      </c>
      <c r="J6" s="2">
        <f>SUMIF($D$2:$D$27,I6,$E$2:$E$27)</f>
        <v>26</v>
      </c>
    </row>
    <row r="7" ht="15.75" spans="1:7">
      <c r="A7" s="2" t="s">
        <v>19</v>
      </c>
      <c r="B7" s="2">
        <v>1225</v>
      </c>
      <c r="C7" s="2" t="s">
        <v>8</v>
      </c>
      <c r="D7" s="2" t="s">
        <v>21</v>
      </c>
      <c r="E7" s="3">
        <v>3</v>
      </c>
      <c r="F7" s="4">
        <v>11045</v>
      </c>
      <c r="G7" t="str">
        <f t="shared" si="0"/>
        <v>不达标</v>
      </c>
    </row>
    <row r="8" ht="15.75" spans="1:10">
      <c r="A8" s="2" t="s">
        <v>19</v>
      </c>
      <c r="B8" s="2">
        <v>1226</v>
      </c>
      <c r="C8" s="2" t="s">
        <v>17</v>
      </c>
      <c r="D8" s="2" t="s">
        <v>24</v>
      </c>
      <c r="E8" s="3">
        <v>1</v>
      </c>
      <c r="F8" s="4">
        <v>8583</v>
      </c>
      <c r="G8" t="str">
        <f t="shared" si="0"/>
        <v>不达标</v>
      </c>
      <c r="I8" s="2" t="s">
        <v>25</v>
      </c>
      <c r="J8" s="2">
        <f>MAX(F2:F27)</f>
        <v>19777</v>
      </c>
    </row>
    <row r="9" ht="15.75" spans="1:10">
      <c r="A9" s="2" t="s">
        <v>7</v>
      </c>
      <c r="B9" s="2">
        <v>1227</v>
      </c>
      <c r="C9" s="2" t="s">
        <v>26</v>
      </c>
      <c r="D9" s="2" t="s">
        <v>23</v>
      </c>
      <c r="E9" s="3">
        <v>12</v>
      </c>
      <c r="F9" s="4">
        <v>9571</v>
      </c>
      <c r="G9" t="str">
        <f t="shared" si="0"/>
        <v>达标</v>
      </c>
      <c r="I9" s="2" t="s">
        <v>27</v>
      </c>
      <c r="J9" s="2">
        <f>MIN(F2:F27)</f>
        <v>2621</v>
      </c>
    </row>
    <row r="10" ht="15.75" spans="1:7">
      <c r="A10" s="2" t="s">
        <v>7</v>
      </c>
      <c r="B10" s="2"/>
      <c r="C10" s="2" t="s">
        <v>28</v>
      </c>
      <c r="D10" s="2" t="s">
        <v>23</v>
      </c>
      <c r="E10" s="3">
        <v>14</v>
      </c>
      <c r="F10" s="4">
        <v>7244</v>
      </c>
      <c r="G10" t="str">
        <f t="shared" si="0"/>
        <v>达标</v>
      </c>
    </row>
    <row r="11" ht="15.75" spans="1:7">
      <c r="A11" s="2" t="s">
        <v>29</v>
      </c>
      <c r="B11" s="2">
        <v>1229</v>
      </c>
      <c r="C11" s="2" t="s">
        <v>8</v>
      </c>
      <c r="D11" s="2" t="s">
        <v>30</v>
      </c>
      <c r="E11" s="3">
        <v>15</v>
      </c>
      <c r="F11" s="4">
        <v>12136</v>
      </c>
      <c r="G11" t="str">
        <f t="shared" si="0"/>
        <v>达标</v>
      </c>
    </row>
    <row r="12" ht="15.75" spans="1:7">
      <c r="A12" s="2" t="s">
        <v>7</v>
      </c>
      <c r="B12" s="2">
        <v>1230</v>
      </c>
      <c r="C12" s="2" t="s">
        <v>26</v>
      </c>
      <c r="D12" s="2" t="s">
        <v>9</v>
      </c>
      <c r="E12" s="3">
        <v>5</v>
      </c>
      <c r="F12" s="4">
        <v>13192</v>
      </c>
      <c r="G12" t="str">
        <f t="shared" si="0"/>
        <v>不达标</v>
      </c>
    </row>
    <row r="13" ht="15.75" spans="1:7">
      <c r="A13" s="2" t="s">
        <v>12</v>
      </c>
      <c r="B13" s="2">
        <v>1231</v>
      </c>
      <c r="C13" s="2" t="s">
        <v>22</v>
      </c>
      <c r="D13" s="2" t="s">
        <v>14</v>
      </c>
      <c r="E13" s="3">
        <v>3</v>
      </c>
      <c r="F13" s="4">
        <v>19154</v>
      </c>
      <c r="G13" t="str">
        <f t="shared" si="0"/>
        <v>不达标</v>
      </c>
    </row>
    <row r="14" ht="15.75" spans="1:7">
      <c r="A14" s="2" t="s">
        <v>7</v>
      </c>
      <c r="B14" s="2">
        <v>1232</v>
      </c>
      <c r="C14" s="2" t="s">
        <v>13</v>
      </c>
      <c r="D14" s="2" t="s">
        <v>31</v>
      </c>
      <c r="E14" s="3">
        <v>17</v>
      </c>
      <c r="F14" s="4">
        <v>3251</v>
      </c>
      <c r="G14" t="str">
        <f t="shared" si="0"/>
        <v>不达标</v>
      </c>
    </row>
    <row r="15" ht="15.75" spans="1:7">
      <c r="A15" s="2" t="s">
        <v>7</v>
      </c>
      <c r="B15" s="2">
        <v>1233</v>
      </c>
      <c r="C15" s="2" t="s">
        <v>32</v>
      </c>
      <c r="D15" s="2" t="s">
        <v>9</v>
      </c>
      <c r="E15" s="3">
        <v>2</v>
      </c>
      <c r="F15" s="4">
        <v>4044</v>
      </c>
      <c r="G15" t="str">
        <f t="shared" si="0"/>
        <v>不达标</v>
      </c>
    </row>
    <row r="16" ht="15.75" spans="1:7">
      <c r="A16" s="2" t="s">
        <v>7</v>
      </c>
      <c r="B16" s="2">
        <v>1234</v>
      </c>
      <c r="C16" s="2" t="s">
        <v>8</v>
      </c>
      <c r="D16" s="2" t="s">
        <v>15</v>
      </c>
      <c r="E16" s="3">
        <v>13</v>
      </c>
      <c r="F16" s="4">
        <v>6723</v>
      </c>
      <c r="G16" t="str">
        <f t="shared" si="0"/>
        <v>不达标</v>
      </c>
    </row>
    <row r="17" ht="15.75" spans="1:7">
      <c r="A17" s="2" t="s">
        <v>7</v>
      </c>
      <c r="B17" s="2">
        <v>1235</v>
      </c>
      <c r="C17" s="2" t="s">
        <v>17</v>
      </c>
      <c r="D17" s="2" t="s">
        <v>9</v>
      </c>
      <c r="E17" s="3">
        <v>1</v>
      </c>
      <c r="F17" s="4">
        <v>6171</v>
      </c>
      <c r="G17" t="str">
        <f t="shared" si="0"/>
        <v>不达标</v>
      </c>
    </row>
    <row r="18" ht="15.75" spans="1:7">
      <c r="A18" s="2" t="s">
        <v>12</v>
      </c>
      <c r="B18" s="2">
        <v>1236</v>
      </c>
      <c r="C18" s="2" t="s">
        <v>33</v>
      </c>
      <c r="D18" s="2" t="s">
        <v>14</v>
      </c>
      <c r="E18" s="3">
        <v>3</v>
      </c>
      <c r="F18" s="4">
        <v>11891</v>
      </c>
      <c r="G18" t="str">
        <f t="shared" si="0"/>
        <v>不达标</v>
      </c>
    </row>
    <row r="19" ht="15.75" spans="1:7">
      <c r="A19" s="2" t="s">
        <v>7</v>
      </c>
      <c r="B19" s="2">
        <v>1237</v>
      </c>
      <c r="C19" s="2" t="s">
        <v>13</v>
      </c>
      <c r="D19" s="2" t="s">
        <v>15</v>
      </c>
      <c r="E19" s="3">
        <v>11</v>
      </c>
      <c r="F19" s="4">
        <v>11957</v>
      </c>
      <c r="G19" t="str">
        <f t="shared" si="0"/>
        <v>达标</v>
      </c>
    </row>
    <row r="20" ht="15.75" spans="1:7">
      <c r="A20" s="2" t="s">
        <v>19</v>
      </c>
      <c r="B20" s="2">
        <v>1238</v>
      </c>
      <c r="C20" s="2" t="s">
        <v>20</v>
      </c>
      <c r="D20" s="2" t="s">
        <v>24</v>
      </c>
      <c r="E20" s="3">
        <v>17</v>
      </c>
      <c r="F20" s="4">
        <v>6855</v>
      </c>
      <c r="G20" t="str">
        <f t="shared" si="0"/>
        <v>达标</v>
      </c>
    </row>
    <row r="21" ht="15.75" spans="1:7">
      <c r="A21" s="2" t="s">
        <v>7</v>
      </c>
      <c r="B21" s="2">
        <v>1239</v>
      </c>
      <c r="C21" s="2" t="s">
        <v>17</v>
      </c>
      <c r="D21" s="2" t="s">
        <v>31</v>
      </c>
      <c r="E21" s="3">
        <v>13</v>
      </c>
      <c r="F21" s="4">
        <v>13607</v>
      </c>
      <c r="G21" t="str">
        <f t="shared" si="0"/>
        <v>达标</v>
      </c>
    </row>
    <row r="22" ht="15.75" spans="1:7">
      <c r="A22" s="2" t="s">
        <v>19</v>
      </c>
      <c r="B22" s="2">
        <v>1240</v>
      </c>
      <c r="C22" s="2" t="s">
        <v>22</v>
      </c>
      <c r="D22" s="2" t="s">
        <v>24</v>
      </c>
      <c r="E22" s="3">
        <v>16</v>
      </c>
      <c r="F22" s="4">
        <v>8226</v>
      </c>
      <c r="G22" t="str">
        <f t="shared" si="0"/>
        <v>达标</v>
      </c>
    </row>
    <row r="23" ht="15.75" spans="1:7">
      <c r="A23" s="2" t="s">
        <v>7</v>
      </c>
      <c r="B23" s="2">
        <v>1241</v>
      </c>
      <c r="C23" s="2" t="s">
        <v>8</v>
      </c>
      <c r="D23" s="2" t="s">
        <v>15</v>
      </c>
      <c r="E23" s="3">
        <v>11</v>
      </c>
      <c r="F23" s="4">
        <v>10629</v>
      </c>
      <c r="G23" t="str">
        <f t="shared" si="0"/>
        <v>达标</v>
      </c>
    </row>
    <row r="24" ht="15.75" spans="1:7">
      <c r="A24" s="2" t="s">
        <v>19</v>
      </c>
      <c r="B24" s="2">
        <v>1242</v>
      </c>
      <c r="C24" s="2" t="s">
        <v>32</v>
      </c>
      <c r="D24" s="2" t="s">
        <v>24</v>
      </c>
      <c r="E24" s="3">
        <v>6</v>
      </c>
      <c r="F24" s="4">
        <v>10053</v>
      </c>
      <c r="G24" t="str">
        <f t="shared" si="0"/>
        <v>不达标</v>
      </c>
    </row>
    <row r="25" ht="15.75" spans="1:7">
      <c r="A25" s="2" t="s">
        <v>16</v>
      </c>
      <c r="B25" s="2">
        <v>1243</v>
      </c>
      <c r="C25" s="2" t="s">
        <v>33</v>
      </c>
      <c r="D25" s="2" t="s">
        <v>18</v>
      </c>
      <c r="E25" s="3">
        <v>14</v>
      </c>
      <c r="F25" s="4">
        <v>5813</v>
      </c>
      <c r="G25" t="str">
        <f t="shared" si="0"/>
        <v>不达标</v>
      </c>
    </row>
    <row r="26" ht="15.75" spans="1:7">
      <c r="A26" s="2" t="s">
        <v>7</v>
      </c>
      <c r="B26" s="2">
        <v>1244</v>
      </c>
      <c r="C26" s="2" t="s">
        <v>8</v>
      </c>
      <c r="D26" s="2" t="s">
        <v>9</v>
      </c>
      <c r="E26" s="3">
        <v>5</v>
      </c>
      <c r="F26" s="4">
        <v>2621</v>
      </c>
      <c r="G26" t="str">
        <f t="shared" si="0"/>
        <v>不达标</v>
      </c>
    </row>
    <row r="27" ht="15.75" spans="1:7">
      <c r="A27" s="2" t="s">
        <v>12</v>
      </c>
      <c r="B27" s="2">
        <v>1245</v>
      </c>
      <c r="C27" s="2" t="s">
        <v>13</v>
      </c>
      <c r="D27" s="2" t="s">
        <v>34</v>
      </c>
      <c r="E27" s="3">
        <v>11</v>
      </c>
      <c r="F27" s="4">
        <v>6219</v>
      </c>
      <c r="G27" t="str">
        <f t="shared" si="0"/>
        <v>不达标</v>
      </c>
    </row>
  </sheetData>
  <conditionalFormatting sqref="B2:B27">
    <cfRule type="containsBlanks" dxfId="0" priority="1">
      <formula>LEN(TRIM(B2))=0</formula>
    </cfRule>
  </conditionalFormatting>
  <conditionalFormatting sqref="D2:D27">
    <cfRule type="cellIs" dxfId="1" priority="2" operator="equal">
      <formula>"北京"</formula>
    </cfRule>
  </conditionalFormatting>
  <conditionalFormatting sqref="D2:D15 D17:D18 D20:D22 D24:D27">
    <cfRule type="containsText" dxfId="2" priority="3" operator="between" text="北京">
      <formula>NOT(ISERROR(SEARCH("北京",D2)))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0"/>
  <sheetViews>
    <sheetView tabSelected="1" workbookViewId="0">
      <selection activeCell="G22" sqref="G22"/>
    </sheetView>
  </sheetViews>
  <sheetFormatPr defaultColWidth="9" defaultRowHeight="13.5" outlineLevelCol="2"/>
  <cols>
    <col min="2" max="2" width="13.5"/>
    <col min="3" max="3" width="17.25"/>
  </cols>
  <sheetData>
    <row r="1" spans="2:3">
      <c r="B1" t="s">
        <v>0</v>
      </c>
      <c r="C1" t="s">
        <v>7</v>
      </c>
    </row>
    <row r="3" spans="2:3">
      <c r="B3" t="s">
        <v>2</v>
      </c>
      <c r="C3" t="s">
        <v>35</v>
      </c>
    </row>
    <row r="4" spans="2:3">
      <c r="B4" t="s">
        <v>28</v>
      </c>
      <c r="C4">
        <v>7244</v>
      </c>
    </row>
    <row r="5" spans="2:3">
      <c r="B5" t="s">
        <v>8</v>
      </c>
      <c r="C5">
        <v>39750</v>
      </c>
    </row>
    <row r="6" spans="2:3">
      <c r="B6" t="s">
        <v>17</v>
      </c>
      <c r="C6">
        <v>19778</v>
      </c>
    </row>
    <row r="7" spans="2:3">
      <c r="B7" t="s">
        <v>26</v>
      </c>
      <c r="C7">
        <v>22763</v>
      </c>
    </row>
    <row r="8" spans="2:3">
      <c r="B8" t="s">
        <v>13</v>
      </c>
      <c r="C8">
        <v>15208</v>
      </c>
    </row>
    <row r="9" spans="2:3">
      <c r="B9" t="s">
        <v>32</v>
      </c>
      <c r="C9">
        <v>4044</v>
      </c>
    </row>
    <row r="10" spans="2:3">
      <c r="B10" t="s">
        <v>36</v>
      </c>
      <c r="C10">
        <v>108787</v>
      </c>
    </row>
  </sheetData>
  <pageMargins left="0.7" right="0.7" top="0.75" bottom="0.75" header="0.3" footer="0.3"/>
  <pageSetup paperSize="9" orientation="landscape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opLeftCell="A4" workbookViewId="0">
      <selection activeCell="K16" sqref="K16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outlineLevel="2" spans="1:7">
      <c r="A2" t="s">
        <v>19</v>
      </c>
      <c r="B2">
        <v>1223</v>
      </c>
      <c r="C2" t="s">
        <v>20</v>
      </c>
      <c r="D2" t="s">
        <v>21</v>
      </c>
      <c r="E2">
        <v>3</v>
      </c>
      <c r="F2">
        <v>9735</v>
      </c>
      <c r="G2" t="s">
        <v>37</v>
      </c>
    </row>
    <row r="3" outlineLevel="2" spans="1:7">
      <c r="A3" t="s">
        <v>19</v>
      </c>
      <c r="B3">
        <v>1225</v>
      </c>
      <c r="C3" t="s">
        <v>8</v>
      </c>
      <c r="D3" t="s">
        <v>21</v>
      </c>
      <c r="E3">
        <v>3</v>
      </c>
      <c r="F3">
        <v>11045</v>
      </c>
      <c r="G3" t="s">
        <v>37</v>
      </c>
    </row>
    <row r="4" outlineLevel="2" spans="1:7">
      <c r="A4" t="s">
        <v>19</v>
      </c>
      <c r="B4">
        <v>1226</v>
      </c>
      <c r="C4" t="s">
        <v>17</v>
      </c>
      <c r="D4" t="s">
        <v>24</v>
      </c>
      <c r="E4">
        <v>1</v>
      </c>
      <c r="F4">
        <v>8583</v>
      </c>
      <c r="G4" t="s">
        <v>37</v>
      </c>
    </row>
    <row r="5" outlineLevel="2" spans="1:7">
      <c r="A5" t="s">
        <v>19</v>
      </c>
      <c r="B5">
        <v>1238</v>
      </c>
      <c r="C5" t="s">
        <v>20</v>
      </c>
      <c r="D5" t="s">
        <v>24</v>
      </c>
      <c r="E5">
        <v>17</v>
      </c>
      <c r="F5">
        <v>6855</v>
      </c>
      <c r="G5" t="s">
        <v>38</v>
      </c>
    </row>
    <row r="6" outlineLevel="2" spans="1:7">
      <c r="A6" t="s">
        <v>19</v>
      </c>
      <c r="B6">
        <v>1240</v>
      </c>
      <c r="C6" t="s">
        <v>22</v>
      </c>
      <c r="D6" t="s">
        <v>24</v>
      </c>
      <c r="E6">
        <v>16</v>
      </c>
      <c r="F6">
        <v>8226</v>
      </c>
      <c r="G6" t="s">
        <v>38</v>
      </c>
    </row>
    <row r="7" outlineLevel="2" spans="1:7">
      <c r="A7" t="s">
        <v>19</v>
      </c>
      <c r="B7">
        <v>1242</v>
      </c>
      <c r="C7" t="s">
        <v>32</v>
      </c>
      <c r="D7" t="s">
        <v>24</v>
      </c>
      <c r="E7">
        <v>6</v>
      </c>
      <c r="F7">
        <v>10053</v>
      </c>
      <c r="G7" t="s">
        <v>37</v>
      </c>
    </row>
    <row r="8" outlineLevel="1" spans="1:6">
      <c r="A8" s="5" t="s">
        <v>39</v>
      </c>
      <c r="F8">
        <f>SUBTOTAL(9,F2:F7)</f>
        <v>54497</v>
      </c>
    </row>
    <row r="9" outlineLevel="2" spans="1:7">
      <c r="A9" t="s">
        <v>12</v>
      </c>
      <c r="B9">
        <v>1221</v>
      </c>
      <c r="C9" t="s">
        <v>13</v>
      </c>
      <c r="D9" t="s">
        <v>14</v>
      </c>
      <c r="E9">
        <v>6</v>
      </c>
      <c r="F9">
        <v>12728</v>
      </c>
      <c r="G9" t="s">
        <v>37</v>
      </c>
    </row>
    <row r="10" outlineLevel="2" spans="1:7">
      <c r="A10" t="s">
        <v>12</v>
      </c>
      <c r="B10">
        <v>1231</v>
      </c>
      <c r="C10" t="s">
        <v>22</v>
      </c>
      <c r="D10" t="s">
        <v>14</v>
      </c>
      <c r="E10">
        <v>3</v>
      </c>
      <c r="F10">
        <v>19154</v>
      </c>
      <c r="G10" t="s">
        <v>37</v>
      </c>
    </row>
    <row r="11" outlineLevel="2" spans="1:7">
      <c r="A11" t="s">
        <v>12</v>
      </c>
      <c r="B11">
        <v>1236</v>
      </c>
      <c r="C11" t="s">
        <v>33</v>
      </c>
      <c r="D11" t="s">
        <v>14</v>
      </c>
      <c r="E11">
        <v>3</v>
      </c>
      <c r="F11">
        <v>11891</v>
      </c>
      <c r="G11" t="s">
        <v>37</v>
      </c>
    </row>
    <row r="12" outlineLevel="2" spans="1:7">
      <c r="A12" t="s">
        <v>12</v>
      </c>
      <c r="B12">
        <v>1245</v>
      </c>
      <c r="C12" t="s">
        <v>13</v>
      </c>
      <c r="D12" t="s">
        <v>34</v>
      </c>
      <c r="E12">
        <v>11</v>
      </c>
      <c r="F12">
        <v>6219</v>
      </c>
      <c r="G12" t="s">
        <v>37</v>
      </c>
    </row>
    <row r="13" outlineLevel="1" spans="1:6">
      <c r="A13" s="5" t="s">
        <v>40</v>
      </c>
      <c r="F13">
        <f>SUBTOTAL(9,F9:F12)</f>
        <v>49992</v>
      </c>
    </row>
    <row r="14" outlineLevel="2" spans="1:7">
      <c r="A14" t="s">
        <v>29</v>
      </c>
      <c r="B14">
        <v>1229</v>
      </c>
      <c r="C14" t="s">
        <v>8</v>
      </c>
      <c r="D14" t="s">
        <v>30</v>
      </c>
      <c r="E14">
        <v>15</v>
      </c>
      <c r="F14">
        <v>12136</v>
      </c>
      <c r="G14" t="s">
        <v>38</v>
      </c>
    </row>
    <row r="15" outlineLevel="1" spans="1:6">
      <c r="A15" s="5" t="s">
        <v>41</v>
      </c>
      <c r="F15">
        <f>SUBTOTAL(9,F14)</f>
        <v>12136</v>
      </c>
    </row>
    <row r="16" outlineLevel="2" spans="1:7">
      <c r="A16" t="s">
        <v>7</v>
      </c>
      <c r="B16">
        <v>1220</v>
      </c>
      <c r="C16" t="s">
        <v>8</v>
      </c>
      <c r="D16" t="s">
        <v>9</v>
      </c>
      <c r="E16">
        <v>14</v>
      </c>
      <c r="F16">
        <v>19777</v>
      </c>
      <c r="G16" t="s">
        <v>38</v>
      </c>
    </row>
    <row r="17" outlineLevel="2" spans="1:7">
      <c r="A17" t="s">
        <v>7</v>
      </c>
      <c r="B17">
        <v>1227</v>
      </c>
      <c r="C17" t="s">
        <v>26</v>
      </c>
      <c r="D17" t="s">
        <v>23</v>
      </c>
      <c r="E17">
        <v>12</v>
      </c>
      <c r="F17">
        <v>9571</v>
      </c>
      <c r="G17" t="s">
        <v>38</v>
      </c>
    </row>
    <row r="18" outlineLevel="2" spans="1:7">
      <c r="A18" t="s">
        <v>7</v>
      </c>
      <c r="C18" t="s">
        <v>28</v>
      </c>
      <c r="D18" t="s">
        <v>23</v>
      </c>
      <c r="E18">
        <v>14</v>
      </c>
      <c r="F18">
        <v>7244</v>
      </c>
      <c r="G18" t="s">
        <v>38</v>
      </c>
    </row>
    <row r="19" outlineLevel="2" spans="1:7">
      <c r="A19" t="s">
        <v>7</v>
      </c>
      <c r="B19">
        <v>1230</v>
      </c>
      <c r="C19" t="s">
        <v>26</v>
      </c>
      <c r="D19" t="s">
        <v>9</v>
      </c>
      <c r="E19">
        <v>5</v>
      </c>
      <c r="F19">
        <v>13192</v>
      </c>
      <c r="G19" t="s">
        <v>37</v>
      </c>
    </row>
    <row r="20" outlineLevel="2" spans="1:7">
      <c r="A20" t="s">
        <v>7</v>
      </c>
      <c r="B20">
        <v>1232</v>
      </c>
      <c r="C20" t="s">
        <v>13</v>
      </c>
      <c r="D20" t="s">
        <v>31</v>
      </c>
      <c r="E20">
        <v>17</v>
      </c>
      <c r="F20">
        <v>3251</v>
      </c>
      <c r="G20" t="s">
        <v>37</v>
      </c>
    </row>
    <row r="21" outlineLevel="2" spans="1:7">
      <c r="A21" t="s">
        <v>7</v>
      </c>
      <c r="B21">
        <v>1233</v>
      </c>
      <c r="C21" t="s">
        <v>32</v>
      </c>
      <c r="D21" t="s">
        <v>9</v>
      </c>
      <c r="E21">
        <v>2</v>
      </c>
      <c r="F21">
        <v>4044</v>
      </c>
      <c r="G21" t="s">
        <v>37</v>
      </c>
    </row>
    <row r="22" outlineLevel="2" spans="1:7">
      <c r="A22" t="s">
        <v>7</v>
      </c>
      <c r="B22">
        <v>1234</v>
      </c>
      <c r="C22" t="s">
        <v>8</v>
      </c>
      <c r="D22" t="s">
        <v>15</v>
      </c>
      <c r="E22">
        <v>13</v>
      </c>
      <c r="F22">
        <v>6723</v>
      </c>
      <c r="G22" t="s">
        <v>37</v>
      </c>
    </row>
    <row r="23" outlineLevel="2" spans="1:7">
      <c r="A23" t="s">
        <v>7</v>
      </c>
      <c r="B23">
        <v>1235</v>
      </c>
      <c r="C23" t="s">
        <v>17</v>
      </c>
      <c r="D23" t="s">
        <v>9</v>
      </c>
      <c r="E23">
        <v>1</v>
      </c>
      <c r="F23">
        <v>6171</v>
      </c>
      <c r="G23" t="s">
        <v>37</v>
      </c>
    </row>
    <row r="24" outlineLevel="2" spans="1:7">
      <c r="A24" t="s">
        <v>7</v>
      </c>
      <c r="B24">
        <v>1237</v>
      </c>
      <c r="C24" t="s">
        <v>13</v>
      </c>
      <c r="D24" t="s">
        <v>15</v>
      </c>
      <c r="E24">
        <v>11</v>
      </c>
      <c r="F24">
        <v>11957</v>
      </c>
      <c r="G24" t="s">
        <v>38</v>
      </c>
    </row>
    <row r="25" outlineLevel="2" spans="1:7">
      <c r="A25" t="s">
        <v>7</v>
      </c>
      <c r="B25">
        <v>1239</v>
      </c>
      <c r="C25" t="s">
        <v>17</v>
      </c>
      <c r="D25" t="s">
        <v>31</v>
      </c>
      <c r="E25">
        <v>13</v>
      </c>
      <c r="F25">
        <v>13607</v>
      </c>
      <c r="G25" t="s">
        <v>38</v>
      </c>
    </row>
    <row r="26" outlineLevel="2" spans="1:7">
      <c r="A26" t="s">
        <v>7</v>
      </c>
      <c r="B26">
        <v>1241</v>
      </c>
      <c r="C26" t="s">
        <v>8</v>
      </c>
      <c r="D26" t="s">
        <v>15</v>
      </c>
      <c r="E26">
        <v>11</v>
      </c>
      <c r="F26">
        <v>10629</v>
      </c>
      <c r="G26" t="s">
        <v>38</v>
      </c>
    </row>
    <row r="27" outlineLevel="2" spans="1:7">
      <c r="A27" t="s">
        <v>7</v>
      </c>
      <c r="B27">
        <v>1244</v>
      </c>
      <c r="C27" t="s">
        <v>8</v>
      </c>
      <c r="D27" t="s">
        <v>9</v>
      </c>
      <c r="E27">
        <v>5</v>
      </c>
      <c r="F27">
        <v>2621</v>
      </c>
      <c r="G27" t="s">
        <v>37</v>
      </c>
    </row>
    <row r="28" outlineLevel="1" spans="1:6">
      <c r="A28" s="5" t="s">
        <v>42</v>
      </c>
      <c r="F28">
        <f>SUBTOTAL(9,F16:F27)</f>
        <v>108787</v>
      </c>
    </row>
    <row r="29" outlineLevel="2" spans="1:7">
      <c r="A29" t="s">
        <v>16</v>
      </c>
      <c r="B29">
        <v>1222</v>
      </c>
      <c r="C29" t="s">
        <v>17</v>
      </c>
      <c r="D29" t="s">
        <v>18</v>
      </c>
      <c r="E29">
        <v>15</v>
      </c>
      <c r="F29">
        <v>9872</v>
      </c>
      <c r="G29" t="s">
        <v>38</v>
      </c>
    </row>
    <row r="30" outlineLevel="2" spans="1:7">
      <c r="A30" t="s">
        <v>16</v>
      </c>
      <c r="B30">
        <v>1224</v>
      </c>
      <c r="C30" t="s">
        <v>22</v>
      </c>
      <c r="D30" t="s">
        <v>18</v>
      </c>
      <c r="E30">
        <v>2</v>
      </c>
      <c r="F30">
        <v>7074</v>
      </c>
      <c r="G30" t="s">
        <v>37</v>
      </c>
    </row>
    <row r="31" outlineLevel="2" spans="1:7">
      <c r="A31" t="s">
        <v>16</v>
      </c>
      <c r="B31">
        <v>1243</v>
      </c>
      <c r="C31" t="s">
        <v>33</v>
      </c>
      <c r="D31" t="s">
        <v>18</v>
      </c>
      <c r="E31">
        <v>14</v>
      </c>
      <c r="F31">
        <v>5813</v>
      </c>
      <c r="G31" t="s">
        <v>37</v>
      </c>
    </row>
    <row r="32" outlineLevel="1" spans="1:6">
      <c r="A32" s="5" t="s">
        <v>43</v>
      </c>
      <c r="F32">
        <f>SUBTOTAL(9,F29:F31)</f>
        <v>22759</v>
      </c>
    </row>
    <row r="33" spans="1:6">
      <c r="A33" s="5" t="s">
        <v>36</v>
      </c>
      <c r="F33">
        <f>SUBTOTAL(9,F2:F31)</f>
        <v>248171</v>
      </c>
    </row>
  </sheetData>
  <sortState ref="A2:G27">
    <sortCondition ref="A2" descending="1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E30" sqref="E30"/>
    </sheetView>
  </sheetViews>
  <sheetFormatPr defaultColWidth="9" defaultRowHeight="13.5" outlineLevelCol="6"/>
  <cols>
    <col min="1" max="1" width="10.875" customWidth="1"/>
    <col min="2" max="2" width="8.875" customWidth="1"/>
    <col min="3" max="3" width="12.625" customWidth="1"/>
    <col min="4" max="4" width="15.625" customWidth="1"/>
    <col min="5" max="7" width="12.625" customWidth="1"/>
  </cols>
  <sheetData>
    <row r="1" spans="1:2">
      <c r="A1" t="s">
        <v>2</v>
      </c>
      <c r="B1" t="s">
        <v>5</v>
      </c>
    </row>
    <row r="2" spans="1:2">
      <c r="A2" t="s">
        <v>8</v>
      </c>
      <c r="B2" t="s">
        <v>44</v>
      </c>
    </row>
    <row r="6" ht="22.5" spans="2:7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</row>
    <row r="7" ht="15.75" spans="2:7">
      <c r="B7" s="2" t="s">
        <v>7</v>
      </c>
      <c r="C7" s="2">
        <v>1220</v>
      </c>
      <c r="D7" s="2" t="s">
        <v>8</v>
      </c>
      <c r="E7" s="2" t="s">
        <v>9</v>
      </c>
      <c r="F7" s="3">
        <v>14</v>
      </c>
      <c r="G7" s="4">
        <v>19777</v>
      </c>
    </row>
    <row r="8" ht="15.75" spans="2:7">
      <c r="B8" s="2" t="s">
        <v>19</v>
      </c>
      <c r="C8" s="2">
        <v>1225</v>
      </c>
      <c r="D8" s="2" t="s">
        <v>8</v>
      </c>
      <c r="E8" s="2" t="s">
        <v>21</v>
      </c>
      <c r="F8" s="3">
        <v>3</v>
      </c>
      <c r="G8" s="4">
        <v>11045</v>
      </c>
    </row>
    <row r="9" ht="15.75" spans="2:7">
      <c r="B9" s="2" t="s">
        <v>29</v>
      </c>
      <c r="C9" s="2">
        <v>1229</v>
      </c>
      <c r="D9" s="2" t="s">
        <v>8</v>
      </c>
      <c r="E9" s="2" t="s">
        <v>30</v>
      </c>
      <c r="F9" s="3">
        <v>15</v>
      </c>
      <c r="G9" s="4">
        <v>12136</v>
      </c>
    </row>
    <row r="10" ht="15.75" spans="2:7">
      <c r="B10" s="2" t="s">
        <v>7</v>
      </c>
      <c r="C10" s="2">
        <v>1234</v>
      </c>
      <c r="D10" s="2" t="s">
        <v>8</v>
      </c>
      <c r="E10" s="2" t="s">
        <v>15</v>
      </c>
      <c r="F10" s="3">
        <v>13</v>
      </c>
      <c r="G10" s="4">
        <v>6723</v>
      </c>
    </row>
    <row r="11" ht="15.75" spans="2:7">
      <c r="B11" s="2" t="s">
        <v>7</v>
      </c>
      <c r="C11" s="2">
        <v>1241</v>
      </c>
      <c r="D11" s="2" t="s">
        <v>8</v>
      </c>
      <c r="E11" s="2" t="s">
        <v>15</v>
      </c>
      <c r="F11" s="3">
        <v>11</v>
      </c>
      <c r="G11" s="4">
        <v>10629</v>
      </c>
    </row>
    <row r="12" spans="2:7">
      <c r="B12" t="s">
        <v>45</v>
      </c>
      <c r="G12">
        <f>SUBTOTAL(109,表2[订单金额])</f>
        <v>60310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订单信息表</vt:lpstr>
      <vt:lpstr>Sheet2</vt:lpstr>
      <vt:lpstr>Sheet3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2023-05-12T11:15:00Z</dcterms:created>
  <dcterms:modified xsi:type="dcterms:W3CDTF">2024-02-23T03:25:36Z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